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92A00AD4-C885-44F1-906D-0B9247DF53AB}" xr6:coauthVersionLast="47" xr6:coauthVersionMax="47" xr10:uidLastSave="{00000000-0000-0000-0000-000000000000}"/>
  <bookViews>
    <workbookView xWindow="1560" yWindow="1650" windowWidth="27240" windowHeight="14550" xr2:uid="{E9F04A2F-5344-4528-B7F4-5B20F8481228}"/>
  </bookViews>
  <sheets>
    <sheet name="Mandates" sheetId="1" r:id="rId1"/>
    <sheet name="Biofuel Volumes" sheetId="2" r:id="rId2"/>
    <sheet name="Processing Tech Breakdown" sheetId="3" r:id="rId3"/>
    <sheet name="Credit Prices" sheetId="4" r:id="rId4"/>
    <sheet name="Price Spread Comp" sheetId="5" r:id="rId5"/>
    <sheet name="chart_FnGImports" sheetId="6" r:id="rId6"/>
    <sheet name="chart_FnGProd" sheetId="7" r:id="rId7"/>
    <sheet name="chart_FnGSND" sheetId="8" r:id="rId8"/>
    <sheet name="Chart1" sheetId="9" r:id="rId9"/>
    <sheet name="chart_SBO" sheetId="10" r:id="rId10"/>
    <sheet name="chart_VOuseanddemand" sheetId="11" r:id="rId11"/>
    <sheet name="Total Feedstocks" sheetId="12" r:id="rId12"/>
    <sheet name="Veg Oils" sheetId="13" r:id="rId13"/>
    <sheet name="Fats and Grease" sheetId="14" r:id="rId14"/>
    <sheet name="SBO" sheetId="15" r:id="rId15"/>
    <sheet name="Canola Oil" sheetId="16" r:id="rId16"/>
    <sheet name="DCO" sheetId="17" r:id="rId17"/>
    <sheet name="Inedible Tallow" sheetId="18" r:id="rId18"/>
    <sheet name="UCO-YG" sheetId="19" r:id="rId19"/>
    <sheet name="UCO" sheetId="20" r:id="rId20"/>
    <sheet name="Yellow Grease" sheetId="21" r:id="rId21"/>
    <sheet name="CWG" sheetId="22" r:id="rId22"/>
    <sheet name="Poultry Fat" sheetId="23" r:id="rId23"/>
    <sheet name="Feedstocks Comp" sheetId="24" r:id="rId24"/>
    <sheet name="Veg Oils Comp" sheetId="25" r:id="rId25"/>
    <sheet name="Fat and Grease Comp" sheetId="26" r:id="rId26"/>
    <sheet name="SBO Comp" sheetId="27" r:id="rId27"/>
    <sheet name="Canola Oil Comp" sheetId="28" r:id="rId28"/>
    <sheet name="CWG Comp" sheetId="29" r:id="rId29"/>
    <sheet name="UCO-YG Comp" sheetId="30" r:id="rId30"/>
    <sheet name="UCO Comp" sheetId="31" r:id="rId31"/>
    <sheet name="YG Comp" sheetId="32" r:id="rId32"/>
    <sheet name="Tallow Comp" sheetId="33" r:id="rId33"/>
    <sheet name="Poultry Fat Comp" sheetId="34" r:id="rId34"/>
    <sheet name="DCO Comp" sheetId="35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35" l="1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O5" i="35"/>
  <c r="D5" i="35"/>
  <c r="C5" i="35"/>
  <c r="B5" i="35"/>
  <c r="P4" i="35"/>
  <c r="O4" i="35"/>
  <c r="N4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O16" i="34"/>
  <c r="L16" i="34"/>
  <c r="K16" i="34"/>
  <c r="M13" i="34"/>
  <c r="L13" i="34"/>
  <c r="P11" i="34"/>
  <c r="O11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B11" i="34"/>
  <c r="N10" i="34"/>
  <c r="M5" i="34"/>
  <c r="I5" i="34"/>
  <c r="H5" i="34"/>
  <c r="P2" i="34"/>
  <c r="O2" i="34"/>
  <c r="N2" i="34"/>
  <c r="M2" i="34"/>
  <c r="L2" i="34"/>
  <c r="K2" i="34"/>
  <c r="J2" i="34"/>
  <c r="I2" i="34"/>
  <c r="H2" i="34"/>
  <c r="G2" i="34"/>
  <c r="F2" i="34"/>
  <c r="E2" i="34"/>
  <c r="D2" i="34"/>
  <c r="C2" i="34"/>
  <c r="B2" i="34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B11" i="32"/>
  <c r="J10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B2" i="32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B11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B2" i="31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B11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B2" i="30"/>
  <c r="I15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B11" i="29"/>
  <c r="L9" i="29"/>
  <c r="K9" i="29"/>
  <c r="D8" i="29"/>
  <c r="L4" i="29"/>
  <c r="K4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29"/>
  <c r="H13" i="28"/>
  <c r="P11" i="28"/>
  <c r="O11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B11" i="28"/>
  <c r="D10" i="28"/>
  <c r="C10" i="28"/>
  <c r="P2" i="28"/>
  <c r="O2" i="28"/>
  <c r="N2" i="28"/>
  <c r="M2" i="28"/>
  <c r="L2" i="28"/>
  <c r="K2" i="28"/>
  <c r="J2" i="28"/>
  <c r="I2" i="28"/>
  <c r="H2" i="28"/>
  <c r="G2" i="28"/>
  <c r="F2" i="28"/>
  <c r="E2" i="28"/>
  <c r="D2" i="28"/>
  <c r="C2" i="28"/>
  <c r="B2" i="28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B12" i="27"/>
  <c r="P2" i="27"/>
  <c r="O2" i="27"/>
  <c r="N2" i="27"/>
  <c r="M2" i="27"/>
  <c r="L2" i="27"/>
  <c r="K2" i="27"/>
  <c r="J2" i="27"/>
  <c r="I2" i="27"/>
  <c r="H2" i="27"/>
  <c r="G2" i="27"/>
  <c r="F2" i="27"/>
  <c r="E2" i="27"/>
  <c r="D2" i="27"/>
  <c r="C2" i="27"/>
  <c r="B2" i="27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B12" i="26"/>
  <c r="P2" i="26"/>
  <c r="O2" i="26"/>
  <c r="N2" i="26"/>
  <c r="M2" i="26"/>
  <c r="L2" i="26"/>
  <c r="K2" i="26"/>
  <c r="J2" i="26"/>
  <c r="I2" i="26"/>
  <c r="H2" i="26"/>
  <c r="G2" i="26"/>
  <c r="F2" i="26"/>
  <c r="E2" i="26"/>
  <c r="D2" i="26"/>
  <c r="C2" i="26"/>
  <c r="B2" i="26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P11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B11" i="24"/>
  <c r="P2" i="24"/>
  <c r="O2" i="24"/>
  <c r="N2" i="24"/>
  <c r="M2" i="24"/>
  <c r="L2" i="24"/>
  <c r="K2" i="24"/>
  <c r="J2" i="24"/>
  <c r="I2" i="24"/>
  <c r="H2" i="24"/>
  <c r="G2" i="24"/>
  <c r="F2" i="24"/>
  <c r="E2" i="24"/>
  <c r="D2" i="24"/>
  <c r="C2" i="24"/>
  <c r="B2" i="24"/>
  <c r="P28" i="23"/>
  <c r="N28" i="23"/>
  <c r="M28" i="23"/>
  <c r="L28" i="23"/>
  <c r="K28" i="23"/>
  <c r="I28" i="23"/>
  <c r="H28" i="23"/>
  <c r="G28" i="23"/>
  <c r="P26" i="23"/>
  <c r="BF25" i="23"/>
  <c r="BD25" i="23"/>
  <c r="BB25" i="23"/>
  <c r="AV25" i="23"/>
  <c r="AU25" i="23"/>
  <c r="AT25" i="23"/>
  <c r="AS25" i="23"/>
  <c r="AM25" i="23"/>
  <c r="AL25" i="23"/>
  <c r="AK25" i="23"/>
  <c r="AJ25" i="23"/>
  <c r="AI25" i="23"/>
  <c r="AF25" i="23"/>
  <c r="AD25" i="23"/>
  <c r="Q25" i="23"/>
  <c r="P25" i="23"/>
  <c r="N25" i="23"/>
  <c r="L25" i="23"/>
  <c r="J25" i="23"/>
  <c r="I25" i="23"/>
  <c r="F25" i="23"/>
  <c r="D25" i="23"/>
  <c r="BC23" i="23"/>
  <c r="BD22" i="23"/>
  <c r="BB22" i="23"/>
  <c r="AZ22" i="23"/>
  <c r="AX22" i="23"/>
  <c r="AW22" i="23"/>
  <c r="AV22" i="23"/>
  <c r="AU22" i="23"/>
  <c r="AT22" i="23"/>
  <c r="AQ22" i="23"/>
  <c r="AO22" i="23"/>
  <c r="AK22" i="23"/>
  <c r="AH22" i="23"/>
  <c r="AF22" i="23"/>
  <c r="AD22" i="23"/>
  <c r="AB22" i="23"/>
  <c r="AA22" i="23"/>
  <c r="Z22" i="23"/>
  <c r="Y22" i="23"/>
  <c r="W22" i="23"/>
  <c r="V22" i="23"/>
  <c r="U22" i="23"/>
  <c r="J22" i="23"/>
  <c r="E22" i="23"/>
  <c r="D22" i="23"/>
  <c r="C22" i="23"/>
  <c r="BG21" i="23"/>
  <c r="BG23" i="23" s="1"/>
  <c r="BC21" i="23"/>
  <c r="Y21" i="23"/>
  <c r="Y23" i="23" s="1"/>
  <c r="P21" i="23"/>
  <c r="P23" i="23" s="1"/>
  <c r="BG16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P16" i="34" s="1"/>
  <c r="AO16" i="23"/>
  <c r="AN16" i="23"/>
  <c r="N16" i="34" s="1"/>
  <c r="AM16" i="23"/>
  <c r="M16" i="34" s="1"/>
  <c r="AL16" i="23"/>
  <c r="AK16" i="23"/>
  <c r="AJ16" i="23"/>
  <c r="J16" i="34" s="1"/>
  <c r="AI16" i="23"/>
  <c r="I16" i="34" s="1"/>
  <c r="AH16" i="23"/>
  <c r="H16" i="34" s="1"/>
  <c r="AG16" i="23"/>
  <c r="G16" i="34" s="1"/>
  <c r="AF16" i="23"/>
  <c r="F16" i="34" s="1"/>
  <c r="AE16" i="23"/>
  <c r="E16" i="34" s="1"/>
  <c r="AD16" i="23"/>
  <c r="D16" i="34" s="1"/>
  <c r="AC16" i="23"/>
  <c r="C16" i="34" s="1"/>
  <c r="AB16" i="23"/>
  <c r="B16" i="34" s="1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BG15" i="23"/>
  <c r="BG22" i="23" s="1"/>
  <c r="BF15" i="23"/>
  <c r="BF22" i="23" s="1"/>
  <c r="BE15" i="23"/>
  <c r="BE22" i="23" s="1"/>
  <c r="BD15" i="23"/>
  <c r="BC15" i="23"/>
  <c r="BC22" i="23" s="1"/>
  <c r="BB15" i="23"/>
  <c r="BA15" i="23"/>
  <c r="BA22" i="23" s="1"/>
  <c r="AZ15" i="23"/>
  <c r="AY15" i="23"/>
  <c r="AY22" i="23" s="1"/>
  <c r="AX15" i="23"/>
  <c r="AW15" i="23"/>
  <c r="AV15" i="23"/>
  <c r="AU15" i="23"/>
  <c r="AT15" i="23"/>
  <c r="AS15" i="23"/>
  <c r="AS22" i="23" s="1"/>
  <c r="AR15" i="23"/>
  <c r="AR22" i="23" s="1"/>
  <c r="AQ15" i="23"/>
  <c r="AP15" i="23"/>
  <c r="AO15" i="23"/>
  <c r="O15" i="34" s="1"/>
  <c r="AN15" i="23"/>
  <c r="AM15" i="23"/>
  <c r="AL15" i="23"/>
  <c r="AK15" i="23"/>
  <c r="K15" i="34" s="1"/>
  <c r="AJ15" i="23"/>
  <c r="AI15" i="23"/>
  <c r="AH15" i="23"/>
  <c r="H15" i="34" s="1"/>
  <c r="AG15" i="23"/>
  <c r="AF15" i="23"/>
  <c r="F15" i="34" s="1"/>
  <c r="AE15" i="23"/>
  <c r="AD15" i="23"/>
  <c r="D15" i="34" s="1"/>
  <c r="AC15" i="23"/>
  <c r="AB15" i="23"/>
  <c r="B15" i="34" s="1"/>
  <c r="AA15" i="23"/>
  <c r="Z15" i="23"/>
  <c r="Y15" i="23"/>
  <c r="X15" i="23"/>
  <c r="X22" i="23" s="1"/>
  <c r="W15" i="23"/>
  <c r="V15" i="23"/>
  <c r="U15" i="23"/>
  <c r="T15" i="23"/>
  <c r="T22" i="23" s="1"/>
  <c r="S15" i="23"/>
  <c r="S22" i="23" s="1"/>
  <c r="R15" i="23"/>
  <c r="R22" i="23" s="1"/>
  <c r="Q15" i="23"/>
  <c r="Q22" i="23" s="1"/>
  <c r="P15" i="23"/>
  <c r="P22" i="23" s="1"/>
  <c r="O15" i="23"/>
  <c r="O22" i="23" s="1"/>
  <c r="N15" i="23"/>
  <c r="N22" i="23" s="1"/>
  <c r="M15" i="23"/>
  <c r="M22" i="23" s="1"/>
  <c r="L15" i="23"/>
  <c r="L22" i="23" s="1"/>
  <c r="K15" i="23"/>
  <c r="K22" i="23" s="1"/>
  <c r="J15" i="23"/>
  <c r="I15" i="23"/>
  <c r="I22" i="23" s="1"/>
  <c r="H15" i="23"/>
  <c r="H22" i="23" s="1"/>
  <c r="G15" i="23"/>
  <c r="G22" i="23" s="1"/>
  <c r="F15" i="23"/>
  <c r="F22" i="23" s="1"/>
  <c r="E15" i="23"/>
  <c r="D15" i="23"/>
  <c r="C15" i="23"/>
  <c r="AF14" i="23"/>
  <c r="AD14" i="23"/>
  <c r="I14" i="23"/>
  <c r="H14" i="23"/>
  <c r="G14" i="23"/>
  <c r="BG13" i="23"/>
  <c r="BG25" i="23" s="1"/>
  <c r="BF13" i="23"/>
  <c r="BE13" i="23"/>
  <c r="BE25" i="23" s="1"/>
  <c r="BD13" i="23"/>
  <c r="BC13" i="23"/>
  <c r="BC25" i="23" s="1"/>
  <c r="BB13" i="23"/>
  <c r="BA13" i="23"/>
  <c r="BA25" i="23" s="1"/>
  <c r="AZ13" i="23"/>
  <c r="AZ25" i="23" s="1"/>
  <c r="AY13" i="23"/>
  <c r="AY25" i="23" s="1"/>
  <c r="AX13" i="23"/>
  <c r="AX25" i="23" s="1"/>
  <c r="AW13" i="23"/>
  <c r="AW25" i="23" s="1"/>
  <c r="AV13" i="23"/>
  <c r="AU13" i="23"/>
  <c r="AT13" i="23"/>
  <c r="AS13" i="23"/>
  <c r="AR13" i="23"/>
  <c r="AR25" i="23" s="1"/>
  <c r="AQ13" i="23"/>
  <c r="AQ25" i="23" s="1"/>
  <c r="AP13" i="23"/>
  <c r="AO13" i="23"/>
  <c r="AN13" i="23"/>
  <c r="AM13" i="23"/>
  <c r="AL13" i="23"/>
  <c r="AK13" i="23"/>
  <c r="K13" i="34" s="1"/>
  <c r="AJ13" i="23"/>
  <c r="J13" i="34" s="1"/>
  <c r="AI13" i="23"/>
  <c r="I13" i="34" s="1"/>
  <c r="AH13" i="23"/>
  <c r="H13" i="34" s="1"/>
  <c r="AG13" i="23"/>
  <c r="AF13" i="23"/>
  <c r="F13" i="34" s="1"/>
  <c r="AE13" i="23"/>
  <c r="E13" i="34" s="1"/>
  <c r="AD13" i="23"/>
  <c r="D13" i="34" s="1"/>
  <c r="AC13" i="23"/>
  <c r="C13" i="34" s="1"/>
  <c r="AB13" i="23"/>
  <c r="B13" i="34" s="1"/>
  <c r="AA13" i="23"/>
  <c r="AA25" i="23" s="1"/>
  <c r="Z13" i="23"/>
  <c r="Y13" i="23"/>
  <c r="X13" i="23"/>
  <c r="X25" i="23" s="1"/>
  <c r="W13" i="23"/>
  <c r="V13" i="23"/>
  <c r="V25" i="23" s="1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H25" i="23" s="1"/>
  <c r="G13" i="23"/>
  <c r="G25" i="23" s="1"/>
  <c r="F13" i="23"/>
  <c r="E13" i="23"/>
  <c r="E25" i="23" s="1"/>
  <c r="D13" i="23"/>
  <c r="C13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M48" i="14" s="1"/>
  <c r="L12" i="23"/>
  <c r="K12" i="23"/>
  <c r="J12" i="23"/>
  <c r="I12" i="23"/>
  <c r="H12" i="23"/>
  <c r="G12" i="23"/>
  <c r="F12" i="23"/>
  <c r="E12" i="23"/>
  <c r="D12" i="23"/>
  <c r="C12" i="23"/>
  <c r="BG11" i="23"/>
  <c r="BF11" i="23"/>
  <c r="BE11" i="23"/>
  <c r="BD11" i="23"/>
  <c r="BC11" i="23"/>
  <c r="BB11" i="23"/>
  <c r="BA11" i="23"/>
  <c r="AZ11" i="23"/>
  <c r="AY11" i="23"/>
  <c r="AX11" i="23"/>
  <c r="AW11" i="23"/>
  <c r="AW9" i="23" s="1"/>
  <c r="AW28" i="23" s="1"/>
  <c r="AV11" i="23"/>
  <c r="AU11" i="23"/>
  <c r="AT11" i="23"/>
  <c r="AS11" i="23"/>
  <c r="AR11" i="23"/>
  <c r="AQ11" i="23"/>
  <c r="AP11" i="23"/>
  <c r="P10" i="34" s="1"/>
  <c r="AO11" i="23"/>
  <c r="O10" i="34" s="1"/>
  <c r="AN11" i="23"/>
  <c r="AM11" i="23"/>
  <c r="M10" i="34" s="1"/>
  <c r="AL11" i="23"/>
  <c r="L10" i="34" s="1"/>
  <c r="AK11" i="23"/>
  <c r="K10" i="34" s="1"/>
  <c r="AJ11" i="23"/>
  <c r="J10" i="34" s="1"/>
  <c r="AI11" i="23"/>
  <c r="I10" i="34" s="1"/>
  <c r="AH11" i="23"/>
  <c r="H10" i="34" s="1"/>
  <c r="AG11" i="23"/>
  <c r="G10" i="34" s="1"/>
  <c r="AF11" i="23"/>
  <c r="F10" i="34" s="1"/>
  <c r="AE11" i="23"/>
  <c r="E10" i="34" s="1"/>
  <c r="AD11" i="23"/>
  <c r="D10" i="34" s="1"/>
  <c r="AC11" i="23"/>
  <c r="AB11" i="23"/>
  <c r="AA11" i="23"/>
  <c r="AA9" i="23" s="1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I9" i="23" s="1"/>
  <c r="I8" i="23" s="1"/>
  <c r="H11" i="23"/>
  <c r="H9" i="23" s="1"/>
  <c r="H8" i="23" s="1"/>
  <c r="G11" i="23"/>
  <c r="G9" i="23" s="1"/>
  <c r="G8" i="23" s="1"/>
  <c r="F11" i="23"/>
  <c r="F9" i="23" s="1"/>
  <c r="E11" i="23"/>
  <c r="E9" i="23" s="1"/>
  <c r="D11" i="23"/>
  <c r="C11" i="23"/>
  <c r="BG10" i="23"/>
  <c r="BF10" i="23"/>
  <c r="BE10" i="23"/>
  <c r="BD10" i="23"/>
  <c r="BC10" i="23"/>
  <c r="BB10" i="23"/>
  <c r="BA10" i="23"/>
  <c r="AZ10" i="23"/>
  <c r="AY10" i="23"/>
  <c r="AX10" i="23"/>
  <c r="AW10" i="23"/>
  <c r="AV10" i="23"/>
  <c r="AU10" i="23"/>
  <c r="AU9" i="23" s="1"/>
  <c r="AU28" i="23" s="1"/>
  <c r="AT10" i="23"/>
  <c r="AT9" i="23" s="1"/>
  <c r="AT28" i="23" s="1"/>
  <c r="AS10" i="23"/>
  <c r="AS9" i="23" s="1"/>
  <c r="AS28" i="23" s="1"/>
  <c r="AR10" i="23"/>
  <c r="AR9" i="23" s="1"/>
  <c r="AR28" i="23" s="1"/>
  <c r="AQ10" i="23"/>
  <c r="AQ9" i="23" s="1"/>
  <c r="AQ28" i="23" s="1"/>
  <c r="AP10" i="23"/>
  <c r="AO10" i="23"/>
  <c r="AN10" i="23"/>
  <c r="AM10" i="23"/>
  <c r="AL10" i="23"/>
  <c r="AK10" i="23"/>
  <c r="AJ10" i="23"/>
  <c r="J9" i="34" s="1"/>
  <c r="AI10" i="23"/>
  <c r="I9" i="34" s="1"/>
  <c r="AH10" i="23"/>
  <c r="H9" i="34" s="1"/>
  <c r="AG10" i="23"/>
  <c r="G9" i="34" s="1"/>
  <c r="AF10" i="23"/>
  <c r="F9" i="34" s="1"/>
  <c r="AE10" i="23"/>
  <c r="E9" i="34" s="1"/>
  <c r="AD10" i="23"/>
  <c r="D9" i="34" s="1"/>
  <c r="AC10" i="23"/>
  <c r="C9" i="34" s="1"/>
  <c r="AB10" i="23"/>
  <c r="B9" i="34" s="1"/>
  <c r="AA10" i="23"/>
  <c r="Z10" i="23"/>
  <c r="Y10" i="23"/>
  <c r="Y9" i="23" s="1"/>
  <c r="X10" i="23"/>
  <c r="X9" i="23" s="1"/>
  <c r="W10" i="23"/>
  <c r="W9" i="23" s="1"/>
  <c r="V10" i="23"/>
  <c r="V9" i="23" s="1"/>
  <c r="U10" i="23"/>
  <c r="U9" i="23" s="1"/>
  <c r="T10" i="23"/>
  <c r="T9" i="23" s="1"/>
  <c r="S10" i="23"/>
  <c r="S9" i="23" s="1"/>
  <c r="R10" i="23"/>
  <c r="R9" i="23" s="1"/>
  <c r="Q10" i="23"/>
  <c r="P10" i="23"/>
  <c r="P9" i="23" s="1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C9" i="23" s="1"/>
  <c r="C28" i="23" s="1"/>
  <c r="BF9" i="23"/>
  <c r="BF28" i="23" s="1"/>
  <c r="BE9" i="23"/>
  <c r="BE28" i="23" s="1"/>
  <c r="BD9" i="23"/>
  <c r="BD28" i="23" s="1"/>
  <c r="BC9" i="23"/>
  <c r="BC28" i="23" s="1"/>
  <c r="BB9" i="23"/>
  <c r="BB28" i="23" s="1"/>
  <c r="BA9" i="23"/>
  <c r="BA28" i="23" s="1"/>
  <c r="AZ9" i="23"/>
  <c r="AZ28" i="23" s="1"/>
  <c r="AY9" i="23"/>
  <c r="AY28" i="23" s="1"/>
  <c r="AJ9" i="23"/>
  <c r="J8" i="34" s="1"/>
  <c r="AH9" i="23"/>
  <c r="H8" i="34" s="1"/>
  <c r="AG9" i="23"/>
  <c r="AE9" i="23"/>
  <c r="AD9" i="23"/>
  <c r="N9" i="23"/>
  <c r="N8" i="23" s="1"/>
  <c r="N14" i="23" s="1"/>
  <c r="N24" i="23" s="1"/>
  <c r="M9" i="23"/>
  <c r="L9" i="23"/>
  <c r="K9" i="23"/>
  <c r="K8" i="23" s="1"/>
  <c r="L8" i="23"/>
  <c r="L14" i="23" s="1"/>
  <c r="C8" i="23"/>
  <c r="BG7" i="23"/>
  <c r="BG14" i="23" s="1"/>
  <c r="BG8" i="23" s="1"/>
  <c r="BC7" i="23"/>
  <c r="BB7" i="23"/>
  <c r="BB21" i="23" s="1"/>
  <c r="BB23" i="23" s="1"/>
  <c r="AM7" i="23"/>
  <c r="AL7" i="23"/>
  <c r="AK7" i="23"/>
  <c r="AJ7" i="23"/>
  <c r="AI7" i="23"/>
  <c r="AH7" i="23"/>
  <c r="AG7" i="23"/>
  <c r="AF7" i="23"/>
  <c r="AD7" i="23"/>
  <c r="K7" i="23"/>
  <c r="K21" i="23" s="1"/>
  <c r="J7" i="23"/>
  <c r="J21" i="23" s="1"/>
  <c r="J23" i="23" s="1"/>
  <c r="H7" i="23"/>
  <c r="H21" i="23" s="1"/>
  <c r="C7" i="23"/>
  <c r="C21" i="23" s="1"/>
  <c r="BG6" i="23"/>
  <c r="BF6" i="23"/>
  <c r="BE6" i="23"/>
  <c r="BD6" i="23"/>
  <c r="BC6" i="23"/>
  <c r="BB6" i="23"/>
  <c r="BA6" i="23"/>
  <c r="AZ6" i="23"/>
  <c r="AY6" i="23"/>
  <c r="AX6" i="23"/>
  <c r="AW6" i="23"/>
  <c r="AV6" i="23"/>
  <c r="AU6" i="23"/>
  <c r="AT6" i="23"/>
  <c r="AS6" i="23"/>
  <c r="AR6" i="23"/>
  <c r="AQ6" i="23"/>
  <c r="AP6" i="23"/>
  <c r="P5" i="34" s="1"/>
  <c r="AO6" i="23"/>
  <c r="O5" i="34" s="1"/>
  <c r="AN6" i="23"/>
  <c r="N5" i="34" s="1"/>
  <c r="AM6" i="23"/>
  <c r="AL6" i="23"/>
  <c r="L5" i="34" s="1"/>
  <c r="AK6" i="23"/>
  <c r="K5" i="34" s="1"/>
  <c r="AJ6" i="23"/>
  <c r="J5" i="34" s="1"/>
  <c r="AI6" i="23"/>
  <c r="AH6" i="23"/>
  <c r="AG6" i="23"/>
  <c r="G5" i="34" s="1"/>
  <c r="AF6" i="23"/>
  <c r="F5" i="34" s="1"/>
  <c r="AE6" i="23"/>
  <c r="AD6" i="23"/>
  <c r="D5" i="34" s="1"/>
  <c r="AC6" i="23"/>
  <c r="C5" i="34" s="1"/>
  <c r="AB6" i="23"/>
  <c r="B5" i="34" s="1"/>
  <c r="AA6" i="23"/>
  <c r="Z6" i="23"/>
  <c r="Y6" i="23"/>
  <c r="X6" i="23"/>
  <c r="W6" i="23"/>
  <c r="V6" i="23"/>
  <c r="U6" i="23"/>
  <c r="T6" i="23"/>
  <c r="S6" i="23"/>
  <c r="R6" i="23"/>
  <c r="Q6" i="23"/>
  <c r="P6" i="23"/>
  <c r="P7" i="23" s="1"/>
  <c r="O6" i="23"/>
  <c r="N6" i="23"/>
  <c r="M6" i="23"/>
  <c r="L6" i="23"/>
  <c r="K6" i="23"/>
  <c r="J6" i="23"/>
  <c r="I6" i="23"/>
  <c r="H6" i="23"/>
  <c r="G6" i="23"/>
  <c r="F6" i="23"/>
  <c r="E6" i="23"/>
  <c r="D6" i="23"/>
  <c r="C6" i="23"/>
  <c r="BG5" i="23"/>
  <c r="BF5" i="23"/>
  <c r="BE5" i="23"/>
  <c r="BD5" i="23"/>
  <c r="BC5" i="23"/>
  <c r="BB5" i="23"/>
  <c r="BA5" i="23"/>
  <c r="AZ5" i="23"/>
  <c r="AY5" i="23"/>
  <c r="AX5" i="23"/>
  <c r="AW5" i="23"/>
  <c r="AV5" i="23"/>
  <c r="AU5" i="23"/>
  <c r="AT5" i="23"/>
  <c r="AT7" i="23" s="1"/>
  <c r="AS5" i="23"/>
  <c r="AS7" i="23" s="1"/>
  <c r="AR5" i="23"/>
  <c r="AQ5" i="23"/>
  <c r="AP5" i="23"/>
  <c r="P4" i="34" s="1"/>
  <c r="AO5" i="23"/>
  <c r="O4" i="34" s="1"/>
  <c r="AN5" i="23"/>
  <c r="N4" i="34" s="1"/>
  <c r="AM5" i="23"/>
  <c r="M4" i="34" s="1"/>
  <c r="AL5" i="23"/>
  <c r="L4" i="34" s="1"/>
  <c r="AK5" i="23"/>
  <c r="K4" i="34" s="1"/>
  <c r="AJ5" i="23"/>
  <c r="J4" i="34" s="1"/>
  <c r="AI5" i="23"/>
  <c r="I4" i="34" s="1"/>
  <c r="AH5" i="23"/>
  <c r="H4" i="34" s="1"/>
  <c r="AG5" i="23"/>
  <c r="G4" i="34" s="1"/>
  <c r="AF5" i="23"/>
  <c r="F4" i="34" s="1"/>
  <c r="AE5" i="23"/>
  <c r="E4" i="34" s="1"/>
  <c r="AD5" i="23"/>
  <c r="D4" i="34" s="1"/>
  <c r="AC5" i="23"/>
  <c r="C4" i="34" s="1"/>
  <c r="AB5" i="23"/>
  <c r="B4" i="34" s="1"/>
  <c r="AA5" i="23"/>
  <c r="AA7" i="23" s="1"/>
  <c r="AA21" i="23" s="1"/>
  <c r="AA23" i="23" s="1"/>
  <c r="Z5" i="23"/>
  <c r="Y5" i="23"/>
  <c r="X5" i="23"/>
  <c r="X7" i="23" s="1"/>
  <c r="X21" i="23" s="1"/>
  <c r="X23" i="23" s="1"/>
  <c r="W5" i="23"/>
  <c r="W7" i="23" s="1"/>
  <c r="W21" i="23" s="1"/>
  <c r="W23" i="23" s="1"/>
  <c r="V5" i="23"/>
  <c r="U5" i="23"/>
  <c r="T5" i="23"/>
  <c r="S5" i="23"/>
  <c r="R5" i="23"/>
  <c r="Q5" i="23"/>
  <c r="Q7" i="23" s="1"/>
  <c r="Q21" i="23" s="1"/>
  <c r="Q23" i="23" s="1"/>
  <c r="Q26" i="23" s="1"/>
  <c r="P5" i="23"/>
  <c r="O5" i="23"/>
  <c r="O7" i="23" s="1"/>
  <c r="O21" i="23" s="1"/>
  <c r="N5" i="23"/>
  <c r="M5" i="23"/>
  <c r="L5" i="23"/>
  <c r="L7" i="23" s="1"/>
  <c r="L21" i="23" s="1"/>
  <c r="K5" i="23"/>
  <c r="J5" i="23"/>
  <c r="I5" i="23"/>
  <c r="H5" i="23"/>
  <c r="G5" i="23"/>
  <c r="F5" i="23"/>
  <c r="E5" i="23"/>
  <c r="E7" i="23" s="1"/>
  <c r="E21" i="23" s="1"/>
  <c r="E23" i="23" s="1"/>
  <c r="E26" i="23" s="1"/>
  <c r="D5" i="23"/>
  <c r="C5" i="23"/>
  <c r="BG4" i="23"/>
  <c r="BF4" i="23"/>
  <c r="BF7" i="23" s="1"/>
  <c r="BE4" i="23"/>
  <c r="BE7" i="23" s="1"/>
  <c r="BD4" i="23"/>
  <c r="BD7" i="23" s="1"/>
  <c r="BC4" i="23"/>
  <c r="BB4" i="23"/>
  <c r="BA4" i="23"/>
  <c r="BA7" i="23" s="1"/>
  <c r="AZ4" i="23"/>
  <c r="AZ7" i="23" s="1"/>
  <c r="AY4" i="23"/>
  <c r="AX4" i="23"/>
  <c r="AX7" i="23" s="1"/>
  <c r="AX21" i="23" s="1"/>
  <c r="AX23" i="23" s="1"/>
  <c r="AW4" i="23"/>
  <c r="AV4" i="23"/>
  <c r="AU4" i="23"/>
  <c r="AU7" i="23" s="1"/>
  <c r="AT4" i="23"/>
  <c r="AS4" i="23"/>
  <c r="AR4" i="23"/>
  <c r="AQ4" i="23"/>
  <c r="AP4" i="23"/>
  <c r="AO4" i="23"/>
  <c r="O3" i="34" s="1"/>
  <c r="AN4" i="23"/>
  <c r="AM4" i="23"/>
  <c r="M3" i="34" s="1"/>
  <c r="AL4" i="23"/>
  <c r="L3" i="34" s="1"/>
  <c r="AK4" i="23"/>
  <c r="K3" i="34" s="1"/>
  <c r="AJ4" i="23"/>
  <c r="J3" i="34" s="1"/>
  <c r="AI4" i="23"/>
  <c r="I3" i="34" s="1"/>
  <c r="AH4" i="23"/>
  <c r="H3" i="34" s="1"/>
  <c r="AG4" i="23"/>
  <c r="G3" i="34" s="1"/>
  <c r="AF4" i="23"/>
  <c r="F3" i="34" s="1"/>
  <c r="AE4" i="23"/>
  <c r="E3" i="34" s="1"/>
  <c r="AD4" i="23"/>
  <c r="D3" i="34" s="1"/>
  <c r="AC4" i="23"/>
  <c r="AB4" i="23"/>
  <c r="AA4" i="23"/>
  <c r="Z4" i="23"/>
  <c r="Y4" i="23"/>
  <c r="Y7" i="23" s="1"/>
  <c r="X4" i="23"/>
  <c r="W4" i="23"/>
  <c r="V4" i="23"/>
  <c r="U4" i="23"/>
  <c r="T4" i="23"/>
  <c r="T7" i="23" s="1"/>
  <c r="T21" i="23" s="1"/>
  <c r="S4" i="23"/>
  <c r="S7" i="23" s="1"/>
  <c r="S21" i="23" s="1"/>
  <c r="S23" i="23" s="1"/>
  <c r="R4" i="23"/>
  <c r="R7" i="23" s="1"/>
  <c r="R21" i="23" s="1"/>
  <c r="R23" i="23" s="1"/>
  <c r="Q4" i="23"/>
  <c r="P4" i="23"/>
  <c r="O4" i="23"/>
  <c r="N4" i="23"/>
  <c r="N7" i="23" s="1"/>
  <c r="N21" i="23" s="1"/>
  <c r="N23" i="23" s="1"/>
  <c r="N26" i="23" s="1"/>
  <c r="M4" i="23"/>
  <c r="M7" i="23" s="1"/>
  <c r="M21" i="23" s="1"/>
  <c r="M23" i="23" s="1"/>
  <c r="L4" i="23"/>
  <c r="K4" i="23"/>
  <c r="J4" i="23"/>
  <c r="I4" i="23"/>
  <c r="H4" i="23"/>
  <c r="G4" i="23"/>
  <c r="F4" i="23"/>
  <c r="F7" i="23" s="1"/>
  <c r="F21" i="23" s="1"/>
  <c r="F23" i="23" s="1"/>
  <c r="E4" i="23"/>
  <c r="D4" i="23"/>
  <c r="C4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T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BG28" i="22"/>
  <c r="BF28" i="22"/>
  <c r="BE28" i="22"/>
  <c r="AQ28" i="22"/>
  <c r="AL28" i="22"/>
  <c r="AK28" i="22"/>
  <c r="O28" i="22"/>
  <c r="BG25" i="22"/>
  <c r="BF25" i="22"/>
  <c r="BE25" i="22"/>
  <c r="BD25" i="22"/>
  <c r="AQ25" i="22"/>
  <c r="AP25" i="22"/>
  <c r="AM25" i="22"/>
  <c r="AK25" i="22"/>
  <c r="AJ25" i="22"/>
  <c r="AI25" i="22"/>
  <c r="AH25" i="22"/>
  <c r="AF25" i="22"/>
  <c r="AD25" i="22"/>
  <c r="U25" i="22"/>
  <c r="T25" i="22"/>
  <c r="R25" i="22"/>
  <c r="Q25" i="22"/>
  <c r="M25" i="22"/>
  <c r="L25" i="22"/>
  <c r="C25" i="22"/>
  <c r="N23" i="22"/>
  <c r="BE22" i="22"/>
  <c r="BD22" i="22"/>
  <c r="BC22" i="22"/>
  <c r="BB22" i="22"/>
  <c r="AL22" i="22"/>
  <c r="AJ22" i="22"/>
  <c r="AI22" i="22"/>
  <c r="AH22" i="22"/>
  <c r="AG22" i="22"/>
  <c r="AF22" i="22"/>
  <c r="AB22" i="22"/>
  <c r="T22" i="22"/>
  <c r="N22" i="22"/>
  <c r="M22" i="22"/>
  <c r="K22" i="22"/>
  <c r="J22" i="22"/>
  <c r="F22" i="22"/>
  <c r="BF21" i="22"/>
  <c r="BF23" i="22" s="1"/>
  <c r="BC21" i="22"/>
  <c r="BC23" i="22" s="1"/>
  <c r="K21" i="22"/>
  <c r="K23" i="22" s="1"/>
  <c r="BG16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P16" i="29" s="1"/>
  <c r="AO16" i="22"/>
  <c r="O16" i="29" s="1"/>
  <c r="AN16" i="22"/>
  <c r="N16" i="29" s="1"/>
  <c r="AM16" i="22"/>
  <c r="M16" i="29" s="1"/>
  <c r="AL16" i="22"/>
  <c r="L16" i="29" s="1"/>
  <c r="AK16" i="22"/>
  <c r="K16" i="29" s="1"/>
  <c r="AJ16" i="22"/>
  <c r="J16" i="29" s="1"/>
  <c r="AI16" i="22"/>
  <c r="I16" i="29" s="1"/>
  <c r="AH16" i="22"/>
  <c r="H16" i="29" s="1"/>
  <c r="AG16" i="22"/>
  <c r="G16" i="29" s="1"/>
  <c r="AF16" i="22"/>
  <c r="F16" i="29" s="1"/>
  <c r="AE16" i="22"/>
  <c r="E16" i="29" s="1"/>
  <c r="AD16" i="22"/>
  <c r="D16" i="29" s="1"/>
  <c r="AC16" i="22"/>
  <c r="C16" i="29" s="1"/>
  <c r="AB16" i="22"/>
  <c r="B16" i="29" s="1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BG15" i="22"/>
  <c r="BG22" i="22" s="1"/>
  <c r="BF15" i="22"/>
  <c r="BF22" i="22" s="1"/>
  <c r="BE15" i="22"/>
  <c r="BD15" i="22"/>
  <c r="BC15" i="22"/>
  <c r="BB15" i="22"/>
  <c r="BA15" i="22"/>
  <c r="BA22" i="22" s="1"/>
  <c r="AZ15" i="22"/>
  <c r="AZ22" i="22" s="1"/>
  <c r="AY15" i="22"/>
  <c r="AY22" i="22" s="1"/>
  <c r="AX15" i="22"/>
  <c r="AX22" i="22" s="1"/>
  <c r="AW15" i="22"/>
  <c r="AW22" i="22" s="1"/>
  <c r="AV15" i="22"/>
  <c r="AV22" i="22" s="1"/>
  <c r="AU15" i="22"/>
  <c r="AU22" i="22" s="1"/>
  <c r="AT15" i="22"/>
  <c r="AT22" i="22" s="1"/>
  <c r="AS15" i="22"/>
  <c r="AS22" i="22" s="1"/>
  <c r="AR15" i="22"/>
  <c r="AR22" i="22" s="1"/>
  <c r="AQ15" i="22"/>
  <c r="AQ22" i="22" s="1"/>
  <c r="AP15" i="22"/>
  <c r="P15" i="29" s="1"/>
  <c r="AO15" i="22"/>
  <c r="AO22" i="22" s="1"/>
  <c r="AN15" i="22"/>
  <c r="AM15" i="22"/>
  <c r="AL15" i="22"/>
  <c r="L15" i="29" s="1"/>
  <c r="AK15" i="22"/>
  <c r="AJ15" i="22"/>
  <c r="J15" i="29" s="1"/>
  <c r="AI15" i="22"/>
  <c r="AH15" i="22"/>
  <c r="H15" i="29" s="1"/>
  <c r="AG15" i="22"/>
  <c r="G15" i="29" s="1"/>
  <c r="AF15" i="22"/>
  <c r="F15" i="29" s="1"/>
  <c r="AE15" i="22"/>
  <c r="E15" i="29" s="1"/>
  <c r="AD15" i="22"/>
  <c r="D15" i="29" s="1"/>
  <c r="AC15" i="22"/>
  <c r="C15" i="29" s="1"/>
  <c r="AB15" i="22"/>
  <c r="B15" i="29" s="1"/>
  <c r="AA15" i="22"/>
  <c r="AA22" i="22" s="1"/>
  <c r="Z15" i="22"/>
  <c r="Y15" i="22"/>
  <c r="X15" i="22"/>
  <c r="W15" i="22"/>
  <c r="X4" i="22" s="1"/>
  <c r="V15" i="22"/>
  <c r="V22" i="22" s="1"/>
  <c r="U15" i="22"/>
  <c r="U22" i="22" s="1"/>
  <c r="T15" i="22"/>
  <c r="S15" i="22"/>
  <c r="S22" i="22" s="1"/>
  <c r="R15" i="22"/>
  <c r="R22" i="22" s="1"/>
  <c r="Q15" i="22"/>
  <c r="Q22" i="22" s="1"/>
  <c r="P15" i="22"/>
  <c r="P22" i="22" s="1"/>
  <c r="O15" i="22"/>
  <c r="O22" i="22" s="1"/>
  <c r="N15" i="22"/>
  <c r="M15" i="22"/>
  <c r="L15" i="22"/>
  <c r="L22" i="22" s="1"/>
  <c r="K15" i="22"/>
  <c r="J15" i="22"/>
  <c r="I15" i="22"/>
  <c r="I22" i="22" s="1"/>
  <c r="H15" i="22"/>
  <c r="H22" i="22" s="1"/>
  <c r="G15" i="22"/>
  <c r="G22" i="22" s="1"/>
  <c r="F15" i="22"/>
  <c r="E15" i="22"/>
  <c r="D15" i="22"/>
  <c r="C15" i="22"/>
  <c r="D4" i="22" s="1"/>
  <c r="D7" i="22" s="1"/>
  <c r="D21" i="22" s="1"/>
  <c r="BG13" i="22"/>
  <c r="BF13" i="22"/>
  <c r="BE13" i="22"/>
  <c r="BD13" i="22"/>
  <c r="BC13" i="22"/>
  <c r="BC25" i="22" s="1"/>
  <c r="BB13" i="22"/>
  <c r="BB25" i="22" s="1"/>
  <c r="BA13" i="22"/>
  <c r="BA25" i="22" s="1"/>
  <c r="AZ13" i="22"/>
  <c r="AZ25" i="22" s="1"/>
  <c r="AY13" i="22"/>
  <c r="AY25" i="22" s="1"/>
  <c r="AX13" i="22"/>
  <c r="AX25" i="22" s="1"/>
  <c r="AW13" i="22"/>
  <c r="AW25" i="22" s="1"/>
  <c r="AV13" i="22"/>
  <c r="AV25" i="22" s="1"/>
  <c r="AU13" i="22"/>
  <c r="AU25" i="22" s="1"/>
  <c r="AT13" i="22"/>
  <c r="AT25" i="22" s="1"/>
  <c r="AS13" i="22"/>
  <c r="AS25" i="22" s="1"/>
  <c r="AR13" i="22"/>
  <c r="AR25" i="22" s="1"/>
  <c r="AQ13" i="22"/>
  <c r="AP13" i="22"/>
  <c r="P13" i="29" s="1"/>
  <c r="AO13" i="22"/>
  <c r="AN13" i="22"/>
  <c r="AM13" i="22"/>
  <c r="M13" i="29" s="1"/>
  <c r="AL13" i="22"/>
  <c r="L13" i="29" s="1"/>
  <c r="AK13" i="22"/>
  <c r="K13" i="29" s="1"/>
  <c r="AJ13" i="22"/>
  <c r="J13" i="29" s="1"/>
  <c r="AI13" i="22"/>
  <c r="I13" i="29" s="1"/>
  <c r="AH13" i="22"/>
  <c r="H13" i="29" s="1"/>
  <c r="AG13" i="22"/>
  <c r="AF13" i="22"/>
  <c r="F13" i="29" s="1"/>
  <c r="AE13" i="22"/>
  <c r="E13" i="29" s="1"/>
  <c r="AD13" i="22"/>
  <c r="D13" i="29" s="1"/>
  <c r="AC13" i="22"/>
  <c r="C13" i="29" s="1"/>
  <c r="AB13" i="22"/>
  <c r="B13" i="29" s="1"/>
  <c r="AA13" i="22"/>
  <c r="Z13" i="22"/>
  <c r="Y13" i="22"/>
  <c r="X13" i="22"/>
  <c r="W13" i="22"/>
  <c r="V13" i="22"/>
  <c r="V25" i="22" s="1"/>
  <c r="U13" i="22"/>
  <c r="T13" i="22"/>
  <c r="S13" i="22"/>
  <c r="S25" i="22" s="1"/>
  <c r="R13" i="22"/>
  <c r="Q13" i="22"/>
  <c r="P13" i="22"/>
  <c r="P25" i="22" s="1"/>
  <c r="O13" i="22"/>
  <c r="O25" i="22" s="1"/>
  <c r="N13" i="22"/>
  <c r="N25" i="22" s="1"/>
  <c r="M13" i="22"/>
  <c r="L13" i="22"/>
  <c r="K13" i="22"/>
  <c r="J13" i="22"/>
  <c r="I13" i="22"/>
  <c r="H13" i="22"/>
  <c r="G13" i="22"/>
  <c r="F13" i="22"/>
  <c r="E13" i="22"/>
  <c r="D13" i="22"/>
  <c r="C13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BG11" i="22"/>
  <c r="BF11" i="22"/>
  <c r="BE11" i="22"/>
  <c r="BD11" i="22"/>
  <c r="BD9" i="22" s="1"/>
  <c r="BD28" i="22" s="1"/>
  <c r="BC11" i="22"/>
  <c r="BB11" i="22"/>
  <c r="BB9" i="22" s="1"/>
  <c r="BB28" i="22" s="1"/>
  <c r="BA11" i="22"/>
  <c r="AZ11" i="22"/>
  <c r="AY11" i="22"/>
  <c r="AX11" i="22"/>
  <c r="AW11" i="22"/>
  <c r="AV11" i="22"/>
  <c r="AU11" i="22"/>
  <c r="AT11" i="22"/>
  <c r="AS11" i="22"/>
  <c r="AR11" i="22"/>
  <c r="AQ11" i="22"/>
  <c r="AP11" i="22"/>
  <c r="P10" i="29" s="1"/>
  <c r="AO11" i="22"/>
  <c r="O10" i="29" s="1"/>
  <c r="AN11" i="22"/>
  <c r="N10" i="29" s="1"/>
  <c r="AM11" i="22"/>
  <c r="M10" i="29" s="1"/>
  <c r="AL11" i="22"/>
  <c r="L10" i="29" s="1"/>
  <c r="AK11" i="22"/>
  <c r="K10" i="29" s="1"/>
  <c r="AJ11" i="22"/>
  <c r="J10" i="29" s="1"/>
  <c r="AI11" i="22"/>
  <c r="I10" i="29" s="1"/>
  <c r="AH11" i="22"/>
  <c r="H10" i="29" s="1"/>
  <c r="AG11" i="22"/>
  <c r="G10" i="29" s="1"/>
  <c r="AF11" i="22"/>
  <c r="AE11" i="22"/>
  <c r="E10" i="29" s="1"/>
  <c r="AD11" i="22"/>
  <c r="D10" i="29" s="1"/>
  <c r="AC11" i="22"/>
  <c r="C10" i="29" s="1"/>
  <c r="AB11" i="22"/>
  <c r="B10" i="29" s="1"/>
  <c r="AA11" i="22"/>
  <c r="Z11" i="22"/>
  <c r="Z9" i="22" s="1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L9" i="22" s="1"/>
  <c r="K11" i="22"/>
  <c r="J11" i="22"/>
  <c r="J9" i="22" s="1"/>
  <c r="I11" i="22"/>
  <c r="I9" i="22" s="1"/>
  <c r="H11" i="22"/>
  <c r="G11" i="22"/>
  <c r="F11" i="22"/>
  <c r="E11" i="22"/>
  <c r="D11" i="22"/>
  <c r="D9" i="22" s="1"/>
  <c r="C11" i="22"/>
  <c r="BG10" i="22"/>
  <c r="BF10" i="22"/>
  <c r="BE10" i="22"/>
  <c r="BE9" i="22" s="1"/>
  <c r="BD10" i="22"/>
  <c r="BC10" i="22"/>
  <c r="BB10" i="22"/>
  <c r="BA10" i="22"/>
  <c r="AZ10" i="22"/>
  <c r="AY10" i="22"/>
  <c r="AX10" i="22"/>
  <c r="AW10" i="22"/>
  <c r="AV10" i="22"/>
  <c r="AU10" i="22"/>
  <c r="AU9" i="22" s="1"/>
  <c r="AU28" i="22" s="1"/>
  <c r="AT10" i="22"/>
  <c r="AS10" i="22"/>
  <c r="AS9" i="22" s="1"/>
  <c r="AR10" i="22"/>
  <c r="AQ10" i="22"/>
  <c r="AQ9" i="22" s="1"/>
  <c r="AP10" i="22"/>
  <c r="AO10" i="22"/>
  <c r="AN10" i="22"/>
  <c r="AM10" i="22"/>
  <c r="AL10" i="22"/>
  <c r="AK10" i="22"/>
  <c r="AJ10" i="22"/>
  <c r="AI10" i="22"/>
  <c r="AH10" i="22"/>
  <c r="H9" i="29" s="1"/>
  <c r="AG10" i="22"/>
  <c r="AF10" i="22"/>
  <c r="F9" i="29" s="1"/>
  <c r="AE10" i="22"/>
  <c r="E9" i="29" s="1"/>
  <c r="AD10" i="22"/>
  <c r="D9" i="29" s="1"/>
  <c r="AC10" i="22"/>
  <c r="C9" i="29" s="1"/>
  <c r="AB10" i="22"/>
  <c r="AA10" i="22"/>
  <c r="AA9" i="22" s="1"/>
  <c r="Z10" i="22"/>
  <c r="Y10" i="22"/>
  <c r="Y9" i="22" s="1"/>
  <c r="Y28" i="22" s="1"/>
  <c r="X10" i="22"/>
  <c r="W10" i="22"/>
  <c r="W9" i="22" s="1"/>
  <c r="V10" i="22"/>
  <c r="U10" i="22"/>
  <c r="U9" i="22" s="1"/>
  <c r="U28" i="22" s="1"/>
  <c r="T10" i="22"/>
  <c r="T9" i="22" s="1"/>
  <c r="S10" i="22"/>
  <c r="R10" i="22"/>
  <c r="Q10" i="22"/>
  <c r="P10" i="22"/>
  <c r="O10" i="22"/>
  <c r="N10" i="22"/>
  <c r="M10" i="22"/>
  <c r="M9" i="22" s="1"/>
  <c r="L10" i="22"/>
  <c r="K10" i="22"/>
  <c r="K9" i="22" s="1"/>
  <c r="J10" i="22"/>
  <c r="I10" i="22"/>
  <c r="H10" i="22"/>
  <c r="G10" i="22"/>
  <c r="F10" i="22"/>
  <c r="E10" i="22"/>
  <c r="E9" i="22" s="1"/>
  <c r="D10" i="22"/>
  <c r="C10" i="22"/>
  <c r="C9" i="22" s="1"/>
  <c r="C28" i="22" s="1"/>
  <c r="BG9" i="22"/>
  <c r="BF9" i="22"/>
  <c r="BC9" i="22"/>
  <c r="BC28" i="22" s="1"/>
  <c r="BA9" i="22"/>
  <c r="BA28" i="22" s="1"/>
  <c r="AZ9" i="22"/>
  <c r="AZ28" i="22" s="1"/>
  <c r="AW9" i="22"/>
  <c r="AW28" i="22" s="1"/>
  <c r="AV9" i="22"/>
  <c r="AV28" i="22" s="1"/>
  <c r="AT9" i="22"/>
  <c r="AT28" i="22" s="1"/>
  <c r="AR9" i="22"/>
  <c r="AR28" i="22" s="1"/>
  <c r="AL9" i="22"/>
  <c r="L8" i="29" s="1"/>
  <c r="AK9" i="22"/>
  <c r="K8" i="29" s="1"/>
  <c r="AH9" i="22"/>
  <c r="AH28" i="22" s="1"/>
  <c r="AE9" i="22"/>
  <c r="AD9" i="22"/>
  <c r="AD28" i="22" s="1"/>
  <c r="X9" i="22"/>
  <c r="X28" i="22" s="1"/>
  <c r="V9" i="22"/>
  <c r="S9" i="22"/>
  <c r="R9" i="22"/>
  <c r="Q9" i="22"/>
  <c r="P9" i="22"/>
  <c r="O9" i="22"/>
  <c r="N9" i="22"/>
  <c r="H9" i="22"/>
  <c r="H8" i="22" s="1"/>
  <c r="BF8" i="22"/>
  <c r="AS8" i="22"/>
  <c r="Y8" i="22"/>
  <c r="X8" i="22"/>
  <c r="U8" i="22"/>
  <c r="U14" i="22" s="1"/>
  <c r="O8" i="22"/>
  <c r="O14" i="22" s="1"/>
  <c r="C8" i="22"/>
  <c r="C14" i="22" s="1"/>
  <c r="BG7" i="22"/>
  <c r="AS7" i="22"/>
  <c r="AS14" i="22" s="1"/>
  <c r="AR7" i="22"/>
  <c r="AQ7" i="22"/>
  <c r="AQ14" i="22" s="1"/>
  <c r="AQ8" i="22" s="1"/>
  <c r="AQ12" i="22" s="1"/>
  <c r="W7" i="22"/>
  <c r="W21" i="22" s="1"/>
  <c r="V7" i="22"/>
  <c r="V21" i="22" s="1"/>
  <c r="V23" i="22" s="1"/>
  <c r="U7" i="22"/>
  <c r="U21" i="22" s="1"/>
  <c r="U23" i="22" s="1"/>
  <c r="T7" i="22"/>
  <c r="T21" i="22" s="1"/>
  <c r="T23" i="22" s="1"/>
  <c r="S7" i="22"/>
  <c r="S21" i="22" s="1"/>
  <c r="S23" i="22" s="1"/>
  <c r="R7" i="22"/>
  <c r="R21" i="22" s="1"/>
  <c r="Q7" i="22"/>
  <c r="Q21" i="22" s="1"/>
  <c r="Q23" i="22" s="1"/>
  <c r="O7" i="22"/>
  <c r="O21" i="22" s="1"/>
  <c r="O23" i="22" s="1"/>
  <c r="BG6" i="22"/>
  <c r="BF6" i="22"/>
  <c r="BE6" i="22"/>
  <c r="BD6" i="22"/>
  <c r="BC6" i="22"/>
  <c r="BB6" i="22"/>
  <c r="BA6" i="22"/>
  <c r="AZ6" i="22"/>
  <c r="AY6" i="22"/>
  <c r="AX6" i="22"/>
  <c r="AX7" i="22" s="1"/>
  <c r="AW6" i="22"/>
  <c r="AV6" i="22"/>
  <c r="AV7" i="22" s="1"/>
  <c r="AU6" i="22"/>
  <c r="AT6" i="22"/>
  <c r="AS6" i="22"/>
  <c r="AR6" i="22"/>
  <c r="AQ6" i="22"/>
  <c r="AP6" i="22"/>
  <c r="P5" i="29" s="1"/>
  <c r="AO6" i="22"/>
  <c r="O5" i="29" s="1"/>
  <c r="AN6" i="22"/>
  <c r="N5" i="29" s="1"/>
  <c r="AM6" i="22"/>
  <c r="M5" i="29" s="1"/>
  <c r="AL6" i="22"/>
  <c r="L5" i="29" s="1"/>
  <c r="AK6" i="22"/>
  <c r="K5" i="29" s="1"/>
  <c r="AJ6" i="22"/>
  <c r="J5" i="29" s="1"/>
  <c r="AI6" i="22"/>
  <c r="I5" i="29" s="1"/>
  <c r="AH6" i="22"/>
  <c r="H5" i="29" s="1"/>
  <c r="AG6" i="22"/>
  <c r="G5" i="29" s="1"/>
  <c r="AF6" i="22"/>
  <c r="F5" i="29" s="1"/>
  <c r="AE6" i="22"/>
  <c r="E5" i="29" s="1"/>
  <c r="AD6" i="22"/>
  <c r="D5" i="29" s="1"/>
  <c r="AC6" i="22"/>
  <c r="C5" i="29" s="1"/>
  <c r="AB6" i="22"/>
  <c r="B5" i="29" s="1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C6" i="22"/>
  <c r="BG5" i="22"/>
  <c r="BF5" i="22"/>
  <c r="BE5" i="22"/>
  <c r="BD5" i="22"/>
  <c r="BC5" i="22"/>
  <c r="BB5" i="22"/>
  <c r="BA5" i="22"/>
  <c r="AZ5" i="22"/>
  <c r="AY5" i="22"/>
  <c r="AX5" i="22"/>
  <c r="AW5" i="22"/>
  <c r="AW7" i="22" s="1"/>
  <c r="AV5" i="22"/>
  <c r="AU5" i="22"/>
  <c r="AT5" i="22"/>
  <c r="AT7" i="22" s="1"/>
  <c r="AS5" i="22"/>
  <c r="AR5" i="22"/>
  <c r="AQ5" i="22"/>
  <c r="AP5" i="22"/>
  <c r="P4" i="29" s="1"/>
  <c r="AO5" i="22"/>
  <c r="O4" i="29" s="1"/>
  <c r="AN5" i="22"/>
  <c r="N4" i="29" s="1"/>
  <c r="AM5" i="22"/>
  <c r="M4" i="29" s="1"/>
  <c r="AL5" i="22"/>
  <c r="AK5" i="22"/>
  <c r="AJ5" i="22"/>
  <c r="J4" i="29" s="1"/>
  <c r="AI5" i="22"/>
  <c r="I4" i="29" s="1"/>
  <c r="AH5" i="22"/>
  <c r="H4" i="29" s="1"/>
  <c r="AG5" i="22"/>
  <c r="G4" i="29" s="1"/>
  <c r="AF5" i="22"/>
  <c r="F4" i="29" s="1"/>
  <c r="AE5" i="22"/>
  <c r="E4" i="29" s="1"/>
  <c r="AD5" i="22"/>
  <c r="D4" i="29" s="1"/>
  <c r="AC5" i="22"/>
  <c r="C4" i="29" s="1"/>
  <c r="AB5" i="22"/>
  <c r="B4" i="29" s="1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G4" i="22"/>
  <c r="BF4" i="22"/>
  <c r="BF7" i="22" s="1"/>
  <c r="BF14" i="22" s="1"/>
  <c r="BE4" i="22"/>
  <c r="BE7" i="22" s="1"/>
  <c r="BD4" i="22"/>
  <c r="BD7" i="22" s="1"/>
  <c r="BC4" i="22"/>
  <c r="BC7" i="22" s="1"/>
  <c r="BC14" i="22" s="1"/>
  <c r="BC8" i="22" s="1"/>
  <c r="BB4" i="22"/>
  <c r="BB7" i="22" s="1"/>
  <c r="BA4" i="22"/>
  <c r="BA7" i="22" s="1"/>
  <c r="AZ4" i="22"/>
  <c r="AZ7" i="22" s="1"/>
  <c r="AY4" i="22"/>
  <c r="AY7" i="22" s="1"/>
  <c r="AX4" i="22"/>
  <c r="AW4" i="22"/>
  <c r="AV4" i="22"/>
  <c r="AU4" i="22"/>
  <c r="AT4" i="22"/>
  <c r="AS4" i="22"/>
  <c r="AR4" i="22"/>
  <c r="AQ4" i="22"/>
  <c r="AP4" i="22"/>
  <c r="P3" i="29" s="1"/>
  <c r="AO4" i="22"/>
  <c r="O3" i="29" s="1"/>
  <c r="AN4" i="22"/>
  <c r="AM4" i="22"/>
  <c r="M3" i="29" s="1"/>
  <c r="AL4" i="22"/>
  <c r="L3" i="29" s="1"/>
  <c r="AK4" i="22"/>
  <c r="AJ4" i="22"/>
  <c r="AI4" i="22"/>
  <c r="AH4" i="22"/>
  <c r="AG4" i="22"/>
  <c r="AF4" i="22"/>
  <c r="AE4" i="22"/>
  <c r="AD4" i="22"/>
  <c r="D3" i="29" s="1"/>
  <c r="AC4" i="22"/>
  <c r="AB4" i="22"/>
  <c r="B3" i="29" s="1"/>
  <c r="W4" i="22"/>
  <c r="V4" i="22"/>
  <c r="U4" i="22"/>
  <c r="T4" i="22"/>
  <c r="S4" i="22"/>
  <c r="R4" i="22"/>
  <c r="Q4" i="22"/>
  <c r="P4" i="22"/>
  <c r="P7" i="22" s="1"/>
  <c r="P21" i="22" s="1"/>
  <c r="P23" i="22" s="1"/>
  <c r="O4" i="22"/>
  <c r="N4" i="22"/>
  <c r="N7" i="22" s="1"/>
  <c r="N21" i="22" s="1"/>
  <c r="M4" i="22"/>
  <c r="M7" i="22" s="1"/>
  <c r="M21" i="22" s="1"/>
  <c r="M23" i="22" s="1"/>
  <c r="L4" i="22"/>
  <c r="L7" i="22" s="1"/>
  <c r="L21" i="22" s="1"/>
  <c r="L23" i="22" s="1"/>
  <c r="K4" i="22"/>
  <c r="K7" i="22" s="1"/>
  <c r="G4" i="22"/>
  <c r="G7" i="22" s="1"/>
  <c r="G21" i="22" s="1"/>
  <c r="G23" i="22" s="1"/>
  <c r="C4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AQ28" i="21"/>
  <c r="AP28" i="21"/>
  <c r="BE26" i="21"/>
  <c r="BE25" i="21"/>
  <c r="BC25" i="21"/>
  <c r="AY25" i="21"/>
  <c r="AX25" i="21"/>
  <c r="AO25" i="21"/>
  <c r="AN25" i="21"/>
  <c r="AM25" i="21"/>
  <c r="AI25" i="21"/>
  <c r="AG25" i="21"/>
  <c r="AB25" i="21"/>
  <c r="AA25" i="21"/>
  <c r="X25" i="21"/>
  <c r="W25" i="21"/>
  <c r="Q25" i="21"/>
  <c r="P25" i="21"/>
  <c r="O25" i="21"/>
  <c r="F25" i="21"/>
  <c r="I23" i="21"/>
  <c r="BF22" i="21"/>
  <c r="BE22" i="21"/>
  <c r="BD22" i="21"/>
  <c r="BC22" i="21"/>
  <c r="BB22" i="21"/>
  <c r="BA22" i="21"/>
  <c r="AY22" i="21"/>
  <c r="AW22" i="21"/>
  <c r="AJ22" i="21"/>
  <c r="AH22" i="21"/>
  <c r="AG22" i="21"/>
  <c r="AE22" i="21"/>
  <c r="AD22" i="21"/>
  <c r="AC22" i="21"/>
  <c r="AA22" i="21"/>
  <c r="X22" i="21"/>
  <c r="W22" i="21"/>
  <c r="V22" i="21"/>
  <c r="I22" i="21"/>
  <c r="F22" i="21"/>
  <c r="BE21" i="21"/>
  <c r="BE23" i="21" s="1"/>
  <c r="BE24" i="21" s="1"/>
  <c r="AZ21" i="21"/>
  <c r="AZ23" i="21" s="1"/>
  <c r="BG16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Q17" i="19" s="1"/>
  <c r="AP16" i="21"/>
  <c r="AP17" i="19" s="1"/>
  <c r="P17" i="30" s="1"/>
  <c r="AO16" i="21"/>
  <c r="AN16" i="21"/>
  <c r="AM16" i="21"/>
  <c r="AL16" i="21"/>
  <c r="J10" i="5" s="1"/>
  <c r="AK16" i="21"/>
  <c r="AJ16" i="21"/>
  <c r="AI16" i="21"/>
  <c r="I16" i="32" s="1"/>
  <c r="AH16" i="21"/>
  <c r="H16" i="32" s="1"/>
  <c r="AG16" i="21"/>
  <c r="G16" i="32" s="1"/>
  <c r="AF16" i="21"/>
  <c r="F16" i="32" s="1"/>
  <c r="AE16" i="21"/>
  <c r="E16" i="32" s="1"/>
  <c r="AD16" i="21"/>
  <c r="D16" i="32" s="1"/>
  <c r="AC16" i="21"/>
  <c r="C16" i="32" s="1"/>
  <c r="AB16" i="21"/>
  <c r="B16" i="32" s="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BG15" i="21"/>
  <c r="BG22" i="21" s="1"/>
  <c r="BF15" i="21"/>
  <c r="BE15" i="21"/>
  <c r="BD15" i="21"/>
  <c r="BC15" i="21"/>
  <c r="BB15" i="21"/>
  <c r="BA15" i="21"/>
  <c r="AZ15" i="21"/>
  <c r="AZ22" i="21" s="1"/>
  <c r="AY15" i="21"/>
  <c r="AX15" i="21"/>
  <c r="AX22" i="21" s="1"/>
  <c r="AW15" i="21"/>
  <c r="AV15" i="21"/>
  <c r="AV22" i="21" s="1"/>
  <c r="AU15" i="21"/>
  <c r="AU22" i="21" s="1"/>
  <c r="AT15" i="21"/>
  <c r="AT22" i="21" s="1"/>
  <c r="AS15" i="21"/>
  <c r="AS22" i="21" s="1"/>
  <c r="AR15" i="21"/>
  <c r="AR22" i="21" s="1"/>
  <c r="AQ15" i="21"/>
  <c r="AP15" i="21"/>
  <c r="AP15" i="19" s="1"/>
  <c r="P15" i="30" s="1"/>
  <c r="AO15" i="21"/>
  <c r="AN15" i="21"/>
  <c r="AM15" i="21"/>
  <c r="AL15" i="21"/>
  <c r="AK15" i="21"/>
  <c r="AK22" i="21" s="1"/>
  <c r="AJ15" i="21"/>
  <c r="J15" i="32" s="1"/>
  <c r="AI15" i="21"/>
  <c r="I15" i="32" s="1"/>
  <c r="AH15" i="21"/>
  <c r="H15" i="32" s="1"/>
  <c r="AG15" i="21"/>
  <c r="G15" i="32" s="1"/>
  <c r="AF15" i="21"/>
  <c r="F15" i="32" s="1"/>
  <c r="AE15" i="21"/>
  <c r="E15" i="32" s="1"/>
  <c r="AD15" i="21"/>
  <c r="D15" i="32" s="1"/>
  <c r="AC15" i="21"/>
  <c r="C15" i="32" s="1"/>
  <c r="AB15" i="21"/>
  <c r="AA15" i="21"/>
  <c r="Z15" i="21"/>
  <c r="Z22" i="21" s="1"/>
  <c r="Y15" i="21"/>
  <c r="Y22" i="21" s="1"/>
  <c r="X15" i="21"/>
  <c r="W15" i="21"/>
  <c r="V15" i="21"/>
  <c r="U15" i="21"/>
  <c r="T15" i="21"/>
  <c r="S15" i="21"/>
  <c r="R15" i="21"/>
  <c r="Q15" i="21"/>
  <c r="P15" i="21"/>
  <c r="O15" i="21"/>
  <c r="O22" i="21" s="1"/>
  <c r="N15" i="21"/>
  <c r="N22" i="21" s="1"/>
  <c r="M15" i="21"/>
  <c r="M22" i="21" s="1"/>
  <c r="L15" i="21"/>
  <c r="L22" i="21" s="1"/>
  <c r="K15" i="21"/>
  <c r="K22" i="21" s="1"/>
  <c r="J15" i="21"/>
  <c r="J22" i="21" s="1"/>
  <c r="I15" i="21"/>
  <c r="H15" i="21"/>
  <c r="H22" i="21" s="1"/>
  <c r="G15" i="21"/>
  <c r="G22" i="21" s="1"/>
  <c r="F15" i="21"/>
  <c r="E15" i="21"/>
  <c r="E22" i="21" s="1"/>
  <c r="D15" i="21"/>
  <c r="D22" i="21" s="1"/>
  <c r="C15" i="21"/>
  <c r="C22" i="21" s="1"/>
  <c r="AZ14" i="21"/>
  <c r="AZ8" i="21" s="1"/>
  <c r="AZ12" i="21" s="1"/>
  <c r="AZ45" i="14" s="1"/>
  <c r="BG13" i="21"/>
  <c r="BG25" i="21" s="1"/>
  <c r="BF13" i="21"/>
  <c r="BF25" i="21" s="1"/>
  <c r="BE13" i="21"/>
  <c r="BD13" i="21"/>
  <c r="BD25" i="21" s="1"/>
  <c r="BC13" i="21"/>
  <c r="BB13" i="21"/>
  <c r="BB25" i="21" s="1"/>
  <c r="BA13" i="21"/>
  <c r="BA25" i="21" s="1"/>
  <c r="AZ13" i="21"/>
  <c r="AZ25" i="21" s="1"/>
  <c r="AY13" i="21"/>
  <c r="AX13" i="21"/>
  <c r="AW13" i="21"/>
  <c r="AW25" i="21" s="1"/>
  <c r="AV13" i="21"/>
  <c r="AV25" i="21" s="1"/>
  <c r="AU13" i="21"/>
  <c r="AU13" i="19" s="1"/>
  <c r="AT13" i="21"/>
  <c r="AS13" i="21"/>
  <c r="AS13" i="19" s="1"/>
  <c r="AR13" i="21"/>
  <c r="AQ13" i="21"/>
  <c r="AP13" i="21"/>
  <c r="AO13" i="21"/>
  <c r="AN13" i="21"/>
  <c r="N13" i="32" s="1"/>
  <c r="AM13" i="21"/>
  <c r="M13" i="32" s="1"/>
  <c r="AL13" i="21"/>
  <c r="L13" i="32" s="1"/>
  <c r="AK13" i="21"/>
  <c r="K13" i="32" s="1"/>
  <c r="AJ13" i="21"/>
  <c r="J13" i="32" s="1"/>
  <c r="AI13" i="21"/>
  <c r="I13" i="32" s="1"/>
  <c r="AH13" i="21"/>
  <c r="H13" i="32" s="1"/>
  <c r="AG13" i="21"/>
  <c r="G13" i="32" s="1"/>
  <c r="AF13" i="21"/>
  <c r="F13" i="32" s="1"/>
  <c r="AE13" i="21"/>
  <c r="AD13" i="21"/>
  <c r="AC13" i="21"/>
  <c r="C13" i="32" s="1"/>
  <c r="AB13" i="21"/>
  <c r="B13" i="32" s="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N25" i="21" s="1"/>
  <c r="M13" i="21"/>
  <c r="M25" i="21" s="1"/>
  <c r="L13" i="21"/>
  <c r="L25" i="21" s="1"/>
  <c r="K13" i="21"/>
  <c r="K25" i="21" s="1"/>
  <c r="J13" i="21"/>
  <c r="J25" i="21" s="1"/>
  <c r="I13" i="21"/>
  <c r="I25" i="21" s="1"/>
  <c r="H13" i="21"/>
  <c r="H25" i="21" s="1"/>
  <c r="G13" i="21"/>
  <c r="G25" i="21" s="1"/>
  <c r="F13" i="21"/>
  <c r="E13" i="21"/>
  <c r="E25" i="21" s="1"/>
  <c r="D13" i="21"/>
  <c r="C13" i="21"/>
  <c r="BE12" i="21"/>
  <c r="AA12" i="21"/>
  <c r="Z12" i="21"/>
  <c r="Y12" i="21"/>
  <c r="X12" i="21"/>
  <c r="W12" i="21"/>
  <c r="V12" i="21"/>
  <c r="U12" i="21"/>
  <c r="U45" i="14" s="1"/>
  <c r="T12" i="21"/>
  <c r="S12" i="21"/>
  <c r="R12" i="21"/>
  <c r="Q12" i="21"/>
  <c r="P12" i="21"/>
  <c r="P12" i="19" s="1"/>
  <c r="O12" i="21"/>
  <c r="N12" i="21"/>
  <c r="N12" i="19" s="1"/>
  <c r="M12" i="21"/>
  <c r="M12" i="19" s="1"/>
  <c r="L12" i="21"/>
  <c r="K12" i="21"/>
  <c r="J12" i="21"/>
  <c r="I12" i="21"/>
  <c r="H12" i="21"/>
  <c r="G12" i="21"/>
  <c r="F12" i="21"/>
  <c r="E12" i="21"/>
  <c r="D12" i="21"/>
  <c r="C12" i="21"/>
  <c r="BG11" i="21"/>
  <c r="BF11" i="21"/>
  <c r="BE11" i="21"/>
  <c r="BD11" i="21"/>
  <c r="BD9" i="21" s="1"/>
  <c r="BD28" i="21" s="1"/>
  <c r="BC11" i="21"/>
  <c r="BB11" i="21"/>
  <c r="BA11" i="21"/>
  <c r="AZ11" i="21"/>
  <c r="AY11" i="21"/>
  <c r="AX11" i="21"/>
  <c r="AX9" i="21" s="1"/>
  <c r="AX28" i="21" s="1"/>
  <c r="AW11" i="21"/>
  <c r="AW9" i="21" s="1"/>
  <c r="AW28" i="21" s="1"/>
  <c r="AV11" i="21"/>
  <c r="AV9" i="21" s="1"/>
  <c r="AV28" i="21" s="1"/>
  <c r="AU11" i="21"/>
  <c r="AU11" i="19" s="1"/>
  <c r="AT11" i="21"/>
  <c r="AS11" i="21"/>
  <c r="AR11" i="21"/>
  <c r="AQ11" i="21"/>
  <c r="AP11" i="21"/>
  <c r="AO11" i="21"/>
  <c r="O10" i="32" s="1"/>
  <c r="AN11" i="21"/>
  <c r="N10" i="32" s="1"/>
  <c r="AM11" i="21"/>
  <c r="M10" i="32" s="1"/>
  <c r="AL11" i="21"/>
  <c r="L10" i="32" s="1"/>
  <c r="AK11" i="21"/>
  <c r="K10" i="32" s="1"/>
  <c r="AJ11" i="21"/>
  <c r="AI11" i="21"/>
  <c r="I10" i="32" s="1"/>
  <c r="AH11" i="21"/>
  <c r="AG11" i="21"/>
  <c r="G10" i="32" s="1"/>
  <c r="AF11" i="21"/>
  <c r="F10" i="32" s="1"/>
  <c r="AE11" i="21"/>
  <c r="AD11" i="21"/>
  <c r="AC11" i="21"/>
  <c r="AB11" i="21"/>
  <c r="AA11" i="21"/>
  <c r="Z11" i="21"/>
  <c r="Y11" i="21"/>
  <c r="Y11" i="19" s="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K11" i="19" s="1"/>
  <c r="J11" i="21"/>
  <c r="I11" i="21"/>
  <c r="H11" i="21"/>
  <c r="H9" i="21" s="1"/>
  <c r="G11" i="21"/>
  <c r="F11" i="21"/>
  <c r="F9" i="21" s="1"/>
  <c r="E11" i="21"/>
  <c r="D11" i="21"/>
  <c r="C11" i="21"/>
  <c r="C11" i="19" s="1"/>
  <c r="BG10" i="21"/>
  <c r="BF10" i="21"/>
  <c r="BF9" i="21" s="1"/>
  <c r="BF28" i="21" s="1"/>
  <c r="BE10" i="21"/>
  <c r="BD10" i="21"/>
  <c r="BC10" i="21"/>
  <c r="BB10" i="21"/>
  <c r="BA10" i="21"/>
  <c r="AZ10" i="21"/>
  <c r="AY10" i="21"/>
  <c r="AX10" i="21"/>
  <c r="AW10" i="21"/>
  <c r="AV10" i="21"/>
  <c r="AU10" i="21"/>
  <c r="AT10" i="21"/>
  <c r="AS10" i="21"/>
  <c r="AS9" i="21" s="1"/>
  <c r="AS28" i="21" s="1"/>
  <c r="AR10" i="21"/>
  <c r="AQ10" i="21"/>
  <c r="AQ9" i="21" s="1"/>
  <c r="AP10" i="21"/>
  <c r="AP9" i="21" s="1"/>
  <c r="AO10" i="21"/>
  <c r="AN10" i="21"/>
  <c r="AM10" i="21"/>
  <c r="AL10" i="21"/>
  <c r="AK10" i="21"/>
  <c r="AJ10" i="21"/>
  <c r="AI10" i="21"/>
  <c r="I9" i="32" s="1"/>
  <c r="AH10" i="21"/>
  <c r="H9" i="32" s="1"/>
  <c r="AG10" i="21"/>
  <c r="G9" i="32" s="1"/>
  <c r="AF10" i="21"/>
  <c r="F9" i="32" s="1"/>
  <c r="AE10" i="21"/>
  <c r="E9" i="32" s="1"/>
  <c r="AD10" i="21"/>
  <c r="D9" i="32" s="1"/>
  <c r="AC10" i="21"/>
  <c r="C9" i="32" s="1"/>
  <c r="AB10" i="21"/>
  <c r="B9" i="32" s="1"/>
  <c r="AA10" i="21"/>
  <c r="Z10" i="21"/>
  <c r="Y10" i="21"/>
  <c r="X10" i="21"/>
  <c r="W10" i="21"/>
  <c r="W9" i="21" s="1"/>
  <c r="V10" i="21"/>
  <c r="U10" i="21"/>
  <c r="T10" i="21"/>
  <c r="T9" i="21" s="1"/>
  <c r="S10" i="21"/>
  <c r="S9" i="21" s="1"/>
  <c r="R10" i="21"/>
  <c r="Q10" i="21"/>
  <c r="Q9" i="21" s="1"/>
  <c r="P10" i="21"/>
  <c r="P9" i="21" s="1"/>
  <c r="O10" i="21"/>
  <c r="N10" i="21"/>
  <c r="N9" i="21" s="1"/>
  <c r="M10" i="21"/>
  <c r="L10" i="21"/>
  <c r="K10" i="21"/>
  <c r="J10" i="21"/>
  <c r="I10" i="21"/>
  <c r="H10" i="21"/>
  <c r="G10" i="21"/>
  <c r="F10" i="21"/>
  <c r="E10" i="21"/>
  <c r="D10" i="21"/>
  <c r="C10" i="21"/>
  <c r="BG9" i="21"/>
  <c r="BG28" i="21" s="1"/>
  <c r="BE9" i="21"/>
  <c r="BE28" i="21" s="1"/>
  <c r="BC9" i="21"/>
  <c r="BC28" i="21" s="1"/>
  <c r="BB9" i="21"/>
  <c r="BB28" i="21" s="1"/>
  <c r="BA9" i="21"/>
  <c r="BA28" i="21" s="1"/>
  <c r="AZ9" i="21"/>
  <c r="AZ28" i="21" s="1"/>
  <c r="AY9" i="21"/>
  <c r="AY28" i="21" s="1"/>
  <c r="AI9" i="21"/>
  <c r="AG9" i="21"/>
  <c r="AF9" i="21"/>
  <c r="O9" i="21"/>
  <c r="O8" i="21" s="1"/>
  <c r="O14" i="21" s="1"/>
  <c r="M9" i="21"/>
  <c r="K9" i="21"/>
  <c r="J9" i="21"/>
  <c r="I9" i="21"/>
  <c r="BG7" i="21"/>
  <c r="BE7" i="21"/>
  <c r="BE14" i="21" s="1"/>
  <c r="BE8" i="21" s="1"/>
  <c r="BA7" i="21"/>
  <c r="BA14" i="21" s="1"/>
  <c r="BA8" i="21" s="1"/>
  <c r="BA12" i="21" s="1"/>
  <c r="AE7" i="21"/>
  <c r="M7" i="21"/>
  <c r="M21" i="21" s="1"/>
  <c r="BG6" i="21"/>
  <c r="BF6" i="21"/>
  <c r="BE6" i="21"/>
  <c r="BD6" i="21"/>
  <c r="BC6" i="21"/>
  <c r="BB6" i="21"/>
  <c r="BA6" i="21"/>
  <c r="AZ6" i="21"/>
  <c r="AZ7" i="21" s="1"/>
  <c r="AY6" i="21"/>
  <c r="AY20" i="14" s="1"/>
  <c r="AX6" i="21"/>
  <c r="AW6" i="21"/>
  <c r="AV6" i="21"/>
  <c r="AU6" i="21"/>
  <c r="AU6" i="19" s="1"/>
  <c r="AT6" i="21"/>
  <c r="AT6" i="19" s="1"/>
  <c r="AS6" i="21"/>
  <c r="AR6" i="21"/>
  <c r="AR7" i="21" s="1"/>
  <c r="AQ6" i="21"/>
  <c r="AP6" i="21"/>
  <c r="AO6" i="21"/>
  <c r="O5" i="32" s="1"/>
  <c r="AN6" i="21"/>
  <c r="N5" i="32" s="1"/>
  <c r="AM6" i="21"/>
  <c r="M5" i="32" s="1"/>
  <c r="AL6" i="21"/>
  <c r="L5" i="32" s="1"/>
  <c r="AK6" i="21"/>
  <c r="K5" i="32" s="1"/>
  <c r="AJ6" i="21"/>
  <c r="J5" i="32" s="1"/>
  <c r="AI6" i="21"/>
  <c r="I5" i="32" s="1"/>
  <c r="AH6" i="21"/>
  <c r="H5" i="32" s="1"/>
  <c r="AG6" i="21"/>
  <c r="G5" i="32" s="1"/>
  <c r="AF6" i="21"/>
  <c r="AE6" i="21"/>
  <c r="E5" i="32" s="1"/>
  <c r="AD6" i="21"/>
  <c r="AC6" i="21"/>
  <c r="AB6" i="21"/>
  <c r="AA6" i="21"/>
  <c r="AA6" i="19" s="1"/>
  <c r="Z6" i="21"/>
  <c r="Z6" i="19" s="1"/>
  <c r="Y6" i="21"/>
  <c r="X6" i="21"/>
  <c r="X7" i="21" s="1"/>
  <c r="X21" i="21" s="1"/>
  <c r="X23" i="21" s="1"/>
  <c r="W6" i="21"/>
  <c r="V6" i="21"/>
  <c r="V7" i="21" s="1"/>
  <c r="V21" i="21" s="1"/>
  <c r="U6" i="21"/>
  <c r="T6" i="21"/>
  <c r="S6" i="21"/>
  <c r="R6" i="21"/>
  <c r="Q6" i="21"/>
  <c r="P6" i="21"/>
  <c r="O6" i="21"/>
  <c r="N6" i="21"/>
  <c r="M6" i="21"/>
  <c r="L6" i="21"/>
  <c r="K6" i="21"/>
  <c r="J6" i="21"/>
  <c r="J6" i="19" s="1"/>
  <c r="I6" i="21"/>
  <c r="H6" i="21"/>
  <c r="H6" i="19" s="1"/>
  <c r="G6" i="21"/>
  <c r="G20" i="14" s="1"/>
  <c r="F6" i="21"/>
  <c r="F6" i="19" s="1"/>
  <c r="E6" i="21"/>
  <c r="E6" i="19" s="1"/>
  <c r="D6" i="21"/>
  <c r="D6" i="19" s="1"/>
  <c r="C6" i="21"/>
  <c r="C6" i="19" s="1"/>
  <c r="BG5" i="21"/>
  <c r="BF5" i="21"/>
  <c r="BE5" i="21"/>
  <c r="BD5" i="21"/>
  <c r="BC5" i="21"/>
  <c r="BB5" i="21"/>
  <c r="BA5" i="21"/>
  <c r="AZ5" i="21"/>
  <c r="AY5" i="21"/>
  <c r="AX5" i="21"/>
  <c r="AW5" i="21"/>
  <c r="AV5" i="21"/>
  <c r="AU5" i="21"/>
  <c r="AT5" i="21"/>
  <c r="AT7" i="21" s="1"/>
  <c r="AS5" i="21"/>
  <c r="AS7" i="21" s="1"/>
  <c r="AR5" i="21"/>
  <c r="AQ5" i="21"/>
  <c r="AQ7" i="21" s="1"/>
  <c r="AP5" i="21"/>
  <c r="AO5" i="21"/>
  <c r="AN5" i="21"/>
  <c r="N4" i="32" s="1"/>
  <c r="AM5" i="21"/>
  <c r="M4" i="32" s="1"/>
  <c r="AL5" i="21"/>
  <c r="L4" i="32" s="1"/>
  <c r="AK5" i="21"/>
  <c r="K4" i="32" s="1"/>
  <c r="AJ5" i="21"/>
  <c r="J4" i="32" s="1"/>
  <c r="AI5" i="21"/>
  <c r="AH5" i="21"/>
  <c r="H4" i="32" s="1"/>
  <c r="AG5" i="21"/>
  <c r="G4" i="32" s="1"/>
  <c r="AF5" i="21"/>
  <c r="F4" i="32" s="1"/>
  <c r="AE5" i="21"/>
  <c r="E4" i="32" s="1"/>
  <c r="AD5" i="21"/>
  <c r="D4" i="32" s="1"/>
  <c r="AC5" i="21"/>
  <c r="C4" i="32" s="1"/>
  <c r="AB5" i="21"/>
  <c r="B4" i="32" s="1"/>
  <c r="AA5" i="21"/>
  <c r="Z5" i="21"/>
  <c r="Y5" i="21"/>
  <c r="X5" i="21"/>
  <c r="W5" i="21"/>
  <c r="V5" i="21"/>
  <c r="U5" i="21"/>
  <c r="T5" i="21"/>
  <c r="S5" i="21"/>
  <c r="R5" i="21"/>
  <c r="Q5" i="21"/>
  <c r="Q7" i="21" s="1"/>
  <c r="Q21" i="21" s="1"/>
  <c r="P5" i="21"/>
  <c r="O5" i="21"/>
  <c r="O7" i="21" s="1"/>
  <c r="O21" i="21" s="1"/>
  <c r="N5" i="21"/>
  <c r="M5" i="21"/>
  <c r="L5" i="21"/>
  <c r="K5" i="21"/>
  <c r="J5" i="21"/>
  <c r="I5" i="21"/>
  <c r="H5" i="21"/>
  <c r="G5" i="21"/>
  <c r="F5" i="21"/>
  <c r="E5" i="21"/>
  <c r="D5" i="21"/>
  <c r="C5" i="21"/>
  <c r="BG4" i="21"/>
  <c r="BF4" i="21"/>
  <c r="BF7" i="21" s="1"/>
  <c r="BE4" i="21"/>
  <c r="BD4" i="21"/>
  <c r="BD7" i="21" s="1"/>
  <c r="BC4" i="21"/>
  <c r="BB4" i="21"/>
  <c r="BA4" i="21"/>
  <c r="AZ4" i="21"/>
  <c r="AY4" i="21"/>
  <c r="AX4" i="21"/>
  <c r="AW4" i="21"/>
  <c r="AV4" i="21"/>
  <c r="AU4" i="21"/>
  <c r="AT4" i="21"/>
  <c r="AS4" i="21"/>
  <c r="AR4" i="21"/>
  <c r="AQ4" i="21"/>
  <c r="AP4" i="21"/>
  <c r="AO4" i="21"/>
  <c r="O3" i="32" s="1"/>
  <c r="AN4" i="21"/>
  <c r="N3" i="32" s="1"/>
  <c r="AM4" i="21"/>
  <c r="M3" i="32" s="1"/>
  <c r="AL4" i="21"/>
  <c r="AK4" i="21"/>
  <c r="K3" i="32" s="1"/>
  <c r="AJ4" i="21"/>
  <c r="AI4" i="21"/>
  <c r="I3" i="32" s="1"/>
  <c r="AH4" i="21"/>
  <c r="AG4" i="21"/>
  <c r="AF4" i="21"/>
  <c r="AE4" i="21"/>
  <c r="E3" i="32" s="1"/>
  <c r="AD4" i="21"/>
  <c r="D3" i="32" s="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P7" i="21" s="1"/>
  <c r="P21" i="21" s="1"/>
  <c r="O4" i="21"/>
  <c r="N4" i="21"/>
  <c r="M4" i="21"/>
  <c r="L4" i="21"/>
  <c r="K4" i="21"/>
  <c r="J4" i="21"/>
  <c r="I4" i="21"/>
  <c r="I7" i="21" s="1"/>
  <c r="I21" i="21" s="1"/>
  <c r="H4" i="21"/>
  <c r="G4" i="21"/>
  <c r="F4" i="21"/>
  <c r="E4" i="21"/>
  <c r="D4" i="21"/>
  <c r="C4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T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C28" i="20"/>
  <c r="S28" i="20"/>
  <c r="O28" i="20"/>
  <c r="N28" i="20"/>
  <c r="L28" i="20"/>
  <c r="K28" i="20"/>
  <c r="V26" i="20"/>
  <c r="BG25" i="20"/>
  <c r="BF25" i="20"/>
  <c r="BE25" i="20"/>
  <c r="BD25" i="20"/>
  <c r="BC25" i="20"/>
  <c r="BB25" i="20"/>
  <c r="AZ25" i="20"/>
  <c r="AY25" i="20"/>
  <c r="AX25" i="20"/>
  <c r="AR25" i="20"/>
  <c r="AQ25" i="20"/>
  <c r="AO25" i="20"/>
  <c r="AK25" i="20"/>
  <c r="AI25" i="20"/>
  <c r="AH25" i="20"/>
  <c r="AG25" i="20"/>
  <c r="AF25" i="20"/>
  <c r="AD25" i="20"/>
  <c r="AC25" i="20"/>
  <c r="AB25" i="20"/>
  <c r="V25" i="20"/>
  <c r="U25" i="20"/>
  <c r="P25" i="20"/>
  <c r="O25" i="20"/>
  <c r="G25" i="20"/>
  <c r="F25" i="20"/>
  <c r="AT23" i="20"/>
  <c r="AR23" i="20"/>
  <c r="O23" i="20"/>
  <c r="BG22" i="20"/>
  <c r="BB22" i="20"/>
  <c r="AZ22" i="20"/>
  <c r="AY22" i="20"/>
  <c r="AX22" i="20"/>
  <c r="AW22" i="20"/>
  <c r="AV22" i="20"/>
  <c r="AU22" i="20"/>
  <c r="AT22" i="20"/>
  <c r="AM22" i="20"/>
  <c r="AK22" i="20"/>
  <c r="AJ22" i="20"/>
  <c r="AI22" i="20"/>
  <c r="AH22" i="20"/>
  <c r="AD22" i="20"/>
  <c r="AC22" i="20"/>
  <c r="AB22" i="20"/>
  <c r="AA22" i="20"/>
  <c r="Z22" i="20"/>
  <c r="Y22" i="20"/>
  <c r="X22" i="20"/>
  <c r="Q22" i="20"/>
  <c r="O22" i="20"/>
  <c r="N22" i="20"/>
  <c r="M22" i="20"/>
  <c r="L22" i="20"/>
  <c r="K22" i="20"/>
  <c r="H22" i="20"/>
  <c r="G22" i="20"/>
  <c r="F22" i="20"/>
  <c r="AS21" i="20"/>
  <c r="AP21" i="20"/>
  <c r="AP23" i="20" s="1"/>
  <c r="AK21" i="20"/>
  <c r="AK23" i="20" s="1"/>
  <c r="AD21" i="20"/>
  <c r="AD23" i="20" s="1"/>
  <c r="U21" i="20"/>
  <c r="U23" i="20" s="1"/>
  <c r="S21" i="20"/>
  <c r="BG16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Q18" i="19" s="1"/>
  <c r="AP16" i="20"/>
  <c r="AO16" i="20"/>
  <c r="AN16" i="20"/>
  <c r="N16" i="31" s="1"/>
  <c r="AM16" i="20"/>
  <c r="M16" i="31" s="1"/>
  <c r="AL16" i="20"/>
  <c r="L16" i="31" s="1"/>
  <c r="AK16" i="20"/>
  <c r="AJ16" i="20"/>
  <c r="J16" i="31" s="1"/>
  <c r="AI16" i="20"/>
  <c r="I16" i="31" s="1"/>
  <c r="AH16" i="20"/>
  <c r="H16" i="31" s="1"/>
  <c r="AG16" i="20"/>
  <c r="G16" i="31" s="1"/>
  <c r="AF16" i="20"/>
  <c r="F16" i="31" s="1"/>
  <c r="AE16" i="20"/>
  <c r="E16" i="31" s="1"/>
  <c r="AD16" i="20"/>
  <c r="D16" i="31" s="1"/>
  <c r="AC16" i="20"/>
  <c r="C16" i="31" s="1"/>
  <c r="AB16" i="20"/>
  <c r="AA16" i="20"/>
  <c r="Z16" i="20"/>
  <c r="Y16" i="20"/>
  <c r="X16" i="20"/>
  <c r="W16" i="20"/>
  <c r="V16" i="20"/>
  <c r="U16" i="20"/>
  <c r="BG15" i="20"/>
  <c r="BF15" i="20"/>
  <c r="BF22" i="20" s="1"/>
  <c r="BE15" i="20"/>
  <c r="BE22" i="20" s="1"/>
  <c r="BD15" i="20"/>
  <c r="BD22" i="20" s="1"/>
  <c r="BC15" i="20"/>
  <c r="BC22" i="20" s="1"/>
  <c r="BB15" i="20"/>
  <c r="BA15" i="20"/>
  <c r="BA22" i="20" s="1"/>
  <c r="AZ15" i="20"/>
  <c r="AY15" i="20"/>
  <c r="AX15" i="20"/>
  <c r="AW15" i="20"/>
  <c r="AV15" i="20"/>
  <c r="AU15" i="20"/>
  <c r="AT15" i="20"/>
  <c r="AS15" i="20"/>
  <c r="AR15" i="20"/>
  <c r="AR22" i="20" s="1"/>
  <c r="AQ15" i="20"/>
  <c r="AQ22" i="20" s="1"/>
  <c r="AP15" i="20"/>
  <c r="AP22" i="20" s="1"/>
  <c r="AO15" i="20"/>
  <c r="O15" i="31" s="1"/>
  <c r="AN15" i="20"/>
  <c r="N15" i="31" s="1"/>
  <c r="AM15" i="20"/>
  <c r="M15" i="31" s="1"/>
  <c r="AL15" i="20"/>
  <c r="AK15" i="20"/>
  <c r="K15" i="31" s="1"/>
  <c r="AJ15" i="20"/>
  <c r="J15" i="31" s="1"/>
  <c r="AI15" i="20"/>
  <c r="AH15" i="20"/>
  <c r="H15" i="31" s="1"/>
  <c r="AG15" i="20"/>
  <c r="AF15" i="20"/>
  <c r="AF15" i="19" s="1"/>
  <c r="F15" i="30" s="1"/>
  <c r="AE15" i="20"/>
  <c r="AD15" i="20"/>
  <c r="D15" i="31" s="1"/>
  <c r="AC15" i="20"/>
  <c r="C15" i="31" s="1"/>
  <c r="AB15" i="20"/>
  <c r="B15" i="31" s="1"/>
  <c r="AA15" i="20"/>
  <c r="Z15" i="20"/>
  <c r="Y15" i="20"/>
  <c r="X15" i="20"/>
  <c r="W15" i="20"/>
  <c r="V15" i="20"/>
  <c r="V22" i="20" s="1"/>
  <c r="U15" i="20"/>
  <c r="U22" i="20" s="1"/>
  <c r="T15" i="20"/>
  <c r="T22" i="20" s="1"/>
  <c r="S15" i="20"/>
  <c r="S22" i="20" s="1"/>
  <c r="R15" i="20"/>
  <c r="R22" i="20" s="1"/>
  <c r="Q15" i="20"/>
  <c r="P15" i="20"/>
  <c r="P22" i="20" s="1"/>
  <c r="O15" i="20"/>
  <c r="N15" i="20"/>
  <c r="M15" i="20"/>
  <c r="M15" i="19" s="1"/>
  <c r="L15" i="20"/>
  <c r="K15" i="20"/>
  <c r="K15" i="19" s="1"/>
  <c r="J15" i="20"/>
  <c r="J22" i="20" s="1"/>
  <c r="I15" i="20"/>
  <c r="I22" i="20" s="1"/>
  <c r="H15" i="20"/>
  <c r="G15" i="20"/>
  <c r="F15" i="20"/>
  <c r="E15" i="20"/>
  <c r="E22" i="20" s="1"/>
  <c r="D15" i="20"/>
  <c r="D22" i="20" s="1"/>
  <c r="C15" i="20"/>
  <c r="C22" i="20" s="1"/>
  <c r="AU14" i="20"/>
  <c r="AT14" i="20"/>
  <c r="AS14" i="20"/>
  <c r="AR14" i="20"/>
  <c r="P14" i="20"/>
  <c r="O14" i="20"/>
  <c r="O14" i="19" s="1"/>
  <c r="BG13" i="20"/>
  <c r="BF13" i="20"/>
  <c r="BE13" i="20"/>
  <c r="BD13" i="20"/>
  <c r="BC13" i="20"/>
  <c r="BB13" i="20"/>
  <c r="BA13" i="20"/>
  <c r="BA25" i="20" s="1"/>
  <c r="AZ13" i="20"/>
  <c r="AY13" i="20"/>
  <c r="AX13" i="20"/>
  <c r="AW13" i="20"/>
  <c r="AW25" i="20" s="1"/>
  <c r="AV13" i="20"/>
  <c r="AV25" i="20" s="1"/>
  <c r="AU13" i="20"/>
  <c r="AU25" i="20" s="1"/>
  <c r="AT13" i="20"/>
  <c r="AT25" i="20" s="1"/>
  <c r="AS13" i="20"/>
  <c r="AS25" i="20" s="1"/>
  <c r="AR13" i="20"/>
  <c r="AQ13" i="20"/>
  <c r="AP13" i="20"/>
  <c r="AO13" i="20"/>
  <c r="O13" i="31" s="1"/>
  <c r="AN13" i="20"/>
  <c r="AM13" i="20"/>
  <c r="AM13" i="19" s="1"/>
  <c r="M13" i="30" s="1"/>
  <c r="AL13" i="20"/>
  <c r="L13" i="31" s="1"/>
  <c r="AK13" i="20"/>
  <c r="K13" i="31" s="1"/>
  <c r="AJ13" i="20"/>
  <c r="J13" i="31" s="1"/>
  <c r="AI13" i="20"/>
  <c r="I13" i="31" s="1"/>
  <c r="AH13" i="20"/>
  <c r="H13" i="31" s="1"/>
  <c r="AG13" i="20"/>
  <c r="G13" i="31" s="1"/>
  <c r="AF13" i="20"/>
  <c r="F13" i="31" s="1"/>
  <c r="AE13" i="20"/>
  <c r="AD13" i="20"/>
  <c r="D13" i="31" s="1"/>
  <c r="AC13" i="20"/>
  <c r="C13" i="31" s="1"/>
  <c r="AB13" i="20"/>
  <c r="B13" i="31" s="1"/>
  <c r="AA13" i="20"/>
  <c r="Z13" i="20"/>
  <c r="Y13" i="20"/>
  <c r="Y25" i="20" s="1"/>
  <c r="X13" i="20"/>
  <c r="X25" i="20" s="1"/>
  <c r="W13" i="20"/>
  <c r="W25" i="20" s="1"/>
  <c r="V13" i="20"/>
  <c r="U13" i="20"/>
  <c r="T13" i="20"/>
  <c r="S13" i="20"/>
  <c r="R13" i="20"/>
  <c r="Q13" i="20"/>
  <c r="Q25" i="20" s="1"/>
  <c r="P13" i="20"/>
  <c r="O13" i="20"/>
  <c r="N13" i="20"/>
  <c r="N25" i="20" s="1"/>
  <c r="M13" i="20"/>
  <c r="M25" i="20" s="1"/>
  <c r="L13" i="20"/>
  <c r="K13" i="20"/>
  <c r="J13" i="20"/>
  <c r="I13" i="20"/>
  <c r="H13" i="20"/>
  <c r="G13" i="20"/>
  <c r="F13" i="20"/>
  <c r="E13" i="20"/>
  <c r="E25" i="20" s="1"/>
  <c r="D13" i="20"/>
  <c r="D25" i="20" s="1"/>
  <c r="C13" i="20"/>
  <c r="C25" i="20" s="1"/>
  <c r="AA12" i="20"/>
  <c r="Z12" i="20"/>
  <c r="Z12" i="19" s="1"/>
  <c r="Y12" i="20"/>
  <c r="Y12" i="19" s="1"/>
  <c r="X12" i="20"/>
  <c r="X12" i="19" s="1"/>
  <c r="W12" i="20"/>
  <c r="W12" i="19" s="1"/>
  <c r="V12" i="20"/>
  <c r="V12" i="19" s="1"/>
  <c r="U12" i="20"/>
  <c r="T12" i="20"/>
  <c r="S12" i="20"/>
  <c r="R12" i="20"/>
  <c r="Q12" i="20"/>
  <c r="P12" i="20"/>
  <c r="O12" i="20"/>
  <c r="N12" i="20"/>
  <c r="M12" i="20"/>
  <c r="L12" i="20"/>
  <c r="K12" i="20"/>
  <c r="K12" i="19" s="1"/>
  <c r="J12" i="20"/>
  <c r="I12" i="20"/>
  <c r="I12" i="19" s="1"/>
  <c r="H12" i="20"/>
  <c r="H12" i="19" s="1"/>
  <c r="G12" i="20"/>
  <c r="F12" i="20"/>
  <c r="E12" i="20"/>
  <c r="D12" i="20"/>
  <c r="D12" i="19" s="1"/>
  <c r="C12" i="20"/>
  <c r="C12" i="19" s="1"/>
  <c r="BG11" i="20"/>
  <c r="BF11" i="20"/>
  <c r="BE11" i="20"/>
  <c r="BD11" i="20"/>
  <c r="BC11" i="20"/>
  <c r="BB11" i="20"/>
  <c r="BA11" i="20"/>
  <c r="AZ11" i="20"/>
  <c r="AY11" i="20"/>
  <c r="AX11" i="20"/>
  <c r="AW11" i="20"/>
  <c r="AV11" i="20"/>
  <c r="AU11" i="20"/>
  <c r="AT11" i="20"/>
  <c r="AS11" i="20"/>
  <c r="AS11" i="19" s="1"/>
  <c r="AR11" i="20"/>
  <c r="AR11" i="19" s="1"/>
  <c r="AQ11" i="20"/>
  <c r="AQ11" i="19" s="1"/>
  <c r="AP11" i="20"/>
  <c r="AO11" i="20"/>
  <c r="O10" i="31" s="1"/>
  <c r="AN11" i="20"/>
  <c r="N10" i="31" s="1"/>
  <c r="AM11" i="20"/>
  <c r="AL11" i="20"/>
  <c r="L10" i="31" s="1"/>
  <c r="AK11" i="20"/>
  <c r="K10" i="31" s="1"/>
  <c r="AJ11" i="20"/>
  <c r="J10" i="31" s="1"/>
  <c r="AI11" i="20"/>
  <c r="I10" i="31" s="1"/>
  <c r="AH11" i="20"/>
  <c r="H10" i="31" s="1"/>
  <c r="AG11" i="20"/>
  <c r="G10" i="31" s="1"/>
  <c r="AF11" i="20"/>
  <c r="F10" i="31" s="1"/>
  <c r="AE11" i="20"/>
  <c r="E10" i="31" s="1"/>
  <c r="AD11" i="20"/>
  <c r="D10" i="31" s="1"/>
  <c r="AC11" i="20"/>
  <c r="C10" i="31" s="1"/>
  <c r="AB11" i="20"/>
  <c r="B10" i="31" s="1"/>
  <c r="AA11" i="20"/>
  <c r="Z11" i="20"/>
  <c r="Y11" i="20"/>
  <c r="X11" i="20"/>
  <c r="W11" i="20"/>
  <c r="W11" i="19" s="1"/>
  <c r="V11" i="20"/>
  <c r="U11" i="20"/>
  <c r="T11" i="20"/>
  <c r="S11" i="20"/>
  <c r="R11" i="20"/>
  <c r="Q11" i="20"/>
  <c r="Q11" i="19" s="1"/>
  <c r="P11" i="20"/>
  <c r="O11" i="20"/>
  <c r="N11" i="20"/>
  <c r="N9" i="20" s="1"/>
  <c r="N9" i="19" s="1"/>
  <c r="M11" i="20"/>
  <c r="L11" i="20"/>
  <c r="K11" i="20"/>
  <c r="J11" i="20"/>
  <c r="I11" i="20"/>
  <c r="H11" i="20"/>
  <c r="G11" i="20"/>
  <c r="F11" i="20"/>
  <c r="E11" i="20"/>
  <c r="D11" i="20"/>
  <c r="C11" i="20"/>
  <c r="BG10" i="20"/>
  <c r="BG9" i="20" s="1"/>
  <c r="BG28" i="20" s="1"/>
  <c r="BF10" i="20"/>
  <c r="BF9" i="20" s="1"/>
  <c r="BF28" i="20" s="1"/>
  <c r="BE10" i="20"/>
  <c r="BE9" i="20" s="1"/>
  <c r="BE28" i="20" s="1"/>
  <c r="BD10" i="20"/>
  <c r="BD9" i="20" s="1"/>
  <c r="BD28" i="20" s="1"/>
  <c r="BC10" i="20"/>
  <c r="BC9" i="20" s="1"/>
  <c r="BB10" i="20"/>
  <c r="BB9" i="20" s="1"/>
  <c r="BB28" i="20" s="1"/>
  <c r="BA10" i="20"/>
  <c r="BA9" i="20" s="1"/>
  <c r="BA28" i="20" s="1"/>
  <c r="AZ10" i="20"/>
  <c r="AZ9" i="20" s="1"/>
  <c r="AZ28" i="20" s="1"/>
  <c r="AY10" i="20"/>
  <c r="AY9" i="20" s="1"/>
  <c r="AY28" i="20" s="1"/>
  <c r="AX10" i="20"/>
  <c r="AX9" i="20" s="1"/>
  <c r="AX28" i="20" s="1"/>
  <c r="AW10" i="20"/>
  <c r="AW9" i="20" s="1"/>
  <c r="AW28" i="20" s="1"/>
  <c r="AV10" i="20"/>
  <c r="AV9" i="20" s="1"/>
  <c r="AV28" i="20" s="1"/>
  <c r="AU10" i="20"/>
  <c r="AT10" i="20"/>
  <c r="AS10" i="20"/>
  <c r="AR10" i="20"/>
  <c r="AQ10" i="20"/>
  <c r="AP10" i="20"/>
  <c r="AO10" i="20"/>
  <c r="O9" i="31" s="1"/>
  <c r="AN10" i="20"/>
  <c r="N9" i="31" s="1"/>
  <c r="AM10" i="20"/>
  <c r="M9" i="31" s="1"/>
  <c r="AL10" i="20"/>
  <c r="L9" i="31" s="1"/>
  <c r="AK10" i="20"/>
  <c r="AJ10" i="20"/>
  <c r="J9" i="31" s="1"/>
  <c r="AI10" i="20"/>
  <c r="AH10" i="20"/>
  <c r="AH10" i="19" s="1"/>
  <c r="H9" i="30" s="1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O9" i="20" s="1"/>
  <c r="N10" i="20"/>
  <c r="M10" i="20"/>
  <c r="M9" i="20" s="1"/>
  <c r="L10" i="20"/>
  <c r="K10" i="20"/>
  <c r="K9" i="20" s="1"/>
  <c r="J10" i="20"/>
  <c r="I10" i="20"/>
  <c r="I9" i="20" s="1"/>
  <c r="H10" i="20"/>
  <c r="G10" i="20"/>
  <c r="G9" i="20" s="1"/>
  <c r="F10" i="20"/>
  <c r="E10" i="20"/>
  <c r="D10" i="20"/>
  <c r="C10" i="20"/>
  <c r="AU9" i="20"/>
  <c r="AS9" i="20"/>
  <c r="AR9" i="20"/>
  <c r="AQ9" i="20"/>
  <c r="AP9" i="20"/>
  <c r="AO9" i="20"/>
  <c r="AN9" i="20"/>
  <c r="AM9" i="20"/>
  <c r="AL9" i="20"/>
  <c r="AK9" i="20"/>
  <c r="AJ9" i="20"/>
  <c r="W9" i="20"/>
  <c r="W28" i="20" s="1"/>
  <c r="T9" i="20"/>
  <c r="S9" i="20"/>
  <c r="R9" i="20"/>
  <c r="R28" i="20" s="1"/>
  <c r="P9" i="20"/>
  <c r="P28" i="20" s="1"/>
  <c r="L9" i="20"/>
  <c r="J9" i="20"/>
  <c r="H9" i="20"/>
  <c r="W8" i="20"/>
  <c r="S8" i="20"/>
  <c r="R8" i="20"/>
  <c r="P8" i="20"/>
  <c r="O8" i="20"/>
  <c r="O8" i="19" s="1"/>
  <c r="BG7" i="20"/>
  <c r="AK7" i="20"/>
  <c r="AH7" i="20"/>
  <c r="AF7" i="20"/>
  <c r="AE7" i="20"/>
  <c r="AD7" i="20"/>
  <c r="AC7" i="20"/>
  <c r="AB7" i="20"/>
  <c r="Y7" i="20"/>
  <c r="X7" i="20"/>
  <c r="W7" i="20"/>
  <c r="W21" i="20" s="1"/>
  <c r="BG6" i="20"/>
  <c r="BF6" i="20"/>
  <c r="BE6" i="20"/>
  <c r="BE21" i="14" s="1"/>
  <c r="BD6" i="20"/>
  <c r="BC6" i="20"/>
  <c r="BB6" i="20"/>
  <c r="BA6" i="20"/>
  <c r="AZ6" i="20"/>
  <c r="AY6" i="20"/>
  <c r="AX6" i="20"/>
  <c r="AW6" i="20"/>
  <c r="AV6" i="20"/>
  <c r="AU6" i="20"/>
  <c r="AT6" i="20"/>
  <c r="AS6" i="20"/>
  <c r="AR6" i="20"/>
  <c r="AQ6" i="20"/>
  <c r="AP6" i="20"/>
  <c r="AO6" i="20"/>
  <c r="O5" i="31" s="1"/>
  <c r="AN6" i="20"/>
  <c r="N5" i="31" s="1"/>
  <c r="AM6" i="20"/>
  <c r="M5" i="31" s="1"/>
  <c r="AL6" i="20"/>
  <c r="L5" i="31" s="1"/>
  <c r="AK6" i="20"/>
  <c r="K5" i="31" s="1"/>
  <c r="AJ6" i="20"/>
  <c r="AI6" i="20"/>
  <c r="AH6" i="20"/>
  <c r="H5" i="31" s="1"/>
  <c r="AG6" i="20"/>
  <c r="G5" i="31" s="1"/>
  <c r="AF6" i="20"/>
  <c r="F5" i="31" s="1"/>
  <c r="AE6" i="20"/>
  <c r="E5" i="31" s="1"/>
  <c r="AD6" i="20"/>
  <c r="D5" i="31" s="1"/>
  <c r="AC6" i="20"/>
  <c r="C5" i="31" s="1"/>
  <c r="AB6" i="20"/>
  <c r="B5" i="31" s="1"/>
  <c r="AA6" i="20"/>
  <c r="Z6" i="20"/>
  <c r="Y6" i="20"/>
  <c r="X6" i="20"/>
  <c r="W6" i="20"/>
  <c r="V6" i="20"/>
  <c r="U6" i="20"/>
  <c r="T6" i="20"/>
  <c r="S6" i="20"/>
  <c r="R6" i="20"/>
  <c r="R6" i="19" s="1"/>
  <c r="Q6" i="20"/>
  <c r="Q6" i="19" s="1"/>
  <c r="P6" i="20"/>
  <c r="P6" i="19" s="1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G5" i="20"/>
  <c r="BF5" i="20"/>
  <c r="BE5" i="20"/>
  <c r="BD5" i="20"/>
  <c r="BD7" i="20" s="1"/>
  <c r="BC5" i="20"/>
  <c r="BB5" i="20"/>
  <c r="BB7" i="20" s="1"/>
  <c r="BA5" i="20"/>
  <c r="BA7" i="20" s="1"/>
  <c r="AZ5" i="20"/>
  <c r="AY5" i="20"/>
  <c r="AX5" i="20"/>
  <c r="AX7" i="20" s="1"/>
  <c r="AW5" i="20"/>
  <c r="AW7" i="20" s="1"/>
  <c r="AV5" i="20"/>
  <c r="AV7" i="20" s="1"/>
  <c r="AU5" i="20"/>
  <c r="AU7" i="20" s="1"/>
  <c r="AT5" i="20"/>
  <c r="AS5" i="20"/>
  <c r="AR5" i="20"/>
  <c r="AQ5" i="20"/>
  <c r="AP5" i="20"/>
  <c r="AO5" i="20"/>
  <c r="O4" i="31" s="1"/>
  <c r="AN5" i="20"/>
  <c r="N4" i="31" s="1"/>
  <c r="AM5" i="20"/>
  <c r="M4" i="31" s="1"/>
  <c r="AL5" i="20"/>
  <c r="L4" i="31" s="1"/>
  <c r="AK5" i="20"/>
  <c r="K4" i="31" s="1"/>
  <c r="AJ5" i="20"/>
  <c r="J4" i="31" s="1"/>
  <c r="AI5" i="20"/>
  <c r="I4" i="31" s="1"/>
  <c r="AH5" i="20"/>
  <c r="H4" i="31" s="1"/>
  <c r="AG5" i="20"/>
  <c r="AF5" i="20"/>
  <c r="AE5" i="20"/>
  <c r="AD5" i="20"/>
  <c r="AC5" i="20"/>
  <c r="AB5" i="20"/>
  <c r="AA5" i="20"/>
  <c r="AA5" i="19" s="1"/>
  <c r="Z5" i="20"/>
  <c r="Y5" i="20"/>
  <c r="X5" i="20"/>
  <c r="W5" i="20"/>
  <c r="V5" i="20"/>
  <c r="U5" i="20"/>
  <c r="T5" i="20"/>
  <c r="S5" i="20"/>
  <c r="R5" i="20"/>
  <c r="Q5" i="20"/>
  <c r="P5" i="20"/>
  <c r="O5" i="20"/>
  <c r="O7" i="20" s="1"/>
  <c r="O21" i="20" s="1"/>
  <c r="N5" i="20"/>
  <c r="M5" i="20"/>
  <c r="L5" i="20"/>
  <c r="L7" i="20" s="1"/>
  <c r="L21" i="20" s="1"/>
  <c r="L23" i="20" s="1"/>
  <c r="K5" i="20"/>
  <c r="K5" i="19" s="1"/>
  <c r="J5" i="20"/>
  <c r="I5" i="20"/>
  <c r="I5" i="19" s="1"/>
  <c r="H5" i="20"/>
  <c r="H5" i="19" s="1"/>
  <c r="G5" i="20"/>
  <c r="G5" i="19" s="1"/>
  <c r="F5" i="20"/>
  <c r="F5" i="19" s="1"/>
  <c r="E5" i="20"/>
  <c r="D5" i="20"/>
  <c r="D7" i="20" s="1"/>
  <c r="C5" i="20"/>
  <c r="C7" i="20" s="1"/>
  <c r="BG4" i="20"/>
  <c r="BF4" i="20"/>
  <c r="BE4" i="20"/>
  <c r="BD4" i="20"/>
  <c r="BC4" i="20"/>
  <c r="BB4" i="20"/>
  <c r="BA4" i="20"/>
  <c r="AZ4" i="20"/>
  <c r="AZ7" i="20" s="1"/>
  <c r="AY4" i="20"/>
  <c r="AY7" i="20" s="1"/>
  <c r="AX4" i="20"/>
  <c r="AW4" i="20"/>
  <c r="AV4" i="20"/>
  <c r="AU4" i="20"/>
  <c r="AT4" i="20"/>
  <c r="AT7" i="20" s="1"/>
  <c r="AT21" i="20" s="1"/>
  <c r="AS4" i="20"/>
  <c r="AS7" i="20" s="1"/>
  <c r="AR4" i="20"/>
  <c r="AR7" i="20" s="1"/>
  <c r="AR21" i="20" s="1"/>
  <c r="AQ4" i="20"/>
  <c r="AQ7" i="20" s="1"/>
  <c r="AQ14" i="20" s="1"/>
  <c r="AP4" i="20"/>
  <c r="AP7" i="20" s="1"/>
  <c r="AP14" i="20" s="1"/>
  <c r="AO4" i="20"/>
  <c r="AN4" i="20"/>
  <c r="AM4" i="20"/>
  <c r="AL4" i="20"/>
  <c r="AK4" i="20"/>
  <c r="K3" i="31" s="1"/>
  <c r="AJ4" i="20"/>
  <c r="J3" i="31" s="1"/>
  <c r="AI4" i="20"/>
  <c r="AH4" i="20"/>
  <c r="H3" i="31" s="1"/>
  <c r="AG4" i="20"/>
  <c r="AF4" i="20"/>
  <c r="F3" i="31" s="1"/>
  <c r="AE4" i="20"/>
  <c r="E3" i="31" s="1"/>
  <c r="AD4" i="20"/>
  <c r="AC4" i="20"/>
  <c r="AB4" i="20"/>
  <c r="AA4" i="20"/>
  <c r="Z4" i="20"/>
  <c r="Y4" i="20"/>
  <c r="X4" i="20"/>
  <c r="W4" i="20"/>
  <c r="V4" i="20"/>
  <c r="V7" i="20" s="1"/>
  <c r="V21" i="20" s="1"/>
  <c r="V23" i="20" s="1"/>
  <c r="U4" i="20"/>
  <c r="U7" i="20" s="1"/>
  <c r="T4" i="20"/>
  <c r="T7" i="20" s="1"/>
  <c r="T21" i="20" s="1"/>
  <c r="T23" i="20" s="1"/>
  <c r="S4" i="20"/>
  <c r="S7" i="20" s="1"/>
  <c r="R4" i="20"/>
  <c r="Q4" i="20"/>
  <c r="Q7" i="20" s="1"/>
  <c r="P4" i="20"/>
  <c r="O4" i="20"/>
  <c r="N4" i="20"/>
  <c r="M4" i="20"/>
  <c r="L4" i="20"/>
  <c r="K4" i="20"/>
  <c r="J4" i="20"/>
  <c r="I4" i="20"/>
  <c r="I4" i="19" s="1"/>
  <c r="H4" i="20"/>
  <c r="G4" i="20"/>
  <c r="G7" i="20" s="1"/>
  <c r="F4" i="20"/>
  <c r="E4" i="20"/>
  <c r="D4" i="20"/>
  <c r="C4" i="20"/>
  <c r="BG3" i="20"/>
  <c r="BF3" i="20"/>
  <c r="BE3" i="20"/>
  <c r="BD3" i="20"/>
  <c r="BC3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Q3" i="19" s="1"/>
  <c r="AP3" i="20"/>
  <c r="AO3" i="20"/>
  <c r="AN3" i="20"/>
  <c r="AM3" i="20"/>
  <c r="AL3" i="20"/>
  <c r="AK3" i="20"/>
  <c r="AJ3" i="20"/>
  <c r="AI3" i="20"/>
  <c r="AI3" i="19" s="1"/>
  <c r="AH3" i="20"/>
  <c r="AH3" i="19" s="1"/>
  <c r="AG3" i="20"/>
  <c r="AG3" i="19" s="1"/>
  <c r="AF3" i="20"/>
  <c r="AF3" i="19" s="1"/>
  <c r="AE3" i="20"/>
  <c r="AE3" i="19" s="1"/>
  <c r="AD3" i="20"/>
  <c r="AD3" i="19" s="1"/>
  <c r="AC3" i="20"/>
  <c r="AC3" i="19" s="1"/>
  <c r="AB3" i="20"/>
  <c r="AA3" i="20"/>
  <c r="Z3" i="20"/>
  <c r="Y3" i="20"/>
  <c r="X3" i="20"/>
  <c r="W3" i="20"/>
  <c r="V3" i="20"/>
  <c r="U3" i="20"/>
  <c r="U3" i="19" s="1"/>
  <c r="T3" i="20"/>
  <c r="T3" i="19" s="1"/>
  <c r="S3" i="20"/>
  <c r="R3" i="20"/>
  <c r="Q3" i="20"/>
  <c r="P3" i="20"/>
  <c r="O3" i="20"/>
  <c r="N3" i="20"/>
  <c r="M3" i="20"/>
  <c r="M3" i="19" s="1"/>
  <c r="L3" i="20"/>
  <c r="L3" i="19" s="1"/>
  <c r="K3" i="20"/>
  <c r="K3" i="19" s="1"/>
  <c r="J3" i="20"/>
  <c r="J3" i="19" s="1"/>
  <c r="I3" i="20"/>
  <c r="I3" i="19" s="1"/>
  <c r="H3" i="20"/>
  <c r="H3" i="19" s="1"/>
  <c r="G3" i="20"/>
  <c r="G3" i="19" s="1"/>
  <c r="F3" i="20"/>
  <c r="E3" i="20"/>
  <c r="D3" i="20"/>
  <c r="C3" i="20"/>
  <c r="AP18" i="19"/>
  <c r="P18" i="30" s="1"/>
  <c r="AN18" i="19"/>
  <c r="N18" i="30" s="1"/>
  <c r="AM18" i="19"/>
  <c r="M18" i="30" s="1"/>
  <c r="AL18" i="19"/>
  <c r="L18" i="30" s="1"/>
  <c r="AJ18" i="19"/>
  <c r="J18" i="30" s="1"/>
  <c r="AI18" i="19"/>
  <c r="I18" i="30" s="1"/>
  <c r="AH18" i="19"/>
  <c r="H18" i="30" s="1"/>
  <c r="AG18" i="19"/>
  <c r="G18" i="30" s="1"/>
  <c r="AF18" i="19"/>
  <c r="F18" i="30" s="1"/>
  <c r="AE18" i="19"/>
  <c r="E18" i="30" s="1"/>
  <c r="AD18" i="19"/>
  <c r="D18" i="30" s="1"/>
  <c r="AC18" i="19"/>
  <c r="C18" i="30" s="1"/>
  <c r="AA18" i="19"/>
  <c r="Z18" i="19"/>
  <c r="Y18" i="19"/>
  <c r="AI17" i="19"/>
  <c r="I17" i="30" s="1"/>
  <c r="AH17" i="19"/>
  <c r="H17" i="30" s="1"/>
  <c r="AG17" i="19"/>
  <c r="G17" i="30" s="1"/>
  <c r="AF17" i="19"/>
  <c r="F17" i="30" s="1"/>
  <c r="AE17" i="19"/>
  <c r="E17" i="30" s="1"/>
  <c r="AD17" i="19"/>
  <c r="D17" i="30" s="1"/>
  <c r="AC17" i="19"/>
  <c r="C17" i="30" s="1"/>
  <c r="AB17" i="19"/>
  <c r="B17" i="30" s="1"/>
  <c r="AA17" i="19"/>
  <c r="Z17" i="19"/>
  <c r="Y17" i="19"/>
  <c r="AU15" i="19"/>
  <c r="AT15" i="19"/>
  <c r="AK15" i="19"/>
  <c r="K15" i="30" s="1"/>
  <c r="AJ15" i="19"/>
  <c r="J15" i="30" s="1"/>
  <c r="AH15" i="19"/>
  <c r="H15" i="30" s="1"/>
  <c r="AG15" i="19"/>
  <c r="G15" i="30" s="1"/>
  <c r="AE15" i="19"/>
  <c r="E15" i="30" s="1"/>
  <c r="AD15" i="19"/>
  <c r="D15" i="30" s="1"/>
  <c r="AC15" i="19"/>
  <c r="C15" i="30" s="1"/>
  <c r="AB15" i="19"/>
  <c r="B15" i="30" s="1"/>
  <c r="AA15" i="19"/>
  <c r="Z15" i="19"/>
  <c r="Y15" i="19"/>
  <c r="X15" i="19"/>
  <c r="O15" i="19"/>
  <c r="N15" i="19"/>
  <c r="L15" i="19"/>
  <c r="I15" i="19"/>
  <c r="H15" i="19"/>
  <c r="G15" i="19"/>
  <c r="F15" i="19"/>
  <c r="E15" i="19"/>
  <c r="D15" i="19"/>
  <c r="C15" i="19"/>
  <c r="AN13" i="19"/>
  <c r="N13" i="30" s="1"/>
  <c r="AL13" i="19"/>
  <c r="L13" i="30" s="1"/>
  <c r="AK13" i="19"/>
  <c r="K13" i="30" s="1"/>
  <c r="AJ13" i="19"/>
  <c r="J13" i="30" s="1"/>
  <c r="AI13" i="19"/>
  <c r="I13" i="30" s="1"/>
  <c r="AH13" i="19"/>
  <c r="H13" i="30" s="1"/>
  <c r="AG13" i="19"/>
  <c r="G13" i="30" s="1"/>
  <c r="AF13" i="19"/>
  <c r="F13" i="30" s="1"/>
  <c r="AE13" i="19"/>
  <c r="E13" i="30" s="1"/>
  <c r="AD13" i="19"/>
  <c r="D13" i="30" s="1"/>
  <c r="AC13" i="19"/>
  <c r="C13" i="30" s="1"/>
  <c r="AB13" i="19"/>
  <c r="B13" i="30" s="1"/>
  <c r="AA13" i="19"/>
  <c r="Z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AA12" i="19"/>
  <c r="T12" i="19"/>
  <c r="S12" i="19"/>
  <c r="R12" i="19"/>
  <c r="Q12" i="19"/>
  <c r="O12" i="19"/>
  <c r="L12" i="19"/>
  <c r="J12" i="19"/>
  <c r="G12" i="19"/>
  <c r="F12" i="19"/>
  <c r="E12" i="19"/>
  <c r="AP11" i="19"/>
  <c r="P10" i="30" s="1"/>
  <c r="AO11" i="19"/>
  <c r="O10" i="30" s="1"/>
  <c r="AN11" i="19"/>
  <c r="N10" i="30" s="1"/>
  <c r="AL11" i="19"/>
  <c r="L10" i="30" s="1"/>
  <c r="AK11" i="19"/>
  <c r="K10" i="30" s="1"/>
  <c r="AJ11" i="19"/>
  <c r="J10" i="30" s="1"/>
  <c r="AI11" i="19"/>
  <c r="I10" i="30" s="1"/>
  <c r="AG11" i="19"/>
  <c r="G10" i="30" s="1"/>
  <c r="AF11" i="19"/>
  <c r="F10" i="30" s="1"/>
  <c r="AE11" i="19"/>
  <c r="E10" i="30" s="1"/>
  <c r="AD11" i="19"/>
  <c r="D10" i="30" s="1"/>
  <c r="T11" i="19"/>
  <c r="S11" i="19"/>
  <c r="R11" i="19"/>
  <c r="P11" i="19"/>
  <c r="O11" i="19"/>
  <c r="N11" i="19"/>
  <c r="M11" i="19"/>
  <c r="J11" i="19"/>
  <c r="I11" i="19"/>
  <c r="H11" i="19"/>
  <c r="G11" i="19"/>
  <c r="F11" i="19"/>
  <c r="AS10" i="19"/>
  <c r="AQ10" i="19"/>
  <c r="AP10" i="19"/>
  <c r="P9" i="30" s="1"/>
  <c r="AO10" i="19"/>
  <c r="O9" i="30" s="1"/>
  <c r="AM10" i="19"/>
  <c r="M9" i="30" s="1"/>
  <c r="AL10" i="19"/>
  <c r="L9" i="30" s="1"/>
  <c r="AJ10" i="19"/>
  <c r="J9" i="30" s="1"/>
  <c r="AG10" i="19"/>
  <c r="G9" i="30" s="1"/>
  <c r="AF10" i="19"/>
  <c r="F9" i="30" s="1"/>
  <c r="AE10" i="19"/>
  <c r="E9" i="30" s="1"/>
  <c r="AD10" i="19"/>
  <c r="D9" i="30" s="1"/>
  <c r="AC10" i="19"/>
  <c r="C9" i="30" s="1"/>
  <c r="W10" i="19"/>
  <c r="T10" i="19"/>
  <c r="S10" i="19"/>
  <c r="P10" i="19"/>
  <c r="O10" i="19"/>
  <c r="N10" i="19"/>
  <c r="L10" i="19"/>
  <c r="K10" i="19"/>
  <c r="J10" i="19"/>
  <c r="I10" i="19"/>
  <c r="H10" i="19"/>
  <c r="G10" i="19"/>
  <c r="T9" i="19"/>
  <c r="P9" i="19"/>
  <c r="AS7" i="19"/>
  <c r="AR7" i="19"/>
  <c r="AQ7" i="19"/>
  <c r="V7" i="19"/>
  <c r="O7" i="19"/>
  <c r="AS6" i="19"/>
  <c r="AR6" i="19"/>
  <c r="AQ6" i="19"/>
  <c r="AP6" i="19"/>
  <c r="P5" i="30" s="1"/>
  <c r="AO6" i="19"/>
  <c r="O5" i="30" s="1"/>
  <c r="AN6" i="19"/>
  <c r="N5" i="30" s="1"/>
  <c r="AM6" i="19"/>
  <c r="M5" i="30" s="1"/>
  <c r="AL6" i="19"/>
  <c r="L5" i="30" s="1"/>
  <c r="AK6" i="19"/>
  <c r="K5" i="30" s="1"/>
  <c r="AG6" i="19"/>
  <c r="G5" i="30" s="1"/>
  <c r="AE6" i="19"/>
  <c r="E5" i="30" s="1"/>
  <c r="Y6" i="19"/>
  <c r="X6" i="19"/>
  <c r="W6" i="19"/>
  <c r="V6" i="19"/>
  <c r="U6" i="19"/>
  <c r="T6" i="19"/>
  <c r="S6" i="19"/>
  <c r="O6" i="19"/>
  <c r="K6" i="19"/>
  <c r="I6" i="19"/>
  <c r="AU5" i="19"/>
  <c r="AT5" i="19"/>
  <c r="AS5" i="19"/>
  <c r="AR5" i="19"/>
  <c r="AN5" i="19"/>
  <c r="N4" i="30" s="1"/>
  <c r="AL5" i="19"/>
  <c r="L4" i="30" s="1"/>
  <c r="AK5" i="19"/>
  <c r="K4" i="30" s="1"/>
  <c r="AJ5" i="19"/>
  <c r="J4" i="30" s="1"/>
  <c r="AI5" i="19"/>
  <c r="I4" i="30" s="1"/>
  <c r="X5" i="19"/>
  <c r="V5" i="19"/>
  <c r="R5" i="19"/>
  <c r="Q5" i="19"/>
  <c r="P5" i="19"/>
  <c r="O5" i="19"/>
  <c r="N5" i="19"/>
  <c r="M5" i="19"/>
  <c r="L5" i="19"/>
  <c r="D5" i="19"/>
  <c r="C5" i="19"/>
  <c r="AU4" i="19"/>
  <c r="AT4" i="19"/>
  <c r="AS4" i="19"/>
  <c r="AO4" i="19"/>
  <c r="O3" i="30" s="1"/>
  <c r="AK4" i="19"/>
  <c r="K3" i="30" s="1"/>
  <c r="AI4" i="19"/>
  <c r="I3" i="30" s="1"/>
  <c r="AA4" i="19"/>
  <c r="Z4" i="19"/>
  <c r="Y4" i="19"/>
  <c r="X4" i="19"/>
  <c r="W4" i="19"/>
  <c r="V4" i="19"/>
  <c r="U4" i="19"/>
  <c r="T4" i="19"/>
  <c r="S4" i="19"/>
  <c r="Q4" i="19"/>
  <c r="O4" i="19"/>
  <c r="M4" i="19"/>
  <c r="E4" i="19"/>
  <c r="D4" i="19"/>
  <c r="C4" i="19"/>
  <c r="AU3" i="19"/>
  <c r="AT3" i="19"/>
  <c r="AS3" i="19"/>
  <c r="AR3" i="19"/>
  <c r="AP3" i="19"/>
  <c r="AO3" i="19"/>
  <c r="AN3" i="19"/>
  <c r="AM3" i="19"/>
  <c r="AL3" i="19"/>
  <c r="AK3" i="19"/>
  <c r="AJ3" i="19"/>
  <c r="AB3" i="19"/>
  <c r="AA3" i="19"/>
  <c r="Z3" i="19"/>
  <c r="Y3" i="19"/>
  <c r="X3" i="19"/>
  <c r="W3" i="19"/>
  <c r="V3" i="19"/>
  <c r="S3" i="19"/>
  <c r="R3" i="19"/>
  <c r="Q3" i="19"/>
  <c r="P3" i="19"/>
  <c r="O3" i="19"/>
  <c r="N3" i="19"/>
  <c r="F3" i="19"/>
  <c r="E3" i="19"/>
  <c r="D3" i="19"/>
  <c r="C3" i="19"/>
  <c r="T30" i="18"/>
  <c r="BG28" i="18"/>
  <c r="BD28" i="18"/>
  <c r="BC28" i="18"/>
  <c r="BB28" i="18"/>
  <c r="AF28" i="18"/>
  <c r="AA28" i="18"/>
  <c r="Z28" i="18"/>
  <c r="D28" i="18"/>
  <c r="C28" i="18"/>
  <c r="T27" i="18"/>
  <c r="M26" i="18"/>
  <c r="L26" i="18"/>
  <c r="K26" i="18"/>
  <c r="I26" i="18"/>
  <c r="H26" i="18"/>
  <c r="AS25" i="18"/>
  <c r="AQ25" i="18"/>
  <c r="AP25" i="18"/>
  <c r="AO25" i="18"/>
  <c r="AN25" i="18"/>
  <c r="AD25" i="18"/>
  <c r="AB25" i="18"/>
  <c r="T25" i="18"/>
  <c r="S25" i="18"/>
  <c r="R25" i="18"/>
  <c r="I25" i="18"/>
  <c r="H25" i="18"/>
  <c r="G25" i="18"/>
  <c r="F25" i="18"/>
  <c r="E25" i="18"/>
  <c r="D25" i="18"/>
  <c r="C25" i="18"/>
  <c r="BC23" i="18"/>
  <c r="X23" i="18"/>
  <c r="W23" i="18"/>
  <c r="V23" i="18"/>
  <c r="BE22" i="18"/>
  <c r="AW22" i="18"/>
  <c r="AV22" i="18"/>
  <c r="AU22" i="18"/>
  <c r="AT22" i="18"/>
  <c r="AS22" i="18"/>
  <c r="AR22" i="18"/>
  <c r="AQ22" i="18"/>
  <c r="AP22" i="18"/>
  <c r="AI22" i="18"/>
  <c r="X22" i="18"/>
  <c r="W22" i="18"/>
  <c r="T22" i="18"/>
  <c r="Q22" i="18"/>
  <c r="M22" i="18"/>
  <c r="E22" i="18"/>
  <c r="D22" i="18"/>
  <c r="C22" i="18"/>
  <c r="AL21" i="18"/>
  <c r="J21" i="18"/>
  <c r="J23" i="18" s="1"/>
  <c r="I21" i="18"/>
  <c r="I23" i="18" s="1"/>
  <c r="G21" i="18"/>
  <c r="G23" i="18" s="1"/>
  <c r="E21" i="18"/>
  <c r="E23" i="18" s="1"/>
  <c r="D21" i="18"/>
  <c r="D23" i="18" s="1"/>
  <c r="BG16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P16" i="33" s="1"/>
  <c r="AO16" i="18"/>
  <c r="AN16" i="18"/>
  <c r="N16" i="33" s="1"/>
  <c r="AM16" i="18"/>
  <c r="M16" i="33" s="1"/>
  <c r="AL16" i="18"/>
  <c r="L16" i="33" s="1"/>
  <c r="AK16" i="18"/>
  <c r="K16" i="33" s="1"/>
  <c r="AJ16" i="18"/>
  <c r="J16" i="33" s="1"/>
  <c r="AI16" i="18"/>
  <c r="I16" i="33" s="1"/>
  <c r="AH16" i="18"/>
  <c r="H16" i="33" s="1"/>
  <c r="AG16" i="18"/>
  <c r="G16" i="33" s="1"/>
  <c r="AF16" i="18"/>
  <c r="F16" i="33" s="1"/>
  <c r="AE16" i="18"/>
  <c r="E16" i="33" s="1"/>
  <c r="AD16" i="18"/>
  <c r="D16" i="33" s="1"/>
  <c r="AC16" i="18"/>
  <c r="C16" i="33" s="1"/>
  <c r="AB16" i="18"/>
  <c r="B16" i="33" s="1"/>
  <c r="AA16" i="18"/>
  <c r="Z16" i="18"/>
  <c r="Y16" i="18"/>
  <c r="X16" i="18"/>
  <c r="W16" i="18"/>
  <c r="V16" i="18"/>
  <c r="U16" i="18"/>
  <c r="T16" i="18"/>
  <c r="S16" i="18"/>
  <c r="BG15" i="18"/>
  <c r="BF15" i="18"/>
  <c r="BE15" i="18"/>
  <c r="BD15" i="18"/>
  <c r="BD22" i="18" s="1"/>
  <c r="BC15" i="18"/>
  <c r="BC22" i="18" s="1"/>
  <c r="BB15" i="18"/>
  <c r="BB22" i="18" s="1"/>
  <c r="BA15" i="18"/>
  <c r="BA22" i="18" s="1"/>
  <c r="AZ15" i="18"/>
  <c r="AZ22" i="18" s="1"/>
  <c r="AY15" i="18"/>
  <c r="AY22" i="18" s="1"/>
  <c r="AX15" i="18"/>
  <c r="AX22" i="18" s="1"/>
  <c r="AW15" i="18"/>
  <c r="AV15" i="18"/>
  <c r="AU15" i="18"/>
  <c r="AT15" i="18"/>
  <c r="AS15" i="18"/>
  <c r="AR15" i="18"/>
  <c r="AQ15" i="18"/>
  <c r="AP15" i="18"/>
  <c r="P15" i="33" s="1"/>
  <c r="AO15" i="18"/>
  <c r="AN15" i="18"/>
  <c r="N15" i="33" s="1"/>
  <c r="AM15" i="18"/>
  <c r="AL15" i="18"/>
  <c r="AK15" i="18"/>
  <c r="AJ15" i="18"/>
  <c r="AI15" i="18"/>
  <c r="I15" i="33" s="1"/>
  <c r="AH15" i="18"/>
  <c r="H15" i="33" s="1"/>
  <c r="AG15" i="18"/>
  <c r="G15" i="33" s="1"/>
  <c r="AF15" i="18"/>
  <c r="F15" i="33" s="1"/>
  <c r="AE15" i="18"/>
  <c r="E15" i="33" s="1"/>
  <c r="AD15" i="18"/>
  <c r="D15" i="33" s="1"/>
  <c r="AC15" i="18"/>
  <c r="C15" i="33" s="1"/>
  <c r="AB15" i="18"/>
  <c r="AA15" i="18"/>
  <c r="AA22" i="18" s="1"/>
  <c r="Z15" i="18"/>
  <c r="Z22" i="18" s="1"/>
  <c r="Y15" i="18"/>
  <c r="Y22" i="18" s="1"/>
  <c r="X15" i="18"/>
  <c r="W15" i="18"/>
  <c r="V15" i="18"/>
  <c r="V22" i="18" s="1"/>
  <c r="U15" i="18"/>
  <c r="U22" i="18" s="1"/>
  <c r="T15" i="18"/>
  <c r="S15" i="18"/>
  <c r="S22" i="18" s="1"/>
  <c r="R15" i="18"/>
  <c r="R22" i="18" s="1"/>
  <c r="Q15" i="18"/>
  <c r="P15" i="18"/>
  <c r="O15" i="18"/>
  <c r="N15" i="18"/>
  <c r="M15" i="18"/>
  <c r="L15" i="18"/>
  <c r="L22" i="18" s="1"/>
  <c r="L23" i="18" s="1"/>
  <c r="K15" i="18"/>
  <c r="K22" i="18" s="1"/>
  <c r="J15" i="18"/>
  <c r="J22" i="18" s="1"/>
  <c r="I15" i="18"/>
  <c r="I22" i="18" s="1"/>
  <c r="H15" i="18"/>
  <c r="H22" i="18" s="1"/>
  <c r="G15" i="18"/>
  <c r="G22" i="18" s="1"/>
  <c r="F15" i="18"/>
  <c r="F22" i="18" s="1"/>
  <c r="E15" i="18"/>
  <c r="D15" i="18"/>
  <c r="C15" i="18"/>
  <c r="BC14" i="18"/>
  <c r="BC8" i="18" s="1"/>
  <c r="BC12" i="18" s="1"/>
  <c r="AO14" i="18"/>
  <c r="AA14" i="18"/>
  <c r="R14" i="18"/>
  <c r="BG13" i="18"/>
  <c r="BG25" i="18" s="1"/>
  <c r="BF13" i="18"/>
  <c r="BF25" i="18" s="1"/>
  <c r="BE13" i="18"/>
  <c r="BE25" i="18" s="1"/>
  <c r="BD13" i="18"/>
  <c r="BD25" i="18" s="1"/>
  <c r="BC13" i="18"/>
  <c r="BC25" i="18" s="1"/>
  <c r="BB13" i="18"/>
  <c r="BA13" i="18"/>
  <c r="BA25" i="18" s="1"/>
  <c r="AZ13" i="18"/>
  <c r="AZ25" i="18" s="1"/>
  <c r="AY13" i="18"/>
  <c r="AY25" i="18" s="1"/>
  <c r="AX13" i="18"/>
  <c r="AW13" i="18"/>
  <c r="AW25" i="18" s="1"/>
  <c r="AV13" i="18"/>
  <c r="AU13" i="18"/>
  <c r="AT13" i="18"/>
  <c r="AT25" i="18" s="1"/>
  <c r="AS13" i="18"/>
  <c r="AR13" i="18"/>
  <c r="AR25" i="18" s="1"/>
  <c r="AQ13" i="18"/>
  <c r="AP13" i="18"/>
  <c r="P13" i="33" s="1"/>
  <c r="AO13" i="18"/>
  <c r="O13" i="33" s="1"/>
  <c r="AN13" i="18"/>
  <c r="N13" i="33" s="1"/>
  <c r="AM13" i="18"/>
  <c r="M13" i="33" s="1"/>
  <c r="AL13" i="18"/>
  <c r="L13" i="33" s="1"/>
  <c r="AK13" i="18"/>
  <c r="K13" i="33" s="1"/>
  <c r="AJ13" i="18"/>
  <c r="J13" i="33" s="1"/>
  <c r="AI13" i="18"/>
  <c r="I13" i="33" s="1"/>
  <c r="AH13" i="18"/>
  <c r="H13" i="33" s="1"/>
  <c r="AG13" i="18"/>
  <c r="G13" i="33" s="1"/>
  <c r="AF13" i="18"/>
  <c r="AE13" i="18"/>
  <c r="E13" i="33" s="1"/>
  <c r="AD13" i="18"/>
  <c r="D13" i="33" s="1"/>
  <c r="AC13" i="18"/>
  <c r="AB13" i="18"/>
  <c r="AA13" i="18"/>
  <c r="AA25" i="18" s="1"/>
  <c r="Z13" i="18"/>
  <c r="Y13" i="18"/>
  <c r="X13" i="18"/>
  <c r="W13" i="18"/>
  <c r="V13" i="18"/>
  <c r="U13" i="18"/>
  <c r="U25" i="18" s="1"/>
  <c r="T13" i="18"/>
  <c r="S13" i="18"/>
  <c r="R13" i="18"/>
  <c r="Q13" i="18"/>
  <c r="Q25" i="18" s="1"/>
  <c r="P13" i="18"/>
  <c r="P25" i="18" s="1"/>
  <c r="O13" i="18"/>
  <c r="O25" i="18" s="1"/>
  <c r="N13" i="18"/>
  <c r="N25" i="18" s="1"/>
  <c r="M13" i="18"/>
  <c r="M25" i="18" s="1"/>
  <c r="L13" i="18"/>
  <c r="L25" i="18" s="1"/>
  <c r="K13" i="18"/>
  <c r="K25" i="18" s="1"/>
  <c r="J13" i="18"/>
  <c r="I13" i="18"/>
  <c r="H13" i="18"/>
  <c r="G13" i="18"/>
  <c r="F13" i="18"/>
  <c r="E13" i="18"/>
  <c r="D13" i="18"/>
  <c r="C13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M44" i="14" s="1"/>
  <c r="L12" i="18"/>
  <c r="K12" i="18"/>
  <c r="J12" i="18"/>
  <c r="I12" i="18"/>
  <c r="H12" i="18"/>
  <c r="G12" i="18"/>
  <c r="F12" i="18"/>
  <c r="E12" i="18"/>
  <c r="D12" i="18"/>
  <c r="C12" i="18"/>
  <c r="BG11" i="18"/>
  <c r="BF11" i="18"/>
  <c r="BE11" i="18"/>
  <c r="BD11" i="18"/>
  <c r="BC11" i="18"/>
  <c r="BB11" i="18"/>
  <c r="BA11" i="18"/>
  <c r="BA9" i="18" s="1"/>
  <c r="BA28" i="18" s="1"/>
  <c r="AZ11" i="18"/>
  <c r="AY11" i="18"/>
  <c r="AX11" i="18"/>
  <c r="AW11" i="18"/>
  <c r="AV11" i="18"/>
  <c r="AU11" i="18"/>
  <c r="AT11" i="18"/>
  <c r="AS11" i="18"/>
  <c r="AR11" i="18"/>
  <c r="AQ11" i="18"/>
  <c r="AP11" i="18"/>
  <c r="P10" i="33" s="1"/>
  <c r="AO11" i="18"/>
  <c r="O10" i="33" s="1"/>
  <c r="AN11" i="18"/>
  <c r="N10" i="33" s="1"/>
  <c r="AM11" i="18"/>
  <c r="M10" i="33" s="1"/>
  <c r="AL11" i="18"/>
  <c r="L10" i="33" s="1"/>
  <c r="AK11" i="18"/>
  <c r="K10" i="33" s="1"/>
  <c r="AJ11" i="18"/>
  <c r="J10" i="33" s="1"/>
  <c r="AI11" i="18"/>
  <c r="I10" i="33" s="1"/>
  <c r="AH11" i="18"/>
  <c r="H10" i="33" s="1"/>
  <c r="AG11" i="18"/>
  <c r="G10" i="33" s="1"/>
  <c r="AF11" i="18"/>
  <c r="F10" i="33" s="1"/>
  <c r="AE11" i="18"/>
  <c r="E10" i="33" s="1"/>
  <c r="AD11" i="18"/>
  <c r="D10" i="33" s="1"/>
  <c r="AC11" i="18"/>
  <c r="C10" i="33" s="1"/>
  <c r="AB11" i="18"/>
  <c r="B10" i="33" s="1"/>
  <c r="AA11" i="18"/>
  <c r="Z11" i="18"/>
  <c r="Z9" i="18" s="1"/>
  <c r="Z8" i="18" s="1"/>
  <c r="Z32" i="18" s="1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F9" i="18" s="1"/>
  <c r="F28" i="18" s="1"/>
  <c r="E11" i="18"/>
  <c r="D11" i="18"/>
  <c r="D9" i="18" s="1"/>
  <c r="C11" i="18"/>
  <c r="BG10" i="18"/>
  <c r="BG9" i="18" s="1"/>
  <c r="BF10" i="18"/>
  <c r="BF9" i="18" s="1"/>
  <c r="BF28" i="18" s="1"/>
  <c r="BE10" i="18"/>
  <c r="BE9" i="18" s="1"/>
  <c r="BE28" i="18" s="1"/>
  <c r="BD10" i="18"/>
  <c r="BC10" i="18"/>
  <c r="BB10" i="18"/>
  <c r="BA10" i="18"/>
  <c r="AZ10" i="18"/>
  <c r="AY10" i="18"/>
  <c r="AX10" i="18"/>
  <c r="AW10" i="18"/>
  <c r="AV10" i="18"/>
  <c r="AU10" i="18"/>
  <c r="AT10" i="18"/>
  <c r="AS10" i="18"/>
  <c r="AR10" i="18"/>
  <c r="AQ10" i="18"/>
  <c r="AQ9" i="18" s="1"/>
  <c r="AQ28" i="18" s="1"/>
  <c r="AP10" i="18"/>
  <c r="AO10" i="18"/>
  <c r="O9" i="33" s="1"/>
  <c r="AN10" i="18"/>
  <c r="N9" i="33" s="1"/>
  <c r="AM10" i="18"/>
  <c r="AL10" i="18"/>
  <c r="AK10" i="18"/>
  <c r="K9" i="33" s="1"/>
  <c r="AJ10" i="18"/>
  <c r="J9" i="33" s="1"/>
  <c r="AI10" i="18"/>
  <c r="AH10" i="18"/>
  <c r="H9" i="33" s="1"/>
  <c r="AG10" i="18"/>
  <c r="G9" i="33" s="1"/>
  <c r="AF10" i="18"/>
  <c r="F9" i="33" s="1"/>
  <c r="AE10" i="18"/>
  <c r="E9" i="33" s="1"/>
  <c r="AD10" i="18"/>
  <c r="D9" i="33" s="1"/>
  <c r="AC10" i="18"/>
  <c r="C9" i="33" s="1"/>
  <c r="AB10" i="18"/>
  <c r="B9" i="33" s="1"/>
  <c r="AA10" i="18"/>
  <c r="Z10" i="18"/>
  <c r="Y10" i="18"/>
  <c r="X10" i="18"/>
  <c r="W10" i="18"/>
  <c r="V10" i="18"/>
  <c r="U10" i="18"/>
  <c r="U9" i="18" s="1"/>
  <c r="U28" i="18" s="1"/>
  <c r="T10" i="18"/>
  <c r="T9" i="18" s="1"/>
  <c r="T28" i="18" s="1"/>
  <c r="S10" i="18"/>
  <c r="S9" i="18" s="1"/>
  <c r="R10" i="18"/>
  <c r="Q10" i="18"/>
  <c r="Q9" i="18" s="1"/>
  <c r="Q28" i="18" s="1"/>
  <c r="P10" i="18"/>
  <c r="O10" i="18"/>
  <c r="O9" i="18" s="1"/>
  <c r="N10" i="18"/>
  <c r="M10" i="18"/>
  <c r="L10" i="18"/>
  <c r="K10" i="18"/>
  <c r="J10" i="18"/>
  <c r="I10" i="18"/>
  <c r="H10" i="18"/>
  <c r="G10" i="18"/>
  <c r="F10" i="18"/>
  <c r="E10" i="18"/>
  <c r="E9" i="18" s="1"/>
  <c r="E28" i="18" s="1"/>
  <c r="D10" i="18"/>
  <c r="C10" i="18"/>
  <c r="BD9" i="18"/>
  <c r="BC9" i="18"/>
  <c r="BB9" i="18"/>
  <c r="AZ9" i="18"/>
  <c r="AZ28" i="18" s="1"/>
  <c r="AY9" i="18"/>
  <c r="AY28" i="18" s="1"/>
  <c r="AX9" i="18"/>
  <c r="AX28" i="18" s="1"/>
  <c r="AW9" i="18"/>
  <c r="AW28" i="18" s="1"/>
  <c r="AV9" i="18"/>
  <c r="AV28" i="18" s="1"/>
  <c r="AO9" i="18"/>
  <c r="AN9" i="18"/>
  <c r="AF9" i="18"/>
  <c r="F8" i="33" s="1"/>
  <c r="AA9" i="18"/>
  <c r="AA8" i="18" s="1"/>
  <c r="AA32" i="18" s="1"/>
  <c r="R9" i="18"/>
  <c r="R28" i="18" s="1"/>
  <c r="P9" i="18"/>
  <c r="N9" i="18"/>
  <c r="M9" i="18"/>
  <c r="L9" i="18"/>
  <c r="K9" i="18"/>
  <c r="J9" i="18"/>
  <c r="I9" i="18"/>
  <c r="H9" i="18"/>
  <c r="G9" i="18"/>
  <c r="C9" i="18"/>
  <c r="AV8" i="18"/>
  <c r="AV12" i="18" s="1"/>
  <c r="AV44" i="14" s="1"/>
  <c r="T8" i="18"/>
  <c r="T32" i="18" s="1"/>
  <c r="R8" i="18"/>
  <c r="R32" i="18" s="1"/>
  <c r="F8" i="18"/>
  <c r="E8" i="18"/>
  <c r="D8" i="18"/>
  <c r="C8" i="18"/>
  <c r="AO7" i="18"/>
  <c r="AL7" i="18"/>
  <c r="AH7" i="18"/>
  <c r="AG7" i="18"/>
  <c r="AF7" i="18"/>
  <c r="X7" i="18"/>
  <c r="X21" i="18" s="1"/>
  <c r="W7" i="18"/>
  <c r="W21" i="18" s="1"/>
  <c r="V7" i="18"/>
  <c r="V21" i="18" s="1"/>
  <c r="U7" i="18"/>
  <c r="U21" i="18" s="1"/>
  <c r="P7" i="18"/>
  <c r="P21" i="18" s="1"/>
  <c r="O7" i="18"/>
  <c r="O21" i="18" s="1"/>
  <c r="N7" i="18"/>
  <c r="N21" i="18" s="1"/>
  <c r="M7" i="18"/>
  <c r="M21" i="18" s="1"/>
  <c r="M23" i="18" s="1"/>
  <c r="L7" i="18"/>
  <c r="L21" i="18" s="1"/>
  <c r="K7" i="18"/>
  <c r="K21" i="18" s="1"/>
  <c r="K23" i="18" s="1"/>
  <c r="J7" i="18"/>
  <c r="I7" i="18"/>
  <c r="H7" i="18"/>
  <c r="H21" i="18" s="1"/>
  <c r="H23" i="18" s="1"/>
  <c r="BG6" i="18"/>
  <c r="BF6" i="18"/>
  <c r="BE6" i="18"/>
  <c r="BD6" i="18"/>
  <c r="BC6" i="18"/>
  <c r="BB6" i="18"/>
  <c r="BA6" i="18"/>
  <c r="AZ6" i="18"/>
  <c r="AY6" i="18"/>
  <c r="AX6" i="18"/>
  <c r="AW6" i="18"/>
  <c r="AV6" i="18"/>
  <c r="AU6" i="18"/>
  <c r="AT6" i="18"/>
  <c r="AT19" i="14" s="1"/>
  <c r="AT18" i="14" s="1"/>
  <c r="AS6" i="18"/>
  <c r="AS7" i="18" s="1"/>
  <c r="AR6" i="18"/>
  <c r="AR7" i="18" s="1"/>
  <c r="AQ6" i="18"/>
  <c r="AQ7" i="18" s="1"/>
  <c r="AP6" i="18"/>
  <c r="P5" i="33" s="1"/>
  <c r="AO6" i="18"/>
  <c r="O5" i="33" s="1"/>
  <c r="AN6" i="18"/>
  <c r="N5" i="33" s="1"/>
  <c r="AM6" i="18"/>
  <c r="M5" i="33" s="1"/>
  <c r="AL6" i="18"/>
  <c r="L5" i="33" s="1"/>
  <c r="AK6" i="18"/>
  <c r="K5" i="33" s="1"/>
  <c r="AJ6" i="18"/>
  <c r="J5" i="33" s="1"/>
  <c r="AI6" i="18"/>
  <c r="I5" i="33" s="1"/>
  <c r="AH6" i="18"/>
  <c r="H5" i="33" s="1"/>
  <c r="AG6" i="18"/>
  <c r="G5" i="33" s="1"/>
  <c r="AF6" i="18"/>
  <c r="F5" i="33" s="1"/>
  <c r="AE6" i="18"/>
  <c r="E5" i="33" s="1"/>
  <c r="AD6" i="18"/>
  <c r="D5" i="33" s="1"/>
  <c r="AC6" i="18"/>
  <c r="C5" i="33" s="1"/>
  <c r="AB6" i="18"/>
  <c r="B5" i="33" s="1"/>
  <c r="AA6" i="18"/>
  <c r="Z6" i="18"/>
  <c r="Y6" i="18"/>
  <c r="X6" i="18"/>
  <c r="X19" i="14" s="1"/>
  <c r="X18" i="14" s="1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G5" i="18"/>
  <c r="BF5" i="18"/>
  <c r="BE5" i="18"/>
  <c r="BE7" i="18" s="1"/>
  <c r="BD5" i="18"/>
  <c r="BC5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P4" i="33" s="1"/>
  <c r="AO5" i="18"/>
  <c r="O4" i="33" s="1"/>
  <c r="AN5" i="18"/>
  <c r="N4" i="33" s="1"/>
  <c r="AM5" i="18"/>
  <c r="M4" i="33" s="1"/>
  <c r="AL5" i="18"/>
  <c r="L4" i="33" s="1"/>
  <c r="AK5" i="18"/>
  <c r="AJ5" i="18"/>
  <c r="AI5" i="18"/>
  <c r="AH5" i="18"/>
  <c r="H4" i="33" s="1"/>
  <c r="AG5" i="18"/>
  <c r="G4" i="33" s="1"/>
  <c r="AF5" i="18"/>
  <c r="F4" i="33" s="1"/>
  <c r="AE5" i="18"/>
  <c r="E4" i="33" s="1"/>
  <c r="AD5" i="18"/>
  <c r="D4" i="33" s="1"/>
  <c r="AC5" i="18"/>
  <c r="C4" i="33" s="1"/>
  <c r="AB5" i="18"/>
  <c r="B4" i="33" s="1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O12" i="14" s="1"/>
  <c r="N5" i="18"/>
  <c r="M5" i="18"/>
  <c r="L5" i="18"/>
  <c r="K5" i="18"/>
  <c r="J5" i="18"/>
  <c r="I5" i="18"/>
  <c r="H5" i="18"/>
  <c r="G5" i="18"/>
  <c r="F5" i="18"/>
  <c r="E5" i="18"/>
  <c r="D5" i="18"/>
  <c r="C5" i="18"/>
  <c r="BG4" i="18"/>
  <c r="BF4" i="18"/>
  <c r="BE4" i="18"/>
  <c r="BD4" i="18"/>
  <c r="BC4" i="18"/>
  <c r="BC7" i="18" s="1"/>
  <c r="BC21" i="18" s="1"/>
  <c r="BB4" i="18"/>
  <c r="BB7" i="18" s="1"/>
  <c r="BA4" i="18"/>
  <c r="BA7" i="18" s="1"/>
  <c r="AZ4" i="18"/>
  <c r="AZ7" i="18" s="1"/>
  <c r="AY4" i="18"/>
  <c r="AX4" i="18"/>
  <c r="AW4" i="18"/>
  <c r="AW7" i="18" s="1"/>
  <c r="AW21" i="18" s="1"/>
  <c r="AW23" i="18" s="1"/>
  <c r="AV4" i="18"/>
  <c r="AV7" i="18" s="1"/>
  <c r="AV14" i="18" s="1"/>
  <c r="AU4" i="18"/>
  <c r="AU7" i="18" s="1"/>
  <c r="AT4" i="18"/>
  <c r="AS4" i="18"/>
  <c r="AR4" i="18"/>
  <c r="AQ4" i="18"/>
  <c r="AP4" i="18"/>
  <c r="P3" i="33" s="1"/>
  <c r="AO4" i="18"/>
  <c r="O3" i="33" s="1"/>
  <c r="AN4" i="18"/>
  <c r="N3" i="33" s="1"/>
  <c r="AM4" i="18"/>
  <c r="M3" i="33" s="1"/>
  <c r="AL4" i="18"/>
  <c r="L3" i="33" s="1"/>
  <c r="AK4" i="18"/>
  <c r="K3" i="33" s="1"/>
  <c r="AJ4" i="18"/>
  <c r="J3" i="33" s="1"/>
  <c r="AI4" i="18"/>
  <c r="I3" i="33" s="1"/>
  <c r="AH4" i="18"/>
  <c r="H3" i="33" s="1"/>
  <c r="AG4" i="18"/>
  <c r="G3" i="33" s="1"/>
  <c r="AF4" i="18"/>
  <c r="F3" i="33" s="1"/>
  <c r="AE4" i="18"/>
  <c r="E3" i="33" s="1"/>
  <c r="AD4" i="18"/>
  <c r="D3" i="33" s="1"/>
  <c r="AC4" i="18"/>
  <c r="AB4" i="18"/>
  <c r="AA4" i="18"/>
  <c r="AA7" i="18" s="1"/>
  <c r="AA21" i="18" s="1"/>
  <c r="AA23" i="18" s="1"/>
  <c r="Z4" i="18"/>
  <c r="Z7" i="18" s="1"/>
  <c r="Z21" i="18" s="1"/>
  <c r="Z23" i="18" s="1"/>
  <c r="Y4" i="18"/>
  <c r="Y7" i="18" s="1"/>
  <c r="Y21" i="18" s="1"/>
  <c r="Y23" i="18" s="1"/>
  <c r="X4" i="18"/>
  <c r="W4" i="18"/>
  <c r="V4" i="18"/>
  <c r="U4" i="18"/>
  <c r="T4" i="18"/>
  <c r="T7" i="18" s="1"/>
  <c r="T21" i="18" s="1"/>
  <c r="T23" i="18" s="1"/>
  <c r="T26" i="18" s="1"/>
  <c r="T29" i="18" s="1"/>
  <c r="S4" i="18"/>
  <c r="S7" i="18" s="1"/>
  <c r="S21" i="18" s="1"/>
  <c r="R4" i="18"/>
  <c r="R7" i="18" s="1"/>
  <c r="R21" i="18" s="1"/>
  <c r="Q4" i="18"/>
  <c r="Q7" i="18" s="1"/>
  <c r="Q21" i="18" s="1"/>
  <c r="P4" i="18"/>
  <c r="O4" i="18"/>
  <c r="N4" i="18"/>
  <c r="M4" i="18"/>
  <c r="L4" i="18"/>
  <c r="K4" i="18"/>
  <c r="J4" i="18"/>
  <c r="I4" i="18"/>
  <c r="H4" i="18"/>
  <c r="G4" i="18"/>
  <c r="G7" i="18" s="1"/>
  <c r="F4" i="18"/>
  <c r="E4" i="18"/>
  <c r="E7" i="18" s="1"/>
  <c r="D4" i="18"/>
  <c r="D7" i="18" s="1"/>
  <c r="C4" i="18"/>
  <c r="C7" i="18" s="1"/>
  <c r="C21" i="18" s="1"/>
  <c r="C23" i="18" s="1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W32" i="17"/>
  <c r="V32" i="17"/>
  <c r="U32" i="17"/>
  <c r="BG28" i="17"/>
  <c r="BF28" i="17"/>
  <c r="BD28" i="17"/>
  <c r="BC28" i="17"/>
  <c r="V28" i="17"/>
  <c r="BC26" i="17"/>
  <c r="BB26" i="17"/>
  <c r="BF25" i="17"/>
  <c r="BE25" i="17"/>
  <c r="BB25" i="17"/>
  <c r="BA25" i="17"/>
  <c r="AZ25" i="17"/>
  <c r="AY25" i="17"/>
  <c r="AX25" i="17"/>
  <c r="AW25" i="17"/>
  <c r="AV25" i="17"/>
  <c r="AU25" i="17"/>
  <c r="AT25" i="17"/>
  <c r="AO25" i="17"/>
  <c r="AN25" i="17"/>
  <c r="AA25" i="17"/>
  <c r="Y25" i="17"/>
  <c r="BC23" i="17"/>
  <c r="BC24" i="17" s="1"/>
  <c r="BB23" i="17"/>
  <c r="BD22" i="17"/>
  <c r="BC22" i="17"/>
  <c r="BB22" i="17"/>
  <c r="BA22" i="17"/>
  <c r="AZ22" i="17"/>
  <c r="AX22" i="17"/>
  <c r="AW22" i="17"/>
  <c r="AV22" i="17"/>
  <c r="AU22" i="17"/>
  <c r="AT22" i="17"/>
  <c r="AK22" i="17"/>
  <c r="AG22" i="17"/>
  <c r="AF22" i="17"/>
  <c r="AE22" i="17"/>
  <c r="AD22" i="17"/>
  <c r="AC22" i="17"/>
  <c r="AB22" i="17"/>
  <c r="AA22" i="17"/>
  <c r="Z22" i="17"/>
  <c r="Y22" i="17"/>
  <c r="X22" i="17"/>
  <c r="AI21" i="17"/>
  <c r="BG16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P16" i="35" s="1"/>
  <c r="AO16" i="17"/>
  <c r="O16" i="35" s="1"/>
  <c r="AN16" i="17"/>
  <c r="N16" i="35" s="1"/>
  <c r="AM16" i="17"/>
  <c r="M16" i="35" s="1"/>
  <c r="AL16" i="17"/>
  <c r="L16" i="35" s="1"/>
  <c r="AK16" i="17"/>
  <c r="K16" i="35" s="1"/>
  <c r="AJ16" i="17"/>
  <c r="J16" i="35" s="1"/>
  <c r="AI16" i="17"/>
  <c r="I16" i="35" s="1"/>
  <c r="AH16" i="17"/>
  <c r="H16" i="35" s="1"/>
  <c r="AG16" i="17"/>
  <c r="G16" i="35" s="1"/>
  <c r="AF16" i="17"/>
  <c r="F16" i="35" s="1"/>
  <c r="AE16" i="17"/>
  <c r="E16" i="35" s="1"/>
  <c r="AD16" i="17"/>
  <c r="D16" i="35" s="1"/>
  <c r="AC16" i="17"/>
  <c r="C16" i="35" s="1"/>
  <c r="AB16" i="17"/>
  <c r="B16" i="35" s="1"/>
  <c r="AA16" i="17"/>
  <c r="BG15" i="17"/>
  <c r="BG22" i="17" s="1"/>
  <c r="BF15" i="17"/>
  <c r="BF22" i="17" s="1"/>
  <c r="BE15" i="17"/>
  <c r="BE65" i="14" s="1"/>
  <c r="BD15" i="17"/>
  <c r="BC15" i="17"/>
  <c r="BB15" i="17"/>
  <c r="BA15" i="17"/>
  <c r="AZ15" i="17"/>
  <c r="AY15" i="17"/>
  <c r="AY22" i="17" s="1"/>
  <c r="AX15" i="17"/>
  <c r="AW15" i="17"/>
  <c r="AV15" i="17"/>
  <c r="AU15" i="17"/>
  <c r="AT15" i="17"/>
  <c r="AS15" i="17"/>
  <c r="AS22" i="17" s="1"/>
  <c r="AR15" i="17"/>
  <c r="AQ15" i="17"/>
  <c r="AQ22" i="17" s="1"/>
  <c r="AP15" i="17"/>
  <c r="AO15" i="17"/>
  <c r="O15" i="35" s="1"/>
  <c r="AN15" i="17"/>
  <c r="AM15" i="17"/>
  <c r="AL15" i="17"/>
  <c r="AK15" i="17"/>
  <c r="K15" i="35" s="1"/>
  <c r="AJ15" i="17"/>
  <c r="AI15" i="17"/>
  <c r="AH15" i="17"/>
  <c r="H15" i="35" s="1"/>
  <c r="AG15" i="17"/>
  <c r="G15" i="35" s="1"/>
  <c r="AF15" i="17"/>
  <c r="F15" i="35" s="1"/>
  <c r="AE15" i="17"/>
  <c r="E15" i="35" s="1"/>
  <c r="AD15" i="17"/>
  <c r="D15" i="35" s="1"/>
  <c r="AC15" i="17"/>
  <c r="C15" i="35" s="1"/>
  <c r="AB15" i="17"/>
  <c r="B15" i="35" s="1"/>
  <c r="AA15" i="17"/>
  <c r="Z15" i="17"/>
  <c r="Y15" i="17"/>
  <c r="X15" i="17"/>
  <c r="W15" i="17"/>
  <c r="W22" i="17" s="1"/>
  <c r="V15" i="17"/>
  <c r="U15" i="17"/>
  <c r="T15" i="17"/>
  <c r="S15" i="17"/>
  <c r="S22" i="17" s="1"/>
  <c r="BC14" i="17"/>
  <c r="BC8" i="17" s="1"/>
  <c r="BC12" i="17" s="1"/>
  <c r="BC49" i="14" s="1"/>
  <c r="AK14" i="17"/>
  <c r="AG14" i="17"/>
  <c r="AC14" i="17"/>
  <c r="S14" i="17"/>
  <c r="BG13" i="17"/>
  <c r="BG25" i="17" s="1"/>
  <c r="BF13" i="17"/>
  <c r="BE13" i="17"/>
  <c r="BD13" i="17"/>
  <c r="BD25" i="17" s="1"/>
  <c r="BC13" i="17"/>
  <c r="BC25" i="17" s="1"/>
  <c r="BB13" i="17"/>
  <c r="BA13" i="17"/>
  <c r="AZ13" i="17"/>
  <c r="AY13" i="17"/>
  <c r="AX13" i="17"/>
  <c r="AW13" i="17"/>
  <c r="AV13" i="17"/>
  <c r="AU13" i="17"/>
  <c r="AT13" i="17"/>
  <c r="AT56" i="14" s="1"/>
  <c r="AS13" i="17"/>
  <c r="AS25" i="17" s="1"/>
  <c r="AR13" i="17"/>
  <c r="AR25" i="17" s="1"/>
  <c r="AQ13" i="17"/>
  <c r="AQ25" i="17" s="1"/>
  <c r="AP13" i="17"/>
  <c r="AO13" i="17"/>
  <c r="O13" i="35" s="1"/>
  <c r="AN13" i="17"/>
  <c r="N13" i="35" s="1"/>
  <c r="AM13" i="17"/>
  <c r="M13" i="35" s="1"/>
  <c r="AL13" i="17"/>
  <c r="AK13" i="17"/>
  <c r="AJ13" i="17"/>
  <c r="AI13" i="17"/>
  <c r="I13" i="35" s="1"/>
  <c r="AH13" i="17"/>
  <c r="AG13" i="17"/>
  <c r="G13" i="35" s="1"/>
  <c r="AF13" i="17"/>
  <c r="F13" i="35" s="1"/>
  <c r="AE13" i="17"/>
  <c r="AD13" i="17"/>
  <c r="AC13" i="17"/>
  <c r="C13" i="35" s="1"/>
  <c r="AB13" i="17"/>
  <c r="AA13" i="17"/>
  <c r="Z13" i="17"/>
  <c r="Z25" i="17" s="1"/>
  <c r="Y13" i="17"/>
  <c r="X13" i="17"/>
  <c r="W13" i="17"/>
  <c r="V13" i="17"/>
  <c r="V25" i="17" s="1"/>
  <c r="U13" i="17"/>
  <c r="U25" i="17" s="1"/>
  <c r="T13" i="17"/>
  <c r="T25" i="17" s="1"/>
  <c r="S13" i="17"/>
  <c r="AA12" i="17"/>
  <c r="Z12" i="17"/>
  <c r="Y12" i="17"/>
  <c r="X12" i="17"/>
  <c r="W12" i="17"/>
  <c r="V12" i="17"/>
  <c r="U12" i="17"/>
  <c r="T12" i="17"/>
  <c r="S12" i="17"/>
  <c r="BG11" i="17"/>
  <c r="BF11" i="17"/>
  <c r="BE11" i="17"/>
  <c r="BD11" i="17"/>
  <c r="BC11" i="17"/>
  <c r="BB11" i="17"/>
  <c r="BB42" i="14" s="1"/>
  <c r="BA11" i="17"/>
  <c r="AZ11" i="17"/>
  <c r="AY11" i="17"/>
  <c r="AX11" i="17"/>
  <c r="AW11" i="17"/>
  <c r="AV11" i="17"/>
  <c r="AV9" i="17" s="1"/>
  <c r="AV28" i="17" s="1"/>
  <c r="AU11" i="17"/>
  <c r="AT11" i="17"/>
  <c r="AS11" i="17"/>
  <c r="AR11" i="17"/>
  <c r="AQ11" i="17"/>
  <c r="AP11" i="17"/>
  <c r="P10" i="35" s="1"/>
  <c r="AO11" i="17"/>
  <c r="O10" i="35" s="1"/>
  <c r="AN11" i="17"/>
  <c r="N10" i="35" s="1"/>
  <c r="AM11" i="17"/>
  <c r="M10" i="35" s="1"/>
  <c r="AL11" i="17"/>
  <c r="L10" i="35" s="1"/>
  <c r="AK11" i="17"/>
  <c r="K10" i="35" s="1"/>
  <c r="AJ11" i="17"/>
  <c r="J10" i="35" s="1"/>
  <c r="AI11" i="17"/>
  <c r="AH11" i="17"/>
  <c r="H10" i="35" s="1"/>
  <c r="AG11" i="17"/>
  <c r="G10" i="35" s="1"/>
  <c r="AF11" i="17"/>
  <c r="AE11" i="17"/>
  <c r="E10" i="35" s="1"/>
  <c r="AD11" i="17"/>
  <c r="D10" i="35" s="1"/>
  <c r="AC11" i="17"/>
  <c r="C10" i="35" s="1"/>
  <c r="AB11" i="17"/>
  <c r="B10" i="35" s="1"/>
  <c r="AA11" i="17"/>
  <c r="Z11" i="17"/>
  <c r="Z9" i="17" s="1"/>
  <c r="Z28" i="17" s="1"/>
  <c r="Y11" i="17"/>
  <c r="X11" i="17"/>
  <c r="W11" i="17"/>
  <c r="V11" i="17"/>
  <c r="U11" i="17"/>
  <c r="T11" i="17"/>
  <c r="S11" i="17"/>
  <c r="BG10" i="17"/>
  <c r="BF10" i="17"/>
  <c r="BE10" i="17"/>
  <c r="BD10" i="17"/>
  <c r="BC10" i="17"/>
  <c r="BB10" i="17"/>
  <c r="BA10" i="17"/>
  <c r="AZ10" i="17"/>
  <c r="AY10" i="17"/>
  <c r="AX10" i="17"/>
  <c r="AW10" i="17"/>
  <c r="AV10" i="17"/>
  <c r="AU10" i="17"/>
  <c r="AU9" i="17" s="1"/>
  <c r="AU28" i="17" s="1"/>
  <c r="AT10" i="17"/>
  <c r="AS10" i="17"/>
  <c r="AS9" i="17" s="1"/>
  <c r="AS28" i="17" s="1"/>
  <c r="AR10" i="17"/>
  <c r="AR9" i="17" s="1"/>
  <c r="AR28" i="17" s="1"/>
  <c r="AQ10" i="17"/>
  <c r="AQ9" i="17" s="1"/>
  <c r="AQ28" i="17" s="1"/>
  <c r="AP10" i="17"/>
  <c r="AO10" i="17"/>
  <c r="O9" i="35" s="1"/>
  <c r="AN10" i="17"/>
  <c r="N9" i="35" s="1"/>
  <c r="AM10" i="17"/>
  <c r="M9" i="35" s="1"/>
  <c r="AL10" i="17"/>
  <c r="L9" i="35" s="1"/>
  <c r="AK10" i="17"/>
  <c r="K9" i="35" s="1"/>
  <c r="AJ10" i="17"/>
  <c r="J9" i="35" s="1"/>
  <c r="AI10" i="17"/>
  <c r="I9" i="35" s="1"/>
  <c r="AH10" i="17"/>
  <c r="H9" i="35" s="1"/>
  <c r="AG10" i="17"/>
  <c r="G9" i="35" s="1"/>
  <c r="AF10" i="17"/>
  <c r="AE10" i="17"/>
  <c r="E9" i="35" s="1"/>
  <c r="AD10" i="17"/>
  <c r="D9" i="35" s="1"/>
  <c r="AC10" i="17"/>
  <c r="AB10" i="17"/>
  <c r="AA10" i="17"/>
  <c r="Z10" i="17"/>
  <c r="Y10" i="17"/>
  <c r="Y9" i="17" s="1"/>
  <c r="Y8" i="17" s="1"/>
  <c r="Y32" i="17" s="1"/>
  <c r="X10" i="17"/>
  <c r="W10" i="17"/>
  <c r="W9" i="17" s="1"/>
  <c r="W28" i="17" s="1"/>
  <c r="V10" i="17"/>
  <c r="V9" i="17" s="1"/>
  <c r="U10" i="17"/>
  <c r="U9" i="17" s="1"/>
  <c r="U28" i="17" s="1"/>
  <c r="T10" i="17"/>
  <c r="S10" i="17"/>
  <c r="S9" i="17" s="1"/>
  <c r="S28" i="17" s="1"/>
  <c r="BG9" i="17"/>
  <c r="BF9" i="17"/>
  <c r="BD9" i="17"/>
  <c r="BC9" i="17"/>
  <c r="AT9" i="17"/>
  <c r="AT28" i="17" s="1"/>
  <c r="AP9" i="17"/>
  <c r="AO9" i="17"/>
  <c r="AN9" i="17"/>
  <c r="AM9" i="17"/>
  <c r="AL9" i="17"/>
  <c r="AK9" i="17"/>
  <c r="AJ9" i="17"/>
  <c r="AH9" i="17"/>
  <c r="AG9" i="17"/>
  <c r="Z8" i="17"/>
  <c r="Z32" i="17" s="1"/>
  <c r="W8" i="17"/>
  <c r="V8" i="17"/>
  <c r="V14" i="17" s="1"/>
  <c r="U8" i="17"/>
  <c r="U14" i="17" s="1"/>
  <c r="S8" i="17"/>
  <c r="BG7" i="17"/>
  <c r="BF7" i="17"/>
  <c r="BE7" i="17"/>
  <c r="BC7" i="17"/>
  <c r="BC21" i="17" s="1"/>
  <c r="AL7" i="17"/>
  <c r="AK7" i="17"/>
  <c r="AJ7" i="17"/>
  <c r="AJ21" i="17" s="1"/>
  <c r="AI7" i="17"/>
  <c r="AG7" i="17"/>
  <c r="AF7" i="17"/>
  <c r="BG6" i="17"/>
  <c r="BF6" i="17"/>
  <c r="BE6" i="17"/>
  <c r="BD6" i="17"/>
  <c r="BD7" i="17" s="1"/>
  <c r="BC6" i="17"/>
  <c r="BB6" i="17"/>
  <c r="BA6" i="17"/>
  <c r="AZ6" i="17"/>
  <c r="AY6" i="17"/>
  <c r="AX6" i="17"/>
  <c r="AW6" i="17"/>
  <c r="AV6" i="17"/>
  <c r="AU6" i="17"/>
  <c r="AT6" i="17"/>
  <c r="AS6" i="17"/>
  <c r="AR6" i="17"/>
  <c r="AQ6" i="17"/>
  <c r="AP6" i="17"/>
  <c r="P5" i="35" s="1"/>
  <c r="AO6" i="17"/>
  <c r="AN6" i="17"/>
  <c r="N5" i="35" s="1"/>
  <c r="AM6" i="17"/>
  <c r="M5" i="35" s="1"/>
  <c r="AL6" i="17"/>
  <c r="L5" i="35" s="1"/>
  <c r="AK6" i="17"/>
  <c r="K5" i="35" s="1"/>
  <c r="AJ6" i="17"/>
  <c r="J5" i="35" s="1"/>
  <c r="AI6" i="17"/>
  <c r="I5" i="35" s="1"/>
  <c r="AH6" i="17"/>
  <c r="AG6" i="17"/>
  <c r="G5" i="35" s="1"/>
  <c r="AF6" i="17"/>
  <c r="F5" i="35" s="1"/>
  <c r="AE6" i="17"/>
  <c r="E5" i="35" s="1"/>
  <c r="AD6" i="17"/>
  <c r="AD7" i="17" s="1"/>
  <c r="AC6" i="17"/>
  <c r="AC7" i="17" s="1"/>
  <c r="C6" i="35" s="1"/>
  <c r="AB6" i="17"/>
  <c r="AA6" i="17"/>
  <c r="Z6" i="17"/>
  <c r="Y6" i="17"/>
  <c r="X6" i="17"/>
  <c r="W6" i="17"/>
  <c r="V6" i="17"/>
  <c r="U6" i="17"/>
  <c r="T6" i="17"/>
  <c r="S6" i="17"/>
  <c r="BG5" i="17"/>
  <c r="BF5" i="17"/>
  <c r="BE5" i="17"/>
  <c r="BD5" i="17"/>
  <c r="BC5" i="17"/>
  <c r="BB5" i="17"/>
  <c r="BA5" i="17"/>
  <c r="AZ5" i="17"/>
  <c r="AY5" i="17"/>
  <c r="AX5" i="17"/>
  <c r="AX17" i="14" s="1"/>
  <c r="AW5" i="17"/>
  <c r="AW17" i="14" s="1"/>
  <c r="AV5" i="17"/>
  <c r="AV17" i="14" s="1"/>
  <c r="AU5" i="17"/>
  <c r="AU17" i="14" s="1"/>
  <c r="AT5" i="17"/>
  <c r="AS5" i="17"/>
  <c r="AR5" i="17"/>
  <c r="AQ5" i="17"/>
  <c r="AP5" i="17"/>
  <c r="AO5" i="17"/>
  <c r="AN5" i="17"/>
  <c r="AM5" i="17"/>
  <c r="AL5" i="17"/>
  <c r="L4" i="35" s="1"/>
  <c r="AK5" i="17"/>
  <c r="K4" i="35" s="1"/>
  <c r="AJ5" i="17"/>
  <c r="J4" i="35" s="1"/>
  <c r="AI5" i="17"/>
  <c r="I4" i="35" s="1"/>
  <c r="AH5" i="17"/>
  <c r="H4" i="35" s="1"/>
  <c r="AG5" i="17"/>
  <c r="G4" i="35" s="1"/>
  <c r="AF5" i="17"/>
  <c r="F4" i="35" s="1"/>
  <c r="AE5" i="17"/>
  <c r="AD5" i="17"/>
  <c r="D4" i="35" s="1"/>
  <c r="AC5" i="17"/>
  <c r="C4" i="35" s="1"/>
  <c r="AB5" i="17"/>
  <c r="AA5" i="17"/>
  <c r="AA17" i="14" s="1"/>
  <c r="Z5" i="17"/>
  <c r="Z17" i="14" s="1"/>
  <c r="Y5" i="17"/>
  <c r="Y17" i="14" s="1"/>
  <c r="X5" i="17"/>
  <c r="W5" i="17"/>
  <c r="V5" i="17"/>
  <c r="U5" i="17"/>
  <c r="T5" i="17"/>
  <c r="S5" i="17"/>
  <c r="BG4" i="17"/>
  <c r="BF4" i="17"/>
  <c r="BE4" i="17"/>
  <c r="BD4" i="17"/>
  <c r="BC4" i="17"/>
  <c r="BB4" i="17"/>
  <c r="BB7" i="17" s="1"/>
  <c r="BB21" i="17" s="1"/>
  <c r="BA4" i="17"/>
  <c r="AZ4" i="17"/>
  <c r="AZ7" i="17" s="1"/>
  <c r="AY4" i="17"/>
  <c r="AY7" i="17" s="1"/>
  <c r="AX4" i="17"/>
  <c r="AW4" i="17"/>
  <c r="AW7" i="17" s="1"/>
  <c r="AV4" i="17"/>
  <c r="AU4" i="17"/>
  <c r="AT4" i="17"/>
  <c r="AS4" i="17"/>
  <c r="AR4" i="17"/>
  <c r="AR7" i="17" s="1"/>
  <c r="AQ4" i="17"/>
  <c r="AQ7" i="17" s="1"/>
  <c r="AQ21" i="17" s="1"/>
  <c r="AP4" i="17"/>
  <c r="P3" i="35" s="1"/>
  <c r="AO4" i="17"/>
  <c r="AN4" i="17"/>
  <c r="AM4" i="17"/>
  <c r="M3" i="35" s="1"/>
  <c r="AL4" i="17"/>
  <c r="L3" i="35" s="1"/>
  <c r="AK4" i="17"/>
  <c r="K3" i="35" s="1"/>
  <c r="AJ4" i="17"/>
  <c r="J3" i="35" s="1"/>
  <c r="AI4" i="17"/>
  <c r="I3" i="35" s="1"/>
  <c r="AH4" i="17"/>
  <c r="H3" i="35" s="1"/>
  <c r="AG4" i="17"/>
  <c r="G3" i="35" s="1"/>
  <c r="AF4" i="17"/>
  <c r="F3" i="35" s="1"/>
  <c r="AE4" i="17"/>
  <c r="E3" i="35" s="1"/>
  <c r="AD4" i="17"/>
  <c r="D3" i="35" s="1"/>
  <c r="AC4" i="17"/>
  <c r="C3" i="35" s="1"/>
  <c r="AB4" i="17"/>
  <c r="AA4" i="17"/>
  <c r="AA7" i="17" s="1"/>
  <c r="AA21" i="17" s="1"/>
  <c r="Z4" i="17"/>
  <c r="Y4" i="17"/>
  <c r="X4" i="17"/>
  <c r="W4" i="17"/>
  <c r="V4" i="17"/>
  <c r="V7" i="17" s="1"/>
  <c r="V21" i="17" s="1"/>
  <c r="U4" i="17"/>
  <c r="U7" i="17" s="1"/>
  <c r="U21" i="17" s="1"/>
  <c r="T4" i="17"/>
  <c r="T7" i="17" s="1"/>
  <c r="T21" i="17" s="1"/>
  <c r="S4" i="17"/>
  <c r="S7" i="17" s="1"/>
  <c r="S21" i="17" s="1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AY28" i="16"/>
  <c r="AR28" i="16"/>
  <c r="AP28" i="16"/>
  <c r="AO28" i="16"/>
  <c r="AA28" i="16"/>
  <c r="X28" i="16"/>
  <c r="W28" i="16"/>
  <c r="V28" i="16"/>
  <c r="T28" i="16"/>
  <c r="S28" i="16"/>
  <c r="O26" i="16"/>
  <c r="I26" i="16"/>
  <c r="H26" i="16"/>
  <c r="BF25" i="16"/>
  <c r="BE25" i="16"/>
  <c r="BD25" i="16"/>
  <c r="BB25" i="16"/>
  <c r="AY25" i="16"/>
  <c r="AN25" i="16"/>
  <c r="AM25" i="16"/>
  <c r="AK25" i="16"/>
  <c r="AJ25" i="16"/>
  <c r="AF25" i="16"/>
  <c r="AD25" i="16"/>
  <c r="AC25" i="16"/>
  <c r="AA25" i="16"/>
  <c r="W25" i="16"/>
  <c r="V25" i="16"/>
  <c r="U25" i="16"/>
  <c r="T25" i="16"/>
  <c r="S25" i="16"/>
  <c r="R25" i="16"/>
  <c r="Q25" i="16"/>
  <c r="P25" i="16"/>
  <c r="O25" i="16"/>
  <c r="N25" i="16"/>
  <c r="M25" i="16"/>
  <c r="J25" i="16"/>
  <c r="H25" i="16"/>
  <c r="BE24" i="16"/>
  <c r="M23" i="16"/>
  <c r="BG22" i="16"/>
  <c r="BE22" i="16"/>
  <c r="BD22" i="16"/>
  <c r="BC22" i="16"/>
  <c r="AZ22" i="16"/>
  <c r="AY22" i="16"/>
  <c r="AX22" i="16"/>
  <c r="AW22" i="16"/>
  <c r="AO22" i="16"/>
  <c r="AL22" i="16"/>
  <c r="AH22" i="16"/>
  <c r="AG22" i="16"/>
  <c r="AE22" i="16"/>
  <c r="AD22" i="16"/>
  <c r="AC22" i="16"/>
  <c r="AB22" i="16"/>
  <c r="AA22" i="16"/>
  <c r="Z22" i="16"/>
  <c r="Y22" i="16"/>
  <c r="X22" i="16"/>
  <c r="W22" i="16"/>
  <c r="V22" i="16"/>
  <c r="V23" i="16" s="1"/>
  <c r="F22" i="16"/>
  <c r="BR21" i="16"/>
  <c r="BM21" i="16"/>
  <c r="BL21" i="16"/>
  <c r="BK21" i="16"/>
  <c r="BJ21" i="16"/>
  <c r="M21" i="16"/>
  <c r="L21" i="16"/>
  <c r="L23" i="16" s="1"/>
  <c r="BS18" i="16"/>
  <c r="BN18" i="16"/>
  <c r="BM18" i="16"/>
  <c r="BL18" i="16"/>
  <c r="BK18" i="16"/>
  <c r="BJ17" i="16"/>
  <c r="BJ18" i="16" s="1"/>
  <c r="BG16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P16" i="28" s="1"/>
  <c r="AO16" i="16"/>
  <c r="O16" i="28" s="1"/>
  <c r="AN16" i="16"/>
  <c r="AM16" i="16"/>
  <c r="M16" i="28" s="1"/>
  <c r="AL16" i="16"/>
  <c r="AK16" i="16"/>
  <c r="AJ16" i="16"/>
  <c r="AI16" i="16"/>
  <c r="I16" i="28" s="1"/>
  <c r="AH16" i="16"/>
  <c r="H16" i="28" s="1"/>
  <c r="AG16" i="16"/>
  <c r="G16" i="28" s="1"/>
  <c r="AF16" i="16"/>
  <c r="F16" i="28" s="1"/>
  <c r="AE16" i="16"/>
  <c r="E16" i="28" s="1"/>
  <c r="AD16" i="16"/>
  <c r="D16" i="28" s="1"/>
  <c r="AC16" i="16"/>
  <c r="C16" i="28" s="1"/>
  <c r="AB16" i="16"/>
  <c r="B16" i="28" s="1"/>
  <c r="AA16" i="16"/>
  <c r="Z16" i="16"/>
  <c r="Y16" i="16"/>
  <c r="X16" i="16"/>
  <c r="W16" i="16"/>
  <c r="V16" i="16"/>
  <c r="U16" i="16"/>
  <c r="BG15" i="16"/>
  <c r="BF15" i="16"/>
  <c r="BF22" i="16" s="1"/>
  <c r="BE15" i="16"/>
  <c r="BD15" i="16"/>
  <c r="BC15" i="16"/>
  <c r="BB15" i="16"/>
  <c r="BB22" i="16" s="1"/>
  <c r="BA15" i="16"/>
  <c r="BA22" i="16" s="1"/>
  <c r="AZ15" i="16"/>
  <c r="AY15" i="16"/>
  <c r="AX15" i="16"/>
  <c r="AW15" i="16"/>
  <c r="AV15" i="16"/>
  <c r="AU15" i="16"/>
  <c r="AU22" i="16" s="1"/>
  <c r="AT15" i="16"/>
  <c r="AT22" i="16" s="1"/>
  <c r="AS15" i="16"/>
  <c r="AS22" i="16" s="1"/>
  <c r="AR15" i="16"/>
  <c r="AR22" i="16" s="1"/>
  <c r="AQ15" i="16"/>
  <c r="AQ22" i="16" s="1"/>
  <c r="AP15" i="16"/>
  <c r="AO15" i="16"/>
  <c r="O15" i="28" s="1"/>
  <c r="AN15" i="16"/>
  <c r="AM15" i="16"/>
  <c r="AL15" i="16"/>
  <c r="AK15" i="16"/>
  <c r="AK22" i="16" s="1"/>
  <c r="AJ15" i="16"/>
  <c r="J15" i="28" s="1"/>
  <c r="AI15" i="16"/>
  <c r="I15" i="28" s="1"/>
  <c r="AH15" i="16"/>
  <c r="H15" i="28" s="1"/>
  <c r="AG15" i="16"/>
  <c r="G15" i="28" s="1"/>
  <c r="AF15" i="16"/>
  <c r="F15" i="28" s="1"/>
  <c r="AE15" i="16"/>
  <c r="E15" i="28" s="1"/>
  <c r="AD15" i="16"/>
  <c r="D15" i="28" s="1"/>
  <c r="AC15" i="16"/>
  <c r="C15" i="28" s="1"/>
  <c r="AB15" i="16"/>
  <c r="B15" i="28" s="1"/>
  <c r="AA15" i="16"/>
  <c r="Z15" i="16"/>
  <c r="Z33" i="13" s="1"/>
  <c r="Y15" i="16"/>
  <c r="X15" i="16"/>
  <c r="W15" i="16"/>
  <c r="V15" i="16"/>
  <c r="U15" i="16"/>
  <c r="U22" i="16" s="1"/>
  <c r="T15" i="16"/>
  <c r="T22" i="16" s="1"/>
  <c r="S15" i="16"/>
  <c r="S22" i="16" s="1"/>
  <c r="R15" i="16"/>
  <c r="R22" i="16" s="1"/>
  <c r="Q15" i="16"/>
  <c r="Q22" i="16" s="1"/>
  <c r="P15" i="16"/>
  <c r="P22" i="16" s="1"/>
  <c r="O15" i="16"/>
  <c r="O22" i="16" s="1"/>
  <c r="N15" i="16"/>
  <c r="N22" i="16" s="1"/>
  <c r="M15" i="16"/>
  <c r="M22" i="16" s="1"/>
  <c r="L15" i="16"/>
  <c r="L22" i="16" s="1"/>
  <c r="K15" i="16"/>
  <c r="K22" i="16" s="1"/>
  <c r="K23" i="16" s="1"/>
  <c r="J15" i="16"/>
  <c r="J22" i="16" s="1"/>
  <c r="I15" i="16"/>
  <c r="I22" i="16" s="1"/>
  <c r="H15" i="16"/>
  <c r="H22" i="16" s="1"/>
  <c r="G15" i="16"/>
  <c r="G22" i="16" s="1"/>
  <c r="F15" i="16"/>
  <c r="E15" i="16"/>
  <c r="E22" i="16" s="1"/>
  <c r="D15" i="16"/>
  <c r="C15" i="16"/>
  <c r="C22" i="16" s="1"/>
  <c r="BE14" i="16"/>
  <c r="BD14" i="16"/>
  <c r="AH14" i="16"/>
  <c r="BG13" i="16"/>
  <c r="BG25" i="16" s="1"/>
  <c r="BF13" i="16"/>
  <c r="BE13" i="16"/>
  <c r="BD13" i="16"/>
  <c r="BC13" i="16"/>
  <c r="BC25" i="16" s="1"/>
  <c r="BB13" i="16"/>
  <c r="BA13" i="16"/>
  <c r="BA25" i="16" s="1"/>
  <c r="AZ13" i="16"/>
  <c r="AZ25" i="16" s="1"/>
  <c r="AY13" i="16"/>
  <c r="AX13" i="16"/>
  <c r="AX28" i="13" s="1"/>
  <c r="AW13" i="16"/>
  <c r="AW28" i="13" s="1"/>
  <c r="AV13" i="16"/>
  <c r="AV25" i="16" s="1"/>
  <c r="AU13" i="16"/>
  <c r="AT13" i="16"/>
  <c r="AS13" i="16"/>
  <c r="AR13" i="16"/>
  <c r="AR25" i="16" s="1"/>
  <c r="AQ13" i="16"/>
  <c r="AQ25" i="16" s="1"/>
  <c r="AP13" i="16"/>
  <c r="AO13" i="16"/>
  <c r="AN13" i="16"/>
  <c r="N13" i="28" s="1"/>
  <c r="AM13" i="16"/>
  <c r="M13" i="28" s="1"/>
  <c r="AL13" i="16"/>
  <c r="L13" i="28" s="1"/>
  <c r="AK13" i="16"/>
  <c r="K13" i="28" s="1"/>
  <c r="AJ13" i="16"/>
  <c r="J13" i="28" s="1"/>
  <c r="AI13" i="16"/>
  <c r="I13" i="28" s="1"/>
  <c r="AH13" i="16"/>
  <c r="AH25" i="16" s="1"/>
  <c r="AG13" i="16"/>
  <c r="G13" i="28" s="1"/>
  <c r="AF13" i="16"/>
  <c r="F13" i="28" s="1"/>
  <c r="AE13" i="16"/>
  <c r="AD13" i="16"/>
  <c r="D13" i="28" s="1"/>
  <c r="AC13" i="16"/>
  <c r="C13" i="28" s="1"/>
  <c r="AB13" i="16"/>
  <c r="AA13" i="16"/>
  <c r="Z13" i="16"/>
  <c r="Y13" i="16"/>
  <c r="X13" i="16"/>
  <c r="X25" i="16" s="1"/>
  <c r="W13" i="16"/>
  <c r="V13" i="16"/>
  <c r="U13" i="16"/>
  <c r="T13" i="16"/>
  <c r="S13" i="16"/>
  <c r="R13" i="16"/>
  <c r="Q13" i="16"/>
  <c r="P13" i="16"/>
  <c r="O13" i="16"/>
  <c r="N13" i="16"/>
  <c r="M13" i="16"/>
  <c r="L13" i="16"/>
  <c r="L25" i="16" s="1"/>
  <c r="K13" i="16"/>
  <c r="K25" i="16" s="1"/>
  <c r="J13" i="16"/>
  <c r="I13" i="16"/>
  <c r="I25" i="16" s="1"/>
  <c r="H13" i="16"/>
  <c r="G13" i="16"/>
  <c r="G25" i="16" s="1"/>
  <c r="F13" i="16"/>
  <c r="E13" i="16"/>
  <c r="D13" i="16"/>
  <c r="C13" i="16"/>
  <c r="BQ12" i="16"/>
  <c r="BP12" i="16"/>
  <c r="BO12" i="16"/>
  <c r="BN12" i="16"/>
  <c r="AA12" i="16"/>
  <c r="AA25" i="13" s="1"/>
  <c r="Z12" i="16"/>
  <c r="Z25" i="13" s="1"/>
  <c r="Z23" i="13" s="1"/>
  <c r="Y12" i="16"/>
  <c r="X12" i="16"/>
  <c r="X25" i="13" s="1"/>
  <c r="W12" i="16"/>
  <c r="W25" i="13" s="1"/>
  <c r="V12" i="16"/>
  <c r="V8" i="16" s="1"/>
  <c r="U12" i="16"/>
  <c r="T12" i="16"/>
  <c r="T25" i="13" s="1"/>
  <c r="S12" i="16"/>
  <c r="S25" i="13" s="1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E25" i="13" s="1"/>
  <c r="D12" i="16"/>
  <c r="D25" i="13" s="1"/>
  <c r="D23" i="13" s="1"/>
  <c r="C12" i="16"/>
  <c r="BG11" i="16"/>
  <c r="BG22" i="13" s="1"/>
  <c r="BF11" i="16"/>
  <c r="BF22" i="13" s="1"/>
  <c r="BE11" i="16"/>
  <c r="BD11" i="16"/>
  <c r="BC11" i="16"/>
  <c r="BB11" i="16"/>
  <c r="BA11" i="16"/>
  <c r="AZ11" i="16"/>
  <c r="AY11" i="16"/>
  <c r="AX11" i="16"/>
  <c r="AW11" i="16"/>
  <c r="AV11" i="16"/>
  <c r="AU11" i="16"/>
  <c r="AT11" i="16"/>
  <c r="AS11" i="16"/>
  <c r="AR11" i="16"/>
  <c r="AQ11" i="16"/>
  <c r="AP11" i="16"/>
  <c r="P10" i="28" s="1"/>
  <c r="AO11" i="16"/>
  <c r="O10" i="28" s="1"/>
  <c r="AN11" i="16"/>
  <c r="AM11" i="16"/>
  <c r="AL11" i="16"/>
  <c r="L10" i="28" s="1"/>
  <c r="AK11" i="16"/>
  <c r="AJ11" i="16"/>
  <c r="AI11" i="16"/>
  <c r="I10" i="28" s="1"/>
  <c r="AH11" i="16"/>
  <c r="AG11" i="16"/>
  <c r="AF11" i="16"/>
  <c r="AE11" i="16"/>
  <c r="AD11" i="16"/>
  <c r="AC11" i="16"/>
  <c r="AB11" i="16"/>
  <c r="B10" i="28" s="1"/>
  <c r="AA11" i="16"/>
  <c r="Z11" i="16"/>
  <c r="Y11" i="16"/>
  <c r="X11" i="16"/>
  <c r="W11" i="16"/>
  <c r="V11" i="16"/>
  <c r="U11" i="16"/>
  <c r="T11" i="16"/>
  <c r="S11" i="16"/>
  <c r="R11" i="16"/>
  <c r="R22" i="13" s="1"/>
  <c r="Q11" i="16"/>
  <c r="P11" i="16"/>
  <c r="O11" i="16"/>
  <c r="O22" i="13" s="1"/>
  <c r="N11" i="16"/>
  <c r="N22" i="13" s="1"/>
  <c r="M11" i="16"/>
  <c r="L11" i="16"/>
  <c r="K11" i="16"/>
  <c r="J11" i="16"/>
  <c r="I11" i="16"/>
  <c r="H11" i="16"/>
  <c r="G11" i="16"/>
  <c r="F11" i="16"/>
  <c r="E11" i="16"/>
  <c r="D11" i="16"/>
  <c r="C11" i="16"/>
  <c r="BG10" i="16"/>
  <c r="BF10" i="16"/>
  <c r="BE10" i="16"/>
  <c r="BD10" i="16"/>
  <c r="BD9" i="16" s="1"/>
  <c r="BD28" i="16" s="1"/>
  <c r="BC10" i="16"/>
  <c r="BB10" i="16"/>
  <c r="BA10" i="16"/>
  <c r="AZ10" i="16"/>
  <c r="AY10" i="16"/>
  <c r="AX10" i="16"/>
  <c r="AW10" i="16"/>
  <c r="AV10" i="16"/>
  <c r="AU10" i="16"/>
  <c r="AT10" i="16"/>
  <c r="AS10" i="16"/>
  <c r="AR10" i="16"/>
  <c r="AQ10" i="16"/>
  <c r="AP10" i="16"/>
  <c r="P9" i="28" s="1"/>
  <c r="AO10" i="16"/>
  <c r="O9" i="28" s="1"/>
  <c r="AN10" i="16"/>
  <c r="AM10" i="16"/>
  <c r="AL10" i="16"/>
  <c r="AK10" i="16"/>
  <c r="AJ10" i="16"/>
  <c r="AI10" i="16"/>
  <c r="AH10" i="16"/>
  <c r="AH19" i="13" s="1"/>
  <c r="AG10" i="16"/>
  <c r="AF10" i="16"/>
  <c r="AE10" i="16"/>
  <c r="AD10" i="16"/>
  <c r="D9" i="28" s="1"/>
  <c r="AC10" i="16"/>
  <c r="C9" i="28" s="1"/>
  <c r="AB10" i="16"/>
  <c r="B9" i="28" s="1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L9" i="16" s="1"/>
  <c r="K10" i="16"/>
  <c r="J10" i="16"/>
  <c r="I10" i="16"/>
  <c r="H10" i="16"/>
  <c r="G10" i="16"/>
  <c r="F10" i="16"/>
  <c r="E10" i="16"/>
  <c r="D10" i="16"/>
  <c r="C10" i="16"/>
  <c r="BJ9" i="16"/>
  <c r="AZ9" i="16"/>
  <c r="AZ28" i="16" s="1"/>
  <c r="AY9" i="16"/>
  <c r="AX9" i="16"/>
  <c r="AX28" i="16" s="1"/>
  <c r="AW9" i="16"/>
  <c r="AW28" i="16" s="1"/>
  <c r="AV9" i="16"/>
  <c r="AV28" i="16" s="1"/>
  <c r="AU9" i="16"/>
  <c r="AU28" i="16" s="1"/>
  <c r="AT9" i="16"/>
  <c r="AT28" i="16" s="1"/>
  <c r="AS9" i="16"/>
  <c r="AS28" i="16" s="1"/>
  <c r="AR9" i="16"/>
  <c r="AP9" i="16"/>
  <c r="P8" i="28" s="1"/>
  <c r="AO9" i="16"/>
  <c r="O8" i="28" s="1"/>
  <c r="AH9" i="16"/>
  <c r="AD9" i="16"/>
  <c r="AC9" i="16"/>
  <c r="AB9" i="16"/>
  <c r="AA9" i="16"/>
  <c r="Z9" i="16"/>
  <c r="Y9" i="16"/>
  <c r="X9" i="16"/>
  <c r="W9" i="16"/>
  <c r="V9" i="16"/>
  <c r="T9" i="16"/>
  <c r="S9" i="16"/>
  <c r="H9" i="16"/>
  <c r="G9" i="16"/>
  <c r="F9" i="16"/>
  <c r="E9" i="16"/>
  <c r="D9" i="16"/>
  <c r="C9" i="16"/>
  <c r="BE8" i="16"/>
  <c r="BD8" i="16"/>
  <c r="BD12" i="16" s="1"/>
  <c r="BD25" i="13" s="1"/>
  <c r="S8" i="16"/>
  <c r="BS7" i="16"/>
  <c r="BP7" i="16"/>
  <c r="BM7" i="16"/>
  <c r="BL7" i="16"/>
  <c r="BJ7" i="16"/>
  <c r="BE7" i="16"/>
  <c r="BE21" i="16" s="1"/>
  <c r="BE23" i="16" s="1"/>
  <c r="BE26" i="16" s="1"/>
  <c r="BD7" i="16"/>
  <c r="BD21" i="16" s="1"/>
  <c r="BD23" i="16" s="1"/>
  <c r="BD26" i="16" s="1"/>
  <c r="AQ7" i="16"/>
  <c r="AK7" i="16"/>
  <c r="AI7" i="16"/>
  <c r="AH7" i="16"/>
  <c r="AG7" i="16"/>
  <c r="V7" i="16"/>
  <c r="V21" i="16" s="1"/>
  <c r="M7" i="16"/>
  <c r="L7" i="16"/>
  <c r="BG6" i="16"/>
  <c r="BF6" i="16"/>
  <c r="BE6" i="16"/>
  <c r="BD6" i="16"/>
  <c r="BC6" i="16"/>
  <c r="BB6" i="16"/>
  <c r="BB12" i="13" s="1"/>
  <c r="BA6" i="16"/>
  <c r="AZ6" i="16"/>
  <c r="AY6" i="16"/>
  <c r="AY12" i="13" s="1"/>
  <c r="AX6" i="16"/>
  <c r="AW6" i="16"/>
  <c r="AV6" i="16"/>
  <c r="AU6" i="16"/>
  <c r="AT6" i="16"/>
  <c r="AS6" i="16"/>
  <c r="AR6" i="16"/>
  <c r="AQ6" i="16"/>
  <c r="AP6" i="16"/>
  <c r="P5" i="28" s="1"/>
  <c r="AO6" i="16"/>
  <c r="O5" i="28" s="1"/>
  <c r="AN6" i="16"/>
  <c r="N5" i="28" s="1"/>
  <c r="AM6" i="16"/>
  <c r="M5" i="28" s="1"/>
  <c r="AL6" i="16"/>
  <c r="L5" i="28" s="1"/>
  <c r="AK6" i="16"/>
  <c r="K5" i="28" s="1"/>
  <c r="AJ6" i="16"/>
  <c r="J5" i="28" s="1"/>
  <c r="AI6" i="16"/>
  <c r="I5" i="28" s="1"/>
  <c r="AH6" i="16"/>
  <c r="H5" i="28" s="1"/>
  <c r="AG6" i="16"/>
  <c r="G5" i="28" s="1"/>
  <c r="AF6" i="16"/>
  <c r="AE6" i="16"/>
  <c r="E5" i="28" s="1"/>
  <c r="AD6" i="16"/>
  <c r="D5" i="28" s="1"/>
  <c r="AC6" i="16"/>
  <c r="AB6" i="16"/>
  <c r="B5" i="28" s="1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J12" i="13" s="1"/>
  <c r="I6" i="16"/>
  <c r="H6" i="16"/>
  <c r="G6" i="16"/>
  <c r="G12" i="13" s="1"/>
  <c r="F6" i="16"/>
  <c r="E6" i="16"/>
  <c r="D6" i="16"/>
  <c r="C6" i="16"/>
  <c r="BG5" i="16"/>
  <c r="BG7" i="16" s="1"/>
  <c r="BF5" i="16"/>
  <c r="BE5" i="16"/>
  <c r="BD5" i="16"/>
  <c r="BC5" i="16"/>
  <c r="BB5" i="16"/>
  <c r="BA5" i="16"/>
  <c r="AZ5" i="16"/>
  <c r="AY5" i="16"/>
  <c r="AX5" i="16"/>
  <c r="AW5" i="16"/>
  <c r="AV5" i="16"/>
  <c r="AU5" i="16"/>
  <c r="AT5" i="16"/>
  <c r="AS5" i="16"/>
  <c r="AR5" i="16"/>
  <c r="AQ5" i="16"/>
  <c r="AP5" i="16"/>
  <c r="P4" i="28" s="1"/>
  <c r="AO5" i="16"/>
  <c r="AN5" i="16"/>
  <c r="AM5" i="16"/>
  <c r="AL5" i="16"/>
  <c r="AK5" i="16"/>
  <c r="K4" i="28" s="1"/>
  <c r="AJ5" i="16"/>
  <c r="J4" i="28" s="1"/>
  <c r="AI5" i="16"/>
  <c r="I4" i="28" s="1"/>
  <c r="AH5" i="16"/>
  <c r="H4" i="28" s="1"/>
  <c r="AG5" i="16"/>
  <c r="G4" i="28" s="1"/>
  <c r="AF5" i="16"/>
  <c r="F4" i="28" s="1"/>
  <c r="AE5" i="16"/>
  <c r="E4" i="28" s="1"/>
  <c r="AD5" i="16"/>
  <c r="D4" i="28" s="1"/>
  <c r="AC5" i="16"/>
  <c r="C4" i="28" s="1"/>
  <c r="AB5" i="16"/>
  <c r="B4" i="28" s="1"/>
  <c r="AA5" i="16"/>
  <c r="Z5" i="16"/>
  <c r="Y5" i="16"/>
  <c r="X5" i="16"/>
  <c r="W5" i="16"/>
  <c r="V5" i="16"/>
  <c r="U5" i="16"/>
  <c r="T5" i="16"/>
  <c r="T7" i="16" s="1"/>
  <c r="T21" i="16" s="1"/>
  <c r="T23" i="16" s="1"/>
  <c r="S5" i="16"/>
  <c r="S7" i="16" s="1"/>
  <c r="S21" i="16" s="1"/>
  <c r="R5" i="16"/>
  <c r="Q5" i="16"/>
  <c r="Q7" i="16" s="1"/>
  <c r="Q21" i="16" s="1"/>
  <c r="P5" i="16"/>
  <c r="P7" i="16" s="1"/>
  <c r="P21" i="16" s="1"/>
  <c r="P23" i="16" s="1"/>
  <c r="O5" i="16"/>
  <c r="O7" i="16" s="1"/>
  <c r="O21" i="16" s="1"/>
  <c r="O23" i="16" s="1"/>
  <c r="N5" i="16"/>
  <c r="M5" i="16"/>
  <c r="L5" i="16"/>
  <c r="K5" i="16"/>
  <c r="J5" i="16"/>
  <c r="I5" i="16"/>
  <c r="H5" i="16"/>
  <c r="G5" i="16"/>
  <c r="F5" i="16"/>
  <c r="E5" i="16"/>
  <c r="D5" i="16"/>
  <c r="C5" i="16"/>
  <c r="BG4" i="16"/>
  <c r="BF4" i="16"/>
  <c r="BE4" i="16"/>
  <c r="BD4" i="16"/>
  <c r="BC4" i="16"/>
  <c r="BC7" i="16" s="1"/>
  <c r="BB4" i="16"/>
  <c r="BA4" i="16"/>
  <c r="BA7" i="16" s="1"/>
  <c r="AZ4" i="16"/>
  <c r="AZ7" i="16" s="1"/>
  <c r="AY4" i="16"/>
  <c r="AX4" i="16"/>
  <c r="AW4" i="16"/>
  <c r="AV4" i="16"/>
  <c r="AU4" i="16"/>
  <c r="AT4" i="16"/>
  <c r="AS4" i="16"/>
  <c r="AR4" i="16"/>
  <c r="AR7" i="16" s="1"/>
  <c r="AQ4" i="16"/>
  <c r="AP4" i="16"/>
  <c r="P3" i="28" s="1"/>
  <c r="AO4" i="16"/>
  <c r="O3" i="28" s="1"/>
  <c r="AN4" i="16"/>
  <c r="N3" i="28" s="1"/>
  <c r="AM4" i="16"/>
  <c r="M3" i="28" s="1"/>
  <c r="AL4" i="16"/>
  <c r="L3" i="28" s="1"/>
  <c r="AK4" i="16"/>
  <c r="K3" i="28" s="1"/>
  <c r="AJ4" i="16"/>
  <c r="AI4" i="16"/>
  <c r="I3" i="28" s="1"/>
  <c r="AH4" i="16"/>
  <c r="H3" i="28" s="1"/>
  <c r="AG4" i="16"/>
  <c r="G3" i="28" s="1"/>
  <c r="AF4" i="16"/>
  <c r="F3" i="28" s="1"/>
  <c r="AE4" i="16"/>
  <c r="AD4" i="16"/>
  <c r="AC4" i="16"/>
  <c r="AB4" i="16"/>
  <c r="AA4" i="16"/>
  <c r="Z4" i="16"/>
  <c r="Y4" i="16"/>
  <c r="X4" i="16"/>
  <c r="W4" i="16"/>
  <c r="V4" i="16"/>
  <c r="U4" i="16"/>
  <c r="U7" i="16" s="1"/>
  <c r="U21" i="16" s="1"/>
  <c r="T4" i="16"/>
  <c r="S4" i="16"/>
  <c r="R4" i="16"/>
  <c r="Q4" i="16"/>
  <c r="P4" i="16"/>
  <c r="O4" i="16"/>
  <c r="N4" i="16"/>
  <c r="M4" i="16"/>
  <c r="L4" i="16"/>
  <c r="K4" i="16"/>
  <c r="K7" i="16" s="1"/>
  <c r="K21" i="16" s="1"/>
  <c r="J4" i="16"/>
  <c r="I4" i="16"/>
  <c r="I7" i="16" s="1"/>
  <c r="I21" i="16" s="1"/>
  <c r="I23" i="16" s="1"/>
  <c r="H4" i="16"/>
  <c r="H7" i="16" s="1"/>
  <c r="H21" i="16" s="1"/>
  <c r="H23" i="16" s="1"/>
  <c r="G4" i="16"/>
  <c r="F4" i="16"/>
  <c r="E4" i="16"/>
  <c r="D4" i="16"/>
  <c r="C4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T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T28" i="15"/>
  <c r="BS28" i="15"/>
  <c r="BR28" i="15"/>
  <c r="BQ28" i="15"/>
  <c r="BP28" i="15"/>
  <c r="BO28" i="15"/>
  <c r="BL28" i="15"/>
  <c r="AS28" i="15"/>
  <c r="AC28" i="15"/>
  <c r="AB28" i="15"/>
  <c r="X28" i="15"/>
  <c r="W28" i="15"/>
  <c r="V28" i="15"/>
  <c r="BE25" i="15"/>
  <c r="BD25" i="15"/>
  <c r="BB25" i="15"/>
  <c r="BA25" i="15"/>
  <c r="AZ25" i="15"/>
  <c r="AY25" i="15"/>
  <c r="AX25" i="15"/>
  <c r="AW25" i="15"/>
  <c r="AV25" i="15"/>
  <c r="AU25" i="15"/>
  <c r="AT25" i="15"/>
  <c r="AI25" i="15"/>
  <c r="AH25" i="15"/>
  <c r="AF25" i="15"/>
  <c r="AE25" i="15"/>
  <c r="AD25" i="15"/>
  <c r="AC25" i="15"/>
  <c r="AB25" i="15"/>
  <c r="AA25" i="15"/>
  <c r="Y25" i="15"/>
  <c r="X25" i="15"/>
  <c r="M25" i="15"/>
  <c r="L25" i="15"/>
  <c r="K25" i="15"/>
  <c r="J25" i="15"/>
  <c r="I25" i="15"/>
  <c r="H25" i="15"/>
  <c r="G25" i="15"/>
  <c r="F25" i="15"/>
  <c r="E25" i="15"/>
  <c r="C25" i="15"/>
  <c r="BO22" i="15"/>
  <c r="BK22" i="15"/>
  <c r="BJ22" i="15"/>
  <c r="BF22" i="15"/>
  <c r="BC22" i="15"/>
  <c r="BB22" i="15"/>
  <c r="AZ22" i="15"/>
  <c r="AY22" i="15"/>
  <c r="AX22" i="15"/>
  <c r="AU22" i="15"/>
  <c r="AS22" i="15"/>
  <c r="AQ22" i="15"/>
  <c r="AM22" i="15"/>
  <c r="AL22" i="15"/>
  <c r="AK22" i="15"/>
  <c r="AJ22" i="15"/>
  <c r="AI22" i="15"/>
  <c r="AH22" i="15"/>
  <c r="AG22" i="15"/>
  <c r="AF22" i="15"/>
  <c r="AD22" i="15"/>
  <c r="AC22" i="15"/>
  <c r="AB22" i="15"/>
  <c r="Y22" i="15"/>
  <c r="W22" i="15"/>
  <c r="P22" i="15"/>
  <c r="O22" i="15"/>
  <c r="N22" i="15"/>
  <c r="M22" i="15"/>
  <c r="L22" i="15"/>
  <c r="K22" i="15"/>
  <c r="J22" i="15"/>
  <c r="H22" i="15"/>
  <c r="G22" i="15"/>
  <c r="F22" i="15"/>
  <c r="C22" i="15"/>
  <c r="AB21" i="15"/>
  <c r="AB23" i="15" s="1"/>
  <c r="AA21" i="15"/>
  <c r="AA23" i="15" s="1"/>
  <c r="BS16" i="15"/>
  <c r="BR16" i="15"/>
  <c r="BQ16" i="15"/>
  <c r="BP16" i="15"/>
  <c r="BO16" i="15"/>
  <c r="BN16" i="15"/>
  <c r="BM16" i="15"/>
  <c r="BL16" i="15"/>
  <c r="BK16" i="15"/>
  <c r="BJ16" i="15"/>
  <c r="BG16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P18" i="27" s="1"/>
  <c r="AO16" i="15"/>
  <c r="O18" i="27" s="1"/>
  <c r="AN16" i="15"/>
  <c r="N18" i="27" s="1"/>
  <c r="AM16" i="15"/>
  <c r="M18" i="27" s="1"/>
  <c r="AL16" i="15"/>
  <c r="L18" i="27" s="1"/>
  <c r="AK16" i="15"/>
  <c r="K18" i="27" s="1"/>
  <c r="AJ16" i="15"/>
  <c r="J18" i="27" s="1"/>
  <c r="AI16" i="15"/>
  <c r="I18" i="27" s="1"/>
  <c r="AH16" i="15"/>
  <c r="AG16" i="15"/>
  <c r="AF16" i="15"/>
  <c r="F18" i="27" s="1"/>
  <c r="AE16" i="15"/>
  <c r="E18" i="27" s="1"/>
  <c r="AD16" i="15"/>
  <c r="AC16" i="15"/>
  <c r="C18" i="27" s="1"/>
  <c r="AB16" i="15"/>
  <c r="B18" i="27" s="1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R15" i="15"/>
  <c r="BO15" i="15"/>
  <c r="BN15" i="15"/>
  <c r="BM15" i="15"/>
  <c r="BL15" i="15"/>
  <c r="BK15" i="15"/>
  <c r="BJ15" i="15"/>
  <c r="BG15" i="15"/>
  <c r="BG22" i="15" s="1"/>
  <c r="BF15" i="15"/>
  <c r="BE15" i="15"/>
  <c r="BE22" i="15" s="1"/>
  <c r="BD15" i="15"/>
  <c r="BD22" i="15" s="1"/>
  <c r="BC15" i="15"/>
  <c r="BB15" i="15"/>
  <c r="BA15" i="15"/>
  <c r="AZ15" i="15"/>
  <c r="AY15" i="15"/>
  <c r="AX15" i="15"/>
  <c r="AW15" i="15"/>
  <c r="AW22" i="15" s="1"/>
  <c r="AV15" i="15"/>
  <c r="AV22" i="15" s="1"/>
  <c r="AU15" i="15"/>
  <c r="AT15" i="15"/>
  <c r="AS15" i="15"/>
  <c r="AR15" i="15"/>
  <c r="AR22" i="15" s="1"/>
  <c r="AQ15" i="15"/>
  <c r="AQ32" i="13" s="1"/>
  <c r="AP15" i="15"/>
  <c r="AO15" i="15"/>
  <c r="AN15" i="15"/>
  <c r="AM15" i="15"/>
  <c r="AL15" i="15"/>
  <c r="L17" i="27" s="1"/>
  <c r="AK15" i="15"/>
  <c r="AJ15" i="15"/>
  <c r="AI15" i="15"/>
  <c r="AH15" i="15"/>
  <c r="AG15" i="15"/>
  <c r="G17" i="27" s="1"/>
  <c r="AF15" i="15"/>
  <c r="F17" i="27" s="1"/>
  <c r="AE15" i="15"/>
  <c r="AD15" i="15"/>
  <c r="D17" i="27" s="1"/>
  <c r="AC15" i="15"/>
  <c r="C17" i="27" s="1"/>
  <c r="AB15" i="15"/>
  <c r="B17" i="27" s="1"/>
  <c r="AA15" i="15"/>
  <c r="AA22" i="15" s="1"/>
  <c r="Z15" i="15"/>
  <c r="Z22" i="15" s="1"/>
  <c r="Y15" i="15"/>
  <c r="X15" i="15"/>
  <c r="X22" i="15" s="1"/>
  <c r="W15" i="15"/>
  <c r="V15" i="15"/>
  <c r="V22" i="15" s="1"/>
  <c r="U15" i="15"/>
  <c r="T15" i="15"/>
  <c r="T22" i="15" s="1"/>
  <c r="S15" i="15"/>
  <c r="R15" i="15"/>
  <c r="Q15" i="15"/>
  <c r="Q22" i="15" s="1"/>
  <c r="P15" i="15"/>
  <c r="O15" i="15"/>
  <c r="N15" i="15"/>
  <c r="M15" i="15"/>
  <c r="L15" i="15"/>
  <c r="K15" i="15"/>
  <c r="J15" i="15"/>
  <c r="I15" i="15"/>
  <c r="I22" i="15" s="1"/>
  <c r="H15" i="15"/>
  <c r="G15" i="15"/>
  <c r="F15" i="15"/>
  <c r="E15" i="15"/>
  <c r="E22" i="15" s="1"/>
  <c r="E23" i="15" s="1"/>
  <c r="D15" i="15"/>
  <c r="D22" i="15" s="1"/>
  <c r="C15" i="15"/>
  <c r="BP14" i="15"/>
  <c r="BO14" i="15"/>
  <c r="BN14" i="15"/>
  <c r="BM14" i="15"/>
  <c r="BL14" i="15"/>
  <c r="BK14" i="15"/>
  <c r="BJ14" i="15"/>
  <c r="V14" i="15"/>
  <c r="BM13" i="15"/>
  <c r="BJ13" i="15"/>
  <c r="BG13" i="15"/>
  <c r="BG25" i="15" s="1"/>
  <c r="BF13" i="15"/>
  <c r="BF25" i="15" s="1"/>
  <c r="BE13" i="15"/>
  <c r="BD13" i="15"/>
  <c r="BC13" i="15"/>
  <c r="BB13" i="15"/>
  <c r="BA13" i="15"/>
  <c r="AZ13" i="15"/>
  <c r="AY13" i="15"/>
  <c r="AX13" i="15"/>
  <c r="AW13" i="15"/>
  <c r="AV13" i="15"/>
  <c r="AU13" i="15"/>
  <c r="AT13" i="15"/>
  <c r="AS13" i="15"/>
  <c r="AS27" i="13" s="1"/>
  <c r="AR13" i="15"/>
  <c r="AR25" i="15" s="1"/>
  <c r="AQ13" i="15"/>
  <c r="AQ25" i="15" s="1"/>
  <c r="AP13" i="15"/>
  <c r="AO13" i="15"/>
  <c r="AN13" i="15"/>
  <c r="AM13" i="15"/>
  <c r="AL13" i="15"/>
  <c r="AK13" i="15"/>
  <c r="AJ13" i="15"/>
  <c r="AI13" i="15"/>
  <c r="I14" i="27" s="1"/>
  <c r="AH13" i="15"/>
  <c r="H14" i="27" s="1"/>
  <c r="AG13" i="15"/>
  <c r="AF13" i="15"/>
  <c r="F14" i="27" s="1"/>
  <c r="AE13" i="15"/>
  <c r="E14" i="27" s="1"/>
  <c r="AD13" i="15"/>
  <c r="D14" i="27" s="1"/>
  <c r="AC13" i="15"/>
  <c r="C14" i="27" s="1"/>
  <c r="AB13" i="15"/>
  <c r="B14" i="27" s="1"/>
  <c r="AA13" i="15"/>
  <c r="Z13" i="15"/>
  <c r="Z25" i="15" s="1"/>
  <c r="Y13" i="15"/>
  <c r="X13" i="15"/>
  <c r="W13" i="15"/>
  <c r="V13" i="15"/>
  <c r="V25" i="15" s="1"/>
  <c r="U13" i="15"/>
  <c r="U25" i="15" s="1"/>
  <c r="T13" i="15"/>
  <c r="T25" i="15" s="1"/>
  <c r="S13" i="15"/>
  <c r="R13" i="15"/>
  <c r="Q13" i="15"/>
  <c r="P13" i="15"/>
  <c r="P25" i="15" s="1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X12" i="15"/>
  <c r="AX24" i="13" s="1"/>
  <c r="AA12" i="15"/>
  <c r="Z12" i="15"/>
  <c r="Y12" i="15"/>
  <c r="X12" i="15"/>
  <c r="W12" i="15"/>
  <c r="V12" i="15"/>
  <c r="U12" i="15"/>
  <c r="T12" i="15"/>
  <c r="S12" i="15"/>
  <c r="R12" i="15"/>
  <c r="Q12" i="15"/>
  <c r="Q24" i="13" s="1"/>
  <c r="P12" i="15"/>
  <c r="O12" i="15"/>
  <c r="N12" i="15"/>
  <c r="N24" i="13" s="1"/>
  <c r="N23" i="13" s="1"/>
  <c r="M12" i="15"/>
  <c r="M24" i="13" s="1"/>
  <c r="M23" i="13" s="1"/>
  <c r="L12" i="15"/>
  <c r="K12" i="15"/>
  <c r="J12" i="15"/>
  <c r="I12" i="15"/>
  <c r="H12" i="15"/>
  <c r="G12" i="15"/>
  <c r="F12" i="15"/>
  <c r="E12" i="15"/>
  <c r="D12" i="15"/>
  <c r="C12" i="15"/>
  <c r="BG11" i="15"/>
  <c r="BF11" i="15"/>
  <c r="BE11" i="15"/>
  <c r="BD11" i="15"/>
  <c r="BC11" i="15"/>
  <c r="BB11" i="15"/>
  <c r="BA11" i="15"/>
  <c r="AZ11" i="15"/>
  <c r="AZ9" i="15" s="1"/>
  <c r="AZ28" i="15" s="1"/>
  <c r="AY11" i="15"/>
  <c r="AX11" i="15"/>
  <c r="AW11" i="15"/>
  <c r="AV11" i="15"/>
  <c r="AV9" i="15" s="1"/>
  <c r="AV28" i="15" s="1"/>
  <c r="AU11" i="15"/>
  <c r="AU9" i="15" s="1"/>
  <c r="AU28" i="15" s="1"/>
  <c r="AT11" i="15"/>
  <c r="AS11" i="15"/>
  <c r="AR11" i="15"/>
  <c r="AQ11" i="15"/>
  <c r="AP11" i="15"/>
  <c r="AO11" i="15"/>
  <c r="O11" i="27" s="1"/>
  <c r="AN11" i="15"/>
  <c r="AM11" i="15"/>
  <c r="M11" i="27" s="1"/>
  <c r="AL11" i="15"/>
  <c r="L11" i="27" s="1"/>
  <c r="AK11" i="15"/>
  <c r="AJ11" i="15"/>
  <c r="J11" i="27" s="1"/>
  <c r="AI11" i="15"/>
  <c r="I11" i="27" s="1"/>
  <c r="AH11" i="15"/>
  <c r="H11" i="27" s="1"/>
  <c r="AG11" i="15"/>
  <c r="G11" i="27" s="1"/>
  <c r="AF11" i="15"/>
  <c r="F11" i="27" s="1"/>
  <c r="AE11" i="15"/>
  <c r="E11" i="27" s="1"/>
  <c r="AD11" i="15"/>
  <c r="D11" i="27" s="1"/>
  <c r="AC11" i="15"/>
  <c r="C11" i="27" s="1"/>
  <c r="AB11" i="15"/>
  <c r="B11" i="27" s="1"/>
  <c r="AA11" i="15"/>
  <c r="Z11" i="15"/>
  <c r="Z9" i="15" s="1"/>
  <c r="Y11" i="15"/>
  <c r="Y9" i="15" s="1"/>
  <c r="X11" i="15"/>
  <c r="W11" i="15"/>
  <c r="V11" i="15"/>
  <c r="U11" i="15"/>
  <c r="T11" i="15"/>
  <c r="T9" i="15" s="1"/>
  <c r="T28" i="15" s="1"/>
  <c r="S11" i="15"/>
  <c r="R11" i="15"/>
  <c r="Q11" i="15"/>
  <c r="P11" i="15"/>
  <c r="O11" i="15"/>
  <c r="N11" i="15"/>
  <c r="M11" i="15"/>
  <c r="L11" i="15"/>
  <c r="K11" i="15"/>
  <c r="J11" i="15"/>
  <c r="I11" i="15"/>
  <c r="H11" i="15"/>
  <c r="H9" i="15" s="1"/>
  <c r="G11" i="15"/>
  <c r="F11" i="15"/>
  <c r="E11" i="15"/>
  <c r="D11" i="15"/>
  <c r="D9" i="15" s="1"/>
  <c r="C11" i="15"/>
  <c r="C9" i="15" s="1"/>
  <c r="BG10" i="15"/>
  <c r="BG9" i="15" s="1"/>
  <c r="BG28" i="15" s="1"/>
  <c r="BF10" i="15"/>
  <c r="BF9" i="15" s="1"/>
  <c r="BF28" i="15" s="1"/>
  <c r="BE10" i="15"/>
  <c r="BE9" i="15" s="1"/>
  <c r="BE28" i="15" s="1"/>
  <c r="BD10" i="15"/>
  <c r="BC10" i="15"/>
  <c r="BC9" i="15" s="1"/>
  <c r="BC28" i="15" s="1"/>
  <c r="BB10" i="15"/>
  <c r="BB9" i="15" s="1"/>
  <c r="BB28" i="15" s="1"/>
  <c r="BA10" i="15"/>
  <c r="AZ10" i="15"/>
  <c r="AY10" i="15"/>
  <c r="AX10" i="15"/>
  <c r="AW10" i="15"/>
  <c r="AV10" i="15"/>
  <c r="AU10" i="15"/>
  <c r="AT10" i="15"/>
  <c r="AS10" i="15"/>
  <c r="AR10" i="15"/>
  <c r="AQ10" i="15"/>
  <c r="AQ9" i="15" s="1"/>
  <c r="AQ28" i="15" s="1"/>
  <c r="AP10" i="15"/>
  <c r="P10" i="27" s="1"/>
  <c r="AO10" i="15"/>
  <c r="O10" i="27" s="1"/>
  <c r="AN10" i="15"/>
  <c r="AM10" i="15"/>
  <c r="AL10" i="15"/>
  <c r="AK10" i="15"/>
  <c r="AJ10" i="15"/>
  <c r="AI10" i="15"/>
  <c r="AH10" i="15"/>
  <c r="H10" i="27" s="1"/>
  <c r="AG10" i="15"/>
  <c r="AF10" i="15"/>
  <c r="AE10" i="15"/>
  <c r="E10" i="27" s="1"/>
  <c r="AD10" i="15"/>
  <c r="D10" i="27" s="1"/>
  <c r="AC10" i="15"/>
  <c r="C10" i="27" s="1"/>
  <c r="AB10" i="15"/>
  <c r="B10" i="27" s="1"/>
  <c r="AA10" i="15"/>
  <c r="Z10" i="15"/>
  <c r="Y10" i="15"/>
  <c r="X10" i="15"/>
  <c r="W10" i="15"/>
  <c r="V10" i="15"/>
  <c r="U10" i="15"/>
  <c r="U9" i="15" s="1"/>
  <c r="T10" i="15"/>
  <c r="S10" i="15"/>
  <c r="R10" i="15"/>
  <c r="Q10" i="15"/>
  <c r="P10" i="15"/>
  <c r="O10" i="15"/>
  <c r="O9" i="15" s="1"/>
  <c r="O28" i="15" s="1"/>
  <c r="N10" i="15"/>
  <c r="N9" i="15" s="1"/>
  <c r="N28" i="15" s="1"/>
  <c r="M10" i="15"/>
  <c r="M9" i="15" s="1"/>
  <c r="M28" i="15" s="1"/>
  <c r="L10" i="15"/>
  <c r="K10" i="15"/>
  <c r="K9" i="15" s="1"/>
  <c r="J10" i="15"/>
  <c r="J9" i="15" s="1"/>
  <c r="J28" i="15" s="1"/>
  <c r="I10" i="15"/>
  <c r="H10" i="15"/>
  <c r="G10" i="15"/>
  <c r="F10" i="15"/>
  <c r="E10" i="15"/>
  <c r="D10" i="15"/>
  <c r="C10" i="15"/>
  <c r="BD9" i="15"/>
  <c r="BD28" i="15" s="1"/>
  <c r="BA9" i="15"/>
  <c r="BA28" i="15" s="1"/>
  <c r="AY9" i="15"/>
  <c r="AY28" i="15" s="1"/>
  <c r="AX9" i="15"/>
  <c r="AX28" i="15" s="1"/>
  <c r="AT9" i="15"/>
  <c r="AT28" i="15" s="1"/>
  <c r="AS9" i="15"/>
  <c r="AR9" i="15"/>
  <c r="AR28" i="15" s="1"/>
  <c r="AO9" i="15"/>
  <c r="AH9" i="15"/>
  <c r="AE9" i="15"/>
  <c r="AC9" i="15"/>
  <c r="C9" i="27" s="1"/>
  <c r="AB9" i="15"/>
  <c r="B9" i="27" s="1"/>
  <c r="X9" i="15"/>
  <c r="X8" i="15" s="1"/>
  <c r="W9" i="15"/>
  <c r="W8" i="15" s="1"/>
  <c r="V9" i="15"/>
  <c r="V8" i="15" s="1"/>
  <c r="S9" i="15"/>
  <c r="L9" i="15"/>
  <c r="I9" i="15"/>
  <c r="G9" i="15"/>
  <c r="F9" i="15"/>
  <c r="O8" i="15"/>
  <c r="J8" i="15"/>
  <c r="J14" i="15" s="1"/>
  <c r="BD7" i="15"/>
  <c r="BB7" i="15"/>
  <c r="AY7" i="15"/>
  <c r="AX7" i="15"/>
  <c r="AX14" i="15" s="1"/>
  <c r="AX8" i="15" s="1"/>
  <c r="AW7" i="15"/>
  <c r="AW14" i="15" s="1"/>
  <c r="AW8" i="15" s="1"/>
  <c r="AS7" i="15"/>
  <c r="AS14" i="15" s="1"/>
  <c r="AH7" i="15"/>
  <c r="AC7" i="15"/>
  <c r="AB7" i="15"/>
  <c r="AA7" i="15"/>
  <c r="Y7" i="15"/>
  <c r="Y21" i="15" s="1"/>
  <c r="Y23" i="15" s="1"/>
  <c r="W7" i="15"/>
  <c r="W21" i="15" s="1"/>
  <c r="W23" i="15" s="1"/>
  <c r="R7" i="15"/>
  <c r="R21" i="15" s="1"/>
  <c r="P7" i="15"/>
  <c r="P21" i="15" s="1"/>
  <c r="L7" i="15"/>
  <c r="L21" i="15" s="1"/>
  <c r="L23" i="15" s="1"/>
  <c r="E7" i="15"/>
  <c r="E21" i="15" s="1"/>
  <c r="BG6" i="15"/>
  <c r="BF6" i="15"/>
  <c r="BE6" i="15"/>
  <c r="BD6" i="15"/>
  <c r="BC6" i="15"/>
  <c r="BB6" i="15"/>
  <c r="BA6" i="15"/>
  <c r="BA7" i="15" s="1"/>
  <c r="AZ6" i="15"/>
  <c r="AY6" i="15"/>
  <c r="AY11" i="13" s="1"/>
  <c r="AX6" i="15"/>
  <c r="AW6" i="15"/>
  <c r="AV6" i="15"/>
  <c r="AV11" i="13" s="1"/>
  <c r="AV10" i="13" s="1"/>
  <c r="AU6" i="15"/>
  <c r="AT6" i="15"/>
  <c r="AS6" i="15"/>
  <c r="AR6" i="15"/>
  <c r="AQ6" i="15"/>
  <c r="AP6" i="15"/>
  <c r="P5" i="27" s="1"/>
  <c r="AO6" i="15"/>
  <c r="O5" i="27" s="1"/>
  <c r="AN6" i="15"/>
  <c r="N5" i="27" s="1"/>
  <c r="AM6" i="15"/>
  <c r="M5" i="27" s="1"/>
  <c r="AL6" i="15"/>
  <c r="L5" i="27" s="1"/>
  <c r="AK6" i="15"/>
  <c r="K5" i="27" s="1"/>
  <c r="AJ6" i="15"/>
  <c r="J5" i="27" s="1"/>
  <c r="AI6" i="15"/>
  <c r="I5" i="27" s="1"/>
  <c r="AH6" i="15"/>
  <c r="H5" i="27" s="1"/>
  <c r="AG6" i="15"/>
  <c r="G5" i="27" s="1"/>
  <c r="AF6" i="15"/>
  <c r="F5" i="27" s="1"/>
  <c r="AE6" i="15"/>
  <c r="E5" i="27" s="1"/>
  <c r="AD6" i="15"/>
  <c r="D5" i="27" s="1"/>
  <c r="AC6" i="15"/>
  <c r="AB6" i="15"/>
  <c r="B5" i="27" s="1"/>
  <c r="AA6" i="15"/>
  <c r="Z6" i="15"/>
  <c r="Z11" i="13" s="1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G11" i="13" s="1"/>
  <c r="F6" i="15"/>
  <c r="E6" i="15"/>
  <c r="D6" i="15"/>
  <c r="C6" i="15"/>
  <c r="BG5" i="15"/>
  <c r="BF5" i="15"/>
  <c r="BE5" i="15"/>
  <c r="BD5" i="15"/>
  <c r="BC5" i="15"/>
  <c r="BB5" i="15"/>
  <c r="BA5" i="15"/>
  <c r="AZ5" i="15"/>
  <c r="AY5" i="15"/>
  <c r="AX5" i="15"/>
  <c r="AW5" i="15"/>
  <c r="AV5" i="15"/>
  <c r="AU5" i="15"/>
  <c r="AT5" i="15"/>
  <c r="AS5" i="15"/>
  <c r="AR5" i="15"/>
  <c r="AR8" i="13" s="1"/>
  <c r="AQ5" i="15"/>
  <c r="AP5" i="15"/>
  <c r="AO5" i="15"/>
  <c r="O4" i="27" s="1"/>
  <c r="AN5" i="15"/>
  <c r="N4" i="27" s="1"/>
  <c r="AM5" i="15"/>
  <c r="AL5" i="15"/>
  <c r="L4" i="27" s="1"/>
  <c r="AK5" i="15"/>
  <c r="K4" i="27" s="1"/>
  <c r="AJ5" i="15"/>
  <c r="J4" i="27" s="1"/>
  <c r="AI5" i="15"/>
  <c r="I4" i="27" s="1"/>
  <c r="AH5" i="15"/>
  <c r="H4" i="27" s="1"/>
  <c r="AG5" i="15"/>
  <c r="G4" i="27" s="1"/>
  <c r="AF5" i="15"/>
  <c r="F4" i="27" s="1"/>
  <c r="AE5" i="15"/>
  <c r="E4" i="27" s="1"/>
  <c r="AD5" i="15"/>
  <c r="D4" i="27" s="1"/>
  <c r="AC5" i="15"/>
  <c r="C4" i="27" s="1"/>
  <c r="AB5" i="15"/>
  <c r="B4" i="27" s="1"/>
  <c r="AA5" i="15"/>
  <c r="Z5" i="15"/>
  <c r="Y5" i="15"/>
  <c r="X5" i="15"/>
  <c r="W5" i="15"/>
  <c r="V5" i="15"/>
  <c r="V8" i="13" s="1"/>
  <c r="U5" i="15"/>
  <c r="T5" i="15"/>
  <c r="T8" i="13" s="1"/>
  <c r="S5" i="15"/>
  <c r="R5" i="15"/>
  <c r="Q5" i="15"/>
  <c r="Q8" i="13" s="1"/>
  <c r="Q7" i="13" s="1"/>
  <c r="P5" i="15"/>
  <c r="O5" i="15"/>
  <c r="N5" i="15"/>
  <c r="M5" i="15"/>
  <c r="L5" i="15"/>
  <c r="K5" i="15"/>
  <c r="J5" i="15"/>
  <c r="J7" i="15" s="1"/>
  <c r="J21" i="15" s="1"/>
  <c r="J23" i="15" s="1"/>
  <c r="I5" i="15"/>
  <c r="H5" i="15"/>
  <c r="G5" i="15"/>
  <c r="F5" i="15"/>
  <c r="E5" i="15"/>
  <c r="D5" i="15"/>
  <c r="C5" i="15"/>
  <c r="BG4" i="15"/>
  <c r="BG7" i="15" s="1"/>
  <c r="BF4" i="15"/>
  <c r="BE4" i="15"/>
  <c r="BD4" i="15"/>
  <c r="BC4" i="15"/>
  <c r="BC7" i="15" s="1"/>
  <c r="BB4" i="15"/>
  <c r="BA4" i="15"/>
  <c r="AZ4" i="15"/>
  <c r="AZ7" i="15" s="1"/>
  <c r="AY4" i="15"/>
  <c r="AX4" i="15"/>
  <c r="AW4" i="15"/>
  <c r="AV4" i="15"/>
  <c r="AU4" i="15"/>
  <c r="AU7" i="15" s="1"/>
  <c r="AT4" i="15"/>
  <c r="AS4" i="15"/>
  <c r="AR4" i="15"/>
  <c r="AQ4" i="15"/>
  <c r="AQ7" i="15" s="1"/>
  <c r="AP4" i="15"/>
  <c r="AO4" i="15"/>
  <c r="AN4" i="15"/>
  <c r="N3" i="27" s="1"/>
  <c r="AM4" i="15"/>
  <c r="M3" i="27" s="1"/>
  <c r="AL4" i="15"/>
  <c r="L3" i="27" s="1"/>
  <c r="AK4" i="15"/>
  <c r="K3" i="27" s="1"/>
  <c r="AJ4" i="15"/>
  <c r="AI4" i="15"/>
  <c r="AH4" i="15"/>
  <c r="H3" i="27" s="1"/>
  <c r="AG4" i="15"/>
  <c r="AF4" i="15"/>
  <c r="F3" i="27" s="1"/>
  <c r="AE4" i="15"/>
  <c r="E3" i="27" s="1"/>
  <c r="AD4" i="15"/>
  <c r="D3" i="27" s="1"/>
  <c r="AC4" i="15"/>
  <c r="C3" i="27" s="1"/>
  <c r="AB4" i="15"/>
  <c r="B3" i="27" s="1"/>
  <c r="AA4" i="15"/>
  <c r="Z4" i="15"/>
  <c r="Y4" i="15"/>
  <c r="X4" i="15"/>
  <c r="W4" i="15"/>
  <c r="V4" i="15"/>
  <c r="U4" i="15"/>
  <c r="U7" i="15" s="1"/>
  <c r="U21" i="15" s="1"/>
  <c r="T4" i="15"/>
  <c r="S4" i="15"/>
  <c r="R4" i="15"/>
  <c r="Q4" i="15"/>
  <c r="P4" i="15"/>
  <c r="O4" i="15"/>
  <c r="O7" i="15" s="1"/>
  <c r="O21" i="15" s="1"/>
  <c r="N4" i="15"/>
  <c r="M4" i="15"/>
  <c r="L4" i="15"/>
  <c r="K4" i="15"/>
  <c r="K7" i="15" s="1"/>
  <c r="K21" i="15" s="1"/>
  <c r="J4" i="15"/>
  <c r="I4" i="15"/>
  <c r="H4" i="15"/>
  <c r="H7" i="15" s="1"/>
  <c r="H21" i="15" s="1"/>
  <c r="H23" i="15" s="1"/>
  <c r="G4" i="15"/>
  <c r="G7" i="15" s="1"/>
  <c r="G21" i="15" s="1"/>
  <c r="G23" i="15" s="1"/>
  <c r="F4" i="15"/>
  <c r="F7" i="15" s="1"/>
  <c r="F21" i="15" s="1"/>
  <c r="F23" i="15" s="1"/>
  <c r="E4" i="15"/>
  <c r="D4" i="15"/>
  <c r="C4" i="15"/>
  <c r="C7" i="15" s="1"/>
  <c r="C21" i="15" s="1"/>
  <c r="C23" i="15" s="1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G73" i="14"/>
  <c r="J73" i="14"/>
  <c r="H73" i="14"/>
  <c r="E73" i="14"/>
  <c r="D73" i="14"/>
  <c r="C73" i="14"/>
  <c r="BG65" i="14"/>
  <c r="BF65" i="14"/>
  <c r="BD65" i="14"/>
  <c r="BC65" i="14"/>
  <c r="BB65" i="14"/>
  <c r="BA65" i="14"/>
  <c r="AZ65" i="14"/>
  <c r="AY65" i="14"/>
  <c r="AX65" i="14"/>
  <c r="AW65" i="14"/>
  <c r="AV65" i="14"/>
  <c r="AU65" i="14"/>
  <c r="AT65" i="14"/>
  <c r="AS65" i="14"/>
  <c r="AQ65" i="14"/>
  <c r="AO65" i="14"/>
  <c r="AK65" i="14"/>
  <c r="AJ65" i="14"/>
  <c r="AH65" i="14"/>
  <c r="AG65" i="14"/>
  <c r="AF65" i="14"/>
  <c r="AE65" i="14"/>
  <c r="AD65" i="14"/>
  <c r="AC65" i="14"/>
  <c r="AB65" i="14"/>
  <c r="AA65" i="14"/>
  <c r="Z65" i="14"/>
  <c r="Y65" i="14"/>
  <c r="X65" i="14"/>
  <c r="W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G64" i="14"/>
  <c r="BF64" i="14"/>
  <c r="BE64" i="14"/>
  <c r="BD64" i="14"/>
  <c r="BC64" i="14"/>
  <c r="BB64" i="14"/>
  <c r="BA64" i="14"/>
  <c r="AZ64" i="14"/>
  <c r="AY64" i="14"/>
  <c r="AX64" i="14"/>
  <c r="AW64" i="14"/>
  <c r="AV64" i="14"/>
  <c r="AU64" i="14"/>
  <c r="AT64" i="14"/>
  <c r="AS64" i="14"/>
  <c r="AR64" i="14"/>
  <c r="AQ64" i="14"/>
  <c r="AP64" i="14"/>
  <c r="AO64" i="14"/>
  <c r="AN64" i="14"/>
  <c r="AM64" i="14"/>
  <c r="AL64" i="14"/>
  <c r="AK64" i="14"/>
  <c r="AJ64" i="14"/>
  <c r="AI64" i="14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G63" i="14"/>
  <c r="BF63" i="14"/>
  <c r="BE63" i="14"/>
  <c r="BD63" i="14"/>
  <c r="BC63" i="14"/>
  <c r="BB63" i="14"/>
  <c r="BB59" i="14" s="1"/>
  <c r="BB73" i="14" s="1"/>
  <c r="BA63" i="14"/>
  <c r="AZ63" i="14"/>
  <c r="AY63" i="14"/>
  <c r="AX63" i="14"/>
  <c r="AW63" i="14"/>
  <c r="AV63" i="14"/>
  <c r="AU63" i="14"/>
  <c r="AT63" i="14"/>
  <c r="AS63" i="14"/>
  <c r="AR63" i="14"/>
  <c r="AQ63" i="14"/>
  <c r="AP63" i="14"/>
  <c r="AO63" i="14"/>
  <c r="AN63" i="14"/>
  <c r="AM63" i="14"/>
  <c r="AL63" i="14"/>
  <c r="AK63" i="14"/>
  <c r="AJ63" i="14"/>
  <c r="AI63" i="14"/>
  <c r="AH63" i="14"/>
  <c r="AG63" i="14"/>
  <c r="AF63" i="14"/>
  <c r="AE63" i="14"/>
  <c r="AD63" i="14"/>
  <c r="AC63" i="14"/>
  <c r="AB63" i="14"/>
  <c r="AA63" i="14"/>
  <c r="Z63" i="14"/>
  <c r="Y63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G62" i="14"/>
  <c r="BF62" i="14"/>
  <c r="BE62" i="14"/>
  <c r="BD62" i="14"/>
  <c r="BC62" i="14"/>
  <c r="BB62" i="14"/>
  <c r="BA62" i="14"/>
  <c r="AZ62" i="14"/>
  <c r="AY62" i="14"/>
  <c r="AX62" i="14"/>
  <c r="AW62" i="14"/>
  <c r="AV62" i="14"/>
  <c r="AU62" i="14"/>
  <c r="AT62" i="14"/>
  <c r="AS62" i="14"/>
  <c r="AR62" i="14"/>
  <c r="AQ62" i="14"/>
  <c r="AP62" i="14"/>
  <c r="AO62" i="14"/>
  <c r="AN62" i="14"/>
  <c r="AM62" i="14"/>
  <c r="AL62" i="14"/>
  <c r="AK62" i="14"/>
  <c r="AJ62" i="14"/>
  <c r="AI62" i="14"/>
  <c r="AH62" i="14"/>
  <c r="AG62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G61" i="14"/>
  <c r="BF61" i="14"/>
  <c r="BE61" i="14"/>
  <c r="BE59" i="14" s="1"/>
  <c r="BE73" i="14" s="1"/>
  <c r="BD61" i="14"/>
  <c r="BD59" i="14" s="1"/>
  <c r="BD73" i="14" s="1"/>
  <c r="BC61" i="14"/>
  <c r="BB61" i="14"/>
  <c r="BA61" i="14"/>
  <c r="AZ61" i="14"/>
  <c r="AY61" i="14"/>
  <c r="AX61" i="14"/>
  <c r="AW61" i="14"/>
  <c r="AV61" i="14"/>
  <c r="AU61" i="14"/>
  <c r="AT61" i="14"/>
  <c r="AS61" i="14"/>
  <c r="AR61" i="14"/>
  <c r="AQ61" i="14"/>
  <c r="AP61" i="14"/>
  <c r="AK61" i="14"/>
  <c r="AJ61" i="14"/>
  <c r="AI61" i="14"/>
  <c r="AH61" i="14"/>
  <c r="AH59" i="14" s="1"/>
  <c r="AG61" i="14"/>
  <c r="AG59" i="14" s="1"/>
  <c r="G16" i="26" s="1"/>
  <c r="AF61" i="14"/>
  <c r="AF59" i="14" s="1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E60" i="14"/>
  <c r="BD60" i="14"/>
  <c r="BC60" i="14"/>
  <c r="BC59" i="14" s="1"/>
  <c r="BC73" i="14" s="1"/>
  <c r="BB60" i="14"/>
  <c r="BA60" i="14"/>
  <c r="AZ60" i="14"/>
  <c r="AY60" i="14"/>
  <c r="AY59" i="14" s="1"/>
  <c r="AY73" i="14" s="1"/>
  <c r="AX60" i="14"/>
  <c r="AX59" i="14" s="1"/>
  <c r="AX73" i="14" s="1"/>
  <c r="AW60" i="14"/>
  <c r="AW59" i="14" s="1"/>
  <c r="AW73" i="14" s="1"/>
  <c r="AV60" i="14"/>
  <c r="AU60" i="14"/>
  <c r="AU59" i="14" s="1"/>
  <c r="AU73" i="14" s="1"/>
  <c r="AT60" i="14"/>
  <c r="AS60" i="14"/>
  <c r="AR60" i="14"/>
  <c r="AQ60" i="14"/>
  <c r="AP60" i="14"/>
  <c r="AO60" i="14"/>
  <c r="AN60" i="14"/>
  <c r="AM60" i="14"/>
  <c r="AI60" i="14"/>
  <c r="AH60" i="14"/>
  <c r="AG60" i="14"/>
  <c r="AF60" i="14"/>
  <c r="AE60" i="14"/>
  <c r="AD60" i="14"/>
  <c r="AC60" i="14"/>
  <c r="AB60" i="14"/>
  <c r="AA60" i="14"/>
  <c r="Z60" i="14"/>
  <c r="Y60" i="14"/>
  <c r="Y59" i="14" s="1"/>
  <c r="Y73" i="14" s="1"/>
  <c r="X60" i="14"/>
  <c r="W60" i="14"/>
  <c r="W59" i="14" s="1"/>
  <c r="W73" i="14" s="1"/>
  <c r="V60" i="14"/>
  <c r="V59" i="14" s="1"/>
  <c r="V73" i="14" s="1"/>
  <c r="U60" i="14"/>
  <c r="T60" i="14"/>
  <c r="S60" i="14"/>
  <c r="R60" i="14"/>
  <c r="Q60" i="14"/>
  <c r="M60" i="14"/>
  <c r="M59" i="14" s="1"/>
  <c r="L60" i="14"/>
  <c r="K60" i="14"/>
  <c r="K59" i="14" s="1"/>
  <c r="K73" i="14" s="1"/>
  <c r="J60" i="14"/>
  <c r="I60" i="14"/>
  <c r="H60" i="14"/>
  <c r="H59" i="14" s="1"/>
  <c r="G60" i="14"/>
  <c r="G59" i="14" s="1"/>
  <c r="G73" i="14" s="1"/>
  <c r="F60" i="14"/>
  <c r="F59" i="14" s="1"/>
  <c r="F73" i="14" s="1"/>
  <c r="E60" i="14"/>
  <c r="D60" i="14"/>
  <c r="C60" i="14"/>
  <c r="C59" i="14" s="1"/>
  <c r="AV59" i="14"/>
  <c r="AV73" i="14" s="1"/>
  <c r="AE59" i="14"/>
  <c r="AA59" i="14"/>
  <c r="AA73" i="14" s="1"/>
  <c r="Z59" i="14"/>
  <c r="Z73" i="14" s="1"/>
  <c r="X59" i="14"/>
  <c r="X73" i="14" s="1"/>
  <c r="U59" i="14"/>
  <c r="U73" i="14" s="1"/>
  <c r="T59" i="14"/>
  <c r="T73" i="14" s="1"/>
  <c r="S59" i="14"/>
  <c r="S73" i="14" s="1"/>
  <c r="R59" i="14"/>
  <c r="R73" i="14" s="1"/>
  <c r="Q59" i="14"/>
  <c r="Q73" i="14" s="1"/>
  <c r="L59" i="14"/>
  <c r="L73" i="14" s="1"/>
  <c r="J59" i="14"/>
  <c r="I59" i="14"/>
  <c r="I73" i="14" s="1"/>
  <c r="E59" i="14"/>
  <c r="D59" i="14"/>
  <c r="BG56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S56" i="14"/>
  <c r="AR56" i="14"/>
  <c r="AQ56" i="14"/>
  <c r="AP56" i="14"/>
  <c r="AO56" i="14"/>
  <c r="AN56" i="14"/>
  <c r="AM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W56" i="14"/>
  <c r="V56" i="14"/>
  <c r="U56" i="14"/>
  <c r="T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G55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O55" i="14"/>
  <c r="AM55" i="14"/>
  <c r="AL55" i="14"/>
  <c r="AK55" i="14"/>
  <c r="AK50" i="14" s="1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S55" i="14"/>
  <c r="Q55" i="14"/>
  <c r="P55" i="14"/>
  <c r="O55" i="14"/>
  <c r="N55" i="14"/>
  <c r="M55" i="14"/>
  <c r="L55" i="14"/>
  <c r="L50" i="14" s="1"/>
  <c r="K55" i="14"/>
  <c r="J55" i="14"/>
  <c r="I55" i="14"/>
  <c r="H55" i="14"/>
  <c r="G55" i="14"/>
  <c r="F55" i="14"/>
  <c r="E55" i="14"/>
  <c r="D55" i="14"/>
  <c r="C55" i="14"/>
  <c r="BG54" i="14"/>
  <c r="BF54" i="14"/>
  <c r="BE54" i="14"/>
  <c r="BD54" i="14"/>
  <c r="BD50" i="14" s="1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H50" i="14" s="1"/>
  <c r="AG54" i="14"/>
  <c r="AF54" i="14"/>
  <c r="AE54" i="14"/>
  <c r="AD54" i="14"/>
  <c r="AC54" i="14"/>
  <c r="AB54" i="14"/>
  <c r="AA54" i="14"/>
  <c r="AA50" i="14" s="1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G53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G52" i="14"/>
  <c r="BF52" i="14"/>
  <c r="BF50" i="14" s="1"/>
  <c r="BE52" i="14"/>
  <c r="BD52" i="14"/>
  <c r="BC52" i="14"/>
  <c r="BC50" i="14" s="1"/>
  <c r="BB52" i="14"/>
  <c r="BA52" i="14"/>
  <c r="AZ52" i="14"/>
  <c r="AY52" i="14"/>
  <c r="AX52" i="14"/>
  <c r="AW52" i="14"/>
  <c r="AV52" i="14"/>
  <c r="AU52" i="14"/>
  <c r="AT52" i="14"/>
  <c r="AS52" i="14"/>
  <c r="AO52" i="14"/>
  <c r="AN52" i="14"/>
  <c r="AM52" i="14"/>
  <c r="AL52" i="14"/>
  <c r="AK52" i="14"/>
  <c r="AJ52" i="14"/>
  <c r="AI52" i="14"/>
  <c r="AH52" i="14"/>
  <c r="AG52" i="14"/>
  <c r="AG50" i="14" s="1"/>
  <c r="AF52" i="14"/>
  <c r="AE52" i="14"/>
  <c r="AE50" i="14" s="1"/>
  <c r="E14" i="26" s="1"/>
  <c r="AD52" i="14"/>
  <c r="AC52" i="14"/>
  <c r="AC50" i="14" s="1"/>
  <c r="AB52" i="14"/>
  <c r="AA52" i="14"/>
  <c r="Z52" i="14"/>
  <c r="Y52" i="14"/>
  <c r="X52" i="14"/>
  <c r="W52" i="14"/>
  <c r="S52" i="14"/>
  <c r="R52" i="14"/>
  <c r="Q52" i="14"/>
  <c r="P52" i="14"/>
  <c r="O52" i="14"/>
  <c r="N52" i="14"/>
  <c r="N50" i="14" s="1"/>
  <c r="M52" i="14"/>
  <c r="L52" i="14"/>
  <c r="K52" i="14"/>
  <c r="J52" i="14"/>
  <c r="I52" i="14"/>
  <c r="H52" i="14"/>
  <c r="H50" i="14" s="1"/>
  <c r="G52" i="14"/>
  <c r="F52" i="14"/>
  <c r="E52" i="14"/>
  <c r="D52" i="14"/>
  <c r="C52" i="14"/>
  <c r="BG51" i="14"/>
  <c r="BG50" i="14" s="1"/>
  <c r="BF51" i="14"/>
  <c r="BE51" i="14"/>
  <c r="BE50" i="14" s="1"/>
  <c r="BD51" i="14"/>
  <c r="BC51" i="14"/>
  <c r="BA51" i="14"/>
  <c r="BA50" i="14" s="1"/>
  <c r="AZ51" i="14"/>
  <c r="AY51" i="14"/>
  <c r="AW51" i="14"/>
  <c r="AT51" i="14"/>
  <c r="AS51" i="14"/>
  <c r="AS50" i="14" s="1"/>
  <c r="AR51" i="14"/>
  <c r="AQ51" i="14"/>
  <c r="AP51" i="14"/>
  <c r="AO51" i="14"/>
  <c r="AN51" i="14"/>
  <c r="AM51" i="14"/>
  <c r="AL51" i="14"/>
  <c r="AK51" i="14"/>
  <c r="AJ51" i="14"/>
  <c r="AJ50" i="14" s="1"/>
  <c r="AI51" i="14"/>
  <c r="AH51" i="14"/>
  <c r="AG51" i="14"/>
  <c r="AE51" i="14"/>
  <c r="AD51" i="14"/>
  <c r="AD50" i="14" s="1"/>
  <c r="AC51" i="14"/>
  <c r="AA51" i="14"/>
  <c r="X51" i="14"/>
  <c r="W51" i="14"/>
  <c r="W50" i="14" s="1"/>
  <c r="V51" i="14"/>
  <c r="U51" i="14"/>
  <c r="T51" i="14"/>
  <c r="S51" i="14"/>
  <c r="R51" i="14"/>
  <c r="Q51" i="14"/>
  <c r="P51" i="14"/>
  <c r="O51" i="14"/>
  <c r="O50" i="14" s="1"/>
  <c r="N51" i="14"/>
  <c r="M51" i="14"/>
  <c r="L51" i="14"/>
  <c r="K51" i="14"/>
  <c r="I51" i="14"/>
  <c r="H51" i="14"/>
  <c r="G51" i="14"/>
  <c r="E51" i="14"/>
  <c r="E50" i="14" s="1"/>
  <c r="AW50" i="14"/>
  <c r="AI50" i="14"/>
  <c r="K50" i="14"/>
  <c r="I50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Q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O43" i="14" s="1"/>
  <c r="N46" i="14"/>
  <c r="M46" i="14"/>
  <c r="L46" i="14"/>
  <c r="K46" i="14"/>
  <c r="K43" i="14" s="1"/>
  <c r="K12" i="12" s="1"/>
  <c r="J46" i="14"/>
  <c r="I46" i="14"/>
  <c r="H46" i="14"/>
  <c r="G46" i="14"/>
  <c r="F46" i="14"/>
  <c r="E46" i="14"/>
  <c r="D46" i="14"/>
  <c r="C46" i="14"/>
  <c r="BE45" i="14"/>
  <c r="BA45" i="14"/>
  <c r="AA45" i="14"/>
  <c r="Z45" i="14"/>
  <c r="Y45" i="14"/>
  <c r="X45" i="14"/>
  <c r="W45" i="14"/>
  <c r="V45" i="14"/>
  <c r="T45" i="14"/>
  <c r="S45" i="14"/>
  <c r="R45" i="14"/>
  <c r="Q45" i="14"/>
  <c r="P45" i="14"/>
  <c r="O45" i="14"/>
  <c r="N45" i="14"/>
  <c r="M45" i="14"/>
  <c r="L45" i="14"/>
  <c r="K45" i="14"/>
  <c r="J45" i="14"/>
  <c r="J43" i="14" s="1"/>
  <c r="I45" i="14"/>
  <c r="I43" i="14" s="1"/>
  <c r="H45" i="14"/>
  <c r="G45" i="14"/>
  <c r="F45" i="14"/>
  <c r="E45" i="14"/>
  <c r="D45" i="14"/>
  <c r="C45" i="14"/>
  <c r="BC44" i="14"/>
  <c r="AA44" i="14"/>
  <c r="Z44" i="14"/>
  <c r="Y44" i="14"/>
  <c r="X44" i="14"/>
  <c r="W44" i="14"/>
  <c r="V44" i="14"/>
  <c r="V43" i="14" s="1"/>
  <c r="U44" i="14"/>
  <c r="T44" i="14"/>
  <c r="T43" i="14" s="1"/>
  <c r="S44" i="14"/>
  <c r="S43" i="14" s="1"/>
  <c r="R44" i="14"/>
  <c r="Q44" i="14"/>
  <c r="P44" i="14"/>
  <c r="O44" i="14"/>
  <c r="N44" i="14"/>
  <c r="L44" i="14"/>
  <c r="K44" i="14"/>
  <c r="J44" i="14"/>
  <c r="I44" i="14"/>
  <c r="H44" i="14"/>
  <c r="H43" i="14" s="1"/>
  <c r="G44" i="14"/>
  <c r="F44" i="14"/>
  <c r="E44" i="14"/>
  <c r="D44" i="14"/>
  <c r="C44" i="14"/>
  <c r="W43" i="14"/>
  <c r="W12" i="12" s="1"/>
  <c r="G43" i="14"/>
  <c r="F43" i="14"/>
  <c r="C43" i="14"/>
  <c r="BG42" i="14"/>
  <c r="BF42" i="14"/>
  <c r="BD42" i="14"/>
  <c r="BC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H42" i="14"/>
  <c r="AG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G41" i="14"/>
  <c r="BF41" i="14"/>
  <c r="BE41" i="14"/>
  <c r="BD41" i="14"/>
  <c r="BC41" i="14"/>
  <c r="BB41" i="14"/>
  <c r="BA41" i="14"/>
  <c r="AZ41" i="14"/>
  <c r="AY41" i="14"/>
  <c r="AX41" i="14"/>
  <c r="AW41" i="14"/>
  <c r="AU41" i="14"/>
  <c r="AT41" i="14"/>
  <c r="AS41" i="14"/>
  <c r="AR41" i="14"/>
  <c r="AQ41" i="14"/>
  <c r="AP41" i="14"/>
  <c r="AO41" i="14"/>
  <c r="AN41" i="14"/>
  <c r="AN36" i="14" s="1"/>
  <c r="N11" i="26" s="1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Y41" i="14"/>
  <c r="X41" i="14"/>
  <c r="W41" i="14"/>
  <c r="V41" i="14"/>
  <c r="U41" i="14"/>
  <c r="T41" i="14"/>
  <c r="S41" i="14"/>
  <c r="S36" i="14" s="1"/>
  <c r="S11" i="12" s="1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C41" i="14"/>
  <c r="BG40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E36" i="14" s="1"/>
  <c r="E11" i="26" s="1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K36" i="14" s="1"/>
  <c r="J40" i="14"/>
  <c r="J36" i="14" s="1"/>
  <c r="I40" i="14"/>
  <c r="I36" i="14" s="1"/>
  <c r="H40" i="14"/>
  <c r="G40" i="14"/>
  <c r="F40" i="14"/>
  <c r="E40" i="14"/>
  <c r="D40" i="14"/>
  <c r="C40" i="14"/>
  <c r="BG39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G38" i="14"/>
  <c r="BG36" i="14" s="1"/>
  <c r="BG28" i="14" s="1"/>
  <c r="BF38" i="14"/>
  <c r="BE38" i="14"/>
  <c r="BD38" i="14"/>
  <c r="BD36" i="14" s="1"/>
  <c r="BD11" i="12" s="1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M36" i="14" s="1"/>
  <c r="M11" i="26" s="1"/>
  <c r="AL38" i="14"/>
  <c r="AL36" i="14" s="1"/>
  <c r="L11" i="26" s="1"/>
  <c r="AK38" i="14"/>
  <c r="AK36" i="14" s="1"/>
  <c r="K11" i="26" s="1"/>
  <c r="AJ38" i="14"/>
  <c r="AI38" i="14"/>
  <c r="AH38" i="14"/>
  <c r="AH36" i="14" s="1"/>
  <c r="H11" i="26" s="1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P36" i="14" s="1"/>
  <c r="O38" i="14"/>
  <c r="O36" i="14" s="1"/>
  <c r="O11" i="12" s="1"/>
  <c r="N38" i="14"/>
  <c r="N36" i="14" s="1"/>
  <c r="M38" i="14"/>
  <c r="M36" i="14" s="1"/>
  <c r="L38" i="14"/>
  <c r="L36" i="14" s="1"/>
  <c r="K38" i="14"/>
  <c r="J38" i="14"/>
  <c r="I38" i="14"/>
  <c r="H38" i="14"/>
  <c r="G38" i="14"/>
  <c r="F38" i="14"/>
  <c r="E38" i="14"/>
  <c r="D38" i="14"/>
  <c r="C38" i="14"/>
  <c r="BG37" i="14"/>
  <c r="BF37" i="14"/>
  <c r="BE37" i="14"/>
  <c r="BD37" i="14"/>
  <c r="BC37" i="14"/>
  <c r="BB37" i="14"/>
  <c r="BA37" i="14"/>
  <c r="AZ37" i="14"/>
  <c r="AY37" i="14"/>
  <c r="AY36" i="14" s="1"/>
  <c r="AX37" i="14"/>
  <c r="AX36" i="14" s="1"/>
  <c r="AW37" i="14"/>
  <c r="AW36" i="14" s="1"/>
  <c r="AV37" i="14"/>
  <c r="AU37" i="14"/>
  <c r="AU36" i="14" s="1"/>
  <c r="AT37" i="14"/>
  <c r="AS37" i="14"/>
  <c r="AR37" i="14"/>
  <c r="AQ37" i="14"/>
  <c r="AP37" i="14"/>
  <c r="AO37" i="14"/>
  <c r="AN37" i="14"/>
  <c r="AM37" i="14"/>
  <c r="AL37" i="14"/>
  <c r="AK37" i="14"/>
  <c r="AJ37" i="14"/>
  <c r="AI37" i="14"/>
  <c r="AH37" i="14"/>
  <c r="AG37" i="14"/>
  <c r="AF37" i="14"/>
  <c r="AE37" i="14"/>
  <c r="AD37" i="14"/>
  <c r="AC37" i="14"/>
  <c r="AB37" i="14"/>
  <c r="AB36" i="14" s="1"/>
  <c r="B11" i="26" s="1"/>
  <c r="AA37" i="14"/>
  <c r="AA36" i="14" s="1"/>
  <c r="Z37" i="14"/>
  <c r="Y37" i="14"/>
  <c r="Y36" i="14" s="1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F36" i="14" s="1"/>
  <c r="E37" i="14"/>
  <c r="E36" i="14" s="1"/>
  <c r="D37" i="14"/>
  <c r="C37" i="14"/>
  <c r="C36" i="14" s="1"/>
  <c r="BG35" i="14"/>
  <c r="BF35" i="14"/>
  <c r="BE35" i="14"/>
  <c r="BD35" i="14"/>
  <c r="BC35" i="14"/>
  <c r="BA35" i="14"/>
  <c r="AZ35" i="14"/>
  <c r="AV35" i="14"/>
  <c r="AU35" i="14"/>
  <c r="AT35" i="14"/>
  <c r="AS35" i="14"/>
  <c r="AR35" i="14"/>
  <c r="AQ35" i="14"/>
  <c r="AO35" i="14"/>
  <c r="AN35" i="14"/>
  <c r="AM35" i="14"/>
  <c r="AL35" i="14"/>
  <c r="AK35" i="14"/>
  <c r="AJ35" i="14"/>
  <c r="AI35" i="14"/>
  <c r="AH35" i="14"/>
  <c r="AG35" i="14"/>
  <c r="AE35" i="14"/>
  <c r="AD35" i="14"/>
  <c r="Z35" i="14"/>
  <c r="Y35" i="14"/>
  <c r="X35" i="14"/>
  <c r="W35" i="14"/>
  <c r="V35" i="14"/>
  <c r="U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G34" i="14"/>
  <c r="BF34" i="14"/>
  <c r="BE34" i="14"/>
  <c r="BD34" i="14"/>
  <c r="BC34" i="14"/>
  <c r="BB34" i="14"/>
  <c r="BA34" i="14"/>
  <c r="BA29" i="14" s="1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L34" i="14"/>
  <c r="AK34" i="14"/>
  <c r="AJ34" i="14"/>
  <c r="AI34" i="14"/>
  <c r="AH34" i="14"/>
  <c r="AG34" i="14"/>
  <c r="AF34" i="14"/>
  <c r="AE34" i="14"/>
  <c r="AD34" i="14"/>
  <c r="AD29" i="14" s="1"/>
  <c r="AC34" i="14"/>
  <c r="AB34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M34" i="14"/>
  <c r="L34" i="14"/>
  <c r="K34" i="14"/>
  <c r="J34" i="14"/>
  <c r="I34" i="14"/>
  <c r="I29" i="14" s="1"/>
  <c r="H34" i="14"/>
  <c r="G34" i="14"/>
  <c r="G29" i="14" s="1"/>
  <c r="F34" i="14"/>
  <c r="E34" i="14"/>
  <c r="D34" i="14"/>
  <c r="C34" i="14"/>
  <c r="BG33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F29" i="14" s="1"/>
  <c r="E33" i="14"/>
  <c r="D33" i="14"/>
  <c r="C33" i="14"/>
  <c r="BG32" i="14"/>
  <c r="BF32" i="14"/>
  <c r="BE32" i="14"/>
  <c r="BE29" i="14" s="1"/>
  <c r="BD32" i="14"/>
  <c r="BD29" i="14" s="1"/>
  <c r="BC32" i="14"/>
  <c r="BC29" i="14" s="1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G29" i="14" s="1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M32" i="14"/>
  <c r="L32" i="14"/>
  <c r="L29" i="14" s="1"/>
  <c r="K32" i="14"/>
  <c r="K29" i="14" s="1"/>
  <c r="J32" i="14"/>
  <c r="I32" i="14"/>
  <c r="H32" i="14"/>
  <c r="G32" i="14"/>
  <c r="F32" i="14"/>
  <c r="E32" i="14"/>
  <c r="D32" i="14"/>
  <c r="C32" i="14"/>
  <c r="BG31" i="14"/>
  <c r="BF31" i="14"/>
  <c r="BE31" i="14"/>
  <c r="BD31" i="14"/>
  <c r="BC31" i="14"/>
  <c r="BB31" i="14"/>
  <c r="BA31" i="14"/>
  <c r="AZ31" i="14"/>
  <c r="AZ29" i="14" s="1"/>
  <c r="AY31" i="14"/>
  <c r="AX31" i="14"/>
  <c r="AW31" i="14"/>
  <c r="AV31" i="14"/>
  <c r="AT31" i="14"/>
  <c r="AT29" i="14" s="1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X31" i="14"/>
  <c r="X29" i="14" s="1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BG30" i="14"/>
  <c r="BG29" i="14" s="1"/>
  <c r="BF30" i="14"/>
  <c r="BF29" i="14" s="1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P29" i="14" s="1"/>
  <c r="P28" i="14" s="1"/>
  <c r="O30" i="14"/>
  <c r="O29" i="14" s="1"/>
  <c r="N30" i="14"/>
  <c r="N29" i="14" s="1"/>
  <c r="M30" i="14"/>
  <c r="M29" i="14" s="1"/>
  <c r="L30" i="14"/>
  <c r="K30" i="14"/>
  <c r="J30" i="14"/>
  <c r="I30" i="14"/>
  <c r="H30" i="14"/>
  <c r="G30" i="14"/>
  <c r="F30" i="14"/>
  <c r="E30" i="14"/>
  <c r="E29" i="14" s="1"/>
  <c r="D30" i="14"/>
  <c r="C30" i="14"/>
  <c r="AV29" i="14"/>
  <c r="AH29" i="14"/>
  <c r="AE29" i="14"/>
  <c r="Z29" i="14"/>
  <c r="H29" i="14"/>
  <c r="D29" i="14"/>
  <c r="BG24" i="14"/>
  <c r="BF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P24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G23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U18" i="14" s="1"/>
  <c r="AT23" i="14"/>
  <c r="AS23" i="14"/>
  <c r="AS18" i="14" s="1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V18" i="14" s="1"/>
  <c r="U23" i="14"/>
  <c r="U18" i="14" s="1"/>
  <c r="T23" i="14"/>
  <c r="T18" i="14" s="1"/>
  <c r="T25" i="14" s="1"/>
  <c r="T72" i="14" s="1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F18" i="14" s="1"/>
  <c r="F6" i="12" s="1"/>
  <c r="E23" i="14"/>
  <c r="D23" i="14"/>
  <c r="C23" i="14"/>
  <c r="BG22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S18" i="14" s="1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G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H21" i="14"/>
  <c r="AG21" i="14"/>
  <c r="AF21" i="14"/>
  <c r="AE21" i="14"/>
  <c r="AD21" i="14"/>
  <c r="AC21" i="14"/>
  <c r="AB21" i="14"/>
  <c r="AA21" i="14"/>
  <c r="Z21" i="14"/>
  <c r="Z18" i="14" s="1"/>
  <c r="Y21" i="14"/>
  <c r="Y18" i="14" s="1"/>
  <c r="X21" i="14"/>
  <c r="W21" i="14"/>
  <c r="V21" i="14"/>
  <c r="U21" i="14"/>
  <c r="T21" i="14"/>
  <c r="S21" i="14"/>
  <c r="R21" i="14"/>
  <c r="Q21" i="14"/>
  <c r="P21" i="14"/>
  <c r="O21" i="14"/>
  <c r="L21" i="14"/>
  <c r="K21" i="14"/>
  <c r="J21" i="14"/>
  <c r="I21" i="14"/>
  <c r="H21" i="14"/>
  <c r="G21" i="14"/>
  <c r="F21" i="14"/>
  <c r="E21" i="14"/>
  <c r="D21" i="14"/>
  <c r="D18" i="14" s="1"/>
  <c r="D25" i="14" s="1"/>
  <c r="D72" i="14" s="1"/>
  <c r="D74" i="14" s="1"/>
  <c r="C21" i="14"/>
  <c r="BG20" i="14"/>
  <c r="BF20" i="14"/>
  <c r="BE20" i="14"/>
  <c r="BD20" i="14"/>
  <c r="BC20" i="14"/>
  <c r="BB20" i="14"/>
  <c r="BA20" i="14"/>
  <c r="AZ20" i="14"/>
  <c r="AX20" i="14"/>
  <c r="AW20" i="14"/>
  <c r="AV20" i="14"/>
  <c r="AU20" i="14"/>
  <c r="AT20" i="14"/>
  <c r="AS20" i="14"/>
  <c r="AR20" i="14"/>
  <c r="AQ20" i="14"/>
  <c r="AP20" i="14"/>
  <c r="AO20" i="14"/>
  <c r="AN20" i="14"/>
  <c r="AN18" i="14" s="1"/>
  <c r="AM20" i="14"/>
  <c r="AL20" i="14"/>
  <c r="AK20" i="14"/>
  <c r="AJ20" i="14"/>
  <c r="AI20" i="14"/>
  <c r="AH20" i="14"/>
  <c r="AG20" i="14"/>
  <c r="AF20" i="14"/>
  <c r="AE20" i="14"/>
  <c r="AD20" i="14"/>
  <c r="AB20" i="14"/>
  <c r="AA20" i="14"/>
  <c r="Z20" i="14"/>
  <c r="Y20" i="14"/>
  <c r="X20" i="14"/>
  <c r="W20" i="14"/>
  <c r="W18" i="14" s="1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F20" i="14"/>
  <c r="E20" i="14"/>
  <c r="D20" i="14"/>
  <c r="C20" i="14"/>
  <c r="BG19" i="14"/>
  <c r="BF19" i="14"/>
  <c r="BE19" i="14"/>
  <c r="BD19" i="14"/>
  <c r="BC19" i="14"/>
  <c r="BB19" i="14"/>
  <c r="BA19" i="14"/>
  <c r="AZ19" i="14"/>
  <c r="AY19" i="14"/>
  <c r="AX19" i="14"/>
  <c r="AW19" i="14"/>
  <c r="AW18" i="14" s="1"/>
  <c r="AV19" i="14"/>
  <c r="AU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F18" i="14" s="1"/>
  <c r="AE19" i="14"/>
  <c r="AD19" i="14"/>
  <c r="AC19" i="14"/>
  <c r="AB19" i="14"/>
  <c r="AA19" i="14"/>
  <c r="AA18" i="14" s="1"/>
  <c r="Z19" i="14"/>
  <c r="Y19" i="14"/>
  <c r="W19" i="14"/>
  <c r="V19" i="14"/>
  <c r="U19" i="14"/>
  <c r="T19" i="14"/>
  <c r="S19" i="14"/>
  <c r="R19" i="14"/>
  <c r="Q19" i="14"/>
  <c r="P19" i="14"/>
  <c r="P18" i="14" s="1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B18" i="14"/>
  <c r="AV18" i="14"/>
  <c r="AR18" i="14"/>
  <c r="AQ18" i="14"/>
  <c r="AP18" i="14"/>
  <c r="P5" i="26" s="1"/>
  <c r="R18" i="14"/>
  <c r="J18" i="14"/>
  <c r="E18" i="14"/>
  <c r="C18" i="14"/>
  <c r="BG17" i="14"/>
  <c r="BF17" i="14"/>
  <c r="BE17" i="14"/>
  <c r="BD17" i="14"/>
  <c r="BC17" i="14"/>
  <c r="BB17" i="14"/>
  <c r="AZ17" i="14"/>
  <c r="AY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T11" i="14" s="1"/>
  <c r="AT5" i="12" s="1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Y11" i="14" s="1"/>
  <c r="Y25" i="14" s="1"/>
  <c r="Y72" i="14" s="1"/>
  <c r="Y74" i="14" s="1"/>
  <c r="X16" i="14"/>
  <c r="X11" i="14" s="1"/>
  <c r="X25" i="14" s="1"/>
  <c r="X72" i="14" s="1"/>
  <c r="X74" i="14" s="1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G15" i="14"/>
  <c r="BF15" i="14"/>
  <c r="BE15" i="14"/>
  <c r="BD15" i="14"/>
  <c r="BC15" i="14"/>
  <c r="BB15" i="14"/>
  <c r="BA15" i="14"/>
  <c r="AZ15" i="14"/>
  <c r="AY15" i="14"/>
  <c r="AX15" i="14"/>
  <c r="AW15" i="14"/>
  <c r="AV15" i="14"/>
  <c r="AU15" i="14"/>
  <c r="AT15" i="14"/>
  <c r="AS15" i="14"/>
  <c r="AR15" i="14"/>
  <c r="AQ15" i="14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G14" i="14"/>
  <c r="BF14" i="14"/>
  <c r="BE14" i="14"/>
  <c r="BD14" i="14"/>
  <c r="BC14" i="14"/>
  <c r="BB14" i="14"/>
  <c r="BA14" i="14"/>
  <c r="AZ14" i="14"/>
  <c r="AY14" i="14"/>
  <c r="AY11" i="14" s="1"/>
  <c r="AX14" i="14"/>
  <c r="AX11" i="14" s="1"/>
  <c r="AX5" i="12" s="1"/>
  <c r="AW14" i="14"/>
  <c r="AV14" i="14"/>
  <c r="AV11" i="14" s="1"/>
  <c r="AU14" i="14"/>
  <c r="AT14" i="14"/>
  <c r="AS14" i="14"/>
  <c r="AR14" i="14"/>
  <c r="AQ14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C11" i="14" s="1"/>
  <c r="C4" i="26" s="1"/>
  <c r="AB14" i="14"/>
  <c r="AA14" i="14"/>
  <c r="AA11" i="14" s="1"/>
  <c r="Z14" i="14"/>
  <c r="Z11" i="14" s="1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G11" i="14" s="1"/>
  <c r="F14" i="14"/>
  <c r="F11" i="14" s="1"/>
  <c r="E14" i="14"/>
  <c r="D14" i="14"/>
  <c r="D11" i="14" s="1"/>
  <c r="C14" i="14"/>
  <c r="BG13" i="14"/>
  <c r="BF13" i="14"/>
  <c r="BE13" i="14"/>
  <c r="BD13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P13" i="14"/>
  <c r="AP11" i="14" s="1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U11" i="14" s="1"/>
  <c r="T13" i="14"/>
  <c r="T11" i="14" s="1"/>
  <c r="T5" i="12" s="1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F12" i="14"/>
  <c r="BE12" i="14"/>
  <c r="BD12" i="14"/>
  <c r="BD11" i="14" s="1"/>
  <c r="BC12" i="14"/>
  <c r="BC11" i="14" s="1"/>
  <c r="BB12" i="14"/>
  <c r="BA12" i="14"/>
  <c r="AZ12" i="14"/>
  <c r="AZ11" i="14" s="1"/>
  <c r="AZ5" i="12" s="1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J12" i="14"/>
  <c r="AI12" i="14"/>
  <c r="AH12" i="14"/>
  <c r="AG12" i="14"/>
  <c r="AF12" i="14"/>
  <c r="AE12" i="14"/>
  <c r="AD12" i="14"/>
  <c r="AD11" i="14" s="1"/>
  <c r="AC12" i="14"/>
  <c r="AB12" i="14"/>
  <c r="AA12" i="14"/>
  <c r="Z12" i="14"/>
  <c r="Y12" i="14"/>
  <c r="X12" i="14"/>
  <c r="W12" i="14"/>
  <c r="V12" i="14"/>
  <c r="V11" i="14" s="1"/>
  <c r="U12" i="14"/>
  <c r="T12" i="14"/>
  <c r="S12" i="14"/>
  <c r="R12" i="14"/>
  <c r="Q12" i="14"/>
  <c r="P12" i="14"/>
  <c r="N12" i="14"/>
  <c r="M12" i="14"/>
  <c r="L12" i="14"/>
  <c r="K12" i="14"/>
  <c r="J12" i="14"/>
  <c r="I12" i="14"/>
  <c r="H12" i="14"/>
  <c r="H11" i="14" s="1"/>
  <c r="G12" i="14"/>
  <c r="F12" i="14"/>
  <c r="E12" i="14"/>
  <c r="D12" i="14"/>
  <c r="C12" i="14"/>
  <c r="AR11" i="14"/>
  <c r="AQ11" i="14"/>
  <c r="AI11" i="14"/>
  <c r="AE11" i="14"/>
  <c r="BG10" i="14"/>
  <c r="BF10" i="14"/>
  <c r="BE10" i="14"/>
  <c r="BD10" i="14"/>
  <c r="BC10" i="14"/>
  <c r="BB10" i="14"/>
  <c r="BA10" i="14"/>
  <c r="AZ10" i="14"/>
  <c r="AY10" i="14"/>
  <c r="AW10" i="14"/>
  <c r="AV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A10" i="14"/>
  <c r="Z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G9" i="14"/>
  <c r="BF9" i="14"/>
  <c r="BE9" i="14"/>
  <c r="BD9" i="14"/>
  <c r="BD4" i="14" s="1"/>
  <c r="BC9" i="14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H4" i="14" s="1"/>
  <c r="H3" i="26" s="1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G8" i="14"/>
  <c r="BF8" i="14"/>
  <c r="BE8" i="14"/>
  <c r="BD8" i="14"/>
  <c r="BC8" i="14"/>
  <c r="BB8" i="14"/>
  <c r="BA8" i="14"/>
  <c r="AZ8" i="14"/>
  <c r="AY8" i="14"/>
  <c r="AX8" i="14"/>
  <c r="AW8" i="14"/>
  <c r="AV8" i="14"/>
  <c r="AU8" i="14"/>
  <c r="AT8" i="14"/>
  <c r="AS8" i="14"/>
  <c r="AR8" i="14"/>
  <c r="AQ8" i="14"/>
  <c r="AP8" i="14"/>
  <c r="AO8" i="14"/>
  <c r="AN8" i="14"/>
  <c r="AM8" i="14"/>
  <c r="AL8" i="14"/>
  <c r="AK8" i="14"/>
  <c r="AJ8" i="14"/>
  <c r="AI8" i="14"/>
  <c r="AH8" i="14"/>
  <c r="AG8" i="14"/>
  <c r="AF8" i="14"/>
  <c r="AE8" i="14"/>
  <c r="AD8" i="14"/>
  <c r="AC8" i="14"/>
  <c r="AB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G8" i="14"/>
  <c r="D8" i="14"/>
  <c r="C8" i="14"/>
  <c r="BG7" i="14"/>
  <c r="BF7" i="14"/>
  <c r="BE7" i="14"/>
  <c r="BD7" i="14"/>
  <c r="BC7" i="14"/>
  <c r="BB7" i="14"/>
  <c r="BA7" i="14"/>
  <c r="BA4" i="14" s="1"/>
  <c r="AZ7" i="14"/>
  <c r="AY7" i="14"/>
  <c r="AX7" i="14"/>
  <c r="AW7" i="14"/>
  <c r="AV7" i="14"/>
  <c r="AU7" i="14"/>
  <c r="AT7" i="14"/>
  <c r="AS7" i="14"/>
  <c r="AR7" i="14"/>
  <c r="AQ7" i="14"/>
  <c r="AP7" i="14"/>
  <c r="AO7" i="14"/>
  <c r="AM7" i="14"/>
  <c r="AL7" i="14"/>
  <c r="AK7" i="14"/>
  <c r="AJ7" i="14"/>
  <c r="AI7" i="14"/>
  <c r="AH7" i="14"/>
  <c r="AG7" i="14"/>
  <c r="AF7" i="14"/>
  <c r="AE7" i="14"/>
  <c r="AD7" i="14"/>
  <c r="AD4" i="14" s="1"/>
  <c r="D3" i="26" s="1"/>
  <c r="AC7" i="14"/>
  <c r="AB7" i="14"/>
  <c r="AA7" i="14"/>
  <c r="Z7" i="14"/>
  <c r="Y7" i="14"/>
  <c r="X7" i="14"/>
  <c r="W7" i="14"/>
  <c r="V7" i="14"/>
  <c r="U7" i="14"/>
  <c r="T7" i="14"/>
  <c r="S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G6" i="14"/>
  <c r="BF6" i="14"/>
  <c r="BE6" i="14"/>
  <c r="BD6" i="14"/>
  <c r="BA6" i="14"/>
  <c r="AZ6" i="14"/>
  <c r="AY6" i="14"/>
  <c r="AY4" i="14" s="1"/>
  <c r="AX6" i="14"/>
  <c r="AW6" i="14"/>
  <c r="AW4" i="14" s="1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I6" i="14"/>
  <c r="H6" i="14"/>
  <c r="G6" i="14"/>
  <c r="F6" i="14"/>
  <c r="E6" i="14"/>
  <c r="D6" i="14"/>
  <c r="C6" i="14"/>
  <c r="BG5" i="14"/>
  <c r="BG4" i="14" s="1"/>
  <c r="BF5" i="14"/>
  <c r="BE5" i="14"/>
  <c r="BD5" i="14"/>
  <c r="BC5" i="14"/>
  <c r="BB5" i="14"/>
  <c r="BA5" i="14"/>
  <c r="AZ5" i="14"/>
  <c r="AY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J4" i="14" s="1"/>
  <c r="J3" i="26" s="1"/>
  <c r="AI5" i="14"/>
  <c r="AH5" i="14"/>
  <c r="AG5" i="14"/>
  <c r="AF5" i="14"/>
  <c r="AE5" i="14"/>
  <c r="AD5" i="14"/>
  <c r="AC5" i="14"/>
  <c r="AA5" i="14"/>
  <c r="Z5" i="14"/>
  <c r="Y5" i="14"/>
  <c r="Y4" i="14" s="1"/>
  <c r="Y4" i="12" s="1"/>
  <c r="Y7" i="12" s="1"/>
  <c r="Y21" i="12" s="1"/>
  <c r="X5" i="14"/>
  <c r="W5" i="14"/>
  <c r="V5" i="14"/>
  <c r="V4" i="14" s="1"/>
  <c r="U5" i="14"/>
  <c r="U4" i="14" s="1"/>
  <c r="T5" i="14"/>
  <c r="T4" i="14" s="1"/>
  <c r="S5" i="14"/>
  <c r="S4" i="14" s="1"/>
  <c r="R5" i="14"/>
  <c r="R4" i="14" s="1"/>
  <c r="Q5" i="14"/>
  <c r="Q4" i="14" s="1"/>
  <c r="P5" i="14"/>
  <c r="O5" i="14"/>
  <c r="O4" i="14" s="1"/>
  <c r="N5" i="14"/>
  <c r="N4" i="14" s="1"/>
  <c r="M5" i="14"/>
  <c r="M4" i="14" s="1"/>
  <c r="L5" i="14"/>
  <c r="L4" i="14" s="1"/>
  <c r="K5" i="14"/>
  <c r="K4" i="14" s="1"/>
  <c r="J5" i="14"/>
  <c r="I5" i="14"/>
  <c r="H5" i="14"/>
  <c r="G5" i="14"/>
  <c r="E5" i="14"/>
  <c r="D5" i="14"/>
  <c r="C5" i="14"/>
  <c r="C4" i="14" s="1"/>
  <c r="C4" i="12" s="1"/>
  <c r="C7" i="12" s="1"/>
  <c r="C21" i="12" s="1"/>
  <c r="AE4" i="14"/>
  <c r="E3" i="26" s="1"/>
  <c r="AC4" i="14"/>
  <c r="C3" i="26" s="1"/>
  <c r="AA4" i="14"/>
  <c r="Z4" i="14"/>
  <c r="X4" i="14"/>
  <c r="W4" i="14"/>
  <c r="P4" i="14"/>
  <c r="J4" i="14"/>
  <c r="I4" i="14"/>
  <c r="H4" i="14"/>
  <c r="G4" i="14"/>
  <c r="E4" i="14"/>
  <c r="D4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AP46" i="13"/>
  <c r="AP57" i="12" s="1"/>
  <c r="AO46" i="13"/>
  <c r="AN46" i="13"/>
  <c r="AN57" i="12" s="1"/>
  <c r="AM46" i="13"/>
  <c r="AM57" i="12" s="1"/>
  <c r="AL46" i="13"/>
  <c r="AK46" i="13"/>
  <c r="AJ46" i="13"/>
  <c r="AI46" i="13"/>
  <c r="AH46" i="13"/>
  <c r="AG46" i="13"/>
  <c r="AF46" i="13"/>
  <c r="AE46" i="13"/>
  <c r="AI41" i="13"/>
  <c r="AA41" i="13"/>
  <c r="M41" i="13"/>
  <c r="E41" i="13"/>
  <c r="BT39" i="13"/>
  <c r="BR39" i="13"/>
  <c r="BW37" i="13"/>
  <c r="BS37" i="13"/>
  <c r="BG33" i="13"/>
  <c r="BF33" i="13"/>
  <c r="BE33" i="13"/>
  <c r="BD33" i="13"/>
  <c r="BC33" i="13"/>
  <c r="BB33" i="13"/>
  <c r="BA33" i="13"/>
  <c r="AZ33" i="13"/>
  <c r="AY33" i="13"/>
  <c r="AX33" i="13"/>
  <c r="AW33" i="13"/>
  <c r="AU33" i="13"/>
  <c r="AU31" i="13" s="1"/>
  <c r="AU15" i="12" s="1"/>
  <c r="AT33" i="13"/>
  <c r="AS33" i="13"/>
  <c r="AS31" i="13" s="1"/>
  <c r="AR33" i="13"/>
  <c r="AR31" i="13" s="1"/>
  <c r="AQ33" i="13"/>
  <c r="AQ31" i="13" s="1"/>
  <c r="AP33" i="13"/>
  <c r="AO33" i="13"/>
  <c r="AN33" i="13"/>
  <c r="AM33" i="13"/>
  <c r="AL33" i="13"/>
  <c r="AK33" i="13"/>
  <c r="AK31" i="13" s="1"/>
  <c r="AJ33" i="13"/>
  <c r="AI33" i="13"/>
  <c r="AH33" i="13"/>
  <c r="AG33" i="13"/>
  <c r="AF33" i="13"/>
  <c r="AE33" i="13"/>
  <c r="AD33" i="13"/>
  <c r="AC33" i="13"/>
  <c r="AB33" i="13"/>
  <c r="AA33" i="13"/>
  <c r="Y33" i="13"/>
  <c r="Y31" i="13" s="1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C33" i="13"/>
  <c r="C31" i="13" s="1"/>
  <c r="BG32" i="13"/>
  <c r="BG31" i="13" s="1"/>
  <c r="BF32" i="13"/>
  <c r="BF31" i="13" s="1"/>
  <c r="BE32" i="13"/>
  <c r="BE31" i="13" s="1"/>
  <c r="BD32" i="13"/>
  <c r="BD31" i="13" s="1"/>
  <c r="BC32" i="13"/>
  <c r="BC31" i="13" s="1"/>
  <c r="BC15" i="12" s="1"/>
  <c r="BC22" i="12" s="1"/>
  <c r="BB32" i="13"/>
  <c r="BB31" i="13" s="1"/>
  <c r="AZ32" i="13"/>
  <c r="AZ31" i="13" s="1"/>
  <c r="AY32" i="13"/>
  <c r="AX32" i="13"/>
  <c r="AX31" i="13" s="1"/>
  <c r="AX15" i="12" s="1"/>
  <c r="AX22" i="12" s="1"/>
  <c r="AW32" i="13"/>
  <c r="AV32" i="13"/>
  <c r="AU32" i="13"/>
  <c r="AS32" i="13"/>
  <c r="AR32" i="13"/>
  <c r="AP32" i="13"/>
  <c r="AP31" i="13" s="1"/>
  <c r="P17" i="25" s="1"/>
  <c r="AM32" i="13"/>
  <c r="AL32" i="13"/>
  <c r="AK32" i="13"/>
  <c r="AJ32" i="13"/>
  <c r="AI32" i="13"/>
  <c r="AI31" i="13" s="1"/>
  <c r="I17" i="25" s="1"/>
  <c r="AH32" i="13"/>
  <c r="AH31" i="13" s="1"/>
  <c r="AG32" i="13"/>
  <c r="AF32" i="13"/>
  <c r="AF31" i="13" s="1"/>
  <c r="AD32" i="13"/>
  <c r="AD31" i="13" s="1"/>
  <c r="AC32" i="13"/>
  <c r="AC31" i="13" s="1"/>
  <c r="AB32" i="13"/>
  <c r="AA32" i="13"/>
  <c r="Z32" i="13"/>
  <c r="Y32" i="13"/>
  <c r="X32" i="13"/>
  <c r="W32" i="13"/>
  <c r="V32" i="13"/>
  <c r="Q32" i="13"/>
  <c r="P32" i="13"/>
  <c r="O32" i="13"/>
  <c r="O31" i="13" s="1"/>
  <c r="O41" i="13" s="1"/>
  <c r="N32" i="13"/>
  <c r="M32" i="13"/>
  <c r="M31" i="13" s="1"/>
  <c r="L32" i="13"/>
  <c r="L31" i="13" s="1"/>
  <c r="L41" i="13" s="1"/>
  <c r="K32" i="13"/>
  <c r="J32" i="13"/>
  <c r="J31" i="13" s="1"/>
  <c r="J41" i="13" s="1"/>
  <c r="I32" i="13"/>
  <c r="I31" i="13" s="1"/>
  <c r="I15" i="12" s="1"/>
  <c r="I22" i="12" s="1"/>
  <c r="H32" i="13"/>
  <c r="H31" i="13" s="1"/>
  <c r="H41" i="13" s="1"/>
  <c r="G32" i="13"/>
  <c r="G31" i="13" s="1"/>
  <c r="F32" i="13"/>
  <c r="F31" i="13" s="1"/>
  <c r="E32" i="13"/>
  <c r="E31" i="13" s="1"/>
  <c r="E15" i="12" s="1"/>
  <c r="D32" i="13"/>
  <c r="C32" i="13"/>
  <c r="AY31" i="13"/>
  <c r="AY15" i="12" s="1"/>
  <c r="AW31" i="13"/>
  <c r="AG31" i="13"/>
  <c r="AB31" i="13"/>
  <c r="AA31" i="13"/>
  <c r="Z31" i="13"/>
  <c r="X31" i="13"/>
  <c r="W31" i="13"/>
  <c r="V31" i="13"/>
  <c r="V41" i="13" s="1"/>
  <c r="K31" i="13"/>
  <c r="K41" i="13" s="1"/>
  <c r="BW30" i="13"/>
  <c r="BV30" i="13"/>
  <c r="BU30" i="13"/>
  <c r="BT30" i="13"/>
  <c r="BS30" i="13"/>
  <c r="BR30" i="13"/>
  <c r="BQ30" i="13"/>
  <c r="BP30" i="13"/>
  <c r="BO30" i="13"/>
  <c r="BN30" i="13"/>
  <c r="BM30" i="13"/>
  <c r="BQ29" i="13"/>
  <c r="BO29" i="13"/>
  <c r="BS28" i="13"/>
  <c r="BG28" i="13"/>
  <c r="BF28" i="13"/>
  <c r="BE28" i="13"/>
  <c r="BD28" i="13"/>
  <c r="BC28" i="13"/>
  <c r="BB28" i="13"/>
  <c r="BA28" i="13"/>
  <c r="AZ28" i="13"/>
  <c r="AZ26" i="13" s="1"/>
  <c r="AY28" i="13"/>
  <c r="AV28" i="13"/>
  <c r="AR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T28" i="13"/>
  <c r="T26" i="13" s="1"/>
  <c r="R28" i="13"/>
  <c r="Q28" i="13"/>
  <c r="P28" i="13"/>
  <c r="O28" i="13"/>
  <c r="N28" i="13"/>
  <c r="M28" i="13"/>
  <c r="L28" i="13"/>
  <c r="L26" i="13" s="1"/>
  <c r="L13" i="12" s="1"/>
  <c r="K28" i="13"/>
  <c r="J28" i="13"/>
  <c r="I28" i="13"/>
  <c r="H28" i="13"/>
  <c r="H26" i="13" s="1"/>
  <c r="G28" i="13"/>
  <c r="E28" i="13"/>
  <c r="BR27" i="13"/>
  <c r="BP27" i="13"/>
  <c r="BO27" i="13"/>
  <c r="BN27" i="13"/>
  <c r="BM27" i="13"/>
  <c r="BG27" i="13"/>
  <c r="BF27" i="13"/>
  <c r="BF26" i="13" s="1"/>
  <c r="BE27" i="13"/>
  <c r="BE26" i="13" s="1"/>
  <c r="BD27" i="13"/>
  <c r="BB27" i="13"/>
  <c r="BB26" i="13" s="1"/>
  <c r="BA27" i="13"/>
  <c r="AZ27" i="13"/>
  <c r="AY27" i="13"/>
  <c r="AY26" i="13" s="1"/>
  <c r="AX27" i="13"/>
  <c r="AX26" i="13" s="1"/>
  <c r="AW27" i="13"/>
  <c r="AV27" i="13"/>
  <c r="AU27" i="13"/>
  <c r="AT27" i="13"/>
  <c r="AR27" i="13"/>
  <c r="AQ27" i="13"/>
  <c r="AP27" i="13"/>
  <c r="AK27" i="13"/>
  <c r="AK26" i="13" s="1"/>
  <c r="K14" i="25" s="1"/>
  <c r="AJ27" i="13"/>
  <c r="AJ26" i="13" s="1"/>
  <c r="AI27" i="13"/>
  <c r="AI26" i="13" s="1"/>
  <c r="AH27" i="13"/>
  <c r="AF27" i="13"/>
  <c r="AF26" i="13" s="1"/>
  <c r="AE27" i="13"/>
  <c r="AD27" i="13"/>
  <c r="AC27" i="13"/>
  <c r="AC26" i="13" s="1"/>
  <c r="AB27" i="13"/>
  <c r="AA27" i="13"/>
  <c r="Z27" i="13"/>
  <c r="Y27" i="13"/>
  <c r="X27" i="13"/>
  <c r="V27" i="13"/>
  <c r="U27" i="13"/>
  <c r="T27" i="13"/>
  <c r="P27" i="13"/>
  <c r="P26" i="13" s="1"/>
  <c r="N27" i="13"/>
  <c r="N26" i="13" s="1"/>
  <c r="M27" i="13"/>
  <c r="M26" i="13" s="1"/>
  <c r="L27" i="13"/>
  <c r="J27" i="13"/>
  <c r="J26" i="13" s="1"/>
  <c r="I27" i="13"/>
  <c r="H27" i="13"/>
  <c r="G27" i="13"/>
  <c r="G26" i="13" s="1"/>
  <c r="F27" i="13"/>
  <c r="E27" i="13"/>
  <c r="D27" i="13"/>
  <c r="C27" i="13"/>
  <c r="BG26" i="13"/>
  <c r="BD26" i="13"/>
  <c r="BA26" i="13"/>
  <c r="AW26" i="13"/>
  <c r="AV26" i="13"/>
  <c r="AR26" i="13"/>
  <c r="AH26" i="13"/>
  <c r="H14" i="25" s="1"/>
  <c r="AE26" i="13"/>
  <c r="E14" i="25" s="1"/>
  <c r="AD26" i="13"/>
  <c r="I26" i="13"/>
  <c r="E26" i="13"/>
  <c r="Y25" i="13"/>
  <c r="V25" i="13"/>
  <c r="U25" i="13"/>
  <c r="R25" i="13"/>
  <c r="R23" i="13" s="1"/>
  <c r="Q25" i="13"/>
  <c r="Q23" i="13" s="1"/>
  <c r="P25" i="13"/>
  <c r="O25" i="13"/>
  <c r="N25" i="13"/>
  <c r="M25" i="13"/>
  <c r="L25" i="13"/>
  <c r="K25" i="13"/>
  <c r="J25" i="13"/>
  <c r="I25" i="13"/>
  <c r="H25" i="13"/>
  <c r="G25" i="13"/>
  <c r="F25" i="13"/>
  <c r="C25" i="13"/>
  <c r="AA24" i="13"/>
  <c r="Z24" i="13"/>
  <c r="Y24" i="13"/>
  <c r="Y23" i="13" s="1"/>
  <c r="X24" i="13"/>
  <c r="X23" i="13" s="1"/>
  <c r="W24" i="13"/>
  <c r="W23" i="13" s="1"/>
  <c r="V24" i="13"/>
  <c r="U24" i="13"/>
  <c r="T24" i="13"/>
  <c r="S24" i="13"/>
  <c r="R24" i="13"/>
  <c r="P24" i="13"/>
  <c r="O24" i="13"/>
  <c r="L24" i="13"/>
  <c r="L23" i="13" s="1"/>
  <c r="K24" i="13"/>
  <c r="J24" i="13"/>
  <c r="I24" i="13"/>
  <c r="I23" i="13" s="1"/>
  <c r="I12" i="12" s="1"/>
  <c r="H24" i="13"/>
  <c r="G24" i="13"/>
  <c r="G23" i="13" s="1"/>
  <c r="G12" i="12" s="1"/>
  <c r="F24" i="13"/>
  <c r="E24" i="13"/>
  <c r="D24" i="13"/>
  <c r="C24" i="13"/>
  <c r="C23" i="13" s="1"/>
  <c r="V23" i="13"/>
  <c r="V12" i="12" s="1"/>
  <c r="T23" i="13"/>
  <c r="T12" i="12" s="1"/>
  <c r="S23" i="13"/>
  <c r="S12" i="12" s="1"/>
  <c r="P23" i="13"/>
  <c r="O23" i="13"/>
  <c r="O12" i="12" s="1"/>
  <c r="K23" i="13"/>
  <c r="J23" i="13"/>
  <c r="BE22" i="13"/>
  <c r="BD22" i="13"/>
  <c r="BC22" i="13"/>
  <c r="BB22" i="13"/>
  <c r="BA22" i="13"/>
  <c r="BA20" i="13" s="1"/>
  <c r="AZ22" i="13"/>
  <c r="AY22" i="13"/>
  <c r="AX22" i="13"/>
  <c r="AW22" i="13"/>
  <c r="AV22" i="13"/>
  <c r="AU22" i="13"/>
  <c r="AT22" i="13"/>
  <c r="AS22" i="13"/>
  <c r="AR22" i="13"/>
  <c r="AQ22" i="13"/>
  <c r="AP22" i="13"/>
  <c r="AP20" i="13" s="1"/>
  <c r="AO22" i="13"/>
  <c r="AL22" i="13"/>
  <c r="AL20" i="13" s="1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Q22" i="13"/>
  <c r="Q20" i="13" s="1"/>
  <c r="P22" i="13"/>
  <c r="M22" i="13"/>
  <c r="M20" i="13" s="1"/>
  <c r="M11" i="12" s="1"/>
  <c r="L22" i="13"/>
  <c r="K22" i="13"/>
  <c r="J22" i="13"/>
  <c r="I22" i="13"/>
  <c r="H22" i="13"/>
  <c r="G22" i="13"/>
  <c r="F22" i="13"/>
  <c r="E22" i="13"/>
  <c r="D22" i="13"/>
  <c r="C22" i="13"/>
  <c r="BG21" i="13"/>
  <c r="BF21" i="13"/>
  <c r="BE21" i="13"/>
  <c r="BD21" i="13"/>
  <c r="BC21" i="13"/>
  <c r="BC20" i="13" s="1"/>
  <c r="BB21" i="13"/>
  <c r="BA21" i="13"/>
  <c r="AZ21" i="13"/>
  <c r="AZ20" i="13" s="1"/>
  <c r="AY21" i="13"/>
  <c r="AY20" i="13" s="1"/>
  <c r="AY11" i="12" s="1"/>
  <c r="AX21" i="13"/>
  <c r="AX20" i="13" s="1"/>
  <c r="AX11" i="12" s="1"/>
  <c r="AV21" i="13"/>
  <c r="AV20" i="13" s="1"/>
  <c r="AU21" i="13"/>
  <c r="AU20" i="13" s="1"/>
  <c r="AU11" i="12" s="1"/>
  <c r="AT21" i="13"/>
  <c r="AS21" i="13"/>
  <c r="AR21" i="13"/>
  <c r="AR20" i="13" s="1"/>
  <c r="AQ21" i="13"/>
  <c r="AQ20" i="13" s="1"/>
  <c r="AP21" i="13"/>
  <c r="AO21" i="13"/>
  <c r="AN21" i="13"/>
  <c r="AM21" i="13"/>
  <c r="AL21" i="13"/>
  <c r="AK21" i="13"/>
  <c r="AJ21" i="13"/>
  <c r="AI21" i="13"/>
  <c r="AH21" i="13"/>
  <c r="AG21" i="13"/>
  <c r="AG20" i="13" s="1"/>
  <c r="AF21" i="13"/>
  <c r="AE21" i="13"/>
  <c r="AD21" i="13"/>
  <c r="AD20" i="13" s="1"/>
  <c r="AC21" i="13"/>
  <c r="AC20" i="13" s="1"/>
  <c r="AB21" i="13"/>
  <c r="AB20" i="13" s="1"/>
  <c r="B11" i="25" s="1"/>
  <c r="Z21" i="13"/>
  <c r="Z20" i="13" s="1"/>
  <c r="Y21" i="13"/>
  <c r="Y20" i="13" s="1"/>
  <c r="Y11" i="12" s="1"/>
  <c r="X21" i="13"/>
  <c r="X20" i="13" s="1"/>
  <c r="W21" i="13"/>
  <c r="V21" i="13"/>
  <c r="V20" i="13" s="1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H20" i="13" s="1"/>
  <c r="G21" i="13"/>
  <c r="G20" i="13" s="1"/>
  <c r="F21" i="13"/>
  <c r="F20" i="13" s="1"/>
  <c r="F11" i="12" s="1"/>
  <c r="D21" i="13"/>
  <c r="D20" i="13" s="1"/>
  <c r="C21" i="13"/>
  <c r="C20" i="13" s="1"/>
  <c r="C11" i="12" s="1"/>
  <c r="BG20" i="13"/>
  <c r="BG11" i="12" s="1"/>
  <c r="BF20" i="13"/>
  <c r="BE20" i="13"/>
  <c r="BD20" i="13"/>
  <c r="BB20" i="13"/>
  <c r="AO20" i="13"/>
  <c r="O11" i="25" s="1"/>
  <c r="AI20" i="13"/>
  <c r="AH20" i="13"/>
  <c r="H11" i="25" s="1"/>
  <c r="AF20" i="13"/>
  <c r="AE20" i="13"/>
  <c r="U20" i="13"/>
  <c r="S20" i="13"/>
  <c r="O20" i="13"/>
  <c r="N20" i="13"/>
  <c r="L20" i="13"/>
  <c r="K20" i="13"/>
  <c r="K11" i="12" s="1"/>
  <c r="J20" i="13"/>
  <c r="I20" i="13"/>
  <c r="BG19" i="13"/>
  <c r="BF19" i="13"/>
  <c r="AZ19" i="13"/>
  <c r="AY19" i="13"/>
  <c r="AY17" i="13" s="1"/>
  <c r="AX19" i="13"/>
  <c r="AW19" i="13"/>
  <c r="AW17" i="13" s="1"/>
  <c r="AV19" i="13"/>
  <c r="AU19" i="13"/>
  <c r="AT19" i="13"/>
  <c r="AS19" i="13"/>
  <c r="AR19" i="13"/>
  <c r="AR17" i="13" s="1"/>
  <c r="AQ19" i="13"/>
  <c r="AP19" i="13"/>
  <c r="AO19" i="13"/>
  <c r="AN19" i="13"/>
  <c r="BW28" i="13" s="1"/>
  <c r="AL19" i="13"/>
  <c r="BU28" i="13" s="1"/>
  <c r="AK19" i="13"/>
  <c r="BT28" i="13" s="1"/>
  <c r="AJ19" i="13"/>
  <c r="AD19" i="13"/>
  <c r="BM28" i="13" s="1"/>
  <c r="AC19" i="13"/>
  <c r="AB19" i="13"/>
  <c r="AA19" i="13"/>
  <c r="Z19" i="13"/>
  <c r="Z17" i="13" s="1"/>
  <c r="Y19" i="13"/>
  <c r="X19" i="13"/>
  <c r="W19" i="13"/>
  <c r="V19" i="13"/>
  <c r="V17" i="13" s="1"/>
  <c r="U19" i="13"/>
  <c r="T19" i="13"/>
  <c r="S19" i="13"/>
  <c r="R19" i="13"/>
  <c r="P19" i="13"/>
  <c r="O19" i="13"/>
  <c r="N19" i="13"/>
  <c r="H19" i="13"/>
  <c r="G19" i="13"/>
  <c r="F19" i="13"/>
  <c r="E19" i="13"/>
  <c r="D19" i="13"/>
  <c r="C19" i="13"/>
  <c r="BG18" i="13"/>
  <c r="BF18" i="13"/>
  <c r="BE18" i="13"/>
  <c r="BD18" i="13"/>
  <c r="BC18" i="13"/>
  <c r="BB18" i="13"/>
  <c r="BA18" i="13"/>
  <c r="AZ18" i="13"/>
  <c r="AY18" i="13"/>
  <c r="AX18" i="13"/>
  <c r="AX17" i="13" s="1"/>
  <c r="AW18" i="13"/>
  <c r="AV18" i="13"/>
  <c r="AU18" i="13"/>
  <c r="AU17" i="13" s="1"/>
  <c r="AT18" i="13"/>
  <c r="AT17" i="13" s="1"/>
  <c r="AS18" i="13"/>
  <c r="AR18" i="13"/>
  <c r="AP18" i="13"/>
  <c r="AO18" i="13"/>
  <c r="AK18" i="13"/>
  <c r="BT27" i="13" s="1"/>
  <c r="AJ18" i="13"/>
  <c r="BS27" i="13" s="1"/>
  <c r="AI18" i="13"/>
  <c r="AH18" i="13"/>
  <c r="BQ27" i="13" s="1"/>
  <c r="AG18" i="13"/>
  <c r="AF18" i="13"/>
  <c r="AE18" i="13"/>
  <c r="AD18" i="13"/>
  <c r="AC18" i="13"/>
  <c r="AB18" i="13"/>
  <c r="AB17" i="13" s="1"/>
  <c r="AA18" i="13"/>
  <c r="Z18" i="13"/>
  <c r="Y18" i="13"/>
  <c r="Y17" i="13" s="1"/>
  <c r="X18" i="13"/>
  <c r="X17" i="13" s="1"/>
  <c r="W18" i="13"/>
  <c r="W17" i="13" s="1"/>
  <c r="V18" i="13"/>
  <c r="T18" i="13"/>
  <c r="S18" i="13"/>
  <c r="S17" i="13" s="1"/>
  <c r="O18" i="13"/>
  <c r="N18" i="13"/>
  <c r="M18" i="13"/>
  <c r="L18" i="13"/>
  <c r="K18" i="13"/>
  <c r="J18" i="13"/>
  <c r="I18" i="13"/>
  <c r="H18" i="13"/>
  <c r="G18" i="13"/>
  <c r="F18" i="13"/>
  <c r="F17" i="13" s="1"/>
  <c r="E18" i="13"/>
  <c r="D18" i="13"/>
  <c r="C18" i="13"/>
  <c r="C17" i="13" s="1"/>
  <c r="BG17" i="13"/>
  <c r="BG10" i="12" s="1"/>
  <c r="BG9" i="12" s="1"/>
  <c r="BF17" i="13"/>
  <c r="BF10" i="12" s="1"/>
  <c r="AZ17" i="13"/>
  <c r="AV17" i="13"/>
  <c r="AV10" i="12" s="1"/>
  <c r="AJ17" i="13"/>
  <c r="AD17" i="13"/>
  <c r="AC17" i="13"/>
  <c r="AA17" i="13"/>
  <c r="O17" i="13"/>
  <c r="N17" i="13"/>
  <c r="H17" i="13"/>
  <c r="H10" i="12" s="1"/>
  <c r="G17" i="13"/>
  <c r="E17" i="13"/>
  <c r="D17" i="13"/>
  <c r="S16" i="13"/>
  <c r="AX13" i="13"/>
  <c r="O13" i="13"/>
  <c r="O40" i="13" s="1"/>
  <c r="O42" i="13" s="1"/>
  <c r="BG12" i="13"/>
  <c r="BF12" i="13"/>
  <c r="BE12" i="13"/>
  <c r="BD12" i="13"/>
  <c r="BC12" i="13"/>
  <c r="BA12" i="13"/>
  <c r="AZ12" i="13"/>
  <c r="AX12" i="13"/>
  <c r="AX10" i="13" s="1"/>
  <c r="AW12" i="13"/>
  <c r="AW10" i="13" s="1"/>
  <c r="AV12" i="13"/>
  <c r="AU12" i="13"/>
  <c r="AU10" i="13" s="1"/>
  <c r="AT12" i="13"/>
  <c r="AT10" i="13" s="1"/>
  <c r="AS12" i="13"/>
  <c r="AS10" i="13" s="1"/>
  <c r="AR12" i="13"/>
  <c r="AR10" i="13" s="1"/>
  <c r="AR13" i="13" s="1"/>
  <c r="AQ12" i="13"/>
  <c r="AP12" i="13"/>
  <c r="AO12" i="13"/>
  <c r="AN12" i="13"/>
  <c r="AM12" i="13"/>
  <c r="AL12" i="13"/>
  <c r="AK12" i="13"/>
  <c r="AJ12" i="13"/>
  <c r="AI12" i="13"/>
  <c r="AH12" i="13"/>
  <c r="AG12" i="13"/>
  <c r="AE12" i="13"/>
  <c r="AD12" i="13"/>
  <c r="AD10" i="13" s="1"/>
  <c r="AB12" i="13"/>
  <c r="AA12" i="13"/>
  <c r="Z12" i="13"/>
  <c r="Y12" i="13"/>
  <c r="X12" i="13"/>
  <c r="W12" i="13"/>
  <c r="V12" i="13"/>
  <c r="V10" i="13" s="1"/>
  <c r="U12" i="13"/>
  <c r="T12" i="13"/>
  <c r="S12" i="13"/>
  <c r="R12" i="13"/>
  <c r="Q12" i="13"/>
  <c r="P12" i="13"/>
  <c r="O12" i="13"/>
  <c r="N12" i="13"/>
  <c r="M12" i="13"/>
  <c r="L12" i="13"/>
  <c r="K12" i="13"/>
  <c r="I12" i="13"/>
  <c r="H12" i="13"/>
  <c r="F12" i="13"/>
  <c r="E12" i="13"/>
  <c r="E10" i="13" s="1"/>
  <c r="E13" i="13" s="1"/>
  <c r="E40" i="13" s="1"/>
  <c r="E42" i="13" s="1"/>
  <c r="D12" i="13"/>
  <c r="C12" i="13"/>
  <c r="C10" i="13" s="1"/>
  <c r="C13" i="13" s="1"/>
  <c r="C40" i="13" s="1"/>
  <c r="BG11" i="13"/>
  <c r="BG10" i="13" s="1"/>
  <c r="BF11" i="13"/>
  <c r="BF10" i="13" s="1"/>
  <c r="BE11" i="13"/>
  <c r="BE10" i="13" s="1"/>
  <c r="BD11" i="13"/>
  <c r="BC11" i="13"/>
  <c r="BC10" i="13" s="1"/>
  <c r="BB11" i="13"/>
  <c r="BA11" i="13"/>
  <c r="BA10" i="13" s="1"/>
  <c r="AZ11" i="13"/>
  <c r="AX11" i="13"/>
  <c r="AW11" i="13"/>
  <c r="AU11" i="13"/>
  <c r="AT11" i="13"/>
  <c r="AS11" i="13"/>
  <c r="AR11" i="13"/>
  <c r="AQ11" i="13"/>
  <c r="AP11" i="13"/>
  <c r="AO11" i="13"/>
  <c r="AN11" i="13"/>
  <c r="AM11" i="13"/>
  <c r="AM10" i="13" s="1"/>
  <c r="M5" i="25" s="1"/>
  <c r="AL11" i="13"/>
  <c r="AL10" i="13" s="1"/>
  <c r="AK11" i="13"/>
  <c r="AK10" i="13" s="1"/>
  <c r="K5" i="25" s="1"/>
  <c r="AJ11" i="13"/>
  <c r="AJ10" i="13" s="1"/>
  <c r="AI11" i="13"/>
  <c r="AI10" i="13" s="1"/>
  <c r="I5" i="25" s="1"/>
  <c r="AH11" i="13"/>
  <c r="AG11" i="13"/>
  <c r="AG10" i="13" s="1"/>
  <c r="G5" i="25" s="1"/>
  <c r="AF11" i="13"/>
  <c r="AE11" i="13"/>
  <c r="AE10" i="13" s="1"/>
  <c r="AD11" i="13"/>
  <c r="AB11" i="13"/>
  <c r="AA11" i="13"/>
  <c r="Y11" i="13"/>
  <c r="X11" i="13"/>
  <c r="W11" i="13"/>
  <c r="V11" i="13"/>
  <c r="U11" i="13"/>
  <c r="T11" i="13"/>
  <c r="S11" i="13"/>
  <c r="R11" i="13"/>
  <c r="Q11" i="13"/>
  <c r="Q10" i="13" s="1"/>
  <c r="P11" i="13"/>
  <c r="P10" i="13" s="1"/>
  <c r="O11" i="13"/>
  <c r="O10" i="13" s="1"/>
  <c r="N11" i="13"/>
  <c r="N10" i="13" s="1"/>
  <c r="M11" i="13"/>
  <c r="M10" i="13" s="1"/>
  <c r="L11" i="13"/>
  <c r="K11" i="13"/>
  <c r="K10" i="13" s="1"/>
  <c r="J11" i="13"/>
  <c r="I11" i="13"/>
  <c r="H11" i="13"/>
  <c r="F11" i="13"/>
  <c r="E11" i="13"/>
  <c r="C11" i="13"/>
  <c r="BD10" i="13"/>
  <c r="BB10" i="13"/>
  <c r="BB6" i="12" s="1"/>
  <c r="AZ10" i="13"/>
  <c r="AY10" i="13"/>
  <c r="AH10" i="13"/>
  <c r="AH13" i="13" s="1"/>
  <c r="AB10" i="13"/>
  <c r="B5" i="25" s="1"/>
  <c r="AA10" i="13"/>
  <c r="Z10" i="13"/>
  <c r="Y10" i="13"/>
  <c r="X10" i="13"/>
  <c r="W10" i="13"/>
  <c r="L10" i="13"/>
  <c r="J10" i="13"/>
  <c r="J6" i="12" s="1"/>
  <c r="I10" i="13"/>
  <c r="I13" i="13" s="1"/>
  <c r="I40" i="13" s="1"/>
  <c r="H10" i="13"/>
  <c r="G10" i="13"/>
  <c r="F10" i="13"/>
  <c r="F13" i="13" s="1"/>
  <c r="F40" i="13" s="1"/>
  <c r="BG9" i="13"/>
  <c r="BF9" i="13"/>
  <c r="BE9" i="13"/>
  <c r="BD9" i="13"/>
  <c r="BC9" i="13"/>
  <c r="BB9" i="13"/>
  <c r="BA9" i="13"/>
  <c r="AZ9" i="13"/>
  <c r="AY9" i="13"/>
  <c r="AX9" i="13"/>
  <c r="AW9" i="13"/>
  <c r="AV9" i="13"/>
  <c r="AU9" i="13"/>
  <c r="AU7" i="13" s="1"/>
  <c r="AT9" i="13"/>
  <c r="AS9" i="13"/>
  <c r="AS7" i="13" s="1"/>
  <c r="AR9" i="13"/>
  <c r="AR7" i="13" s="1"/>
  <c r="AR5" i="12" s="1"/>
  <c r="AQ9" i="13"/>
  <c r="AQ7" i="13" s="1"/>
  <c r="AQ5" i="12" s="1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Y9" i="13"/>
  <c r="Y7" i="13" s="1"/>
  <c r="Y5" i="12" s="1"/>
  <c r="X9" i="13"/>
  <c r="W9" i="13"/>
  <c r="W7" i="13" s="1"/>
  <c r="V9" i="13"/>
  <c r="V7" i="13" s="1"/>
  <c r="V5" i="12" s="1"/>
  <c r="U9" i="13"/>
  <c r="U7" i="13" s="1"/>
  <c r="U5" i="12" s="1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C7" i="13" s="1"/>
  <c r="BG8" i="13"/>
  <c r="BG7" i="13" s="1"/>
  <c r="BF8" i="13"/>
  <c r="BF7" i="13" s="1"/>
  <c r="BE8" i="13"/>
  <c r="BE7" i="13" s="1"/>
  <c r="BD8" i="13"/>
  <c r="BD7" i="13" s="1"/>
  <c r="BC8" i="13"/>
  <c r="BC7" i="13" s="1"/>
  <c r="BB8" i="13"/>
  <c r="BB7" i="13" s="1"/>
  <c r="BA8" i="13"/>
  <c r="BA7" i="13" s="1"/>
  <c r="AZ8" i="13"/>
  <c r="AZ7" i="13" s="1"/>
  <c r="AY8" i="13"/>
  <c r="AX8" i="13"/>
  <c r="AX7" i="13" s="1"/>
  <c r="AW8" i="13"/>
  <c r="AW7" i="13" s="1"/>
  <c r="AV8" i="13"/>
  <c r="AV7" i="13" s="1"/>
  <c r="AV5" i="12" s="1"/>
  <c r="AU8" i="13"/>
  <c r="AT8" i="13"/>
  <c r="AS8" i="13"/>
  <c r="AQ8" i="13"/>
  <c r="AO8" i="13"/>
  <c r="AN8" i="13"/>
  <c r="AL8" i="13"/>
  <c r="AL7" i="13" s="1"/>
  <c r="L4" i="25" s="1"/>
  <c r="AK8" i="13"/>
  <c r="AK7" i="13" s="1"/>
  <c r="AJ8" i="13"/>
  <c r="AJ7" i="13" s="1"/>
  <c r="J4" i="25" s="1"/>
  <c r="AI8" i="13"/>
  <c r="AI7" i="13" s="1"/>
  <c r="I4" i="25" s="1"/>
  <c r="AH8" i="13"/>
  <c r="AH7" i="13" s="1"/>
  <c r="AG8" i="13"/>
  <c r="AG7" i="13" s="1"/>
  <c r="G4" i="25" s="1"/>
  <c r="AF8" i="13"/>
  <c r="AF7" i="13" s="1"/>
  <c r="F4" i="25" s="1"/>
  <c r="AE8" i="13"/>
  <c r="AE7" i="13" s="1"/>
  <c r="E4" i="25" s="1"/>
  <c r="AD8" i="13"/>
  <c r="AD7" i="13" s="1"/>
  <c r="D4" i="25" s="1"/>
  <c r="AC8" i="13"/>
  <c r="AB8" i="13"/>
  <c r="AB7" i="13" s="1"/>
  <c r="B4" i="25" s="1"/>
  <c r="AA8" i="13"/>
  <c r="Z8" i="13"/>
  <c r="Y8" i="13"/>
  <c r="X8" i="13"/>
  <c r="W8" i="13"/>
  <c r="U8" i="13"/>
  <c r="S8" i="13"/>
  <c r="R8" i="13"/>
  <c r="P8" i="13"/>
  <c r="P7" i="13" s="1"/>
  <c r="O8" i="13"/>
  <c r="O7" i="13" s="1"/>
  <c r="N8" i="13"/>
  <c r="N7" i="13" s="1"/>
  <c r="M8" i="13"/>
  <c r="M7" i="13" s="1"/>
  <c r="L8" i="13"/>
  <c r="L7" i="13" s="1"/>
  <c r="K8" i="13"/>
  <c r="K7" i="13" s="1"/>
  <c r="K13" i="13" s="1"/>
  <c r="K40" i="13" s="1"/>
  <c r="K42" i="13" s="1"/>
  <c r="J8" i="13"/>
  <c r="J7" i="13" s="1"/>
  <c r="I8" i="13"/>
  <c r="I7" i="13" s="1"/>
  <c r="H8" i="13"/>
  <c r="H7" i="13" s="1"/>
  <c r="H5" i="12" s="1"/>
  <c r="G8" i="13"/>
  <c r="G7" i="13" s="1"/>
  <c r="F8" i="13"/>
  <c r="F7" i="13" s="1"/>
  <c r="E8" i="13"/>
  <c r="D8" i="13"/>
  <c r="C8" i="13"/>
  <c r="AY7" i="13"/>
  <c r="AT7" i="13"/>
  <c r="AN7" i="13"/>
  <c r="AC7" i="13"/>
  <c r="AA7" i="13"/>
  <c r="Z7" i="13"/>
  <c r="Z5" i="12" s="1"/>
  <c r="X7" i="13"/>
  <c r="T7" i="13"/>
  <c r="S7" i="13"/>
  <c r="R7" i="13"/>
  <c r="E7" i="13"/>
  <c r="D7" i="13"/>
  <c r="BG6" i="13"/>
  <c r="BG4" i="13" s="1"/>
  <c r="BG4" i="12" s="1"/>
  <c r="BE6" i="13"/>
  <c r="BD6" i="13"/>
  <c r="BD4" i="13" s="1"/>
  <c r="BC6" i="13"/>
  <c r="BB6" i="13"/>
  <c r="BA6" i="13"/>
  <c r="AZ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I6" i="13"/>
  <c r="AH6" i="13"/>
  <c r="AG6" i="13"/>
  <c r="AF6" i="13"/>
  <c r="AE6" i="13"/>
  <c r="AD6" i="13"/>
  <c r="AB6" i="13"/>
  <c r="AA6" i="13"/>
  <c r="Z6" i="13"/>
  <c r="Y6" i="13"/>
  <c r="X6" i="13"/>
  <c r="W6" i="13"/>
  <c r="V6" i="13"/>
  <c r="U6" i="13"/>
  <c r="T6" i="13"/>
  <c r="T4" i="13" s="1"/>
  <c r="T4" i="12" s="1"/>
  <c r="T7" i="12" s="1"/>
  <c r="T21" i="12" s="1"/>
  <c r="S6" i="13"/>
  <c r="R6" i="13"/>
  <c r="Q6" i="13"/>
  <c r="P6" i="13"/>
  <c r="P4" i="13" s="1"/>
  <c r="P4" i="12" s="1"/>
  <c r="P7" i="12" s="1"/>
  <c r="P21" i="12" s="1"/>
  <c r="O6" i="13"/>
  <c r="M6" i="13"/>
  <c r="L6" i="13"/>
  <c r="K6" i="13"/>
  <c r="J6" i="13"/>
  <c r="I6" i="13"/>
  <c r="H6" i="13"/>
  <c r="F6" i="13"/>
  <c r="E6" i="13"/>
  <c r="D6" i="13"/>
  <c r="C6" i="13"/>
  <c r="BG5" i="13"/>
  <c r="BD5" i="13"/>
  <c r="BC5" i="13"/>
  <c r="BB5" i="13"/>
  <c r="BA5" i="13"/>
  <c r="AY5" i="13"/>
  <c r="AX5" i="13"/>
  <c r="AX4" i="13" s="1"/>
  <c r="AW5" i="13"/>
  <c r="AW4" i="13" s="1"/>
  <c r="AV5" i="13"/>
  <c r="AV4" i="13" s="1"/>
  <c r="AU5" i="13"/>
  <c r="AU4" i="13" s="1"/>
  <c r="AT5" i="13"/>
  <c r="AS5" i="13"/>
  <c r="AS4" i="13" s="1"/>
  <c r="AR5" i="13"/>
  <c r="AQ5" i="13"/>
  <c r="AQ4" i="13" s="1"/>
  <c r="AP5" i="13"/>
  <c r="AO5" i="13"/>
  <c r="AN5" i="13"/>
  <c r="AM5" i="13"/>
  <c r="AL5" i="13"/>
  <c r="AK5" i="13"/>
  <c r="AH5" i="13"/>
  <c r="AG5" i="13"/>
  <c r="AG4" i="13" s="1"/>
  <c r="G3" i="25" s="1"/>
  <c r="AF5" i="13"/>
  <c r="AF4" i="13" s="1"/>
  <c r="F3" i="25" s="1"/>
  <c r="AE5" i="13"/>
  <c r="AC5" i="13"/>
  <c r="AB5" i="13"/>
  <c r="AB4" i="13" s="1"/>
  <c r="B3" i="25" s="1"/>
  <c r="AA5" i="13"/>
  <c r="AA4" i="13" s="1"/>
  <c r="Z5" i="13"/>
  <c r="Z4" i="13" s="1"/>
  <c r="Y5" i="13"/>
  <c r="Y4" i="13" s="1"/>
  <c r="X5" i="13"/>
  <c r="W5" i="13"/>
  <c r="W4" i="13" s="1"/>
  <c r="V5" i="13"/>
  <c r="V4" i="13" s="1"/>
  <c r="V4" i="12" s="1"/>
  <c r="V7" i="12" s="1"/>
  <c r="V21" i="12" s="1"/>
  <c r="V23" i="12" s="1"/>
  <c r="U5" i="13"/>
  <c r="U4" i="13" s="1"/>
  <c r="U4" i="12" s="1"/>
  <c r="U7" i="12" s="1"/>
  <c r="U21" i="12" s="1"/>
  <c r="T5" i="13"/>
  <c r="S5" i="13"/>
  <c r="R5" i="13"/>
  <c r="Q5" i="13"/>
  <c r="P5" i="13"/>
  <c r="O5" i="13"/>
  <c r="L5" i="13"/>
  <c r="K5" i="13"/>
  <c r="K4" i="13" s="1"/>
  <c r="K4" i="12" s="1"/>
  <c r="J5" i="13"/>
  <c r="J4" i="13" s="1"/>
  <c r="J4" i="12" s="1"/>
  <c r="I5" i="13"/>
  <c r="I4" i="13" s="1"/>
  <c r="I4" i="12" s="1"/>
  <c r="H5" i="13"/>
  <c r="H4" i="13" s="1"/>
  <c r="H4" i="12" s="1"/>
  <c r="G5" i="13"/>
  <c r="F5" i="13"/>
  <c r="F4" i="13" s="1"/>
  <c r="E5" i="13"/>
  <c r="E4" i="13" s="1"/>
  <c r="D5" i="13"/>
  <c r="D4" i="13" s="1"/>
  <c r="C5" i="13"/>
  <c r="C4" i="13" s="1"/>
  <c r="AT4" i="13"/>
  <c r="AR4" i="13"/>
  <c r="AP4" i="13"/>
  <c r="AO4" i="13"/>
  <c r="O3" i="25" s="1"/>
  <c r="AN4" i="13"/>
  <c r="AM4" i="13"/>
  <c r="AL4" i="13"/>
  <c r="AK4" i="13"/>
  <c r="K3" i="25" s="1"/>
  <c r="AH4" i="13"/>
  <c r="X4" i="13"/>
  <c r="X4" i="12" s="1"/>
  <c r="X7" i="12" s="1"/>
  <c r="S4" i="13"/>
  <c r="R4" i="13"/>
  <c r="R4" i="12" s="1"/>
  <c r="R7" i="12" s="1"/>
  <c r="Q4" i="13"/>
  <c r="O4" i="13"/>
  <c r="O4" i="12" s="1"/>
  <c r="O7" i="12" s="1"/>
  <c r="O21" i="12" s="1"/>
  <c r="L4" i="13"/>
  <c r="L4" i="12" s="1"/>
  <c r="BG3" i="13"/>
  <c r="BF3" i="13"/>
  <c r="BE3" i="13"/>
  <c r="BD3" i="13"/>
  <c r="BC3" i="13"/>
  <c r="BB3" i="13"/>
  <c r="BA3" i="13"/>
  <c r="AZ3" i="13"/>
  <c r="AY3" i="13"/>
  <c r="AX3" i="13"/>
  <c r="AW3" i="13"/>
  <c r="AV3" i="13"/>
  <c r="AU3" i="13"/>
  <c r="AT3" i="13"/>
  <c r="AS3" i="13"/>
  <c r="AR3" i="13"/>
  <c r="AQ3" i="13"/>
  <c r="AP3" i="13"/>
  <c r="AO3" i="13"/>
  <c r="AN3" i="13"/>
  <c r="AM3" i="13"/>
  <c r="BV37" i="13" s="1"/>
  <c r="AL3" i="13"/>
  <c r="BU37" i="13" s="1"/>
  <c r="AK3" i="13"/>
  <c r="BT37" i="13" s="1"/>
  <c r="AJ3" i="13"/>
  <c r="AI3" i="13"/>
  <c r="BR37" i="13" s="1"/>
  <c r="AH3" i="13"/>
  <c r="BQ37" i="13" s="1"/>
  <c r="AG3" i="13"/>
  <c r="BP37" i="13" s="1"/>
  <c r="AF3" i="13"/>
  <c r="BO37" i="13" s="1"/>
  <c r="AE3" i="13"/>
  <c r="BN37" i="13" s="1"/>
  <c r="AD3" i="13"/>
  <c r="BM37" i="13" s="1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AP74" i="12"/>
  <c r="AO74" i="12"/>
  <c r="AN74" i="12"/>
  <c r="AM74" i="12"/>
  <c r="AL74" i="12"/>
  <c r="AK74" i="12"/>
  <c r="AJ74" i="12"/>
  <c r="AI74" i="12"/>
  <c r="AH74" i="12"/>
  <c r="AG74" i="12"/>
  <c r="AF74" i="12"/>
  <c r="AE74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P61" i="12"/>
  <c r="AO61" i="12"/>
  <c r="AN61" i="12"/>
  <c r="AM61" i="12"/>
  <c r="AL61" i="12"/>
  <c r="AK61" i="12"/>
  <c r="AJ61" i="12"/>
  <c r="AI61" i="12"/>
  <c r="AH61" i="12"/>
  <c r="AG61" i="12"/>
  <c r="AF61" i="12"/>
  <c r="AE61" i="12"/>
  <c r="AF59" i="12"/>
  <c r="AE59" i="12"/>
  <c r="AP58" i="12"/>
  <c r="AP59" i="12" s="1"/>
  <c r="AO58" i="12"/>
  <c r="AN58" i="12"/>
  <c r="AN59" i="12" s="1"/>
  <c r="AM58" i="12"/>
  <c r="AM59" i="12" s="1"/>
  <c r="AL58" i="12"/>
  <c r="AL59" i="12" s="1"/>
  <c r="AK58" i="12"/>
  <c r="AH58" i="12"/>
  <c r="AG58" i="12"/>
  <c r="AF58" i="12"/>
  <c r="AE58" i="12"/>
  <c r="AL57" i="12"/>
  <c r="AK57" i="12"/>
  <c r="AK59" i="12" s="1"/>
  <c r="AJ57" i="12"/>
  <c r="AI57" i="12"/>
  <c r="AH57" i="12"/>
  <c r="AH59" i="12" s="1"/>
  <c r="AG57" i="12"/>
  <c r="AG59" i="12" s="1"/>
  <c r="AF57" i="12"/>
  <c r="AE57" i="12"/>
  <c r="AP55" i="12"/>
  <c r="AO55" i="12"/>
  <c r="AN55" i="12"/>
  <c r="AM55" i="12"/>
  <c r="AL55" i="12"/>
  <c r="AK55" i="12"/>
  <c r="AJ55" i="12"/>
  <c r="AI55" i="12"/>
  <c r="AH55" i="12"/>
  <c r="AG55" i="12"/>
  <c r="AF55" i="12"/>
  <c r="AE55" i="12"/>
  <c r="AM49" i="12"/>
  <c r="AL49" i="12"/>
  <c r="AK49" i="12"/>
  <c r="AO47" i="12"/>
  <c r="AO53" i="12" s="1"/>
  <c r="AN47" i="12"/>
  <c r="AN53" i="12" s="1"/>
  <c r="AM47" i="12"/>
  <c r="AM53" i="12" s="1"/>
  <c r="AL47" i="12"/>
  <c r="AL53" i="12" s="1"/>
  <c r="AK47" i="12"/>
  <c r="AK53" i="12" s="1"/>
  <c r="AJ47" i="12"/>
  <c r="AJ53" i="12" s="1"/>
  <c r="AL45" i="12"/>
  <c r="AO44" i="12"/>
  <c r="AN44" i="12"/>
  <c r="AI43" i="12"/>
  <c r="AH43" i="12"/>
  <c r="AE43" i="12"/>
  <c r="AP42" i="12"/>
  <c r="AP49" i="12" s="1"/>
  <c r="AO42" i="12"/>
  <c r="AO49" i="12" s="1"/>
  <c r="AN42" i="12"/>
  <c r="AM42" i="12"/>
  <c r="AL42" i="12"/>
  <c r="AK42" i="12"/>
  <c r="AJ42" i="12"/>
  <c r="AI42" i="12"/>
  <c r="AH42" i="12"/>
  <c r="AG42" i="12"/>
  <c r="AF42" i="12"/>
  <c r="AE42" i="12"/>
  <c r="AP41" i="12"/>
  <c r="AO41" i="12"/>
  <c r="AN41" i="12"/>
  <c r="AN48" i="12" s="1"/>
  <c r="AM41" i="12"/>
  <c r="AL41" i="12"/>
  <c r="AL48" i="12" s="1"/>
  <c r="AK41" i="12"/>
  <c r="AJ41" i="12"/>
  <c r="AJ45" i="12" s="1"/>
  <c r="AI41" i="12"/>
  <c r="AH41" i="12"/>
  <c r="AG41" i="12"/>
  <c r="AF41" i="12"/>
  <c r="AF48" i="12" s="1"/>
  <c r="AE41" i="12"/>
  <c r="AE45" i="12" s="1"/>
  <c r="AP40" i="12"/>
  <c r="AO40" i="12"/>
  <c r="AN40" i="12"/>
  <c r="AM40" i="12"/>
  <c r="AL40" i="12"/>
  <c r="AK40" i="12"/>
  <c r="AJ40" i="12"/>
  <c r="AI40" i="12"/>
  <c r="AH40" i="12"/>
  <c r="AG40" i="12"/>
  <c r="AF40" i="12"/>
  <c r="AE40" i="12"/>
  <c r="AO30" i="12"/>
  <c r="AN30" i="12"/>
  <c r="AM30" i="12"/>
  <c r="AL30" i="12"/>
  <c r="AK30" i="12"/>
  <c r="AJ30" i="12"/>
  <c r="AI30" i="12"/>
  <c r="AH30" i="12"/>
  <c r="AS29" i="12"/>
  <c r="AR29" i="12"/>
  <c r="AQ29" i="12"/>
  <c r="AP29" i="12"/>
  <c r="AO29" i="12"/>
  <c r="AN29" i="12"/>
  <c r="AM29" i="12"/>
  <c r="AL29" i="12"/>
  <c r="AK29" i="12"/>
  <c r="AJ29" i="12"/>
  <c r="AJ49" i="12" s="1"/>
  <c r="AI29" i="12"/>
  <c r="AI49" i="12" s="1"/>
  <c r="AH29" i="12"/>
  <c r="AH49" i="12" s="1"/>
  <c r="AG29" i="12"/>
  <c r="AF29" i="12"/>
  <c r="AE29" i="12"/>
  <c r="AE49" i="12" s="1"/>
  <c r="AD29" i="12"/>
  <c r="AC29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D30" i="12" s="1"/>
  <c r="AC28" i="12"/>
  <c r="AC30" i="12" s="1"/>
  <c r="AS27" i="12"/>
  <c r="AS30" i="12" s="1"/>
  <c r="AR27" i="12"/>
  <c r="AR30" i="12" s="1"/>
  <c r="AQ27" i="12"/>
  <c r="AQ30" i="12" s="1"/>
  <c r="AP27" i="12"/>
  <c r="AP30" i="12" s="1"/>
  <c r="AO27" i="12"/>
  <c r="AN27" i="12"/>
  <c r="AM27" i="12"/>
  <c r="AL27" i="12"/>
  <c r="AK27" i="12"/>
  <c r="AJ27" i="12"/>
  <c r="AI27" i="12"/>
  <c r="AI47" i="12" s="1"/>
  <c r="AI53" i="12" s="1"/>
  <c r="AH27" i="12"/>
  <c r="AH47" i="12" s="1"/>
  <c r="AH53" i="12" s="1"/>
  <c r="AG27" i="12"/>
  <c r="AG47" i="12" s="1"/>
  <c r="AF27" i="12"/>
  <c r="AE27" i="12"/>
  <c r="AE47" i="12" s="1"/>
  <c r="AD27" i="12"/>
  <c r="AC27" i="12"/>
  <c r="AF26" i="12"/>
  <c r="AG26" i="12" s="1"/>
  <c r="AE26" i="12"/>
  <c r="AD26" i="12"/>
  <c r="BB22" i="12"/>
  <c r="AY22" i="12"/>
  <c r="AU22" i="12"/>
  <c r="K22" i="12"/>
  <c r="J22" i="12"/>
  <c r="H22" i="12"/>
  <c r="E22" i="12"/>
  <c r="X21" i="12"/>
  <c r="W21" i="12"/>
  <c r="R21" i="12"/>
  <c r="BE15" i="12"/>
  <c r="BE22" i="12" s="1"/>
  <c r="BD15" i="12"/>
  <c r="BD22" i="12" s="1"/>
  <c r="BB15" i="12"/>
  <c r="AG15" i="12"/>
  <c r="G15" i="24" s="1"/>
  <c r="AF15" i="12"/>
  <c r="V15" i="12"/>
  <c r="V22" i="12" s="1"/>
  <c r="L15" i="12"/>
  <c r="L22" i="12" s="1"/>
  <c r="K15" i="12"/>
  <c r="J15" i="12"/>
  <c r="H15" i="12"/>
  <c r="AH13" i="12"/>
  <c r="H13" i="24" s="1"/>
  <c r="AE13" i="12"/>
  <c r="E13" i="24" s="1"/>
  <c r="AD13" i="12"/>
  <c r="D13" i="24" s="1"/>
  <c r="N13" i="12"/>
  <c r="H13" i="12"/>
  <c r="J12" i="12"/>
  <c r="E10" i="12"/>
  <c r="Z7" i="12"/>
  <c r="Z21" i="12" s="1"/>
  <c r="L7" i="12"/>
  <c r="L21" i="12" s="1"/>
  <c r="L23" i="12" s="1"/>
  <c r="K7" i="12"/>
  <c r="K21" i="12" s="1"/>
  <c r="K23" i="12" s="1"/>
  <c r="J7" i="12"/>
  <c r="J21" i="12" s="1"/>
  <c r="J23" i="12" s="1"/>
  <c r="I7" i="12"/>
  <c r="I21" i="12" s="1"/>
  <c r="H7" i="12"/>
  <c r="H21" i="12" s="1"/>
  <c r="H23" i="12" s="1"/>
  <c r="E6" i="12"/>
  <c r="BD5" i="12"/>
  <c r="BC5" i="12"/>
  <c r="AI5" i="12"/>
  <c r="I4" i="24" s="1"/>
  <c r="F5" i="12"/>
  <c r="D5" i="12"/>
  <c r="AW4" i="12"/>
  <c r="AA4" i="12"/>
  <c r="AA7" i="12" s="1"/>
  <c r="AA21" i="12" s="1"/>
  <c r="Z4" i="12"/>
  <c r="W4" i="12"/>
  <c r="W7" i="12" s="1"/>
  <c r="S4" i="12"/>
  <c r="S7" i="12" s="1"/>
  <c r="S21" i="12" s="1"/>
  <c r="Q4" i="12"/>
  <c r="Q7" i="12" s="1"/>
  <c r="Q21" i="12" s="1"/>
  <c r="E4" i="12"/>
  <c r="E7" i="12" s="1"/>
  <c r="E21" i="12" s="1"/>
  <c r="E23" i="12" s="1"/>
  <c r="D4" i="12"/>
  <c r="D7" i="12" s="1"/>
  <c r="D21" i="12" s="1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H21" i="5"/>
  <c r="G21" i="5"/>
  <c r="F21" i="5"/>
  <c r="E21" i="5"/>
  <c r="D21" i="5"/>
  <c r="C21" i="5"/>
  <c r="B21" i="5"/>
  <c r="D16" i="5"/>
  <c r="C16" i="5"/>
  <c r="B16" i="5"/>
  <c r="M13" i="5"/>
  <c r="M21" i="5" s="1"/>
  <c r="L13" i="5"/>
  <c r="K13" i="5"/>
  <c r="J13" i="5"/>
  <c r="J20" i="5" s="1"/>
  <c r="I13" i="5"/>
  <c r="I20" i="5" s="1"/>
  <c r="H13" i="5"/>
  <c r="G13" i="5"/>
  <c r="G20" i="5" s="1"/>
  <c r="F13" i="5"/>
  <c r="E13" i="5"/>
  <c r="D13" i="5"/>
  <c r="C13" i="5"/>
  <c r="B13" i="5"/>
  <c r="M12" i="5"/>
  <c r="L12" i="5"/>
  <c r="K12" i="5"/>
  <c r="J12" i="5"/>
  <c r="I12" i="5"/>
  <c r="H12" i="5"/>
  <c r="G12" i="5"/>
  <c r="F12" i="5"/>
  <c r="E12" i="5"/>
  <c r="D12" i="5"/>
  <c r="D20" i="5" s="1"/>
  <c r="C12" i="5"/>
  <c r="C19" i="5" s="1"/>
  <c r="B12" i="5"/>
  <c r="B20" i="5" s="1"/>
  <c r="M11" i="5"/>
  <c r="M18" i="5" s="1"/>
  <c r="L11" i="5"/>
  <c r="K11" i="5"/>
  <c r="J11" i="5"/>
  <c r="I11" i="5"/>
  <c r="H11" i="5"/>
  <c r="G11" i="5"/>
  <c r="F11" i="5"/>
  <c r="E11" i="5"/>
  <c r="D11" i="5"/>
  <c r="C11" i="5"/>
  <c r="B11" i="5"/>
  <c r="M10" i="5"/>
  <c r="L10" i="5"/>
  <c r="L18" i="5" s="1"/>
  <c r="H10" i="5"/>
  <c r="G10" i="5"/>
  <c r="G18" i="5" s="1"/>
  <c r="F10" i="5"/>
  <c r="E10" i="5"/>
  <c r="E17" i="5" s="1"/>
  <c r="D10" i="5"/>
  <c r="D18" i="5" s="1"/>
  <c r="C10" i="5"/>
  <c r="C17" i="5" s="1"/>
  <c r="B10" i="5"/>
  <c r="B18" i="5" s="1"/>
  <c r="M9" i="5"/>
  <c r="M17" i="5" s="1"/>
  <c r="L9" i="5"/>
  <c r="L17" i="5" s="1"/>
  <c r="K9" i="5"/>
  <c r="J9" i="5"/>
  <c r="I9" i="5"/>
  <c r="H9" i="5"/>
  <c r="G9" i="5"/>
  <c r="F9" i="5"/>
  <c r="E9" i="5"/>
  <c r="D9" i="5"/>
  <c r="C9" i="5"/>
  <c r="B9" i="5"/>
  <c r="B17" i="5" s="1"/>
  <c r="L8" i="5"/>
  <c r="K8" i="5"/>
  <c r="J8" i="5"/>
  <c r="I8" i="5"/>
  <c r="H8" i="5"/>
  <c r="G8" i="5"/>
  <c r="F8" i="5"/>
  <c r="F19" i="5" s="1"/>
  <c r="E8" i="5"/>
  <c r="E19" i="5" s="1"/>
  <c r="D8" i="5"/>
  <c r="C8" i="5"/>
  <c r="B8" i="5"/>
  <c r="B6" i="5"/>
  <c r="M3" i="5"/>
  <c r="M6" i="5" s="1"/>
  <c r="I3" i="5"/>
  <c r="I6" i="5" s="1"/>
  <c r="H3" i="5"/>
  <c r="H6" i="5" s="1"/>
  <c r="G3" i="5"/>
  <c r="G6" i="5" s="1"/>
  <c r="F3" i="5"/>
  <c r="F6" i="5" s="1"/>
  <c r="E3" i="5"/>
  <c r="D3" i="5"/>
  <c r="D6" i="5" s="1"/>
  <c r="C3" i="5"/>
  <c r="C6" i="5" s="1"/>
  <c r="B3" i="5"/>
  <c r="M2" i="5"/>
  <c r="L2" i="5"/>
  <c r="K2" i="5"/>
  <c r="J2" i="5"/>
  <c r="I2" i="5"/>
  <c r="H2" i="5"/>
  <c r="G2" i="5"/>
  <c r="F2" i="5"/>
  <c r="D2" i="5"/>
  <c r="C2" i="5"/>
  <c r="B2" i="5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N54" i="4"/>
  <c r="N20" i="4" s="1"/>
  <c r="M54" i="4"/>
  <c r="L54" i="4"/>
  <c r="K54" i="4"/>
  <c r="J54" i="4"/>
  <c r="I54" i="4"/>
  <c r="H54" i="4"/>
  <c r="G54" i="4"/>
  <c r="F54" i="4"/>
  <c r="E54" i="4"/>
  <c r="D54" i="4"/>
  <c r="C54" i="4"/>
  <c r="B54" i="4"/>
  <c r="D47" i="4"/>
  <c r="B47" i="4"/>
  <c r="N46" i="4"/>
  <c r="N29" i="4" s="1"/>
  <c r="M46" i="4"/>
  <c r="L46" i="4"/>
  <c r="L47" i="4" s="1"/>
  <c r="L30" i="4" s="1"/>
  <c r="K46" i="4"/>
  <c r="J46" i="4"/>
  <c r="I46" i="4"/>
  <c r="H46" i="4"/>
  <c r="G46" i="4"/>
  <c r="F46" i="4"/>
  <c r="E46" i="4"/>
  <c r="D46" i="4"/>
  <c r="C46" i="4"/>
  <c r="C29" i="4" s="1"/>
  <c r="B46" i="4"/>
  <c r="B29" i="4" s="1"/>
  <c r="N45" i="4"/>
  <c r="M45" i="4"/>
  <c r="M47" i="4" s="1"/>
  <c r="M30" i="4" s="1"/>
  <c r="L45" i="4"/>
  <c r="K45" i="4"/>
  <c r="K47" i="4" s="1"/>
  <c r="J45" i="4"/>
  <c r="J47" i="4" s="1"/>
  <c r="I45" i="4"/>
  <c r="H45" i="4"/>
  <c r="G45" i="4"/>
  <c r="G47" i="4" s="1"/>
  <c r="G30" i="4" s="1"/>
  <c r="F45" i="4"/>
  <c r="F47" i="4" s="1"/>
  <c r="F30" i="4" s="1"/>
  <c r="E45" i="4"/>
  <c r="E28" i="4" s="1"/>
  <c r="D45" i="4"/>
  <c r="C45" i="4"/>
  <c r="C47" i="4" s="1"/>
  <c r="C30" i="4" s="1"/>
  <c r="B45" i="4"/>
  <c r="N42" i="4"/>
  <c r="D42" i="4"/>
  <c r="D25" i="4" s="1"/>
  <c r="N41" i="4"/>
  <c r="M41" i="4"/>
  <c r="L41" i="4"/>
  <c r="K41" i="4"/>
  <c r="J41" i="4"/>
  <c r="I41" i="4"/>
  <c r="I24" i="4" s="1"/>
  <c r="H41" i="4"/>
  <c r="G41" i="4"/>
  <c r="G24" i="4" s="1"/>
  <c r="F41" i="4"/>
  <c r="E41" i="4"/>
  <c r="E24" i="4" s="1"/>
  <c r="D41" i="4"/>
  <c r="C41" i="4"/>
  <c r="C24" i="4" s="1"/>
  <c r="B41" i="4"/>
  <c r="N40" i="4"/>
  <c r="M40" i="4"/>
  <c r="L40" i="4"/>
  <c r="L42" i="4" s="1"/>
  <c r="K40" i="4"/>
  <c r="J40" i="4"/>
  <c r="I40" i="4"/>
  <c r="I42" i="4" s="1"/>
  <c r="I25" i="4" s="1"/>
  <c r="H40" i="4"/>
  <c r="H42" i="4" s="1"/>
  <c r="H25" i="4" s="1"/>
  <c r="G40" i="4"/>
  <c r="G42" i="4" s="1"/>
  <c r="G25" i="4" s="1"/>
  <c r="F40" i="4"/>
  <c r="F42" i="4" s="1"/>
  <c r="F25" i="4" s="1"/>
  <c r="E40" i="4"/>
  <c r="D40" i="4"/>
  <c r="C40" i="4"/>
  <c r="B40" i="4"/>
  <c r="B42" i="4" s="1"/>
  <c r="N37" i="4"/>
  <c r="M37" i="4"/>
  <c r="I37" i="4"/>
  <c r="I20" i="4" s="1"/>
  <c r="E37" i="4"/>
  <c r="E20" i="4" s="1"/>
  <c r="D37" i="4"/>
  <c r="D20" i="4" s="1"/>
  <c r="C37" i="4"/>
  <c r="C20" i="4" s="1"/>
  <c r="N36" i="4"/>
  <c r="M36" i="4"/>
  <c r="L36" i="4"/>
  <c r="K36" i="4"/>
  <c r="J36" i="4"/>
  <c r="I36" i="4"/>
  <c r="H36" i="4"/>
  <c r="H19" i="4" s="1"/>
  <c r="G36" i="4"/>
  <c r="F36" i="4"/>
  <c r="E36" i="4"/>
  <c r="D36" i="4"/>
  <c r="C36" i="4"/>
  <c r="B36" i="4"/>
  <c r="B37" i="4" s="1"/>
  <c r="B20" i="4" s="1"/>
  <c r="N35" i="4"/>
  <c r="M35" i="4"/>
  <c r="L35" i="4"/>
  <c r="L37" i="4" s="1"/>
  <c r="K35" i="4"/>
  <c r="K37" i="4" s="1"/>
  <c r="K20" i="4" s="1"/>
  <c r="J35" i="4"/>
  <c r="J37" i="4" s="1"/>
  <c r="J20" i="4" s="1"/>
  <c r="I35" i="4"/>
  <c r="I18" i="4" s="1"/>
  <c r="H35" i="4"/>
  <c r="G35" i="4"/>
  <c r="G18" i="4" s="1"/>
  <c r="F35" i="4"/>
  <c r="F18" i="4" s="1"/>
  <c r="E35" i="4"/>
  <c r="D35" i="4"/>
  <c r="C35" i="4"/>
  <c r="B35" i="4"/>
  <c r="D30" i="4"/>
  <c r="B30" i="4"/>
  <c r="M29" i="4"/>
  <c r="L29" i="4"/>
  <c r="K29" i="4"/>
  <c r="J29" i="4"/>
  <c r="I29" i="4"/>
  <c r="H29" i="4"/>
  <c r="G29" i="4"/>
  <c r="F29" i="4"/>
  <c r="E29" i="4"/>
  <c r="D29" i="4"/>
  <c r="M28" i="4"/>
  <c r="L28" i="4"/>
  <c r="D28" i="4"/>
  <c r="B28" i="4"/>
  <c r="N25" i="4"/>
  <c r="L25" i="4"/>
  <c r="N24" i="4"/>
  <c r="M24" i="4"/>
  <c r="L24" i="4"/>
  <c r="K24" i="4"/>
  <c r="J24" i="4"/>
  <c r="H24" i="4"/>
  <c r="F24" i="4"/>
  <c r="D24" i="4"/>
  <c r="B24" i="4"/>
  <c r="N23" i="4"/>
  <c r="M23" i="4"/>
  <c r="L23" i="4"/>
  <c r="K23" i="4"/>
  <c r="J23" i="4"/>
  <c r="I23" i="4"/>
  <c r="G23" i="4"/>
  <c r="F23" i="4"/>
  <c r="E23" i="4"/>
  <c r="D23" i="4"/>
  <c r="C23" i="4"/>
  <c r="M20" i="4"/>
  <c r="L20" i="4"/>
  <c r="N19" i="4"/>
  <c r="M19" i="4"/>
  <c r="L19" i="4"/>
  <c r="K19" i="4"/>
  <c r="J19" i="4"/>
  <c r="I19" i="4"/>
  <c r="G19" i="4"/>
  <c r="F19" i="4"/>
  <c r="E19" i="4"/>
  <c r="D19" i="4"/>
  <c r="C19" i="4"/>
  <c r="B19" i="4"/>
  <c r="N18" i="4"/>
  <c r="M18" i="4"/>
  <c r="L18" i="4"/>
  <c r="K18" i="4"/>
  <c r="J18" i="4"/>
  <c r="E18" i="4"/>
  <c r="D18" i="4"/>
  <c r="C18" i="4"/>
  <c r="B18" i="4"/>
  <c r="N9" i="4"/>
  <c r="M9" i="4"/>
  <c r="L9" i="4"/>
  <c r="K9" i="4"/>
  <c r="J9" i="4"/>
  <c r="I9" i="4"/>
  <c r="H9" i="4"/>
  <c r="G9" i="4"/>
  <c r="F9" i="4"/>
  <c r="E9" i="4"/>
  <c r="D9" i="4"/>
  <c r="C9" i="4"/>
  <c r="B9" i="4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N8" i="3"/>
  <c r="M8" i="3"/>
  <c r="L8" i="3"/>
  <c r="K8" i="3"/>
  <c r="J8" i="3"/>
  <c r="I8" i="3"/>
  <c r="H8" i="3"/>
  <c r="G8" i="3"/>
  <c r="F8" i="3"/>
  <c r="E8" i="3"/>
  <c r="D8" i="3"/>
  <c r="C8" i="3"/>
  <c r="B8" i="3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8" i="2"/>
  <c r="M8" i="2"/>
  <c r="L8" i="2"/>
  <c r="K8" i="2"/>
  <c r="J8" i="2"/>
  <c r="I8" i="2"/>
  <c r="H8" i="2"/>
  <c r="G8" i="2"/>
  <c r="F8" i="2"/>
  <c r="E8" i="2"/>
  <c r="D8" i="2"/>
  <c r="C8" i="2"/>
  <c r="B8" i="2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B10" i="25" l="1"/>
  <c r="AB10" i="12"/>
  <c r="AB16" i="13"/>
  <c r="C11" i="25"/>
  <c r="AC11" i="12"/>
  <c r="C10" i="24" s="1"/>
  <c r="D11" i="25"/>
  <c r="BM29" i="13"/>
  <c r="AD11" i="12"/>
  <c r="D10" i="24" s="1"/>
  <c r="J18" i="5"/>
  <c r="J17" i="5"/>
  <c r="J21" i="5"/>
  <c r="K26" i="16"/>
  <c r="BA13" i="13"/>
  <c r="V13" i="13"/>
  <c r="V40" i="13" s="1"/>
  <c r="V42" i="13" s="1"/>
  <c r="V6" i="12"/>
  <c r="D4" i="26"/>
  <c r="AD5" i="12"/>
  <c r="D4" i="24" s="1"/>
  <c r="C16" i="13"/>
  <c r="C15" i="13" s="1"/>
  <c r="BF13" i="12"/>
  <c r="AT13" i="13"/>
  <c r="AT6" i="12"/>
  <c r="Q25" i="15"/>
  <c r="Q27" i="13"/>
  <c r="Q26" i="13" s="1"/>
  <c r="AW13" i="13"/>
  <c r="AW6" i="12"/>
  <c r="Q22" i="21"/>
  <c r="Q23" i="21" s="1"/>
  <c r="Q15" i="19"/>
  <c r="Q61" i="14"/>
  <c r="C28" i="4"/>
  <c r="AF49" i="12"/>
  <c r="AF30" i="12"/>
  <c r="J14" i="25"/>
  <c r="AJ13" i="12"/>
  <c r="J13" i="24" s="1"/>
  <c r="AB18" i="14"/>
  <c r="N5" i="26"/>
  <c r="G36" i="14"/>
  <c r="G28" i="14" s="1"/>
  <c r="G27" i="14" s="1"/>
  <c r="AC36" i="14"/>
  <c r="C11" i="26" s="1"/>
  <c r="AU9" i="21"/>
  <c r="AU28" i="21" s="1"/>
  <c r="AU31" i="14"/>
  <c r="AU29" i="14" s="1"/>
  <c r="AU28" i="14" s="1"/>
  <c r="H10" i="32"/>
  <c r="AH9" i="21"/>
  <c r="AH11" i="19"/>
  <c r="H10" i="30" s="1"/>
  <c r="O15" i="32"/>
  <c r="AO15" i="19"/>
  <c r="O15" i="30" s="1"/>
  <c r="AO22" i="21"/>
  <c r="AO61" i="14"/>
  <c r="AO59" i="14" s="1"/>
  <c r="M16" i="32"/>
  <c r="AM17" i="19"/>
  <c r="M17" i="30" s="1"/>
  <c r="K10" i="5"/>
  <c r="K18" i="5" s="1"/>
  <c r="J30" i="4"/>
  <c r="H16" i="5"/>
  <c r="H19" i="5"/>
  <c r="AG49" i="12"/>
  <c r="AG30" i="12"/>
  <c r="W41" i="13"/>
  <c r="W15" i="12"/>
  <c r="W22" i="12" s="1"/>
  <c r="W23" i="12" s="1"/>
  <c r="H36" i="14"/>
  <c r="H28" i="14" s="1"/>
  <c r="H27" i="14" s="1"/>
  <c r="H57" i="14" s="1"/>
  <c r="AD36" i="14"/>
  <c r="D11" i="26" s="1"/>
  <c r="AZ36" i="14"/>
  <c r="AZ11" i="12" s="1"/>
  <c r="Q13" i="13"/>
  <c r="Q40" i="13" s="1"/>
  <c r="AV13" i="13"/>
  <c r="AV6" i="12"/>
  <c r="M10" i="28"/>
  <c r="AM22" i="13"/>
  <c r="AM20" i="13" s="1"/>
  <c r="BR12" i="16"/>
  <c r="AZ26" i="21"/>
  <c r="AZ24" i="21"/>
  <c r="G28" i="18"/>
  <c r="G8" i="18"/>
  <c r="L11" i="12"/>
  <c r="N14" i="27"/>
  <c r="BS22" i="15"/>
  <c r="AN25" i="15"/>
  <c r="AN27" i="13"/>
  <c r="AN26" i="13" s="1"/>
  <c r="C9" i="21"/>
  <c r="C31" i="14"/>
  <c r="C29" i="14" s="1"/>
  <c r="C28" i="14" s="1"/>
  <c r="C27" i="14" s="1"/>
  <c r="Y9" i="21"/>
  <c r="Y31" i="14"/>
  <c r="Y29" i="14" s="1"/>
  <c r="L11" i="19"/>
  <c r="L9" i="21"/>
  <c r="S22" i="21"/>
  <c r="S15" i="19"/>
  <c r="S61" i="14"/>
  <c r="F28" i="4"/>
  <c r="K30" i="4"/>
  <c r="I16" i="5"/>
  <c r="I19" i="5"/>
  <c r="H18" i="5"/>
  <c r="H17" i="5"/>
  <c r="E16" i="5"/>
  <c r="C6" i="12"/>
  <c r="AH11" i="12"/>
  <c r="BD4" i="12"/>
  <c r="G5" i="12"/>
  <c r="G13" i="13"/>
  <c r="G40" i="13" s="1"/>
  <c r="G42" i="13" s="1"/>
  <c r="BE5" i="12"/>
  <c r="D5" i="25"/>
  <c r="AD13" i="13"/>
  <c r="J14" i="26"/>
  <c r="C8" i="28"/>
  <c r="AC28" i="16"/>
  <c r="I9" i="16"/>
  <c r="I19" i="13"/>
  <c r="I17" i="13" s="1"/>
  <c r="E9" i="28"/>
  <c r="BJ10" i="16"/>
  <c r="AE19" i="13"/>
  <c r="BA9" i="16"/>
  <c r="BA28" i="16" s="1"/>
  <c r="BA19" i="13"/>
  <c r="BA17" i="13" s="1"/>
  <c r="N10" i="28"/>
  <c r="AN22" i="13"/>
  <c r="BS12" i="16"/>
  <c r="BF16" i="13"/>
  <c r="K17" i="5"/>
  <c r="AA23" i="12"/>
  <c r="AW25" i="14"/>
  <c r="AW72" i="14" s="1"/>
  <c r="AW74" i="14" s="1"/>
  <c r="AX6" i="12"/>
  <c r="N11" i="12"/>
  <c r="N16" i="13"/>
  <c r="N15" i="13" s="1"/>
  <c r="I14" i="25"/>
  <c r="AI13" i="12"/>
  <c r="I13" i="24" s="1"/>
  <c r="S25" i="15"/>
  <c r="S27" i="13"/>
  <c r="E47" i="4"/>
  <c r="E30" i="4" s="1"/>
  <c r="J16" i="5"/>
  <c r="J19" i="5"/>
  <c r="W14" i="15"/>
  <c r="W24" i="15" s="1"/>
  <c r="W27" i="13"/>
  <c r="W25" i="15"/>
  <c r="AS26" i="13"/>
  <c r="BB9" i="16"/>
  <c r="BB28" i="16" s="1"/>
  <c r="BB19" i="13"/>
  <c r="BB17" i="13" s="1"/>
  <c r="T25" i="21"/>
  <c r="T52" i="14"/>
  <c r="AP25" i="21"/>
  <c r="AP52" i="14"/>
  <c r="AP50" i="14" s="1"/>
  <c r="G37" i="4"/>
  <c r="G20" i="4" s="1"/>
  <c r="K19" i="5"/>
  <c r="K16" i="5"/>
  <c r="C18" i="5"/>
  <c r="AE30" i="12"/>
  <c r="AE48" i="12"/>
  <c r="H3" i="25"/>
  <c r="AH4" i="12"/>
  <c r="H4" i="25"/>
  <c r="AH52" i="13"/>
  <c r="BG13" i="13"/>
  <c r="X13" i="13"/>
  <c r="X40" i="13" s="1"/>
  <c r="X6" i="12"/>
  <c r="O10" i="12"/>
  <c r="O9" i="12" s="1"/>
  <c r="O8" i="12" s="1"/>
  <c r="O16" i="13"/>
  <c r="O15" i="13" s="1"/>
  <c r="F5" i="26"/>
  <c r="AF25" i="14"/>
  <c r="P9" i="15"/>
  <c r="P18" i="13"/>
  <c r="P17" i="13" s="1"/>
  <c r="L10" i="27"/>
  <c r="AL9" i="15"/>
  <c r="BQ14" i="15"/>
  <c r="AL18" i="13"/>
  <c r="C8" i="15"/>
  <c r="C14" i="15" s="1"/>
  <c r="C28" i="15"/>
  <c r="Y8" i="15"/>
  <c r="Y14" i="15" s="1"/>
  <c r="Y28" i="15"/>
  <c r="N7" i="16"/>
  <c r="N21" i="16" s="1"/>
  <c r="N23" i="16" s="1"/>
  <c r="N6" i="13"/>
  <c r="J3" i="28"/>
  <c r="AJ7" i="16"/>
  <c r="AJ6" i="13"/>
  <c r="BF7" i="16"/>
  <c r="BF6" i="13"/>
  <c r="F5" i="28"/>
  <c r="BK7" i="16"/>
  <c r="AF12" i="13"/>
  <c r="AF7" i="16"/>
  <c r="AE9" i="16"/>
  <c r="K9" i="16"/>
  <c r="K19" i="13"/>
  <c r="K17" i="13" s="1"/>
  <c r="G9" i="28"/>
  <c r="AG9" i="16"/>
  <c r="BL10" i="16"/>
  <c r="AG19" i="13"/>
  <c r="BC9" i="16"/>
  <c r="BC28" i="16" s="1"/>
  <c r="BC19" i="13"/>
  <c r="BC17" i="13" s="1"/>
  <c r="U13" i="19"/>
  <c r="U25" i="21"/>
  <c r="U52" i="14"/>
  <c r="U50" i="14" s="1"/>
  <c r="AQ13" i="19"/>
  <c r="AQ25" i="21"/>
  <c r="AQ52" i="14"/>
  <c r="AQ50" i="14" s="1"/>
  <c r="L26" i="15"/>
  <c r="H28" i="18"/>
  <c r="H8" i="18"/>
  <c r="D11" i="12"/>
  <c r="M10" i="27"/>
  <c r="AM9" i="15"/>
  <c r="BR14" i="15"/>
  <c r="AM18" i="13"/>
  <c r="AH17" i="13"/>
  <c r="BQ28" i="13"/>
  <c r="V26" i="16"/>
  <c r="C4" i="25"/>
  <c r="AC5" i="12"/>
  <c r="C4" i="24" s="1"/>
  <c r="AS13" i="13"/>
  <c r="AS6" i="12"/>
  <c r="E5" i="25"/>
  <c r="K20" i="5"/>
  <c r="K21" i="5"/>
  <c r="AF10" i="13"/>
  <c r="G16" i="13"/>
  <c r="G15" i="13" s="1"/>
  <c r="G29" i="13" s="1"/>
  <c r="G11" i="12"/>
  <c r="AB11" i="12"/>
  <c r="B10" i="24" s="1"/>
  <c r="G11" i="25"/>
  <c r="BP29" i="13"/>
  <c r="AG52" i="13"/>
  <c r="F26" i="13"/>
  <c r="AD8" i="23"/>
  <c r="AD12" i="23" s="1"/>
  <c r="D14" i="34"/>
  <c r="F18" i="5"/>
  <c r="F17" i="5"/>
  <c r="F16" i="5"/>
  <c r="J9" i="16"/>
  <c r="J19" i="13"/>
  <c r="J17" i="13" s="1"/>
  <c r="L16" i="5"/>
  <c r="L19" i="5"/>
  <c r="Q9" i="15"/>
  <c r="Q18" i="13"/>
  <c r="Q17" i="13" s="1"/>
  <c r="E18" i="5"/>
  <c r="AG22" i="12"/>
  <c r="AC33" i="12"/>
  <c r="AQ4" i="12"/>
  <c r="Z13" i="13"/>
  <c r="Z40" i="13" s="1"/>
  <c r="Z42" i="13" s="1"/>
  <c r="Z6" i="12"/>
  <c r="AR16" i="13"/>
  <c r="N29" i="13"/>
  <c r="E4" i="26"/>
  <c r="AE79" i="14"/>
  <c r="AE5" i="12"/>
  <c r="E4" i="24" s="1"/>
  <c r="R9" i="15"/>
  <c r="R18" i="13"/>
  <c r="R17" i="13" s="1"/>
  <c r="N10" i="27"/>
  <c r="AN9" i="15"/>
  <c r="BS14" i="15"/>
  <c r="AN18" i="13"/>
  <c r="E9" i="15"/>
  <c r="E21" i="13"/>
  <c r="E20" i="13" s="1"/>
  <c r="E11" i="12" s="1"/>
  <c r="E9" i="12" s="1"/>
  <c r="AA9" i="15"/>
  <c r="AA21" i="13"/>
  <c r="AA20" i="13" s="1"/>
  <c r="AA11" i="12" s="1"/>
  <c r="AW21" i="13"/>
  <c r="AW20" i="13" s="1"/>
  <c r="AW11" i="12" s="1"/>
  <c r="AW9" i="15"/>
  <c r="P11" i="25"/>
  <c r="O8" i="35"/>
  <c r="AO28" i="17"/>
  <c r="BD13" i="12"/>
  <c r="G18" i="27"/>
  <c r="BM28" i="15"/>
  <c r="E2" i="5"/>
  <c r="R22" i="21"/>
  <c r="R15" i="19"/>
  <c r="R61" i="14"/>
  <c r="G28" i="4"/>
  <c r="D8" i="28"/>
  <c r="AD28" i="16"/>
  <c r="AA16" i="13"/>
  <c r="AA15" i="13" s="1"/>
  <c r="M50" i="14"/>
  <c r="M13" i="12" s="1"/>
  <c r="D8" i="15"/>
  <c r="D28" i="15"/>
  <c r="AP45" i="12"/>
  <c r="AP43" i="12"/>
  <c r="AP47" i="12"/>
  <c r="AP53" i="12" s="1"/>
  <c r="AP44" i="12"/>
  <c r="AN49" i="12"/>
  <c r="AN43" i="12"/>
  <c r="K4" i="25"/>
  <c r="AK13" i="13"/>
  <c r="AA6" i="12"/>
  <c r="H13" i="13"/>
  <c r="H40" i="13" s="1"/>
  <c r="H42" i="13" s="1"/>
  <c r="I4" i="26"/>
  <c r="AI79" i="14"/>
  <c r="AJ43" i="12"/>
  <c r="AJ48" i="12"/>
  <c r="R14" i="20"/>
  <c r="H27" i="16"/>
  <c r="C14" i="25"/>
  <c r="AC13" i="12"/>
  <c r="C13" i="24" s="1"/>
  <c r="Y26" i="15"/>
  <c r="Y24" i="15"/>
  <c r="BA22" i="15"/>
  <c r="BA32" i="13"/>
  <c r="BA31" i="13" s="1"/>
  <c r="I23" i="12"/>
  <c r="K16" i="32"/>
  <c r="AK17" i="19"/>
  <c r="K17" i="30" s="1"/>
  <c r="AA25" i="14"/>
  <c r="AA72" i="14" s="1"/>
  <c r="AA74" i="14" s="1"/>
  <c r="E13" i="12"/>
  <c r="K14" i="26"/>
  <c r="C5" i="12"/>
  <c r="Y13" i="13"/>
  <c r="Y40" i="13" s="1"/>
  <c r="Y42" i="13" s="1"/>
  <c r="Y6" i="12"/>
  <c r="Z8" i="15"/>
  <c r="Z28" i="15"/>
  <c r="AE33" i="12"/>
  <c r="AE68" i="12" s="1"/>
  <c r="AE69" i="12" s="1"/>
  <c r="L3" i="25"/>
  <c r="AL4" i="12"/>
  <c r="AU16" i="13"/>
  <c r="G10" i="26"/>
  <c r="G10" i="12"/>
  <c r="D10" i="26"/>
  <c r="O60" i="14"/>
  <c r="O59" i="14" s="1"/>
  <c r="O73" i="14" s="1"/>
  <c r="O22" i="18"/>
  <c r="O23" i="18" s="1"/>
  <c r="K15" i="33"/>
  <c r="AK22" i="18"/>
  <c r="AK60" i="14"/>
  <c r="AK59" i="14" s="1"/>
  <c r="BG22" i="18"/>
  <c r="BG60" i="14"/>
  <c r="BG59" i="14" s="1"/>
  <c r="H17" i="25"/>
  <c r="AH41" i="13"/>
  <c r="BQ39" i="13"/>
  <c r="AH15" i="12"/>
  <c r="F16" i="13"/>
  <c r="F10" i="12"/>
  <c r="F9" i="12" s="1"/>
  <c r="F8" i="12" s="1"/>
  <c r="H16" i="13"/>
  <c r="D36" i="14"/>
  <c r="D28" i="14" s="1"/>
  <c r="D27" i="14" s="1"/>
  <c r="H28" i="4"/>
  <c r="H47" i="4"/>
  <c r="H30" i="4" s="1"/>
  <c r="F15" i="24"/>
  <c r="AF22" i="12"/>
  <c r="I6" i="12"/>
  <c r="L16" i="32"/>
  <c r="AL17" i="19"/>
  <c r="L17" i="30" s="1"/>
  <c r="H37" i="4"/>
  <c r="H20" i="4" s="1"/>
  <c r="H18" i="4"/>
  <c r="K28" i="14"/>
  <c r="K27" i="14" s="1"/>
  <c r="BD28" i="14"/>
  <c r="P60" i="14"/>
  <c r="P59" i="14" s="1"/>
  <c r="P73" i="14" s="1"/>
  <c r="P22" i="18"/>
  <c r="L15" i="33"/>
  <c r="AL22" i="18"/>
  <c r="AL60" i="14"/>
  <c r="AL59" i="14" s="1"/>
  <c r="O16" i="33"/>
  <c r="M8" i="5"/>
  <c r="G26" i="18"/>
  <c r="AS25" i="14"/>
  <c r="AS72" i="14" s="1"/>
  <c r="AS74" i="14" s="1"/>
  <c r="AR6" i="12"/>
  <c r="BC6" i="12"/>
  <c r="E17" i="27"/>
  <c r="AE22" i="15"/>
  <c r="BJ25" i="15"/>
  <c r="AE32" i="13"/>
  <c r="AE31" i="13" s="1"/>
  <c r="L20" i="5"/>
  <c r="L21" i="5"/>
  <c r="F14" i="25"/>
  <c r="AM22" i="21"/>
  <c r="M15" i="32"/>
  <c r="AM15" i="19"/>
  <c r="M15" i="30" s="1"/>
  <c r="AM61" i="14"/>
  <c r="AM59" i="14" s="1"/>
  <c r="O14" i="27"/>
  <c r="AO25" i="15"/>
  <c r="AO27" i="13"/>
  <c r="N15" i="32"/>
  <c r="AN15" i="19"/>
  <c r="N15" i="30" s="1"/>
  <c r="AN22" i="21"/>
  <c r="AN61" i="14"/>
  <c r="AN59" i="14" s="1"/>
  <c r="G16" i="5"/>
  <c r="G19" i="5"/>
  <c r="F9" i="28"/>
  <c r="AF9" i="16"/>
  <c r="AF19" i="13"/>
  <c r="BK10" i="16"/>
  <c r="M3" i="25"/>
  <c r="C42" i="4"/>
  <c r="C25" i="4" s="1"/>
  <c r="E6" i="5"/>
  <c r="AG45" i="12"/>
  <c r="AG48" i="12"/>
  <c r="N3" i="25"/>
  <c r="AY6" i="12"/>
  <c r="S15" i="13"/>
  <c r="W16" i="13"/>
  <c r="W15" i="13" s="1"/>
  <c r="W10" i="12"/>
  <c r="AO57" i="12"/>
  <c r="AO59" i="12" s="1"/>
  <c r="AO7" i="13"/>
  <c r="C25" i="14"/>
  <c r="C72" i="14" s="1"/>
  <c r="C74" i="14" s="1"/>
  <c r="AX18" i="14"/>
  <c r="M28" i="14"/>
  <c r="L28" i="14"/>
  <c r="I28" i="14"/>
  <c r="I27" i="14" s="1"/>
  <c r="M73" i="14"/>
  <c r="M15" i="12"/>
  <c r="M22" i="12" s="1"/>
  <c r="AI58" i="12"/>
  <c r="AI59" i="12" s="1"/>
  <c r="AI29" i="14"/>
  <c r="I17" i="5"/>
  <c r="X23" i="12"/>
  <c r="AB24" i="15"/>
  <c r="AB26" i="15"/>
  <c r="AK44" i="12"/>
  <c r="AK45" i="12"/>
  <c r="AK43" i="12"/>
  <c r="AA5" i="12"/>
  <c r="AB11" i="14"/>
  <c r="Q11" i="12"/>
  <c r="N4" i="25"/>
  <c r="AH26" i="12"/>
  <c r="R25" i="15"/>
  <c r="R27" i="13"/>
  <c r="R26" i="13" s="1"/>
  <c r="BD13" i="13"/>
  <c r="F26" i="15"/>
  <c r="I47" i="4"/>
  <c r="I30" i="4" s="1"/>
  <c r="I28" i="4"/>
  <c r="B25" i="4"/>
  <c r="J13" i="13"/>
  <c r="J40" i="13" s="1"/>
  <c r="J42" i="13" s="1"/>
  <c r="G17" i="5"/>
  <c r="D19" i="5"/>
  <c r="AH44" i="12"/>
  <c r="AH45" i="12"/>
  <c r="AH48" i="12"/>
  <c r="AF43" i="12"/>
  <c r="AV4" i="12"/>
  <c r="X5" i="12"/>
  <c r="L13" i="13"/>
  <c r="L40" i="13" s="1"/>
  <c r="L42" i="13" s="1"/>
  <c r="X16" i="13"/>
  <c r="X15" i="13" s="1"/>
  <c r="X10" i="12"/>
  <c r="AX16" i="13"/>
  <c r="L11" i="25"/>
  <c r="AL11" i="12"/>
  <c r="AL52" i="13"/>
  <c r="BU29" i="13"/>
  <c r="F17" i="25"/>
  <c r="AF41" i="13"/>
  <c r="BO39" i="13"/>
  <c r="Y41" i="13"/>
  <c r="Y15" i="12"/>
  <c r="Y22" i="12" s="1"/>
  <c r="Y23" i="12" s="1"/>
  <c r="N10" i="12"/>
  <c r="N28" i="14"/>
  <c r="BF28" i="14"/>
  <c r="X28" i="14"/>
  <c r="X27" i="14" s="1"/>
  <c r="AJ11" i="14"/>
  <c r="AJ29" i="14"/>
  <c r="AJ58" i="12"/>
  <c r="AJ59" i="12" s="1"/>
  <c r="AS25" i="15"/>
  <c r="G41" i="13"/>
  <c r="G15" i="12"/>
  <c r="G22" i="12" s="1"/>
  <c r="N8" i="35"/>
  <c r="AN28" i="17"/>
  <c r="F6" i="35"/>
  <c r="AF14" i="17"/>
  <c r="AF21" i="17"/>
  <c r="AF23" i="17" s="1"/>
  <c r="BG16" i="13"/>
  <c r="BE13" i="12"/>
  <c r="BG13" i="12"/>
  <c r="F42" i="13"/>
  <c r="AU13" i="13"/>
  <c r="AU6" i="12"/>
  <c r="Z36" i="14"/>
  <c r="Z28" i="14" s="1"/>
  <c r="Z27" i="14" s="1"/>
  <c r="BE36" i="14"/>
  <c r="BE28" i="14" s="1"/>
  <c r="M14" i="27"/>
  <c r="BR22" i="15"/>
  <c r="AM25" i="15"/>
  <c r="AM27" i="13"/>
  <c r="AM26" i="13" s="1"/>
  <c r="BC13" i="13"/>
  <c r="I10" i="5"/>
  <c r="BF5" i="12"/>
  <c r="W13" i="13"/>
  <c r="W40" i="13" s="1"/>
  <c r="W42" i="13" s="1"/>
  <c r="W6" i="12"/>
  <c r="N5" i="12"/>
  <c r="H6" i="25"/>
  <c r="AH2" i="13"/>
  <c r="AH40" i="13"/>
  <c r="AH42" i="13" s="1"/>
  <c r="I41" i="13"/>
  <c r="I42" i="13" s="1"/>
  <c r="C20" i="5"/>
  <c r="E42" i="4"/>
  <c r="E25" i="4" s="1"/>
  <c r="M20" i="5"/>
  <c r="AI44" i="12"/>
  <c r="AI48" i="12"/>
  <c r="AI45" i="12"/>
  <c r="AG43" i="12"/>
  <c r="Y16" i="13"/>
  <c r="Y15" i="13" s="1"/>
  <c r="V16" i="13"/>
  <c r="V15" i="13" s="1"/>
  <c r="F41" i="13"/>
  <c r="F15" i="12"/>
  <c r="F22" i="12" s="1"/>
  <c r="C15" i="12"/>
  <c r="C22" i="12" s="1"/>
  <c r="C23" i="12" s="1"/>
  <c r="C41" i="13"/>
  <c r="C42" i="13" s="1"/>
  <c r="T74" i="14"/>
  <c r="O28" i="14"/>
  <c r="O27" i="14" s="1"/>
  <c r="O57" i="14" s="1"/>
  <c r="AA26" i="15"/>
  <c r="M8" i="35"/>
  <c r="AM28" i="17"/>
  <c r="F9" i="35"/>
  <c r="AF9" i="17"/>
  <c r="AF35" i="14"/>
  <c r="BB9" i="17"/>
  <c r="BB28" i="17" s="1"/>
  <c r="BB35" i="14"/>
  <c r="I10" i="35"/>
  <c r="AI42" i="14"/>
  <c r="AI36" i="14" s="1"/>
  <c r="AI9" i="17"/>
  <c r="BE9" i="17"/>
  <c r="BE28" i="17" s="1"/>
  <c r="BE42" i="14"/>
  <c r="O13" i="28"/>
  <c r="AO25" i="16"/>
  <c r="E11" i="25"/>
  <c r="AE52" i="13"/>
  <c r="BN29" i="13"/>
  <c r="AE11" i="12"/>
  <c r="E10" i="24" s="1"/>
  <c r="J25" i="14"/>
  <c r="J72" i="14" s="1"/>
  <c r="J74" i="14" s="1"/>
  <c r="BC36" i="14"/>
  <c r="BC11" i="12" s="1"/>
  <c r="I9" i="28"/>
  <c r="AI9" i="16"/>
  <c r="BN10" i="16"/>
  <c r="AI19" i="13"/>
  <c r="BR28" i="13" s="1"/>
  <c r="P23" i="18"/>
  <c r="BC24" i="18"/>
  <c r="BC26" i="18"/>
  <c r="P3" i="25"/>
  <c r="AP4" i="12"/>
  <c r="F11" i="25"/>
  <c r="AF52" i="13"/>
  <c r="P4" i="26"/>
  <c r="AP79" i="14"/>
  <c r="U28" i="15"/>
  <c r="U8" i="15"/>
  <c r="U14" i="15" s="1"/>
  <c r="H8" i="15"/>
  <c r="H28" i="15"/>
  <c r="U28" i="13"/>
  <c r="U26" i="13" s="1"/>
  <c r="K8" i="18"/>
  <c r="K14" i="18" s="1"/>
  <c r="K24" i="18" s="1"/>
  <c r="K28" i="18"/>
  <c r="K29" i="18" s="1"/>
  <c r="K30" i="18" s="1"/>
  <c r="H29" i="18"/>
  <c r="H30" i="18" s="1"/>
  <c r="H27" i="18"/>
  <c r="AR26" i="20"/>
  <c r="AR24" i="20"/>
  <c r="J28" i="4"/>
  <c r="K3" i="5"/>
  <c r="K6" i="5" s="1"/>
  <c r="AE53" i="12"/>
  <c r="AL43" i="12"/>
  <c r="AB13" i="13"/>
  <c r="AA15" i="12"/>
  <c r="AA22" i="12" s="1"/>
  <c r="I11" i="14"/>
  <c r="I5" i="12" s="1"/>
  <c r="AF11" i="14"/>
  <c r="H10" i="26"/>
  <c r="AH28" i="14"/>
  <c r="M43" i="14"/>
  <c r="M12" i="12" s="1"/>
  <c r="E16" i="26"/>
  <c r="AE73" i="14"/>
  <c r="Z7" i="15"/>
  <c r="Z21" i="15" s="1"/>
  <c r="Z23" i="15" s="1"/>
  <c r="V14" i="16"/>
  <c r="V24" i="16" s="1"/>
  <c r="V28" i="13"/>
  <c r="V26" i="13" s="1"/>
  <c r="AZ21" i="18"/>
  <c r="AZ23" i="18" s="1"/>
  <c r="AZ14" i="18"/>
  <c r="AZ8" i="18" s="1"/>
  <c r="AZ12" i="18" s="1"/>
  <c r="AZ44" i="14" s="1"/>
  <c r="L8" i="18"/>
  <c r="L14" i="18" s="1"/>
  <c r="L28" i="18"/>
  <c r="X41" i="13"/>
  <c r="X15" i="12"/>
  <c r="X22" i="12" s="1"/>
  <c r="L16" i="28"/>
  <c r="BQ21" i="16"/>
  <c r="BE9" i="16"/>
  <c r="BE28" i="16" s="1"/>
  <c r="BE29" i="16" s="1"/>
  <c r="BE19" i="13"/>
  <c r="BE17" i="13" s="1"/>
  <c r="P13" i="28"/>
  <c r="AP25" i="16"/>
  <c r="O11" i="14"/>
  <c r="O5" i="12" s="1"/>
  <c r="J28" i="18"/>
  <c r="J8" i="18"/>
  <c r="J14" i="18" s="1"/>
  <c r="J24" i="18" s="1"/>
  <c r="I28" i="21"/>
  <c r="I8" i="21"/>
  <c r="I14" i="21" s="1"/>
  <c r="I24" i="21" s="1"/>
  <c r="I9" i="19"/>
  <c r="J3" i="5"/>
  <c r="J6" i="5" s="1"/>
  <c r="AM45" i="12"/>
  <c r="AM43" i="12"/>
  <c r="AA13" i="13"/>
  <c r="AA40" i="13" s="1"/>
  <c r="AA42" i="13" s="1"/>
  <c r="D10" i="25"/>
  <c r="AD10" i="12"/>
  <c r="AD16" i="13"/>
  <c r="BM26" i="13"/>
  <c r="Z41" i="13"/>
  <c r="Z15" i="12"/>
  <c r="Z22" i="12" s="1"/>
  <c r="Z23" i="12" s="1"/>
  <c r="AS4" i="14"/>
  <c r="AS4" i="12" s="1"/>
  <c r="BB11" i="14"/>
  <c r="BB5" i="12" s="1"/>
  <c r="AP25" i="14"/>
  <c r="N16" i="28"/>
  <c r="BS21" i="16"/>
  <c r="J28" i="21"/>
  <c r="J8" i="21"/>
  <c r="J14" i="21" s="1"/>
  <c r="K28" i="4"/>
  <c r="L3" i="5"/>
  <c r="L6" i="5" s="1"/>
  <c r="D17" i="5"/>
  <c r="AF47" i="12"/>
  <c r="AF53" i="12" s="1"/>
  <c r="AE44" i="12"/>
  <c r="AO43" i="12"/>
  <c r="Z16" i="13"/>
  <c r="Z15" i="13" s="1"/>
  <c r="Z10" i="12"/>
  <c r="AY16" i="13"/>
  <c r="B17" i="25"/>
  <c r="AB41" i="13"/>
  <c r="J11" i="14"/>
  <c r="J5" i="12" s="1"/>
  <c r="AG11" i="14"/>
  <c r="AJ36" i="14"/>
  <c r="J11" i="26" s="1"/>
  <c r="BF36" i="14"/>
  <c r="BF11" i="12" s="1"/>
  <c r="BF9" i="12" s="1"/>
  <c r="AO36" i="14"/>
  <c r="N43" i="14"/>
  <c r="N12" i="12" s="1"/>
  <c r="C8" i="16"/>
  <c r="C14" i="16" s="1"/>
  <c r="C28" i="16"/>
  <c r="W14" i="16"/>
  <c r="W28" i="13"/>
  <c r="AS25" i="16"/>
  <c r="AS28" i="13"/>
  <c r="BA21" i="18"/>
  <c r="BA23" i="18" s="1"/>
  <c r="BA14" i="18"/>
  <c r="BA8" i="18" s="1"/>
  <c r="BA12" i="18" s="1"/>
  <c r="BA44" i="14" s="1"/>
  <c r="M8" i="18"/>
  <c r="M14" i="18" s="1"/>
  <c r="M28" i="18"/>
  <c r="W25" i="18"/>
  <c r="S14" i="16"/>
  <c r="S28" i="13"/>
  <c r="AV4" i="14"/>
  <c r="W11" i="14"/>
  <c r="W5" i="12" s="1"/>
  <c r="AL18" i="14"/>
  <c r="U43" i="14"/>
  <c r="S50" i="14"/>
  <c r="F8" i="15"/>
  <c r="F28" i="15"/>
  <c r="G6" i="28"/>
  <c r="AG21" i="16"/>
  <c r="AG23" i="16" s="1"/>
  <c r="AG14" i="16"/>
  <c r="D8" i="16"/>
  <c r="D14" i="16" s="1"/>
  <c r="D28" i="16"/>
  <c r="Q9" i="16"/>
  <c r="Q19" i="13"/>
  <c r="M9" i="28"/>
  <c r="AM9" i="16"/>
  <c r="BR10" i="16"/>
  <c r="AM19" i="13"/>
  <c r="BV28" i="13" s="1"/>
  <c r="X28" i="13"/>
  <c r="X26" i="13" s="1"/>
  <c r="AT25" i="16"/>
  <c r="AT28" i="13"/>
  <c r="AT26" i="13" s="1"/>
  <c r="BB21" i="18"/>
  <c r="BB23" i="18" s="1"/>
  <c r="BB14" i="18"/>
  <c r="BB8" i="18" s="1"/>
  <c r="BB12" i="18" s="1"/>
  <c r="BB44" i="14" s="1"/>
  <c r="AG44" i="12"/>
  <c r="AM44" i="12"/>
  <c r="BD19" i="13"/>
  <c r="BD17" i="13" s="1"/>
  <c r="U23" i="13"/>
  <c r="U12" i="12" s="1"/>
  <c r="AO28" i="13"/>
  <c r="AI4" i="14"/>
  <c r="I3" i="26" s="1"/>
  <c r="BF4" i="14"/>
  <c r="L11" i="14"/>
  <c r="L5" i="12" s="1"/>
  <c r="BF11" i="14"/>
  <c r="P25" i="14"/>
  <c r="P72" i="14" s="1"/>
  <c r="G26" i="15"/>
  <c r="C6" i="27"/>
  <c r="AC14" i="15"/>
  <c r="AC21" i="15"/>
  <c r="AC23" i="15" s="1"/>
  <c r="H6" i="28"/>
  <c r="AH21" i="16"/>
  <c r="AH23" i="16" s="1"/>
  <c r="C25" i="16"/>
  <c r="C28" i="13"/>
  <c r="C26" i="13" s="1"/>
  <c r="Y25" i="16"/>
  <c r="Y14" i="16"/>
  <c r="Y28" i="13"/>
  <c r="Y26" i="13" s="1"/>
  <c r="AU25" i="16"/>
  <c r="AU28" i="13"/>
  <c r="AU26" i="13" s="1"/>
  <c r="J10" i="25"/>
  <c r="AJ47" i="13"/>
  <c r="BS26" i="13"/>
  <c r="P20" i="13"/>
  <c r="P11" i="12" s="1"/>
  <c r="AW15" i="12"/>
  <c r="AW22" i="12" s="1"/>
  <c r="M11" i="14"/>
  <c r="M5" i="12" s="1"/>
  <c r="C11" i="14"/>
  <c r="AU11" i="14"/>
  <c r="AU5" i="12" s="1"/>
  <c r="H26" i="15"/>
  <c r="AZ14" i="15"/>
  <c r="AZ8" i="15" s="1"/>
  <c r="AZ12" i="15" s="1"/>
  <c r="AZ24" i="13" s="1"/>
  <c r="AZ21" i="15"/>
  <c r="AZ23" i="15" s="1"/>
  <c r="M4" i="27"/>
  <c r="AM8" i="13"/>
  <c r="AM7" i="13" s="1"/>
  <c r="D11" i="13"/>
  <c r="D10" i="13" s="1"/>
  <c r="D7" i="15"/>
  <c r="D21" i="15" s="1"/>
  <c r="D23" i="15" s="1"/>
  <c r="AD7" i="15"/>
  <c r="I6" i="28"/>
  <c r="AI21" i="16"/>
  <c r="AI23" i="16" s="1"/>
  <c r="AI14" i="16"/>
  <c r="D25" i="16"/>
  <c r="D28" i="13"/>
  <c r="D26" i="13" s="1"/>
  <c r="Z25" i="16"/>
  <c r="Z14" i="16"/>
  <c r="Z28" i="13"/>
  <c r="Z26" i="13" s="1"/>
  <c r="H14" i="28"/>
  <c r="AH8" i="16"/>
  <c r="AH12" i="16" s="1"/>
  <c r="L26" i="16"/>
  <c r="BB29" i="17"/>
  <c r="F28" i="14"/>
  <c r="F27" i="14" s="1"/>
  <c r="M9" i="16"/>
  <c r="M19" i="13"/>
  <c r="AX7" i="18"/>
  <c r="AX5" i="14"/>
  <c r="N47" i="4"/>
  <c r="N30" i="4" s="1"/>
  <c r="J5" i="25"/>
  <c r="AO48" i="12"/>
  <c r="AG13" i="13"/>
  <c r="AK17" i="13"/>
  <c r="AQ28" i="13"/>
  <c r="AQ26" i="13" s="1"/>
  <c r="N11" i="14"/>
  <c r="AO18" i="14"/>
  <c r="U25" i="14"/>
  <c r="U72" i="14" s="1"/>
  <c r="U74" i="14" s="1"/>
  <c r="X43" i="14"/>
  <c r="X12" i="12" s="1"/>
  <c r="H6" i="27"/>
  <c r="AH14" i="15"/>
  <c r="AH21" i="15"/>
  <c r="AH23" i="15" s="1"/>
  <c r="L13" i="35"/>
  <c r="AL25" i="17"/>
  <c r="AL56" i="14"/>
  <c r="BB24" i="17"/>
  <c r="BC29" i="17"/>
  <c r="BC30" i="17" s="1"/>
  <c r="BC27" i="17"/>
  <c r="L8" i="31"/>
  <c r="AL28" i="20"/>
  <c r="U26" i="20"/>
  <c r="L28" i="16"/>
  <c r="L8" i="16"/>
  <c r="L14" i="16" s="1"/>
  <c r="L24" i="16" s="1"/>
  <c r="AW24" i="18"/>
  <c r="AW26" i="18"/>
  <c r="BA11" i="14"/>
  <c r="BA5" i="12" s="1"/>
  <c r="B3" i="33"/>
  <c r="AB7" i="18"/>
  <c r="AB5" i="14"/>
  <c r="J42" i="4"/>
  <c r="J25" i="4" s="1"/>
  <c r="E20" i="5"/>
  <c r="AP48" i="12"/>
  <c r="AJ44" i="12"/>
  <c r="P6" i="12"/>
  <c r="P13" i="13"/>
  <c r="P40" i="13" s="1"/>
  <c r="AN10" i="13"/>
  <c r="AO17" i="13"/>
  <c r="AL4" i="14"/>
  <c r="L3" i="26" s="1"/>
  <c r="AZ4" i="14"/>
  <c r="E11" i="14"/>
  <c r="E5" i="12" s="1"/>
  <c r="AW11" i="14"/>
  <c r="AW5" i="12" s="1"/>
  <c r="AW7" i="12" s="1"/>
  <c r="V25" i="14"/>
  <c r="V72" i="14" s="1"/>
  <c r="V74" i="14" s="1"/>
  <c r="E28" i="14"/>
  <c r="Y43" i="14"/>
  <c r="AZ50" i="14"/>
  <c r="AT22" i="15"/>
  <c r="AT32" i="13"/>
  <c r="AT31" i="13" s="1"/>
  <c r="BG21" i="16"/>
  <c r="BG23" i="16" s="1"/>
  <c r="BG14" i="16"/>
  <c r="BG8" i="16" s="1"/>
  <c r="BG12" i="16" s="1"/>
  <c r="BG25" i="13" s="1"/>
  <c r="K6" i="28"/>
  <c r="AK21" i="16"/>
  <c r="AK23" i="16" s="1"/>
  <c r="AK14" i="16"/>
  <c r="G8" i="35"/>
  <c r="AG28" i="17"/>
  <c r="Z14" i="17"/>
  <c r="M8" i="31"/>
  <c r="AM9" i="19"/>
  <c r="M8" i="30" s="1"/>
  <c r="AM28" i="20"/>
  <c r="Q9" i="20"/>
  <c r="Q10" i="19"/>
  <c r="Q32" i="14"/>
  <c r="J24" i="15"/>
  <c r="J26" i="15"/>
  <c r="B23" i="4"/>
  <c r="C10" i="25"/>
  <c r="AC16" i="13"/>
  <c r="I57" i="14"/>
  <c r="I13" i="12"/>
  <c r="BG7" i="18"/>
  <c r="BG12" i="14"/>
  <c r="BG11" i="14" s="1"/>
  <c r="BG5" i="12" s="1"/>
  <c r="AF44" i="12"/>
  <c r="AL44" i="12"/>
  <c r="I11" i="25"/>
  <c r="BR29" i="13"/>
  <c r="AI52" i="13"/>
  <c r="BE4" i="14"/>
  <c r="H23" i="4"/>
  <c r="N28" i="4"/>
  <c r="AP28" i="13"/>
  <c r="AP26" i="13" s="1"/>
  <c r="K42" i="4"/>
  <c r="K25" i="4" s="1"/>
  <c r="F20" i="5"/>
  <c r="AY5" i="12"/>
  <c r="AO10" i="13"/>
  <c r="D16" i="13"/>
  <c r="D15" i="13" s="1"/>
  <c r="D10" i="12"/>
  <c r="AP17" i="13"/>
  <c r="Y12" i="12"/>
  <c r="Z43" i="14"/>
  <c r="Z12" i="12" s="1"/>
  <c r="K23" i="15"/>
  <c r="G3" i="27"/>
  <c r="AG7" i="15"/>
  <c r="BC14" i="15"/>
  <c r="BC8" i="15" s="1"/>
  <c r="BC12" i="15" s="1"/>
  <c r="BC24" i="13" s="1"/>
  <c r="BC21" i="15"/>
  <c r="BC23" i="15" s="1"/>
  <c r="P4" i="27"/>
  <c r="AP8" i="13"/>
  <c r="AP7" i="13" s="1"/>
  <c r="C5" i="27"/>
  <c r="AC11" i="13"/>
  <c r="G6" i="13"/>
  <c r="G7" i="16"/>
  <c r="G21" i="16" s="1"/>
  <c r="G23" i="16" s="1"/>
  <c r="C3" i="28"/>
  <c r="AC7" i="16"/>
  <c r="AC6" i="13"/>
  <c r="AY7" i="16"/>
  <c r="AY6" i="13"/>
  <c r="AY4" i="13" s="1"/>
  <c r="P26" i="16"/>
  <c r="L4" i="28"/>
  <c r="AL7" i="16"/>
  <c r="AQ21" i="16"/>
  <c r="AQ23" i="16" s="1"/>
  <c r="AQ14" i="16"/>
  <c r="AQ8" i="16" s="1"/>
  <c r="AQ12" i="16" s="1"/>
  <c r="AQ25" i="13" s="1"/>
  <c r="AA23" i="17"/>
  <c r="AW14" i="17"/>
  <c r="AW8" i="17" s="1"/>
  <c r="AW12" i="17" s="1"/>
  <c r="AW49" i="14" s="1"/>
  <c r="AW21" i="17"/>
  <c r="AW23" i="17" s="1"/>
  <c r="H8" i="35"/>
  <c r="AH28" i="17"/>
  <c r="AA9" i="17"/>
  <c r="AA35" i="14"/>
  <c r="AA29" i="14" s="1"/>
  <c r="AA28" i="14" s="1"/>
  <c r="AA27" i="14" s="1"/>
  <c r="AA57" i="14" s="1"/>
  <c r="AW9" i="17"/>
  <c r="AW28" i="17" s="1"/>
  <c r="AW35" i="14"/>
  <c r="AW29" i="14" s="1"/>
  <c r="N8" i="31"/>
  <c r="AN28" i="20"/>
  <c r="I28" i="18"/>
  <c r="I8" i="18"/>
  <c r="I27" i="18" s="1"/>
  <c r="BE11" i="14"/>
  <c r="B6" i="27"/>
  <c r="AB14" i="15"/>
  <c r="AF45" i="12"/>
  <c r="AZ5" i="13"/>
  <c r="AZ4" i="13" s="1"/>
  <c r="R10" i="13"/>
  <c r="AP10" i="13"/>
  <c r="AJ13" i="13"/>
  <c r="E16" i="13"/>
  <c r="E15" i="13" s="1"/>
  <c r="E29" i="13" s="1"/>
  <c r="E43" i="13" s="1"/>
  <c r="AQ18" i="13"/>
  <c r="AQ17" i="13" s="1"/>
  <c r="T20" i="13"/>
  <c r="T11" i="12" s="1"/>
  <c r="AV25" i="14"/>
  <c r="AV72" i="14" s="1"/>
  <c r="AV74" i="14" s="1"/>
  <c r="D43" i="14"/>
  <c r="D12" i="12" s="1"/>
  <c r="AA43" i="14"/>
  <c r="D3" i="28"/>
  <c r="AD7" i="16"/>
  <c r="AZ21" i="16"/>
  <c r="AZ23" i="16" s="1"/>
  <c r="AZ14" i="16"/>
  <c r="AZ8" i="16" s="1"/>
  <c r="AZ12" i="16" s="1"/>
  <c r="AZ25" i="13" s="1"/>
  <c r="Q23" i="16"/>
  <c r="M4" i="28"/>
  <c r="AM7" i="16"/>
  <c r="BD29" i="16"/>
  <c r="BD30" i="16" s="1"/>
  <c r="B3" i="35"/>
  <c r="AB7" i="17"/>
  <c r="AB10" i="14"/>
  <c r="AX7" i="17"/>
  <c r="AX10" i="14"/>
  <c r="E4" i="35"/>
  <c r="AE7" i="17"/>
  <c r="BA7" i="17"/>
  <c r="BA17" i="14"/>
  <c r="H5" i="35"/>
  <c r="AH7" i="17"/>
  <c r="BD21" i="17"/>
  <c r="BD23" i="17" s="1"/>
  <c r="BD14" i="17"/>
  <c r="BD8" i="17" s="1"/>
  <c r="BD12" i="17" s="1"/>
  <c r="BD49" i="14" s="1"/>
  <c r="B9" i="35"/>
  <c r="AB9" i="17"/>
  <c r="AB35" i="14"/>
  <c r="AB29" i="14" s="1"/>
  <c r="AX9" i="17"/>
  <c r="AX28" i="17" s="1"/>
  <c r="AX35" i="14"/>
  <c r="S56" i="14"/>
  <c r="S25" i="17"/>
  <c r="O8" i="31"/>
  <c r="AO28" i="20"/>
  <c r="AZ28" i="14"/>
  <c r="H9" i="28"/>
  <c r="BM10" i="16"/>
  <c r="K4" i="33"/>
  <c r="AK7" i="18"/>
  <c r="AK12" i="14"/>
  <c r="AK11" i="14" s="1"/>
  <c r="BA11" i="12"/>
  <c r="G17" i="25"/>
  <c r="AG41" i="13"/>
  <c r="BP39" i="13"/>
  <c r="AP41" i="13"/>
  <c r="K11" i="14"/>
  <c r="K5" i="12" s="1"/>
  <c r="O18" i="14"/>
  <c r="M42" i="4"/>
  <c r="M25" i="4" s="1"/>
  <c r="B19" i="5"/>
  <c r="H20" i="5"/>
  <c r="AB6" i="12"/>
  <c r="B5" i="24" s="1"/>
  <c r="AC4" i="13"/>
  <c r="BA4" i="13"/>
  <c r="BA4" i="12" s="1"/>
  <c r="S10" i="13"/>
  <c r="AQ10" i="13"/>
  <c r="AZ10" i="12"/>
  <c r="AZ16" i="13"/>
  <c r="T17" i="13"/>
  <c r="C12" i="12"/>
  <c r="AW13" i="12"/>
  <c r="C17" i="25"/>
  <c r="AC41" i="13"/>
  <c r="AX29" i="14"/>
  <c r="AX28" i="14" s="1"/>
  <c r="AI59" i="14"/>
  <c r="BA59" i="14"/>
  <c r="BA73" i="14" s="1"/>
  <c r="M7" i="15"/>
  <c r="M21" i="15" s="1"/>
  <c r="M23" i="15" s="1"/>
  <c r="M5" i="13"/>
  <c r="M4" i="13" s="1"/>
  <c r="M4" i="12" s="1"/>
  <c r="M7" i="12" s="1"/>
  <c r="M21" i="12" s="1"/>
  <c r="M23" i="12" s="1"/>
  <c r="I3" i="27"/>
  <c r="AI7" i="15"/>
  <c r="AI5" i="13"/>
  <c r="AI4" i="13" s="1"/>
  <c r="AI13" i="13" s="1"/>
  <c r="BE7" i="15"/>
  <c r="BE5" i="13"/>
  <c r="BE4" i="13" s="1"/>
  <c r="BA14" i="15"/>
  <c r="BA8" i="15" s="1"/>
  <c r="BA12" i="15" s="1"/>
  <c r="BA24" i="13" s="1"/>
  <c r="BA23" i="13" s="1"/>
  <c r="BA21" i="15"/>
  <c r="BA23" i="15" s="1"/>
  <c r="AY14" i="15"/>
  <c r="AY8" i="15" s="1"/>
  <c r="AY12" i="15" s="1"/>
  <c r="AY24" i="13" s="1"/>
  <c r="AY21" i="15"/>
  <c r="AY23" i="15" s="1"/>
  <c r="E26" i="15"/>
  <c r="E3" i="28"/>
  <c r="AE7" i="16"/>
  <c r="BA21" i="16"/>
  <c r="BA23" i="16" s="1"/>
  <c r="BA14" i="16"/>
  <c r="BA8" i="16" s="1"/>
  <c r="BA12" i="16" s="1"/>
  <c r="BA25" i="13" s="1"/>
  <c r="N4" i="28"/>
  <c r="AN7" i="16"/>
  <c r="BE27" i="16"/>
  <c r="AY14" i="17"/>
  <c r="AY8" i="17" s="1"/>
  <c r="AY21" i="17"/>
  <c r="AY23" i="17" s="1"/>
  <c r="J8" i="35"/>
  <c r="AJ28" i="17"/>
  <c r="C9" i="35"/>
  <c r="AC9" i="17"/>
  <c r="AC35" i="14"/>
  <c r="AC29" i="14" s="1"/>
  <c r="AC10" i="12" s="1"/>
  <c r="AY9" i="17"/>
  <c r="AY28" i="17" s="1"/>
  <c r="AY35" i="14"/>
  <c r="AY29" i="14" s="1"/>
  <c r="F10" i="35"/>
  <c r="AF42" i="14"/>
  <c r="AF36" i="14" s="1"/>
  <c r="C14" i="35"/>
  <c r="AC8" i="17"/>
  <c r="AP28" i="20"/>
  <c r="AP9" i="19"/>
  <c r="P8" i="30" s="1"/>
  <c r="AG53" i="12"/>
  <c r="AS11" i="14"/>
  <c r="AS5" i="12" s="1"/>
  <c r="H5" i="25"/>
  <c r="L5" i="25"/>
  <c r="AL13" i="13"/>
  <c r="AK13" i="12"/>
  <c r="K13" i="24" s="1"/>
  <c r="AN45" i="12"/>
  <c r="AD5" i="13"/>
  <c r="AD4" i="13" s="1"/>
  <c r="BB4" i="13"/>
  <c r="T10" i="13"/>
  <c r="U18" i="13"/>
  <c r="U17" i="13" s="1"/>
  <c r="AS17" i="13"/>
  <c r="I11" i="12"/>
  <c r="AS20" i="13"/>
  <c r="AS11" i="12" s="1"/>
  <c r="AS33" i="12" s="1"/>
  <c r="D17" i="25"/>
  <c r="AD41" i="13"/>
  <c r="AD15" i="12"/>
  <c r="BM39" i="13"/>
  <c r="AS15" i="12"/>
  <c r="AS22" i="12" s="1"/>
  <c r="Z25" i="14"/>
  <c r="Z72" i="14" s="1"/>
  <c r="Z74" i="14" s="1"/>
  <c r="D14" i="26"/>
  <c r="F16" i="26"/>
  <c r="AF73" i="14"/>
  <c r="N7" i="15"/>
  <c r="N21" i="15" s="1"/>
  <c r="N23" i="15" s="1"/>
  <c r="N5" i="13"/>
  <c r="N4" i="13" s="1"/>
  <c r="J3" i="27"/>
  <c r="AJ7" i="15"/>
  <c r="AJ5" i="13"/>
  <c r="AJ4" i="13" s="1"/>
  <c r="BF7" i="15"/>
  <c r="BF5" i="13"/>
  <c r="BF4" i="13" s="1"/>
  <c r="BF13" i="13" s="1"/>
  <c r="O25" i="15"/>
  <c r="O14" i="15"/>
  <c r="O27" i="13"/>
  <c r="O26" i="13" s="1"/>
  <c r="K14" i="27"/>
  <c r="BP22" i="15"/>
  <c r="AK25" i="15"/>
  <c r="J7" i="16"/>
  <c r="J21" i="16" s="1"/>
  <c r="J23" i="16" s="1"/>
  <c r="BB7" i="16"/>
  <c r="S23" i="16"/>
  <c r="O4" i="28"/>
  <c r="AO7" i="16"/>
  <c r="AZ14" i="17"/>
  <c r="AZ8" i="17" s="1"/>
  <c r="AZ21" i="17"/>
  <c r="AZ23" i="17" s="1"/>
  <c r="K8" i="35"/>
  <c r="AK28" i="17"/>
  <c r="G14" i="35"/>
  <c r="AG8" i="17"/>
  <c r="AG12" i="17" s="1"/>
  <c r="H8" i="28"/>
  <c r="AH28" i="16"/>
  <c r="E10" i="26"/>
  <c r="AE28" i="14"/>
  <c r="F7" i="18"/>
  <c r="F21" i="18" s="1"/>
  <c r="F23" i="18" s="1"/>
  <c r="F5" i="14"/>
  <c r="F4" i="14" s="1"/>
  <c r="F4" i="12" s="1"/>
  <c r="F7" i="12" s="1"/>
  <c r="F21" i="12" s="1"/>
  <c r="F23" i="12" s="1"/>
  <c r="K17" i="25"/>
  <c r="AK41" i="13"/>
  <c r="AH11" i="14"/>
  <c r="F37" i="4"/>
  <c r="F20" i="4" s="1"/>
  <c r="AG6" i="12"/>
  <c r="G5" i="24" s="1"/>
  <c r="AO45" i="12"/>
  <c r="G4" i="13"/>
  <c r="G4" i="12" s="1"/>
  <c r="G7" i="12" s="1"/>
  <c r="G21" i="12" s="1"/>
  <c r="G23" i="12" s="1"/>
  <c r="AE4" i="13"/>
  <c r="AE13" i="13" s="1"/>
  <c r="BC4" i="13"/>
  <c r="U10" i="13"/>
  <c r="AT10" i="12"/>
  <c r="L19" i="13"/>
  <c r="L17" i="13" s="1"/>
  <c r="J11" i="12"/>
  <c r="BE11" i="12"/>
  <c r="W20" i="13"/>
  <c r="AT20" i="13"/>
  <c r="BA13" i="12"/>
  <c r="BB25" i="14"/>
  <c r="BB72" i="14" s="1"/>
  <c r="BB74" i="14" s="1"/>
  <c r="X36" i="14"/>
  <c r="X11" i="12" s="1"/>
  <c r="AT36" i="14"/>
  <c r="AT28" i="14" s="1"/>
  <c r="AG36" i="14"/>
  <c r="G11" i="26" s="1"/>
  <c r="T36" i="14"/>
  <c r="AP36" i="14"/>
  <c r="P11" i="26" s="1"/>
  <c r="AY50" i="14"/>
  <c r="O23" i="15"/>
  <c r="BG21" i="15"/>
  <c r="BG23" i="15" s="1"/>
  <c r="BG14" i="15"/>
  <c r="BG8" i="15" s="1"/>
  <c r="BG12" i="15" s="1"/>
  <c r="BG24" i="13" s="1"/>
  <c r="L14" i="27"/>
  <c r="BQ22" i="15"/>
  <c r="AL25" i="15"/>
  <c r="AL27" i="13"/>
  <c r="AL26" i="13" s="1"/>
  <c r="BC21" i="16"/>
  <c r="BC23" i="16" s="1"/>
  <c r="BC14" i="16"/>
  <c r="BC8" i="16" s="1"/>
  <c r="T26" i="16"/>
  <c r="C5" i="28"/>
  <c r="AC12" i="13"/>
  <c r="L8" i="35"/>
  <c r="AL28" i="17"/>
  <c r="P22" i="21"/>
  <c r="P23" i="21" s="1"/>
  <c r="P15" i="19"/>
  <c r="P61" i="14"/>
  <c r="AL22" i="21"/>
  <c r="L15" i="32"/>
  <c r="AL15" i="19"/>
  <c r="L15" i="30" s="1"/>
  <c r="AL61" i="14"/>
  <c r="J16" i="32"/>
  <c r="AJ17" i="19"/>
  <c r="J17" i="30" s="1"/>
  <c r="AK4" i="14"/>
  <c r="AM18" i="14"/>
  <c r="K57" i="14"/>
  <c r="AK29" i="14"/>
  <c r="G8" i="15"/>
  <c r="G28" i="15"/>
  <c r="E14" i="16"/>
  <c r="E25" i="16"/>
  <c r="AA14" i="16"/>
  <c r="AA28" i="13"/>
  <c r="AA26" i="13" s="1"/>
  <c r="P15" i="28"/>
  <c r="AP22" i="16"/>
  <c r="P8" i="35"/>
  <c r="AP28" i="17"/>
  <c r="X25" i="17"/>
  <c r="X56" i="14"/>
  <c r="I29" i="18"/>
  <c r="I30" i="18" s="1"/>
  <c r="AQ28" i="20"/>
  <c r="AQ9" i="19"/>
  <c r="J7" i="21"/>
  <c r="J21" i="21" s="1"/>
  <c r="J23" i="21" s="1"/>
  <c r="J4" i="19"/>
  <c r="J6" i="14"/>
  <c r="F3" i="32"/>
  <c r="AF4" i="19"/>
  <c r="F3" i="30" s="1"/>
  <c r="AF7" i="21"/>
  <c r="AF6" i="14"/>
  <c r="AF4" i="14" s="1"/>
  <c r="F3" i="26" s="1"/>
  <c r="BB7" i="21"/>
  <c r="BB6" i="14"/>
  <c r="BB4" i="14" s="1"/>
  <c r="S7" i="21"/>
  <c r="S5" i="19"/>
  <c r="O4" i="32"/>
  <c r="AO5" i="19"/>
  <c r="O4" i="30" s="1"/>
  <c r="B5" i="32"/>
  <c r="AB6" i="19"/>
  <c r="B5" i="30" s="1"/>
  <c r="K28" i="21"/>
  <c r="K9" i="19"/>
  <c r="K8" i="21"/>
  <c r="K14" i="21" s="1"/>
  <c r="V13" i="19"/>
  <c r="V25" i="21"/>
  <c r="V52" i="14"/>
  <c r="V50" i="14" s="1"/>
  <c r="AR13" i="19"/>
  <c r="AR25" i="21"/>
  <c r="AR52" i="14"/>
  <c r="AR50" i="14" s="1"/>
  <c r="P11" i="14"/>
  <c r="P5" i="12" s="1"/>
  <c r="AY18" i="14"/>
  <c r="AY25" i="14" s="1"/>
  <c r="AY72" i="14" s="1"/>
  <c r="AY74" i="14" s="1"/>
  <c r="Q18" i="14"/>
  <c r="C14" i="26"/>
  <c r="AQ59" i="14"/>
  <c r="H16" i="26"/>
  <c r="AH73" i="14"/>
  <c r="AL11" i="14"/>
  <c r="AL29" i="14"/>
  <c r="Q7" i="15"/>
  <c r="Q21" i="15" s="1"/>
  <c r="Q23" i="15" s="1"/>
  <c r="H28" i="16"/>
  <c r="H29" i="16" s="1"/>
  <c r="H30" i="16" s="1"/>
  <c r="H8" i="16"/>
  <c r="H14" i="16" s="1"/>
  <c r="H24" i="16" s="1"/>
  <c r="F25" i="16"/>
  <c r="F28" i="13"/>
  <c r="B13" i="28"/>
  <c r="AB25" i="16"/>
  <c r="AB28" i="13"/>
  <c r="AB26" i="13" s="1"/>
  <c r="M26" i="16"/>
  <c r="T22" i="17"/>
  <c r="T65" i="14"/>
  <c r="P15" i="35"/>
  <c r="AP22" i="17"/>
  <c r="AP65" i="14"/>
  <c r="AP59" i="14" s="1"/>
  <c r="AR28" i="20"/>
  <c r="K7" i="21"/>
  <c r="K21" i="21" s="1"/>
  <c r="K23" i="21" s="1"/>
  <c r="K4" i="19"/>
  <c r="K6" i="14"/>
  <c r="G3" i="32"/>
  <c r="AG4" i="19"/>
  <c r="G3" i="30" s="1"/>
  <c r="AG7" i="21"/>
  <c r="AG6" i="14"/>
  <c r="AG4" i="14" s="1"/>
  <c r="G3" i="26" s="1"/>
  <c r="BC7" i="21"/>
  <c r="BC6" i="14"/>
  <c r="BC4" i="14" s="1"/>
  <c r="T7" i="21"/>
  <c r="T5" i="19"/>
  <c r="AP7" i="21"/>
  <c r="AP5" i="19"/>
  <c r="P4" i="30" s="1"/>
  <c r="C5" i="32"/>
  <c r="AC6" i="19"/>
  <c r="C5" i="30" s="1"/>
  <c r="AC20" i="14"/>
  <c r="AK48" i="12"/>
  <c r="D14" i="25"/>
  <c r="AM4" i="14"/>
  <c r="M3" i="26" s="1"/>
  <c r="Q11" i="14"/>
  <c r="Q5" i="12" s="1"/>
  <c r="AM11" i="14"/>
  <c r="AC18" i="14"/>
  <c r="AZ18" i="14"/>
  <c r="R29" i="14"/>
  <c r="R28" i="14" s="1"/>
  <c r="R27" i="14" s="1"/>
  <c r="AN29" i="14"/>
  <c r="AR59" i="14"/>
  <c r="BB21" i="15"/>
  <c r="BB23" i="15" s="1"/>
  <c r="BB14" i="15"/>
  <c r="BB8" i="15" s="1"/>
  <c r="BB12" i="15" s="1"/>
  <c r="BB24" i="13" s="1"/>
  <c r="I8" i="15"/>
  <c r="I14" i="15" s="1"/>
  <c r="I28" i="15"/>
  <c r="U22" i="17"/>
  <c r="U65" i="14"/>
  <c r="H6" i="33"/>
  <c r="AH14" i="18"/>
  <c r="AH21" i="18"/>
  <c r="AH23" i="18" s="1"/>
  <c r="W14" i="20"/>
  <c r="W8" i="19"/>
  <c r="AS9" i="19"/>
  <c r="AS28" i="20"/>
  <c r="AJ31" i="13"/>
  <c r="AN4" i="14"/>
  <c r="N3" i="26" s="1"/>
  <c r="R11" i="14"/>
  <c r="R5" i="12" s="1"/>
  <c r="AN11" i="14"/>
  <c r="G18" i="14"/>
  <c r="AD18" i="14"/>
  <c r="BA18" i="14"/>
  <c r="BA25" i="14" s="1"/>
  <c r="BA72" i="14" s="1"/>
  <c r="BA74" i="14" s="1"/>
  <c r="AS59" i="14"/>
  <c r="AS73" i="14" s="1"/>
  <c r="L28" i="15"/>
  <c r="L8" i="15"/>
  <c r="L14" i="15" s="1"/>
  <c r="L24" i="15" s="1"/>
  <c r="BJ12" i="16"/>
  <c r="E10" i="28"/>
  <c r="BE21" i="17"/>
  <c r="BE14" i="17"/>
  <c r="BE8" i="17" s="1"/>
  <c r="V22" i="17"/>
  <c r="V65" i="14"/>
  <c r="AR22" i="17"/>
  <c r="AR65" i="14"/>
  <c r="L27" i="18"/>
  <c r="L29" i="18"/>
  <c r="L30" i="18" s="1"/>
  <c r="AU9" i="19"/>
  <c r="AU28" i="20"/>
  <c r="W28" i="22"/>
  <c r="W8" i="22"/>
  <c r="Q9" i="23"/>
  <c r="Q34" i="14"/>
  <c r="Q29" i="14" s="1"/>
  <c r="Q28" i="14" s="1"/>
  <c r="Q27" i="14" s="1"/>
  <c r="M9" i="34"/>
  <c r="AM9" i="23"/>
  <c r="AM34" i="14"/>
  <c r="AM29" i="14" s="1"/>
  <c r="D9" i="23"/>
  <c r="D41" i="14"/>
  <c r="Z9" i="23"/>
  <c r="Z41" i="14"/>
  <c r="AV9" i="23"/>
  <c r="AV28" i="23" s="1"/>
  <c r="AV41" i="14"/>
  <c r="AV36" i="14" s="1"/>
  <c r="AM48" i="12"/>
  <c r="AO4" i="14"/>
  <c r="O3" i="26" s="1"/>
  <c r="S11" i="14"/>
  <c r="S5" i="12" s="1"/>
  <c r="H18" i="14"/>
  <c r="H25" i="14" s="1"/>
  <c r="H72" i="14" s="1"/>
  <c r="H74" i="14" s="1"/>
  <c r="AE18" i="14"/>
  <c r="T29" i="14"/>
  <c r="AP29" i="14"/>
  <c r="Q36" i="14"/>
  <c r="AL50" i="14"/>
  <c r="G50" i="14"/>
  <c r="G13" i="12" s="1"/>
  <c r="AT59" i="14"/>
  <c r="AT73" i="14" s="1"/>
  <c r="AO11" i="14"/>
  <c r="AO29" i="14"/>
  <c r="BD14" i="15"/>
  <c r="BD8" i="15" s="1"/>
  <c r="BD12" i="15" s="1"/>
  <c r="BD24" i="13" s="1"/>
  <c r="BD23" i="13" s="1"/>
  <c r="BD21" i="15"/>
  <c r="BD23" i="15" s="1"/>
  <c r="S28" i="15"/>
  <c r="S8" i="15"/>
  <c r="S14" i="15" s="1"/>
  <c r="BK12" i="16"/>
  <c r="F10" i="28"/>
  <c r="AW25" i="16"/>
  <c r="S23" i="17"/>
  <c r="BF21" i="17"/>
  <c r="BF23" i="17" s="1"/>
  <c r="BF14" i="17"/>
  <c r="BF8" i="17" s="1"/>
  <c r="BF12" i="17" s="1"/>
  <c r="BF49" i="14" s="1"/>
  <c r="Q21" i="20"/>
  <c r="Q23" i="20" s="1"/>
  <c r="Q7" i="19"/>
  <c r="M3" i="31"/>
  <c r="AM4" i="19"/>
  <c r="M3" i="30" s="1"/>
  <c r="AM7" i="20"/>
  <c r="D21" i="20"/>
  <c r="D23" i="20" s="1"/>
  <c r="Z5" i="19"/>
  <c r="Z7" i="20"/>
  <c r="AV21" i="20"/>
  <c r="AV23" i="20" s="1"/>
  <c r="AV14" i="20"/>
  <c r="AV8" i="20" s="1"/>
  <c r="AV12" i="20" s="1"/>
  <c r="AV46" i="14" s="1"/>
  <c r="M6" i="19"/>
  <c r="M21" i="14"/>
  <c r="M18" i="14" s="1"/>
  <c r="I5" i="31"/>
  <c r="AI6" i="19"/>
  <c r="I5" i="30" s="1"/>
  <c r="AI21" i="14"/>
  <c r="AA23" i="13"/>
  <c r="AA12" i="12" s="1"/>
  <c r="AL31" i="13"/>
  <c r="AP4" i="14"/>
  <c r="P3" i="26" s="1"/>
  <c r="I18" i="14"/>
  <c r="BC18" i="14"/>
  <c r="U29" i="14"/>
  <c r="AQ29" i="14"/>
  <c r="R36" i="14"/>
  <c r="L43" i="14"/>
  <c r="L12" i="12" s="1"/>
  <c r="AM50" i="14"/>
  <c r="G14" i="26"/>
  <c r="AQ21" i="15"/>
  <c r="AQ23" i="15" s="1"/>
  <c r="AQ14" i="15"/>
  <c r="AQ8" i="15" s="1"/>
  <c r="AQ12" i="15" s="1"/>
  <c r="AQ24" i="13" s="1"/>
  <c r="AQ23" i="13" s="1"/>
  <c r="G10" i="28"/>
  <c r="BL12" i="16"/>
  <c r="AX25" i="16"/>
  <c r="T23" i="17"/>
  <c r="BG21" i="17"/>
  <c r="BG23" i="17" s="1"/>
  <c r="BG14" i="17"/>
  <c r="BG8" i="17" s="1"/>
  <c r="BG12" i="17" s="1"/>
  <c r="BG49" i="14" s="1"/>
  <c r="R7" i="20"/>
  <c r="R4" i="19"/>
  <c r="R7" i="14"/>
  <c r="N3" i="31"/>
  <c r="AN7" i="20"/>
  <c r="AN4" i="19"/>
  <c r="N3" i="30" s="1"/>
  <c r="AN7" i="14"/>
  <c r="E5" i="19"/>
  <c r="E7" i="20"/>
  <c r="AW14" i="20"/>
  <c r="AW8" i="20" s="1"/>
  <c r="AW12" i="20" s="1"/>
  <c r="AW46" i="14" s="1"/>
  <c r="AW21" i="20"/>
  <c r="AW23" i="20" s="1"/>
  <c r="N7" i="20"/>
  <c r="N6" i="19"/>
  <c r="N21" i="14"/>
  <c r="N18" i="14" s="1"/>
  <c r="J5" i="31"/>
  <c r="AJ6" i="19"/>
  <c r="J5" i="30" s="1"/>
  <c r="AJ21" i="14"/>
  <c r="AJ18" i="14" s="1"/>
  <c r="BF7" i="20"/>
  <c r="BF21" i="14"/>
  <c r="BF18" i="14" s="1"/>
  <c r="AT21" i="21"/>
  <c r="AT23" i="21" s="1"/>
  <c r="AT14" i="21"/>
  <c r="AT8" i="21" s="1"/>
  <c r="AT7" i="19"/>
  <c r="N28" i="22"/>
  <c r="N8" i="22"/>
  <c r="N14" i="22" s="1"/>
  <c r="M17" i="13"/>
  <c r="AN20" i="13"/>
  <c r="N31" i="13"/>
  <c r="AM31" i="13"/>
  <c r="AQ4" i="14"/>
  <c r="AQ25" i="14" s="1"/>
  <c r="AQ72" i="14" s="1"/>
  <c r="AG18" i="14"/>
  <c r="BD18" i="14"/>
  <c r="BD25" i="14" s="1"/>
  <c r="BD72" i="14" s="1"/>
  <c r="BD74" i="14" s="1"/>
  <c r="V29" i="14"/>
  <c r="V28" i="14" s="1"/>
  <c r="V27" i="14" s="1"/>
  <c r="AR29" i="14"/>
  <c r="AR28" i="14" s="1"/>
  <c r="I7" i="15"/>
  <c r="I21" i="15" s="1"/>
  <c r="I23" i="15" s="1"/>
  <c r="H10" i="28"/>
  <c r="BM12" i="16"/>
  <c r="D22" i="16"/>
  <c r="D33" i="13"/>
  <c r="D31" i="13" s="1"/>
  <c r="AV22" i="16"/>
  <c r="AV33" i="13"/>
  <c r="AV31" i="13" s="1"/>
  <c r="AV15" i="12" s="1"/>
  <c r="AV22" i="12" s="1"/>
  <c r="AQ23" i="17"/>
  <c r="AX14" i="20"/>
  <c r="AX8" i="20" s="1"/>
  <c r="AX12" i="20" s="1"/>
  <c r="AX46" i="14" s="1"/>
  <c r="AX21" i="20"/>
  <c r="AX23" i="20" s="1"/>
  <c r="AV16" i="13"/>
  <c r="R20" i="13"/>
  <c r="R11" i="12" s="1"/>
  <c r="E23" i="13"/>
  <c r="AR4" i="14"/>
  <c r="AR4" i="12" s="1"/>
  <c r="K18" i="14"/>
  <c r="AH18" i="14"/>
  <c r="BE18" i="14"/>
  <c r="W29" i="14"/>
  <c r="W28" i="14" s="1"/>
  <c r="W27" i="14" s="1"/>
  <c r="W57" i="14" s="1"/>
  <c r="AS29" i="14"/>
  <c r="AS28" i="14" s="1"/>
  <c r="S29" i="14"/>
  <c r="AO50" i="14"/>
  <c r="H14" i="26"/>
  <c r="K14" i="15"/>
  <c r="K27" i="13"/>
  <c r="K26" i="13" s="1"/>
  <c r="G14" i="27"/>
  <c r="BL22" i="15"/>
  <c r="AG25" i="15"/>
  <c r="AG27" i="13"/>
  <c r="AG26" i="13" s="1"/>
  <c r="BC27" i="13"/>
  <c r="BC26" i="13" s="1"/>
  <c r="BC25" i="15"/>
  <c r="R22" i="15"/>
  <c r="R32" i="13"/>
  <c r="R31" i="13" s="1"/>
  <c r="N17" i="27"/>
  <c r="BS25" i="15"/>
  <c r="AN32" i="13"/>
  <c r="AN31" i="13" s="1"/>
  <c r="V23" i="17"/>
  <c r="AR14" i="17"/>
  <c r="AR8" i="17" s="1"/>
  <c r="AR12" i="17" s="1"/>
  <c r="AR49" i="14" s="1"/>
  <c r="AR21" i="17"/>
  <c r="AR23" i="17" s="1"/>
  <c r="J25" i="18"/>
  <c r="J26" i="18" s="1"/>
  <c r="J51" i="14"/>
  <c r="J50" i="14" s="1"/>
  <c r="F13" i="33"/>
  <c r="AF51" i="14"/>
  <c r="AF50" i="14" s="1"/>
  <c r="AF25" i="18"/>
  <c r="BB25" i="18"/>
  <c r="BB51" i="14"/>
  <c r="BB50" i="14" s="1"/>
  <c r="AP8" i="20"/>
  <c r="P26" i="22"/>
  <c r="O24" i="22"/>
  <c r="O26" i="22"/>
  <c r="F23" i="13"/>
  <c r="F12" i="12" s="1"/>
  <c r="P31" i="13"/>
  <c r="L18" i="14"/>
  <c r="L6" i="12" s="1"/>
  <c r="AI18" i="14"/>
  <c r="U36" i="14"/>
  <c r="U11" i="12" s="1"/>
  <c r="AQ36" i="14"/>
  <c r="AQ11" i="12" s="1"/>
  <c r="AQ33" i="12" s="1"/>
  <c r="P43" i="14"/>
  <c r="P27" i="14" s="1"/>
  <c r="P50" i="14"/>
  <c r="P23" i="15"/>
  <c r="S22" i="15"/>
  <c r="S32" i="13"/>
  <c r="S31" i="13" s="1"/>
  <c r="O17" i="27"/>
  <c r="AO22" i="15"/>
  <c r="AO32" i="13"/>
  <c r="AO31" i="13" s="1"/>
  <c r="J10" i="28"/>
  <c r="AJ22" i="13"/>
  <c r="AJ20" i="13" s="1"/>
  <c r="W7" i="17"/>
  <c r="W21" i="17" s="1"/>
  <c r="W23" i="17" s="1"/>
  <c r="W10" i="14"/>
  <c r="AS7" i="17"/>
  <c r="AS10" i="14"/>
  <c r="AC21" i="17"/>
  <c r="AC23" i="17" s="1"/>
  <c r="L24" i="18"/>
  <c r="J28" i="20"/>
  <c r="J8" i="20"/>
  <c r="J9" i="19"/>
  <c r="Q31" i="13"/>
  <c r="BG18" i="14"/>
  <c r="BA36" i="14"/>
  <c r="BA28" i="14" s="1"/>
  <c r="Q43" i="14"/>
  <c r="Q12" i="12" s="1"/>
  <c r="Q50" i="14"/>
  <c r="C26" i="15"/>
  <c r="C24" i="15"/>
  <c r="AU14" i="15"/>
  <c r="AU8" i="15" s="1"/>
  <c r="AU12" i="15" s="1"/>
  <c r="AU24" i="13" s="1"/>
  <c r="AU21" i="15"/>
  <c r="AU23" i="15" s="1"/>
  <c r="R23" i="15"/>
  <c r="P17" i="27"/>
  <c r="AP22" i="15"/>
  <c r="AA8" i="16"/>
  <c r="K10" i="28"/>
  <c r="AK22" i="13"/>
  <c r="AK20" i="13" s="1"/>
  <c r="X7" i="17"/>
  <c r="X21" i="17" s="1"/>
  <c r="X23" i="17" s="1"/>
  <c r="X10" i="14"/>
  <c r="AT7" i="17"/>
  <c r="AT10" i="14"/>
  <c r="AT4" i="14" s="1"/>
  <c r="D6" i="35"/>
  <c r="AD14" i="17"/>
  <c r="AD21" i="17"/>
  <c r="AD23" i="17" s="1"/>
  <c r="D26" i="18"/>
  <c r="O24" i="20"/>
  <c r="O26" i="20"/>
  <c r="H23" i="13"/>
  <c r="H12" i="12" s="1"/>
  <c r="T32" i="13"/>
  <c r="T31" i="13" s="1"/>
  <c r="AK18" i="14"/>
  <c r="W36" i="14"/>
  <c r="AS36" i="14"/>
  <c r="BB36" i="14"/>
  <c r="BB11" i="12" s="1"/>
  <c r="R43" i="14"/>
  <c r="R12" i="12" s="1"/>
  <c r="AV7" i="15"/>
  <c r="W26" i="15"/>
  <c r="N25" i="15"/>
  <c r="J14" i="27"/>
  <c r="AJ25" i="15"/>
  <c r="U32" i="13"/>
  <c r="U31" i="13" s="1"/>
  <c r="U22" i="15"/>
  <c r="U23" i="15" s="1"/>
  <c r="AN22" i="15"/>
  <c r="B8" i="28"/>
  <c r="AB28" i="16"/>
  <c r="Y7" i="17"/>
  <c r="Y21" i="17" s="1"/>
  <c r="Y23" i="17" s="1"/>
  <c r="Y10" i="14"/>
  <c r="AU7" i="17"/>
  <c r="AU10" i="14"/>
  <c r="AU4" i="14" s="1"/>
  <c r="B4" i="35"/>
  <c r="AB17" i="14"/>
  <c r="N22" i="18"/>
  <c r="N60" i="14"/>
  <c r="N59" i="14" s="1"/>
  <c r="N73" i="14" s="1"/>
  <c r="J15" i="33"/>
  <c r="AJ22" i="18"/>
  <c r="AJ60" i="14"/>
  <c r="AJ59" i="14" s="1"/>
  <c r="BF22" i="18"/>
  <c r="BF60" i="14"/>
  <c r="BF59" i="14" s="1"/>
  <c r="E26" i="18"/>
  <c r="AA7" i="20"/>
  <c r="E43" i="14"/>
  <c r="AT50" i="14"/>
  <c r="AB59" i="14"/>
  <c r="AZ59" i="14"/>
  <c r="AZ73" i="14" s="1"/>
  <c r="AE7" i="15"/>
  <c r="P14" i="27"/>
  <c r="AP25" i="15"/>
  <c r="D18" i="27"/>
  <c r="BJ28" i="15"/>
  <c r="AS21" i="15"/>
  <c r="AS23" i="15" s="1"/>
  <c r="E8" i="16"/>
  <c r="E28" i="16"/>
  <c r="N9" i="16"/>
  <c r="J9" i="28"/>
  <c r="AJ9" i="16"/>
  <c r="BF9" i="16"/>
  <c r="BF28" i="16" s="1"/>
  <c r="M27" i="18"/>
  <c r="M29" i="18"/>
  <c r="M30" i="18" s="1"/>
  <c r="U7" i="19"/>
  <c r="AQ8" i="20"/>
  <c r="X21" i="20"/>
  <c r="X23" i="20" s="1"/>
  <c r="X7" i="19"/>
  <c r="AD26" i="20"/>
  <c r="AT26" i="20"/>
  <c r="AT24" i="20"/>
  <c r="L4" i="19"/>
  <c r="L7" i="21"/>
  <c r="H3" i="32"/>
  <c r="AH4" i="19"/>
  <c r="H3" i="30" s="1"/>
  <c r="AH7" i="21"/>
  <c r="BD21" i="21"/>
  <c r="BD23" i="21" s="1"/>
  <c r="BD14" i="21"/>
  <c r="BD8" i="21" s="1"/>
  <c r="BD12" i="21" s="1"/>
  <c r="BD45" i="14" s="1"/>
  <c r="U7" i="21"/>
  <c r="U21" i="21" s="1"/>
  <c r="U5" i="19"/>
  <c r="AQ21" i="21"/>
  <c r="AQ14" i="21"/>
  <c r="AQ8" i="21" s="1"/>
  <c r="AQ12" i="21" s="1"/>
  <c r="AQ45" i="14" s="1"/>
  <c r="D5" i="32"/>
  <c r="AD6" i="19"/>
  <c r="D5" i="30" s="1"/>
  <c r="AD7" i="21"/>
  <c r="M28" i="21"/>
  <c r="M8" i="21"/>
  <c r="M14" i="21" s="1"/>
  <c r="AC59" i="14"/>
  <c r="S7" i="15"/>
  <c r="S21" i="15" s="1"/>
  <c r="O3" i="27"/>
  <c r="AO7" i="15"/>
  <c r="AF7" i="15"/>
  <c r="M8" i="15"/>
  <c r="M14" i="15" s="1"/>
  <c r="R7" i="16"/>
  <c r="R21" i="16" s="1"/>
  <c r="R23" i="16" s="1"/>
  <c r="F8" i="16"/>
  <c r="F14" i="16" s="1"/>
  <c r="F28" i="16"/>
  <c r="O9" i="16"/>
  <c r="K9" i="28"/>
  <c r="AK9" i="16"/>
  <c r="BP10" i="16"/>
  <c r="BG9" i="16"/>
  <c r="BG28" i="16" s="1"/>
  <c r="BN21" i="16"/>
  <c r="P8" i="18"/>
  <c r="P28" i="18"/>
  <c r="BA14" i="20"/>
  <c r="BA8" i="20" s="1"/>
  <c r="BA12" i="20" s="1"/>
  <c r="BA46" i="14" s="1"/>
  <c r="BA21" i="20"/>
  <c r="BA23" i="20" s="1"/>
  <c r="Y21" i="20"/>
  <c r="Y23" i="20" s="1"/>
  <c r="AD59" i="14"/>
  <c r="T7" i="15"/>
  <c r="T21" i="15" s="1"/>
  <c r="T23" i="15" s="1"/>
  <c r="P3" i="27"/>
  <c r="AP7" i="15"/>
  <c r="N8" i="15"/>
  <c r="N14" i="15" s="1"/>
  <c r="K11" i="27"/>
  <c r="BP15" i="15"/>
  <c r="G8" i="16"/>
  <c r="G14" i="16" s="1"/>
  <c r="G28" i="16"/>
  <c r="P9" i="16"/>
  <c r="L9" i="28"/>
  <c r="AL9" i="16"/>
  <c r="BQ10" i="16"/>
  <c r="E13" i="28"/>
  <c r="AE25" i="16"/>
  <c r="BD24" i="16"/>
  <c r="W14" i="17"/>
  <c r="W25" i="17"/>
  <c r="V25" i="18"/>
  <c r="O15" i="33"/>
  <c r="AO22" i="18"/>
  <c r="AL23" i="18"/>
  <c r="BB14" i="20"/>
  <c r="BB8" i="20" s="1"/>
  <c r="BB12" i="20" s="1"/>
  <c r="BB46" i="14" s="1"/>
  <c r="BB21" i="20"/>
  <c r="BB23" i="20" s="1"/>
  <c r="AK26" i="20"/>
  <c r="N4" i="19"/>
  <c r="N7" i="21"/>
  <c r="N21" i="21" s="1"/>
  <c r="N23" i="21" s="1"/>
  <c r="J3" i="32"/>
  <c r="AJ7" i="21"/>
  <c r="AJ4" i="19"/>
  <c r="J3" i="30" s="1"/>
  <c r="BF21" i="21"/>
  <c r="BF23" i="21" s="1"/>
  <c r="BF14" i="21"/>
  <c r="BF8" i="21" s="1"/>
  <c r="BF12" i="21" s="1"/>
  <c r="BF45" i="14" s="1"/>
  <c r="W7" i="21"/>
  <c r="W21" i="21" s="1"/>
  <c r="W23" i="21" s="1"/>
  <c r="W5" i="19"/>
  <c r="AS21" i="21"/>
  <c r="AS23" i="21" s="1"/>
  <c r="AS14" i="21"/>
  <c r="AS8" i="21" s="1"/>
  <c r="AS12" i="21" s="1"/>
  <c r="AS45" i="14" s="1"/>
  <c r="F5" i="32"/>
  <c r="AF6" i="19"/>
  <c r="F5" i="30" s="1"/>
  <c r="X50" i="14"/>
  <c r="V7" i="15"/>
  <c r="V21" i="15" s="1"/>
  <c r="V23" i="15" s="1"/>
  <c r="AR7" i="15"/>
  <c r="X14" i="15"/>
  <c r="H18" i="27"/>
  <c r="BN28" i="15"/>
  <c r="AW21" i="15"/>
  <c r="AW23" i="15" s="1"/>
  <c r="BQ25" i="15"/>
  <c r="U23" i="16"/>
  <c r="R9" i="16"/>
  <c r="N9" i="28"/>
  <c r="BS10" i="16"/>
  <c r="AN9" i="16"/>
  <c r="G6" i="35"/>
  <c r="AG21" i="17"/>
  <c r="AG23" i="17" s="1"/>
  <c r="Y14" i="17"/>
  <c r="X25" i="18"/>
  <c r="O14" i="33"/>
  <c r="AO8" i="18"/>
  <c r="AO12" i="18" s="1"/>
  <c r="BD14" i="20"/>
  <c r="BD8" i="20" s="1"/>
  <c r="BD12" i="20" s="1"/>
  <c r="BD46" i="14" s="1"/>
  <c r="BD21" i="20"/>
  <c r="BD23" i="20" s="1"/>
  <c r="AB14" i="20"/>
  <c r="B6" i="31"/>
  <c r="AB21" i="20"/>
  <c r="AB23" i="20" s="1"/>
  <c r="P14" i="19"/>
  <c r="L3" i="32"/>
  <c r="AL7" i="21"/>
  <c r="AL7" i="15"/>
  <c r="AD9" i="15"/>
  <c r="N11" i="27"/>
  <c r="BS15" i="15"/>
  <c r="AX21" i="15"/>
  <c r="AX23" i="15" s="1"/>
  <c r="AR21" i="16"/>
  <c r="AR23" i="16" s="1"/>
  <c r="AR14" i="16"/>
  <c r="AR8" i="16" s="1"/>
  <c r="AR12" i="16" s="1"/>
  <c r="AR25" i="13" s="1"/>
  <c r="BO10" i="16"/>
  <c r="BD27" i="16"/>
  <c r="K14" i="35"/>
  <c r="AK8" i="17"/>
  <c r="AK12" i="17" s="1"/>
  <c r="O8" i="18"/>
  <c r="O28" i="18"/>
  <c r="C14" i="18"/>
  <c r="C51" i="14"/>
  <c r="C50" i="14" s="1"/>
  <c r="Y25" i="18"/>
  <c r="Y26" i="18" s="1"/>
  <c r="Y51" i="14"/>
  <c r="Y50" i="14" s="1"/>
  <c r="AU25" i="18"/>
  <c r="AU51" i="14"/>
  <c r="AU50" i="14" s="1"/>
  <c r="AW14" i="18"/>
  <c r="AW8" i="18" s="1"/>
  <c r="AW12" i="18" s="1"/>
  <c r="AW44" i="14" s="1"/>
  <c r="AV21" i="18"/>
  <c r="AV23" i="18" s="1"/>
  <c r="V26" i="18"/>
  <c r="AC21" i="20"/>
  <c r="AC23" i="20" s="1"/>
  <c r="AC14" i="20"/>
  <c r="C6" i="31"/>
  <c r="AZ14" i="22"/>
  <c r="AZ8" i="22" s="1"/>
  <c r="AZ12" i="22" s="1"/>
  <c r="AZ47" i="14" s="1"/>
  <c r="AZ21" i="22"/>
  <c r="AZ23" i="22" s="1"/>
  <c r="AV14" i="22"/>
  <c r="AV8" i="22" s="1"/>
  <c r="AV12" i="22" s="1"/>
  <c r="AV47" i="14" s="1"/>
  <c r="AV21" i="22"/>
  <c r="AV23" i="22" s="1"/>
  <c r="X7" i="15"/>
  <c r="X21" i="15" s="1"/>
  <c r="X23" i="15" s="1"/>
  <c r="AT7" i="15"/>
  <c r="AN7" i="15"/>
  <c r="E9" i="27"/>
  <c r="AE28" i="15"/>
  <c r="F10" i="27"/>
  <c r="AF9" i="15"/>
  <c r="D14" i="15"/>
  <c r="Z14" i="15"/>
  <c r="H17" i="27"/>
  <c r="BM25" i="15"/>
  <c r="W7" i="16"/>
  <c r="W21" i="16" s="1"/>
  <c r="W23" i="16" s="1"/>
  <c r="AS7" i="16"/>
  <c r="T8" i="16"/>
  <c r="T14" i="16" s="1"/>
  <c r="T24" i="16" s="1"/>
  <c r="I6" i="35"/>
  <c r="AI14" i="17"/>
  <c r="T35" i="14"/>
  <c r="T9" i="17"/>
  <c r="P9" i="35"/>
  <c r="AP35" i="14"/>
  <c r="BB14" i="17"/>
  <c r="BB8" i="17" s="1"/>
  <c r="BB12" i="17" s="1"/>
  <c r="BB49" i="14" s="1"/>
  <c r="I15" i="35"/>
  <c r="AI65" i="14"/>
  <c r="AI22" i="17"/>
  <c r="AI23" i="17" s="1"/>
  <c r="O8" i="33"/>
  <c r="AO28" i="18"/>
  <c r="L9" i="33"/>
  <c r="AL9" i="18"/>
  <c r="D14" i="18"/>
  <c r="D24" i="18" s="1"/>
  <c r="D51" i="14"/>
  <c r="D50" i="14" s="1"/>
  <c r="D57" i="14" s="1"/>
  <c r="D75" i="14" s="1"/>
  <c r="Z14" i="18"/>
  <c r="Z24" i="18" s="1"/>
  <c r="Z25" i="18"/>
  <c r="Z26" i="18" s="1"/>
  <c r="Z51" i="14"/>
  <c r="Z50" i="14" s="1"/>
  <c r="AV25" i="18"/>
  <c r="AV51" i="14"/>
  <c r="AV50" i="14" s="1"/>
  <c r="T13" i="19"/>
  <c r="T25" i="20"/>
  <c r="T26" i="20" s="1"/>
  <c r="AP13" i="19"/>
  <c r="P13" i="30" s="1"/>
  <c r="AP25" i="20"/>
  <c r="BE27" i="21"/>
  <c r="BE29" i="21"/>
  <c r="BE30" i="21" s="1"/>
  <c r="BA14" i="22"/>
  <c r="BA8" i="22" s="1"/>
  <c r="BA12" i="22" s="1"/>
  <c r="BA47" i="14" s="1"/>
  <c r="BA21" i="22"/>
  <c r="BA23" i="22" s="1"/>
  <c r="BG21" i="22"/>
  <c r="BG23" i="22" s="1"/>
  <c r="BG14" i="22"/>
  <c r="BG8" i="22" s="1"/>
  <c r="BG12" i="22" s="1"/>
  <c r="BG47" i="14" s="1"/>
  <c r="AS8" i="15"/>
  <c r="AS12" i="15" s="1"/>
  <c r="AS24" i="13" s="1"/>
  <c r="H9" i="27"/>
  <c r="AH28" i="15"/>
  <c r="K8" i="15"/>
  <c r="G10" i="27"/>
  <c r="AG9" i="15"/>
  <c r="P11" i="27"/>
  <c r="AP9" i="15"/>
  <c r="I17" i="27"/>
  <c r="BN25" i="15"/>
  <c r="X7" i="16"/>
  <c r="X21" i="16" s="1"/>
  <c r="X23" i="16" s="1"/>
  <c r="AT7" i="16"/>
  <c r="U9" i="16"/>
  <c r="AQ9" i="16"/>
  <c r="AQ28" i="16" s="1"/>
  <c r="J6" i="35"/>
  <c r="AJ14" i="17"/>
  <c r="B13" i="35"/>
  <c r="AB25" i="17"/>
  <c r="J15" i="35"/>
  <c r="AJ22" i="17"/>
  <c r="AJ23" i="17" s="1"/>
  <c r="Y28" i="17"/>
  <c r="M9" i="33"/>
  <c r="AM9" i="18"/>
  <c r="E14" i="18"/>
  <c r="E24" i="18" s="1"/>
  <c r="AP24" i="20"/>
  <c r="AP26" i="20"/>
  <c r="AX14" i="22"/>
  <c r="AX8" i="22" s="1"/>
  <c r="AX12" i="22" s="1"/>
  <c r="AX47" i="14" s="1"/>
  <c r="AX21" i="22"/>
  <c r="AX23" i="22" s="1"/>
  <c r="J29" i="14"/>
  <c r="J28" i="14" s="1"/>
  <c r="J27" i="14" s="1"/>
  <c r="BB29" i="14"/>
  <c r="BB28" i="14" s="1"/>
  <c r="T8" i="15"/>
  <c r="T14" i="15" s="1"/>
  <c r="O9" i="27"/>
  <c r="AO28" i="15"/>
  <c r="F14" i="15"/>
  <c r="F24" i="15" s="1"/>
  <c r="J17" i="27"/>
  <c r="BO25" i="15"/>
  <c r="C7" i="16"/>
  <c r="C21" i="16" s="1"/>
  <c r="C23" i="16" s="1"/>
  <c r="Y7" i="16"/>
  <c r="Y21" i="16" s="1"/>
  <c r="Y23" i="16" s="1"/>
  <c r="AU7" i="16"/>
  <c r="W8" i="16"/>
  <c r="N3" i="35"/>
  <c r="AN7" i="17"/>
  <c r="K6" i="35"/>
  <c r="AK21" i="17"/>
  <c r="AK23" i="17" s="1"/>
  <c r="BE22" i="17"/>
  <c r="Q8" i="18"/>
  <c r="F14" i="18"/>
  <c r="F51" i="14"/>
  <c r="F50" i="14" s="1"/>
  <c r="F57" i="14" s="1"/>
  <c r="B13" i="33"/>
  <c r="AB51" i="14"/>
  <c r="AB50" i="14" s="1"/>
  <c r="AX25" i="18"/>
  <c r="AX51" i="14"/>
  <c r="AX50" i="14" s="1"/>
  <c r="AX13" i="12" s="1"/>
  <c r="G21" i="20"/>
  <c r="G23" i="20" s="1"/>
  <c r="G7" i="19"/>
  <c r="AY21" i="20"/>
  <c r="AY23" i="20" s="1"/>
  <c r="AY14" i="20"/>
  <c r="AY8" i="20" s="1"/>
  <c r="AY12" i="20" s="1"/>
  <c r="AY46" i="14" s="1"/>
  <c r="F6" i="31"/>
  <c r="AF14" i="20"/>
  <c r="AF21" i="20"/>
  <c r="AS14" i="19"/>
  <c r="AS8" i="20"/>
  <c r="AF29" i="14"/>
  <c r="I10" i="27"/>
  <c r="AI9" i="15"/>
  <c r="G14" i="15"/>
  <c r="G24" i="15" s="1"/>
  <c r="K17" i="27"/>
  <c r="BP25" i="15"/>
  <c r="D25" i="15"/>
  <c r="K28" i="15"/>
  <c r="D7" i="16"/>
  <c r="D21" i="16" s="1"/>
  <c r="Z7" i="16"/>
  <c r="Z21" i="16" s="1"/>
  <c r="Z23" i="16" s="1"/>
  <c r="AV7" i="16"/>
  <c r="X8" i="16"/>
  <c r="X14" i="16" s="1"/>
  <c r="M15" i="28"/>
  <c r="AM22" i="16"/>
  <c r="BR18" i="16"/>
  <c r="O3" i="35"/>
  <c r="AO7" i="17"/>
  <c r="L6" i="35"/>
  <c r="AL21" i="17"/>
  <c r="AL14" i="17"/>
  <c r="L15" i="35"/>
  <c r="AL65" i="14"/>
  <c r="AL22" i="17"/>
  <c r="C26" i="18"/>
  <c r="C24" i="18"/>
  <c r="AU21" i="18"/>
  <c r="AU23" i="18" s="1"/>
  <c r="AU14" i="18"/>
  <c r="AU8" i="18" s="1"/>
  <c r="AU12" i="18" s="1"/>
  <c r="AU44" i="14" s="1"/>
  <c r="AQ21" i="18"/>
  <c r="AQ23" i="18" s="1"/>
  <c r="AQ14" i="18"/>
  <c r="AQ8" i="18" s="1"/>
  <c r="AQ12" i="18" s="1"/>
  <c r="AQ44" i="14" s="1"/>
  <c r="M24" i="18"/>
  <c r="S28" i="18"/>
  <c r="S8" i="18"/>
  <c r="G14" i="18"/>
  <c r="G24" i="18" s="1"/>
  <c r="C13" i="33"/>
  <c r="AC25" i="18"/>
  <c r="M8" i="20"/>
  <c r="M9" i="19"/>
  <c r="M28" i="20"/>
  <c r="AT8" i="20"/>
  <c r="AT14" i="19"/>
  <c r="E6" i="32"/>
  <c r="AE21" i="21"/>
  <c r="AE23" i="21" s="1"/>
  <c r="AE14" i="21"/>
  <c r="BD21" i="22"/>
  <c r="BD23" i="22" s="1"/>
  <c r="BD14" i="22"/>
  <c r="BD8" i="22" s="1"/>
  <c r="BD12" i="22" s="1"/>
  <c r="BD47" i="14" s="1"/>
  <c r="R25" i="23"/>
  <c r="R55" i="14"/>
  <c r="R50" i="14" s="1"/>
  <c r="R57" i="14" s="1"/>
  <c r="AN25" i="23"/>
  <c r="N13" i="34"/>
  <c r="AN55" i="14"/>
  <c r="AN50" i="14" s="1"/>
  <c r="J10" i="27"/>
  <c r="AJ9" i="15"/>
  <c r="H14" i="15"/>
  <c r="H24" i="15" s="1"/>
  <c r="E7" i="16"/>
  <c r="E21" i="16" s="1"/>
  <c r="E23" i="16" s="1"/>
  <c r="AA7" i="16"/>
  <c r="AA21" i="16" s="1"/>
  <c r="AA23" i="16" s="1"/>
  <c r="AW7" i="16"/>
  <c r="Y8" i="16"/>
  <c r="Y28" i="16"/>
  <c r="N15" i="28"/>
  <c r="AN22" i="16"/>
  <c r="J16" i="28"/>
  <c r="BO21" i="16"/>
  <c r="AP7" i="17"/>
  <c r="X9" i="17"/>
  <c r="M15" i="35"/>
  <c r="AM65" i="14"/>
  <c r="AM22" i="17"/>
  <c r="I4" i="33"/>
  <c r="AI7" i="18"/>
  <c r="BE21" i="18"/>
  <c r="BE23" i="18" s="1"/>
  <c r="BE14" i="18"/>
  <c r="BE8" i="18" s="1"/>
  <c r="BE12" i="18" s="1"/>
  <c r="BE44" i="14" s="1"/>
  <c r="AR21" i="18"/>
  <c r="AR23" i="18" s="1"/>
  <c r="AR14" i="18"/>
  <c r="AR8" i="18" s="1"/>
  <c r="AR12" i="18" s="1"/>
  <c r="AR44" i="14" s="1"/>
  <c r="N23" i="18"/>
  <c r="AQ5" i="19"/>
  <c r="AU8" i="20"/>
  <c r="AD28" i="23"/>
  <c r="D8" i="34"/>
  <c r="S25" i="23"/>
  <c r="AO25" i="23"/>
  <c r="O13" i="34"/>
  <c r="V36" i="14"/>
  <c r="V11" i="12" s="1"/>
  <c r="AR36" i="14"/>
  <c r="AR11" i="12" s="1"/>
  <c r="AR33" i="12" s="1"/>
  <c r="I14" i="26"/>
  <c r="K10" i="27"/>
  <c r="AK9" i="15"/>
  <c r="M17" i="27"/>
  <c r="BR25" i="15"/>
  <c r="F7" i="16"/>
  <c r="F21" i="16" s="1"/>
  <c r="F23" i="16" s="1"/>
  <c r="B3" i="28"/>
  <c r="AB7" i="16"/>
  <c r="AX7" i="16"/>
  <c r="Z8" i="16"/>
  <c r="Z28" i="16"/>
  <c r="K16" i="28"/>
  <c r="BP21" i="16"/>
  <c r="U23" i="17"/>
  <c r="AQ14" i="17"/>
  <c r="AQ8" i="17" s="1"/>
  <c r="AQ12" i="17" s="1"/>
  <c r="AQ49" i="14" s="1"/>
  <c r="N15" i="35"/>
  <c r="AN22" i="17"/>
  <c r="AN65" i="14"/>
  <c r="AA24" i="18"/>
  <c r="AA26" i="18"/>
  <c r="J4" i="33"/>
  <c r="AJ7" i="18"/>
  <c r="AS21" i="18"/>
  <c r="AS23" i="18" s="1"/>
  <c r="AS14" i="18"/>
  <c r="AS8" i="18" s="1"/>
  <c r="E8" i="34"/>
  <c r="AE28" i="23"/>
  <c r="T25" i="23"/>
  <c r="T55" i="14"/>
  <c r="P13" i="34"/>
  <c r="AP25" i="23"/>
  <c r="AP55" i="14"/>
  <c r="BM22" i="15"/>
  <c r="BN7" i="16"/>
  <c r="BO18" i="16"/>
  <c r="Z7" i="17"/>
  <c r="Z21" i="17" s="1"/>
  <c r="Z23" i="17" s="1"/>
  <c r="AV7" i="17"/>
  <c r="AZ9" i="17"/>
  <c r="AZ28" i="17" s="1"/>
  <c r="AH22" i="17"/>
  <c r="F6" i="33"/>
  <c r="AF14" i="18"/>
  <c r="N8" i="18"/>
  <c r="N28" i="18"/>
  <c r="H14" i="18"/>
  <c r="H24" i="18" s="1"/>
  <c r="M15" i="33"/>
  <c r="AM22" i="18"/>
  <c r="AD14" i="20"/>
  <c r="AD24" i="20" s="1"/>
  <c r="D6" i="31"/>
  <c r="AD7" i="19"/>
  <c r="D6" i="30" s="1"/>
  <c r="W15" i="19"/>
  <c r="W22" i="20"/>
  <c r="W23" i="20" s="1"/>
  <c r="AS15" i="19"/>
  <c r="AS22" i="20"/>
  <c r="AS23" i="20" s="1"/>
  <c r="B16" i="31"/>
  <c r="AB18" i="19"/>
  <c r="B18" i="30" s="1"/>
  <c r="BA21" i="21"/>
  <c r="BA23" i="21" s="1"/>
  <c r="AK7" i="15"/>
  <c r="BQ15" i="15"/>
  <c r="BN22" i="15"/>
  <c r="AP7" i="16"/>
  <c r="BO7" i="16"/>
  <c r="BA9" i="17"/>
  <c r="BA28" i="17" s="1"/>
  <c r="BD7" i="18"/>
  <c r="G6" i="33"/>
  <c r="AG14" i="18"/>
  <c r="I14" i="18"/>
  <c r="I24" i="18"/>
  <c r="E6" i="31"/>
  <c r="AE14" i="20"/>
  <c r="AE21" i="20"/>
  <c r="AE7" i="19"/>
  <c r="E6" i="30" s="1"/>
  <c r="H28" i="20"/>
  <c r="H8" i="20"/>
  <c r="H8" i="19" s="1"/>
  <c r="H9" i="19"/>
  <c r="X13" i="19"/>
  <c r="AT13" i="19"/>
  <c r="AT25" i="21"/>
  <c r="AS28" i="22"/>
  <c r="AS12" i="22"/>
  <c r="AS47" i="14" s="1"/>
  <c r="J28" i="22"/>
  <c r="J8" i="22"/>
  <c r="F10" i="29"/>
  <c r="AF9" i="22"/>
  <c r="AM7" i="15"/>
  <c r="BK25" i="15"/>
  <c r="BQ7" i="16"/>
  <c r="AF22" i="16"/>
  <c r="BF7" i="18"/>
  <c r="W26" i="18"/>
  <c r="H4" i="19"/>
  <c r="H7" i="20"/>
  <c r="D3" i="31"/>
  <c r="AD4" i="19"/>
  <c r="D3" i="30" s="1"/>
  <c r="AZ14" i="20"/>
  <c r="AZ8" i="20" s="1"/>
  <c r="AZ12" i="20" s="1"/>
  <c r="AZ46" i="14" s="1"/>
  <c r="AZ21" i="20"/>
  <c r="AZ23" i="20" s="1"/>
  <c r="H6" i="31"/>
  <c r="AH14" i="20"/>
  <c r="AH21" i="20"/>
  <c r="AH23" i="20" s="1"/>
  <c r="L8" i="20"/>
  <c r="P8" i="21"/>
  <c r="P14" i="21" s="1"/>
  <c r="P28" i="21"/>
  <c r="L28" i="22"/>
  <c r="L8" i="22"/>
  <c r="L14" i="22" s="1"/>
  <c r="BL25" i="15"/>
  <c r="BR7" i="16"/>
  <c r="D13" i="35"/>
  <c r="AD25" i="17"/>
  <c r="X26" i="18"/>
  <c r="M10" i="19"/>
  <c r="K6" i="31"/>
  <c r="AK14" i="20"/>
  <c r="AK7" i="19"/>
  <c r="K6" i="30" s="1"/>
  <c r="Q28" i="21"/>
  <c r="Q8" i="21"/>
  <c r="Q14" i="21" s="1"/>
  <c r="M9" i="32"/>
  <c r="AM9" i="21"/>
  <c r="D11" i="19"/>
  <c r="D9" i="21"/>
  <c r="Z11" i="19"/>
  <c r="Z9" i="21"/>
  <c r="I26" i="21"/>
  <c r="P28" i="22"/>
  <c r="P8" i="22"/>
  <c r="AG25" i="16"/>
  <c r="E13" i="35"/>
  <c r="AE25" i="17"/>
  <c r="AE25" i="18"/>
  <c r="BG21" i="20"/>
  <c r="BG23" i="20" s="1"/>
  <c r="BG14" i="20"/>
  <c r="BG8" i="20" s="1"/>
  <c r="BG12" i="20" s="1"/>
  <c r="BG46" i="14" s="1"/>
  <c r="R9" i="21"/>
  <c r="R10" i="19"/>
  <c r="N9" i="32"/>
  <c r="AN9" i="21"/>
  <c r="AN10" i="19"/>
  <c r="N9" i="30" s="1"/>
  <c r="E11" i="19"/>
  <c r="E9" i="21"/>
  <c r="AA11" i="19"/>
  <c r="AA9" i="21"/>
  <c r="Q28" i="22"/>
  <c r="Q8" i="22"/>
  <c r="Q14" i="22" s="1"/>
  <c r="E8" i="22"/>
  <c r="E28" i="22"/>
  <c r="AA28" i="22"/>
  <c r="AA8" i="22"/>
  <c r="AA14" i="22" s="1"/>
  <c r="AI22" i="16"/>
  <c r="AC25" i="17"/>
  <c r="Q23" i="18"/>
  <c r="L6" i="33"/>
  <c r="AL14" i="18"/>
  <c r="AF21" i="18"/>
  <c r="AF23" i="18" s="1"/>
  <c r="G6" i="19"/>
  <c r="S28" i="21"/>
  <c r="S8" i="21"/>
  <c r="S8" i="19" s="1"/>
  <c r="O9" i="32"/>
  <c r="AO9" i="21"/>
  <c r="F28" i="21"/>
  <c r="F8" i="21"/>
  <c r="F14" i="21" s="1"/>
  <c r="B10" i="32"/>
  <c r="AB11" i="19"/>
  <c r="B10" i="30" s="1"/>
  <c r="AB9" i="21"/>
  <c r="R28" i="22"/>
  <c r="R8" i="22"/>
  <c r="AJ22" i="16"/>
  <c r="AI25" i="16"/>
  <c r="AF25" i="17"/>
  <c r="R23" i="18"/>
  <c r="AM7" i="18"/>
  <c r="AJ9" i="18"/>
  <c r="AG21" i="18"/>
  <c r="AH6" i="19"/>
  <c r="H5" i="30" s="1"/>
  <c r="T28" i="21"/>
  <c r="T8" i="21"/>
  <c r="T14" i="21" s="1"/>
  <c r="C10" i="32"/>
  <c r="AC11" i="19"/>
  <c r="C10" i="30" s="1"/>
  <c r="U24" i="22"/>
  <c r="U26" i="22"/>
  <c r="S28" i="22"/>
  <c r="S8" i="22"/>
  <c r="S14" i="22" s="1"/>
  <c r="S24" i="22" s="1"/>
  <c r="BK28" i="15"/>
  <c r="H13" i="35"/>
  <c r="AH25" i="17"/>
  <c r="AG25" i="17"/>
  <c r="S23" i="18"/>
  <c r="AN7" i="18"/>
  <c r="AK9" i="18"/>
  <c r="AM5" i="19"/>
  <c r="M4" i="30" s="1"/>
  <c r="N8" i="20"/>
  <c r="O23" i="21"/>
  <c r="X26" i="21"/>
  <c r="U9" i="21"/>
  <c r="U10" i="19"/>
  <c r="H28" i="21"/>
  <c r="H8" i="21"/>
  <c r="H14" i="21" s="1"/>
  <c r="D10" i="32"/>
  <c r="AD9" i="21"/>
  <c r="O28" i="21"/>
  <c r="V26" i="22"/>
  <c r="V28" i="22"/>
  <c r="V8" i="22"/>
  <c r="V14" i="22" s="1"/>
  <c r="V24" i="22" s="1"/>
  <c r="O6" i="33"/>
  <c r="AO21" i="18"/>
  <c r="I9" i="33"/>
  <c r="AI9" i="18"/>
  <c r="I9" i="31"/>
  <c r="AI9" i="20"/>
  <c r="AI10" i="19"/>
  <c r="I9" i="30" s="1"/>
  <c r="V11" i="19"/>
  <c r="V9" i="20"/>
  <c r="M13" i="31"/>
  <c r="AM25" i="20"/>
  <c r="G7" i="21"/>
  <c r="G21" i="21" s="1"/>
  <c r="G23" i="21" s="1"/>
  <c r="C3" i="32"/>
  <c r="AC7" i="21"/>
  <c r="AY7" i="21"/>
  <c r="V9" i="21"/>
  <c r="V10" i="19"/>
  <c r="AR9" i="21"/>
  <c r="AR28" i="21" s="1"/>
  <c r="AR10" i="19"/>
  <c r="E10" i="32"/>
  <c r="AE9" i="21"/>
  <c r="W23" i="22"/>
  <c r="X26" i="23"/>
  <c r="AT21" i="23"/>
  <c r="AT23" i="23" s="1"/>
  <c r="AT14" i="23"/>
  <c r="AT8" i="23" s="1"/>
  <c r="AT12" i="23" s="1"/>
  <c r="AT48" i="14" s="1"/>
  <c r="K15" i="28"/>
  <c r="BP18" i="16"/>
  <c r="AL25" i="16"/>
  <c r="M4" i="35"/>
  <c r="AM7" i="17"/>
  <c r="J13" i="35"/>
  <c r="AJ25" i="17"/>
  <c r="AP7" i="18"/>
  <c r="AN22" i="18"/>
  <c r="P8" i="19"/>
  <c r="J8" i="31"/>
  <c r="AJ9" i="19"/>
  <c r="J8" i="30" s="1"/>
  <c r="AJ28" i="20"/>
  <c r="R25" i="20"/>
  <c r="R13" i="19"/>
  <c r="N13" i="31"/>
  <c r="AN25" i="20"/>
  <c r="H7" i="21"/>
  <c r="H21" i="21" s="1"/>
  <c r="H23" i="21" s="1"/>
  <c r="W28" i="21"/>
  <c r="W8" i="21"/>
  <c r="L15" i="28"/>
  <c r="BQ18" i="16"/>
  <c r="K13" i="35"/>
  <c r="AK25" i="17"/>
  <c r="N8" i="33"/>
  <c r="AN28" i="18"/>
  <c r="P7" i="20"/>
  <c r="P4" i="19"/>
  <c r="AL7" i="20"/>
  <c r="L3" i="31"/>
  <c r="AL4" i="19"/>
  <c r="L3" i="30" s="1"/>
  <c r="C7" i="19"/>
  <c r="C21" i="20"/>
  <c r="C23" i="20" s="1"/>
  <c r="Y5" i="19"/>
  <c r="AU7" i="19"/>
  <c r="AU21" i="20"/>
  <c r="AU23" i="20" s="1"/>
  <c r="L6" i="19"/>
  <c r="K8" i="31"/>
  <c r="AK28" i="20"/>
  <c r="O9" i="19"/>
  <c r="K9" i="31"/>
  <c r="AK10" i="19"/>
  <c r="K9" i="30" s="1"/>
  <c r="X11" i="19"/>
  <c r="X9" i="20"/>
  <c r="AT11" i="19"/>
  <c r="AT9" i="20"/>
  <c r="S13" i="19"/>
  <c r="S25" i="20"/>
  <c r="S14" i="20"/>
  <c r="S23" i="20"/>
  <c r="BG21" i="21"/>
  <c r="BG23" i="21" s="1"/>
  <c r="BG14" i="21"/>
  <c r="BG8" i="21" s="1"/>
  <c r="BG12" i="21" s="1"/>
  <c r="BG45" i="14" s="1"/>
  <c r="X9" i="21"/>
  <c r="X10" i="19"/>
  <c r="AT9" i="21"/>
  <c r="AT28" i="21" s="1"/>
  <c r="AT10" i="19"/>
  <c r="AC7" i="22"/>
  <c r="C3" i="29"/>
  <c r="AY14" i="22"/>
  <c r="AY8" i="22" s="1"/>
  <c r="AY12" i="22" s="1"/>
  <c r="AY47" i="14" s="1"/>
  <c r="AY21" i="22"/>
  <c r="AY23" i="22" s="1"/>
  <c r="C3" i="33"/>
  <c r="AC7" i="18"/>
  <c r="AY7" i="18"/>
  <c r="U8" i="18"/>
  <c r="U32" i="18" s="1"/>
  <c r="O3" i="31"/>
  <c r="AO7" i="20"/>
  <c r="B4" i="31"/>
  <c r="AB5" i="19"/>
  <c r="B4" i="30" s="1"/>
  <c r="AQ21" i="20"/>
  <c r="AQ23" i="20" s="1"/>
  <c r="T22" i="21"/>
  <c r="T15" i="19"/>
  <c r="N16" i="32"/>
  <c r="AN17" i="19"/>
  <c r="N17" i="30" s="1"/>
  <c r="X22" i="22"/>
  <c r="Y4" i="22"/>
  <c r="G6" i="34"/>
  <c r="AG21" i="23"/>
  <c r="AG23" i="23" s="1"/>
  <c r="AG14" i="23"/>
  <c r="R28" i="23"/>
  <c r="R8" i="23"/>
  <c r="R14" i="23" s="1"/>
  <c r="R24" i="23" s="1"/>
  <c r="N9" i="34"/>
  <c r="AN9" i="23"/>
  <c r="E28" i="23"/>
  <c r="E8" i="23"/>
  <c r="E14" i="23" s="1"/>
  <c r="E24" i="23" s="1"/>
  <c r="AA28" i="23"/>
  <c r="AA8" i="23"/>
  <c r="F14" i="34"/>
  <c r="AF8" i="23"/>
  <c r="AF12" i="23" s="1"/>
  <c r="C4" i="31"/>
  <c r="AC5" i="19"/>
  <c r="C4" i="30" s="1"/>
  <c r="C9" i="20"/>
  <c r="C10" i="19"/>
  <c r="Y10" i="19"/>
  <c r="Y9" i="20"/>
  <c r="AU10" i="19"/>
  <c r="U12" i="19"/>
  <c r="Z25" i="20"/>
  <c r="E15" i="31"/>
  <c r="AE22" i="20"/>
  <c r="G9" i="21"/>
  <c r="U22" i="21"/>
  <c r="U15" i="19"/>
  <c r="AQ15" i="19"/>
  <c r="AQ22" i="21"/>
  <c r="O16" i="32"/>
  <c r="AO17" i="19"/>
  <c r="O17" i="30" s="1"/>
  <c r="Y22" i="22"/>
  <c r="Z4" i="22"/>
  <c r="H6" i="34"/>
  <c r="AH21" i="23"/>
  <c r="AH23" i="23" s="1"/>
  <c r="AH14" i="23"/>
  <c r="P9" i="33"/>
  <c r="AP9" i="18"/>
  <c r="W7" i="19"/>
  <c r="D4" i="31"/>
  <c r="AD5" i="19"/>
  <c r="D4" i="30" s="1"/>
  <c r="D9" i="20"/>
  <c r="D10" i="19"/>
  <c r="Z10" i="19"/>
  <c r="Z9" i="20"/>
  <c r="AA25" i="20"/>
  <c r="F15" i="31"/>
  <c r="AF22" i="20"/>
  <c r="K16" i="31"/>
  <c r="AK18" i="19"/>
  <c r="K18" i="30" s="1"/>
  <c r="E4" i="22"/>
  <c r="D22" i="22"/>
  <c r="D23" i="22" s="1"/>
  <c r="AA4" i="22"/>
  <c r="Z22" i="22"/>
  <c r="F26" i="23"/>
  <c r="F24" i="23"/>
  <c r="AX26" i="23"/>
  <c r="O23" i="23"/>
  <c r="I6" i="34"/>
  <c r="AI21" i="23"/>
  <c r="AI23" i="23" s="1"/>
  <c r="AI14" i="23"/>
  <c r="AB9" i="18"/>
  <c r="E4" i="31"/>
  <c r="AE5" i="19"/>
  <c r="E4" i="30" s="1"/>
  <c r="E9" i="20"/>
  <c r="E10" i="19"/>
  <c r="AA10" i="19"/>
  <c r="AA9" i="20"/>
  <c r="G15" i="31"/>
  <c r="AG22" i="20"/>
  <c r="M23" i="21"/>
  <c r="AW21" i="22"/>
  <c r="AW23" i="22" s="1"/>
  <c r="AW14" i="22"/>
  <c r="AW8" i="22" s="1"/>
  <c r="AW12" i="22" s="1"/>
  <c r="AW47" i="14" s="1"/>
  <c r="F4" i="22"/>
  <c r="E22" i="22"/>
  <c r="J6" i="34"/>
  <c r="AJ21" i="23"/>
  <c r="AJ14" i="23"/>
  <c r="U23" i="18"/>
  <c r="AC9" i="18"/>
  <c r="V9" i="18"/>
  <c r="AR9" i="18"/>
  <c r="AR28" i="18" s="1"/>
  <c r="J5" i="19"/>
  <c r="J7" i="20"/>
  <c r="F4" i="31"/>
  <c r="AF5" i="19"/>
  <c r="F4" i="30" s="1"/>
  <c r="F7" i="20"/>
  <c r="F9" i="20"/>
  <c r="F10" i="19"/>
  <c r="B9" i="31"/>
  <c r="AB10" i="19"/>
  <c r="B9" i="30" s="1"/>
  <c r="AB9" i="20"/>
  <c r="E25" i="22"/>
  <c r="E14" i="22"/>
  <c r="AA25" i="22"/>
  <c r="AZ21" i="23"/>
  <c r="AZ23" i="23" s="1"/>
  <c r="AZ14" i="23"/>
  <c r="AZ8" i="23" s="1"/>
  <c r="AZ12" i="23" s="1"/>
  <c r="AZ48" i="14" s="1"/>
  <c r="K6" i="34"/>
  <c r="AK21" i="23"/>
  <c r="AK23" i="23" s="1"/>
  <c r="AK14" i="23"/>
  <c r="AO22" i="17"/>
  <c r="AI25" i="17"/>
  <c r="AD9" i="18"/>
  <c r="W9" i="18"/>
  <c r="AS9" i="18"/>
  <c r="AS28" i="18" s="1"/>
  <c r="B15" i="33"/>
  <c r="AB22" i="18"/>
  <c r="G4" i="31"/>
  <c r="AG5" i="19"/>
  <c r="G4" i="30" s="1"/>
  <c r="S9" i="19"/>
  <c r="G28" i="20"/>
  <c r="G8" i="20"/>
  <c r="C9" i="31"/>
  <c r="AC9" i="20"/>
  <c r="I15" i="31"/>
  <c r="AI15" i="19"/>
  <c r="I15" i="30" s="1"/>
  <c r="AM9" i="22"/>
  <c r="M9" i="29"/>
  <c r="D8" i="22"/>
  <c r="D28" i="22"/>
  <c r="Z28" i="22"/>
  <c r="Z8" i="22"/>
  <c r="F25" i="22"/>
  <c r="BA21" i="23"/>
  <c r="BA23" i="23" s="1"/>
  <c r="BA14" i="23"/>
  <c r="BA8" i="23" s="1"/>
  <c r="BA12" i="23" s="1"/>
  <c r="BA48" i="14" s="1"/>
  <c r="L6" i="34"/>
  <c r="AL21" i="23"/>
  <c r="AL23" i="23" s="1"/>
  <c r="AL14" i="23"/>
  <c r="AE9" i="18"/>
  <c r="X9" i="18"/>
  <c r="AT9" i="18"/>
  <c r="AT28" i="18" s="1"/>
  <c r="T8" i="20"/>
  <c r="T28" i="20"/>
  <c r="D9" i="31"/>
  <c r="AD9" i="20"/>
  <c r="M10" i="31"/>
  <c r="AM11" i="19"/>
  <c r="M10" i="30" s="1"/>
  <c r="I25" i="20"/>
  <c r="E13" i="31"/>
  <c r="AE25" i="20"/>
  <c r="O16" i="31"/>
  <c r="AO18" i="19"/>
  <c r="O18" i="30" s="1"/>
  <c r="N9" i="29"/>
  <c r="AN9" i="22"/>
  <c r="G25" i="22"/>
  <c r="G26" i="22" s="1"/>
  <c r="BC26" i="22"/>
  <c r="BC24" i="22"/>
  <c r="M6" i="34"/>
  <c r="AM21" i="23"/>
  <c r="AM14" i="23"/>
  <c r="AD9" i="17"/>
  <c r="P13" i="35"/>
  <c r="AP25" i="17"/>
  <c r="Y9" i="18"/>
  <c r="AU9" i="18"/>
  <c r="AU28" i="18" s="1"/>
  <c r="AP4" i="19"/>
  <c r="P3" i="30" s="1"/>
  <c r="I7" i="20"/>
  <c r="I28" i="20"/>
  <c r="I8" i="20"/>
  <c r="E9" i="31"/>
  <c r="AE9" i="20"/>
  <c r="C7" i="21"/>
  <c r="C21" i="21" s="1"/>
  <c r="C23" i="21" s="1"/>
  <c r="Y7" i="21"/>
  <c r="Y21" i="21" s="1"/>
  <c r="Y23" i="21" s="1"/>
  <c r="AU7" i="21"/>
  <c r="AP22" i="21"/>
  <c r="Q24" i="22"/>
  <c r="Q26" i="22"/>
  <c r="O9" i="29"/>
  <c r="AO9" i="22"/>
  <c r="H14" i="22"/>
  <c r="H25" i="22"/>
  <c r="BF26" i="22"/>
  <c r="BF24" i="22"/>
  <c r="AB25" i="22"/>
  <c r="BB26" i="23"/>
  <c r="BC26" i="23"/>
  <c r="AE9" i="17"/>
  <c r="AT7" i="18"/>
  <c r="AD7" i="18"/>
  <c r="AG9" i="18"/>
  <c r="AQ4" i="19"/>
  <c r="AH5" i="19"/>
  <c r="H4" i="30" s="1"/>
  <c r="D13" i="19"/>
  <c r="J15" i="19"/>
  <c r="F9" i="31"/>
  <c r="AF9" i="20"/>
  <c r="L15" i="31"/>
  <c r="AL22" i="20"/>
  <c r="D7" i="21"/>
  <c r="D21" i="21" s="1"/>
  <c r="D23" i="21" s="1"/>
  <c r="Z7" i="21"/>
  <c r="Z21" i="21" s="1"/>
  <c r="Z23" i="21" s="1"/>
  <c r="AV7" i="21"/>
  <c r="I4" i="32"/>
  <c r="AI7" i="21"/>
  <c r="V23" i="21"/>
  <c r="AR14" i="21"/>
  <c r="AR8" i="21" s="1"/>
  <c r="AR21" i="21"/>
  <c r="AR23" i="21" s="1"/>
  <c r="R23" i="22"/>
  <c r="T28" i="22"/>
  <c r="T8" i="22"/>
  <c r="T14" i="22" s="1"/>
  <c r="T24" i="22" s="1"/>
  <c r="P9" i="29"/>
  <c r="AP9" i="22"/>
  <c r="I14" i="22"/>
  <c r="I25" i="22"/>
  <c r="N26" i="22"/>
  <c r="N24" i="22"/>
  <c r="AC25" i="22"/>
  <c r="BD14" i="23"/>
  <c r="BD8" i="23" s="1"/>
  <c r="BD12" i="23" s="1"/>
  <c r="BD48" i="14" s="1"/>
  <c r="BD21" i="23"/>
  <c r="BD23" i="23" s="1"/>
  <c r="AM25" i="17"/>
  <c r="AE7" i="18"/>
  <c r="AH9" i="18"/>
  <c r="T14" i="18"/>
  <c r="T24" i="18" s="1"/>
  <c r="AR4" i="19"/>
  <c r="E13" i="19"/>
  <c r="F4" i="19"/>
  <c r="B3" i="31"/>
  <c r="AB4" i="19"/>
  <c r="B3" i="30" s="1"/>
  <c r="K8" i="20"/>
  <c r="K8" i="19" s="1"/>
  <c r="G9" i="31"/>
  <c r="AG9" i="20"/>
  <c r="E7" i="21"/>
  <c r="E21" i="21" s="1"/>
  <c r="E23" i="21" s="1"/>
  <c r="AA7" i="21"/>
  <c r="AA21" i="21" s="1"/>
  <c r="AA23" i="21" s="1"/>
  <c r="AW7" i="21"/>
  <c r="K9" i="32"/>
  <c r="AK9" i="21"/>
  <c r="R25" i="21"/>
  <c r="S26" i="22"/>
  <c r="BF12" i="22"/>
  <c r="BF47" i="14" s="1"/>
  <c r="C22" i="22"/>
  <c r="M24" i="23"/>
  <c r="M26" i="23"/>
  <c r="BE14" i="23"/>
  <c r="BE8" i="23" s="1"/>
  <c r="BE12" i="23" s="1"/>
  <c r="BE48" i="14" s="1"/>
  <c r="BE21" i="23"/>
  <c r="BE23" i="23" s="1"/>
  <c r="E5" i="34"/>
  <c r="AE7" i="23"/>
  <c r="U14" i="18"/>
  <c r="G4" i="19"/>
  <c r="C3" i="31"/>
  <c r="AC4" i="19"/>
  <c r="C3" i="30" s="1"/>
  <c r="H9" i="31"/>
  <c r="AH9" i="20"/>
  <c r="U11" i="19"/>
  <c r="U9" i="20"/>
  <c r="AR8" i="20"/>
  <c r="AR14" i="19"/>
  <c r="F7" i="21"/>
  <c r="F21" i="21" s="1"/>
  <c r="F23" i="21" s="1"/>
  <c r="B3" i="32"/>
  <c r="AB7" i="21"/>
  <c r="AX7" i="21"/>
  <c r="L9" i="32"/>
  <c r="AL9" i="21"/>
  <c r="AL9" i="19" s="1"/>
  <c r="L8" i="30" s="1"/>
  <c r="S14" i="21"/>
  <c r="S25" i="21"/>
  <c r="O13" i="32"/>
  <c r="AO13" i="19"/>
  <c r="O13" i="30" s="1"/>
  <c r="T26" i="22"/>
  <c r="I28" i="22"/>
  <c r="I8" i="22"/>
  <c r="AE25" i="22"/>
  <c r="N29" i="23"/>
  <c r="N30" i="23" s="1"/>
  <c r="N27" i="23"/>
  <c r="BF14" i="23"/>
  <c r="BF8" i="23" s="1"/>
  <c r="BF12" i="23" s="1"/>
  <c r="BF48" i="14" s="1"/>
  <c r="BF21" i="23"/>
  <c r="BF23" i="23" s="1"/>
  <c r="AS21" i="23"/>
  <c r="AS23" i="23" s="1"/>
  <c r="AS14" i="23"/>
  <c r="AS8" i="23" s="1"/>
  <c r="AS12" i="23" s="1"/>
  <c r="AS48" i="14" s="1"/>
  <c r="AJ7" i="20"/>
  <c r="AC9" i="21"/>
  <c r="W14" i="21"/>
  <c r="AD7" i="22"/>
  <c r="J14" i="22"/>
  <c r="J25" i="22"/>
  <c r="S28" i="23"/>
  <c r="S8" i="23"/>
  <c r="S14" i="23" s="1"/>
  <c r="S24" i="23" s="1"/>
  <c r="O9" i="34"/>
  <c r="AO9" i="23"/>
  <c r="F28" i="23"/>
  <c r="F8" i="23"/>
  <c r="F14" i="23" s="1"/>
  <c r="B10" i="34"/>
  <c r="AB9" i="23"/>
  <c r="C7" i="22"/>
  <c r="C21" i="22" s="1"/>
  <c r="E3" i="29"/>
  <c r="AE7" i="22"/>
  <c r="AP7" i="22"/>
  <c r="K25" i="22"/>
  <c r="K14" i="22"/>
  <c r="K24" i="22" s="1"/>
  <c r="G13" i="29"/>
  <c r="AG25" i="22"/>
  <c r="T28" i="23"/>
  <c r="T8" i="23"/>
  <c r="T14" i="23" s="1"/>
  <c r="P9" i="34"/>
  <c r="AP9" i="23"/>
  <c r="C10" i="34"/>
  <c r="AC9" i="23"/>
  <c r="Y25" i="21"/>
  <c r="F3" i="29"/>
  <c r="AF7" i="22"/>
  <c r="BB21" i="22"/>
  <c r="BB23" i="22" s="1"/>
  <c r="BB14" i="22"/>
  <c r="BB8" i="22" s="1"/>
  <c r="BB12" i="22" s="1"/>
  <c r="BB47" i="14" s="1"/>
  <c r="N3" i="34"/>
  <c r="AN7" i="23"/>
  <c r="E27" i="23"/>
  <c r="E29" i="23"/>
  <c r="E30" i="23" s="1"/>
  <c r="AA26" i="23"/>
  <c r="AA24" i="23"/>
  <c r="U28" i="23"/>
  <c r="U8" i="23"/>
  <c r="U14" i="23" s="1"/>
  <c r="P29" i="23"/>
  <c r="P30" i="23" s="1"/>
  <c r="P27" i="23"/>
  <c r="F8" i="32"/>
  <c r="AF28" i="21"/>
  <c r="D25" i="21"/>
  <c r="Z25" i="21"/>
  <c r="C25" i="21"/>
  <c r="AS25" i="21"/>
  <c r="G3" i="29"/>
  <c r="AG7" i="22"/>
  <c r="BC12" i="22"/>
  <c r="BC47" i="14" s="1"/>
  <c r="AR21" i="22"/>
  <c r="AR23" i="22" s="1"/>
  <c r="AR14" i="22"/>
  <c r="AR8" i="22" s="1"/>
  <c r="AR12" i="22" s="1"/>
  <c r="AR47" i="14" s="1"/>
  <c r="AE28" i="22"/>
  <c r="E8" i="29"/>
  <c r="K26" i="22"/>
  <c r="AC22" i="22"/>
  <c r="S26" i="23"/>
  <c r="AG25" i="18"/>
  <c r="W9" i="19"/>
  <c r="J14" i="20"/>
  <c r="J14" i="19" s="1"/>
  <c r="H25" i="20"/>
  <c r="G8" i="32"/>
  <c r="AG28" i="21"/>
  <c r="H4" i="22"/>
  <c r="H3" i="29"/>
  <c r="AH7" i="22"/>
  <c r="AD22" i="22"/>
  <c r="T23" i="23"/>
  <c r="W28" i="23"/>
  <c r="W8" i="23"/>
  <c r="R26" i="23"/>
  <c r="AC22" i="18"/>
  <c r="AH25" i="18"/>
  <c r="K14" i="20"/>
  <c r="K14" i="19" s="1"/>
  <c r="AJ25" i="20"/>
  <c r="R7" i="21"/>
  <c r="R21" i="21" s="1"/>
  <c r="R23" i="21" s="1"/>
  <c r="AK7" i="21"/>
  <c r="B15" i="32"/>
  <c r="AB22" i="21"/>
  <c r="AU25" i="21"/>
  <c r="I4" i="22"/>
  <c r="I3" i="29"/>
  <c r="AI7" i="22"/>
  <c r="BE21" i="22"/>
  <c r="BE23" i="22" s="1"/>
  <c r="BE14" i="22"/>
  <c r="BE8" i="22" s="1"/>
  <c r="BE12" i="22" s="1"/>
  <c r="BE47" i="14" s="1"/>
  <c r="K28" i="22"/>
  <c r="K8" i="22"/>
  <c r="G9" i="29"/>
  <c r="AG9" i="22"/>
  <c r="AE22" i="22"/>
  <c r="X28" i="23"/>
  <c r="X8" i="23"/>
  <c r="AD22" i="18"/>
  <c r="AI25" i="18"/>
  <c r="K7" i="20"/>
  <c r="G3" i="31"/>
  <c r="AG7" i="20"/>
  <c r="BC7" i="20"/>
  <c r="L14" i="20"/>
  <c r="L24" i="20" s="1"/>
  <c r="J25" i="20"/>
  <c r="I8" i="32"/>
  <c r="AI28" i="21"/>
  <c r="J4" i="22"/>
  <c r="J3" i="29"/>
  <c r="AJ7" i="22"/>
  <c r="AQ21" i="22"/>
  <c r="AQ23" i="22" s="1"/>
  <c r="I7" i="23"/>
  <c r="I21" i="23" s="1"/>
  <c r="I23" i="23" s="1"/>
  <c r="AE22" i="18"/>
  <c r="AJ25" i="18"/>
  <c r="AE4" i="19"/>
  <c r="E3" i="30" s="1"/>
  <c r="K25" i="20"/>
  <c r="AL25" i="20"/>
  <c r="AM7" i="21"/>
  <c r="D13" i="32"/>
  <c r="AD25" i="21"/>
  <c r="K3" i="29"/>
  <c r="AK7" i="22"/>
  <c r="AT21" i="22"/>
  <c r="AT23" i="22" s="1"/>
  <c r="AT14" i="22"/>
  <c r="AT8" i="22" s="1"/>
  <c r="AT12" i="22" s="1"/>
  <c r="AT47" i="14" s="1"/>
  <c r="M28" i="22"/>
  <c r="M8" i="22"/>
  <c r="M14" i="22" s="1"/>
  <c r="I9" i="29"/>
  <c r="AI9" i="22"/>
  <c r="AS21" i="22"/>
  <c r="AS23" i="22" s="1"/>
  <c r="BG26" i="23"/>
  <c r="BG24" i="23"/>
  <c r="AF22" i="18"/>
  <c r="AK25" i="18"/>
  <c r="W13" i="19"/>
  <c r="M7" i="20"/>
  <c r="I3" i="31"/>
  <c r="AI7" i="20"/>
  <c r="BE7" i="20"/>
  <c r="L25" i="20"/>
  <c r="L26" i="20" s="1"/>
  <c r="AO7" i="21"/>
  <c r="L24" i="22"/>
  <c r="AJ9" i="22"/>
  <c r="J9" i="29"/>
  <c r="R14" i="22"/>
  <c r="E15" i="34"/>
  <c r="AE22" i="23"/>
  <c r="AG22" i="18"/>
  <c r="AL25" i="18"/>
  <c r="V15" i="19"/>
  <c r="AR15" i="19"/>
  <c r="M26" i="22"/>
  <c r="M24" i="22"/>
  <c r="L26" i="22"/>
  <c r="AH22" i="18"/>
  <c r="AM25" i="18"/>
  <c r="C13" i="19"/>
  <c r="Y13" i="19"/>
  <c r="N28" i="21"/>
  <c r="N8" i="21"/>
  <c r="N14" i="21" s="1"/>
  <c r="J9" i="32"/>
  <c r="AJ9" i="21"/>
  <c r="N3" i="29"/>
  <c r="AN7" i="22"/>
  <c r="F6" i="34"/>
  <c r="AF21" i="23"/>
  <c r="AF23" i="23" s="1"/>
  <c r="G15" i="34"/>
  <c r="AG22" i="23"/>
  <c r="AN7" i="21"/>
  <c r="BC14" i="23"/>
  <c r="BC8" i="23" s="1"/>
  <c r="BC12" i="23" s="1"/>
  <c r="BC48" i="14" s="1"/>
  <c r="V28" i="23"/>
  <c r="V8" i="23"/>
  <c r="V14" i="23" s="1"/>
  <c r="AB7" i="22"/>
  <c r="H28" i="22"/>
  <c r="H8" i="29"/>
  <c r="E13" i="32"/>
  <c r="AE25" i="21"/>
  <c r="N13" i="29"/>
  <c r="AN25" i="22"/>
  <c r="AK22" i="22"/>
  <c r="K15" i="29"/>
  <c r="M8" i="23"/>
  <c r="Y28" i="23"/>
  <c r="Y8" i="23"/>
  <c r="AF22" i="21"/>
  <c r="AC25" i="21"/>
  <c r="O13" i="29"/>
  <c r="AO25" i="22"/>
  <c r="P3" i="34"/>
  <c r="AP7" i="23"/>
  <c r="C23" i="23"/>
  <c r="AF25" i="21"/>
  <c r="AM22" i="22"/>
  <c r="M15" i="29"/>
  <c r="AL25" i="22"/>
  <c r="AN22" i="22"/>
  <c r="N15" i="29"/>
  <c r="V7" i="23"/>
  <c r="V21" i="23" s="1"/>
  <c r="V23" i="23" s="1"/>
  <c r="AR7" i="23"/>
  <c r="H23" i="23"/>
  <c r="AX9" i="23"/>
  <c r="AX28" i="23" s="1"/>
  <c r="AN22" i="20"/>
  <c r="AI22" i="21"/>
  <c r="AH25" i="21"/>
  <c r="F9" i="22"/>
  <c r="B9" i="29"/>
  <c r="AB9" i="22"/>
  <c r="AX9" i="22"/>
  <c r="AX28" i="22" s="1"/>
  <c r="K25" i="23"/>
  <c r="K14" i="23"/>
  <c r="G13" i="34"/>
  <c r="AG25" i="23"/>
  <c r="AO22" i="20"/>
  <c r="AL7" i="22"/>
  <c r="G9" i="22"/>
  <c r="AY9" i="22"/>
  <c r="AY28" i="22" s="1"/>
  <c r="W25" i="22"/>
  <c r="W14" i="22"/>
  <c r="J26" i="23"/>
  <c r="K15" i="32"/>
  <c r="AJ25" i="21"/>
  <c r="AU7" i="22"/>
  <c r="AM7" i="22"/>
  <c r="X25" i="22"/>
  <c r="X14" i="22"/>
  <c r="P14" i="22"/>
  <c r="P24" i="22" s="1"/>
  <c r="W22" i="22"/>
  <c r="AU14" i="23"/>
  <c r="AU8" i="23" s="1"/>
  <c r="AU12" i="23" s="1"/>
  <c r="AU48" i="14" s="1"/>
  <c r="AU21" i="23"/>
  <c r="AU23" i="23" s="1"/>
  <c r="L23" i="23"/>
  <c r="M25" i="23"/>
  <c r="M14" i="23"/>
  <c r="AK25" i="21"/>
  <c r="Y25" i="22"/>
  <c r="Y14" i="22"/>
  <c r="J9" i="23"/>
  <c r="AL25" i="21"/>
  <c r="AO7" i="22"/>
  <c r="D14" i="22"/>
  <c r="D25" i="22"/>
  <c r="Z14" i="22"/>
  <c r="Z25" i="22"/>
  <c r="X7" i="22"/>
  <c r="X21" i="22" s="1"/>
  <c r="AW7" i="23"/>
  <c r="D6" i="34"/>
  <c r="AD21" i="23"/>
  <c r="AD23" i="23" s="1"/>
  <c r="O25" i="23"/>
  <c r="C15" i="34"/>
  <c r="AC22" i="23"/>
  <c r="AF9" i="23"/>
  <c r="U25" i="23"/>
  <c r="K23" i="23"/>
  <c r="AG28" i="23"/>
  <c r="G8" i="34"/>
  <c r="J15" i="34"/>
  <c r="AJ22" i="23"/>
  <c r="D7" i="23"/>
  <c r="D21" i="23" s="1"/>
  <c r="D23" i="23" s="1"/>
  <c r="Z7" i="23"/>
  <c r="Z21" i="23" s="1"/>
  <c r="Z23" i="23" s="1"/>
  <c r="AV7" i="23"/>
  <c r="W14" i="23"/>
  <c r="W24" i="23" s="1"/>
  <c r="AX14" i="23"/>
  <c r="AX8" i="23" s="1"/>
  <c r="AX12" i="23" s="1"/>
  <c r="AX48" i="14" s="1"/>
  <c r="AI9" i="23"/>
  <c r="AL22" i="23"/>
  <c r="L15" i="34"/>
  <c r="AB7" i="23"/>
  <c r="B3" i="34"/>
  <c r="C14" i="23"/>
  <c r="C25" i="23"/>
  <c r="Y14" i="23"/>
  <c r="Y24" i="23" s="1"/>
  <c r="Y25" i="23"/>
  <c r="Y26" i="23" s="1"/>
  <c r="AM22" i="23"/>
  <c r="M15" i="34"/>
  <c r="AH28" i="23"/>
  <c r="G7" i="23"/>
  <c r="G21" i="23" s="1"/>
  <c r="G23" i="23" s="1"/>
  <c r="AC7" i="23"/>
  <c r="C3" i="34"/>
  <c r="AY7" i="23"/>
  <c r="Z25" i="23"/>
  <c r="N15" i="34"/>
  <c r="AN22" i="23"/>
  <c r="BB14" i="23"/>
  <c r="BB8" i="23" s="1"/>
  <c r="BB12" i="23" s="1"/>
  <c r="BB48" i="14" s="1"/>
  <c r="AJ28" i="23"/>
  <c r="O15" i="29"/>
  <c r="P15" i="34"/>
  <c r="AP22" i="23"/>
  <c r="X14" i="23"/>
  <c r="X24" i="23" s="1"/>
  <c r="AC9" i="22"/>
  <c r="AP22" i="22"/>
  <c r="O9" i="23"/>
  <c r="K9" i="34"/>
  <c r="AK9" i="23"/>
  <c r="BG9" i="23"/>
  <c r="BG28" i="23" s="1"/>
  <c r="AA14" i="23"/>
  <c r="W25" i="23"/>
  <c r="W26" i="23" s="1"/>
  <c r="U7" i="23"/>
  <c r="U21" i="23" s="1"/>
  <c r="U23" i="23" s="1"/>
  <c r="AQ7" i="23"/>
  <c r="P8" i="23"/>
  <c r="P14" i="23" s="1"/>
  <c r="P24" i="23" s="1"/>
  <c r="L9" i="34"/>
  <c r="AL9" i="23"/>
  <c r="AB25" i="23"/>
  <c r="AO7" i="23"/>
  <c r="AC25" i="23"/>
  <c r="AE25" i="23"/>
  <c r="I15" i="34"/>
  <c r="AI22" i="23"/>
  <c r="AH25" i="23"/>
  <c r="B14" i="25" l="1"/>
  <c r="AB13" i="12"/>
  <c r="B13" i="24" s="1"/>
  <c r="W24" i="20"/>
  <c r="W26" i="20"/>
  <c r="AW28" i="14"/>
  <c r="AW10" i="12"/>
  <c r="AW9" i="12" s="1"/>
  <c r="AT4" i="12"/>
  <c r="AT7" i="12" s="1"/>
  <c r="AT25" i="14"/>
  <c r="AT72" i="14" s="1"/>
  <c r="AT74" i="14" s="1"/>
  <c r="AV28" i="14"/>
  <c r="AV27" i="14" s="1"/>
  <c r="AV11" i="12"/>
  <c r="AV9" i="12" s="1"/>
  <c r="F11" i="26"/>
  <c r="AF11" i="12"/>
  <c r="P4" i="25"/>
  <c r="AP5" i="12"/>
  <c r="P4" i="24" s="1"/>
  <c r="AP52" i="13"/>
  <c r="K4" i="26"/>
  <c r="AK79" i="14"/>
  <c r="AK5" i="12"/>
  <c r="K4" i="24" s="1"/>
  <c r="P14" i="25"/>
  <c r="AP13" i="12"/>
  <c r="P13" i="24" s="1"/>
  <c r="I6" i="25"/>
  <c r="AI40" i="13"/>
  <c r="AI42" i="13" s="1"/>
  <c r="C29" i="13"/>
  <c r="C13" i="12"/>
  <c r="C9" i="24"/>
  <c r="AC32" i="12"/>
  <c r="AC9" i="12"/>
  <c r="I11" i="26"/>
  <c r="AI11" i="12"/>
  <c r="U26" i="15"/>
  <c r="U24" i="15"/>
  <c r="E6" i="25"/>
  <c r="AE40" i="13"/>
  <c r="D24" i="22"/>
  <c r="D26" i="22"/>
  <c r="M25" i="14"/>
  <c r="M72" i="14" s="1"/>
  <c r="M74" i="14" s="1"/>
  <c r="M6" i="12"/>
  <c r="P16" i="26"/>
  <c r="AP73" i="14"/>
  <c r="AP15" i="12"/>
  <c r="J5" i="26"/>
  <c r="AJ25" i="14"/>
  <c r="AJ6" i="12"/>
  <c r="J5" i="24" s="1"/>
  <c r="M14" i="12"/>
  <c r="M24" i="12" s="1"/>
  <c r="AY4" i="12"/>
  <c r="AY7" i="12" s="1"/>
  <c r="AY13" i="13"/>
  <c r="AI26" i="17"/>
  <c r="AI24" i="17"/>
  <c r="C43" i="13"/>
  <c r="AJ26" i="17"/>
  <c r="AJ24" i="17"/>
  <c r="T27" i="20"/>
  <c r="T29" i="20"/>
  <c r="T30" i="20" s="1"/>
  <c r="AY28" i="14"/>
  <c r="AY10" i="12"/>
  <c r="AY9" i="12" s="1"/>
  <c r="Z29" i="18"/>
  <c r="Z30" i="18" s="1"/>
  <c r="Z27" i="18"/>
  <c r="AU4" i="12"/>
  <c r="AU7" i="12" s="1"/>
  <c r="AU25" i="14"/>
  <c r="AU72" i="14" s="1"/>
  <c r="AU74" i="14" s="1"/>
  <c r="Q26" i="21"/>
  <c r="Q24" i="21"/>
  <c r="N25" i="14"/>
  <c r="N72" i="14" s="1"/>
  <c r="N74" i="14" s="1"/>
  <c r="N6" i="12"/>
  <c r="Y29" i="18"/>
  <c r="Y30" i="18" s="1"/>
  <c r="Y27" i="18"/>
  <c r="W29" i="23"/>
  <c r="W30" i="23" s="1"/>
  <c r="W27" i="23"/>
  <c r="L27" i="20"/>
  <c r="L29" i="20"/>
  <c r="L30" i="20" s="1"/>
  <c r="BF25" i="14"/>
  <c r="BF72" i="14" s="1"/>
  <c r="BF74" i="14" s="1"/>
  <c r="BF6" i="12"/>
  <c r="O16" i="26"/>
  <c r="AO73" i="14"/>
  <c r="Y29" i="23"/>
  <c r="Y30" i="23" s="1"/>
  <c r="Y27" i="23"/>
  <c r="O26" i="18"/>
  <c r="P24" i="21"/>
  <c r="P26" i="21"/>
  <c r="AW21" i="12"/>
  <c r="AW23" i="12" s="1"/>
  <c r="AW24" i="12" s="1"/>
  <c r="AW14" i="12"/>
  <c r="AW8" i="12" s="1"/>
  <c r="BE16" i="13"/>
  <c r="BE10" i="12"/>
  <c r="BE9" i="12" s="1"/>
  <c r="M10" i="26"/>
  <c r="AM28" i="14"/>
  <c r="Q8" i="20"/>
  <c r="Q9" i="19"/>
  <c r="Q28" i="20"/>
  <c r="V29" i="13"/>
  <c r="V13" i="12"/>
  <c r="V14" i="12" s="1"/>
  <c r="V24" i="12" s="1"/>
  <c r="F13" i="12"/>
  <c r="F14" i="12" s="1"/>
  <c r="M11" i="25"/>
  <c r="BV29" i="13"/>
  <c r="AM11" i="12"/>
  <c r="AM52" i="13"/>
  <c r="P8" i="34"/>
  <c r="AP28" i="23"/>
  <c r="W24" i="22"/>
  <c r="W26" i="22"/>
  <c r="AZ26" i="20"/>
  <c r="AZ24" i="20"/>
  <c r="AC24" i="20"/>
  <c r="AC26" i="20"/>
  <c r="L3" i="24"/>
  <c r="J7" i="22"/>
  <c r="J21" i="22" s="1"/>
  <c r="J23" i="22" s="1"/>
  <c r="J8" i="14"/>
  <c r="M8" i="34"/>
  <c r="AM28" i="23"/>
  <c r="BB21" i="16"/>
  <c r="BB23" i="16" s="1"/>
  <c r="BB14" i="16"/>
  <c r="BB8" i="16" s="1"/>
  <c r="BB12" i="16" s="1"/>
  <c r="BB25" i="13" s="1"/>
  <c r="AA8" i="17"/>
  <c r="AA28" i="17"/>
  <c r="G14" i="28"/>
  <c r="AG8" i="16"/>
  <c r="AG12" i="16" s="1"/>
  <c r="D6" i="29"/>
  <c r="AD21" i="22"/>
  <c r="AD23" i="22" s="1"/>
  <c r="AD14" i="22"/>
  <c r="G28" i="21"/>
  <c r="G8" i="21"/>
  <c r="G14" i="21" s="1"/>
  <c r="V27" i="22"/>
  <c r="V29" i="22"/>
  <c r="V30" i="22" s="1"/>
  <c r="AX14" i="16"/>
  <c r="AX8" i="16" s="1"/>
  <c r="AX12" i="16" s="1"/>
  <c r="AX25" i="13" s="1"/>
  <c r="AX23" i="13" s="1"/>
  <c r="AX21" i="16"/>
  <c r="AX23" i="16" s="1"/>
  <c r="E26" i="16"/>
  <c r="E24" i="16"/>
  <c r="X24" i="16"/>
  <c r="X26" i="16"/>
  <c r="AV57" i="14"/>
  <c r="AV13" i="12"/>
  <c r="AS14" i="16"/>
  <c r="AS8" i="16" s="1"/>
  <c r="AS12" i="16" s="1"/>
  <c r="AS25" i="13" s="1"/>
  <c r="AS23" i="13" s="1"/>
  <c r="AS21" i="16"/>
  <c r="AS23" i="16" s="1"/>
  <c r="L6" i="27"/>
  <c r="AL21" i="15"/>
  <c r="AL23" i="15" s="1"/>
  <c r="AL14" i="15"/>
  <c r="AU14" i="17"/>
  <c r="AU8" i="17" s="1"/>
  <c r="AU12" i="17" s="1"/>
  <c r="AU49" i="14" s="1"/>
  <c r="AU21" i="17"/>
  <c r="AU23" i="17" s="1"/>
  <c r="Q57" i="14"/>
  <c r="G25" i="14"/>
  <c r="G72" i="14" s="1"/>
  <c r="G74" i="14" s="1"/>
  <c r="G6" i="12"/>
  <c r="L10" i="26"/>
  <c r="AL28" i="14"/>
  <c r="J24" i="16"/>
  <c r="J26" i="16"/>
  <c r="T16" i="13"/>
  <c r="T15" i="13" s="1"/>
  <c r="T29" i="13" s="1"/>
  <c r="T10" i="12"/>
  <c r="T9" i="12" s="1"/>
  <c r="T8" i="12" s="1"/>
  <c r="K6" i="33"/>
  <c r="AK14" i="18"/>
  <c r="AK21" i="18"/>
  <c r="AK23" i="18" s="1"/>
  <c r="AQ10" i="12"/>
  <c r="AQ16" i="13"/>
  <c r="AQ15" i="13" s="1"/>
  <c r="AQ29" i="13" s="1"/>
  <c r="BC24" i="15"/>
  <c r="BC26" i="15"/>
  <c r="G6" i="25"/>
  <c r="AG40" i="13"/>
  <c r="AG42" i="13" s="1"/>
  <c r="D29" i="13"/>
  <c r="D13" i="12"/>
  <c r="AG26" i="16"/>
  <c r="AG24" i="16"/>
  <c r="Z26" i="15"/>
  <c r="Z24" i="15"/>
  <c r="I8" i="28"/>
  <c r="AI28" i="16"/>
  <c r="AA27" i="15"/>
  <c r="AA29" i="15"/>
  <c r="AA30" i="15" s="1"/>
  <c r="N27" i="14"/>
  <c r="N57" i="14" s="1"/>
  <c r="B4" i="26"/>
  <c r="AB5" i="12"/>
  <c r="B4" i="24" s="1"/>
  <c r="AE70" i="12"/>
  <c r="AE71" i="12" s="1"/>
  <c r="AR10" i="12"/>
  <c r="BV27" i="13"/>
  <c r="AM17" i="13"/>
  <c r="L8" i="21"/>
  <c r="L14" i="21" s="1"/>
  <c r="L28" i="21"/>
  <c r="B6" i="28"/>
  <c r="AB14" i="16"/>
  <c r="AB21" i="16"/>
  <c r="AB23" i="16" s="1"/>
  <c r="AR26" i="18"/>
  <c r="AR24" i="18"/>
  <c r="S32" i="18"/>
  <c r="S14" i="18"/>
  <c r="G26" i="20"/>
  <c r="W24" i="16"/>
  <c r="W26" i="16"/>
  <c r="AV26" i="18"/>
  <c r="AV24" i="18"/>
  <c r="L6" i="32"/>
  <c r="AL21" i="21"/>
  <c r="AL23" i="21" s="1"/>
  <c r="AL14" i="21"/>
  <c r="N24" i="21"/>
  <c r="N26" i="21"/>
  <c r="L21" i="21"/>
  <c r="L23" i="21" s="1"/>
  <c r="L7" i="19"/>
  <c r="O29" i="20"/>
  <c r="O30" i="20" s="1"/>
  <c r="O27" i="20"/>
  <c r="P26" i="15"/>
  <c r="F14" i="26"/>
  <c r="O10" i="26"/>
  <c r="AO28" i="14"/>
  <c r="N4" i="26"/>
  <c r="AN79" i="14"/>
  <c r="AZ25" i="14"/>
  <c r="AZ72" i="14" s="1"/>
  <c r="AZ74" i="14" s="1"/>
  <c r="L4" i="26"/>
  <c r="AL79" i="14"/>
  <c r="AL5" i="12"/>
  <c r="L4" i="24" s="1"/>
  <c r="D15" i="24"/>
  <c r="AD22" i="12"/>
  <c r="AC32" i="17"/>
  <c r="AC12" i="17"/>
  <c r="AY26" i="15"/>
  <c r="AY24" i="15"/>
  <c r="AZ15" i="13"/>
  <c r="AZ29" i="13" s="1"/>
  <c r="BC23" i="13"/>
  <c r="AZ15" i="12"/>
  <c r="AZ22" i="12" s="1"/>
  <c r="N9" i="12"/>
  <c r="N8" i="12" s="1"/>
  <c r="N14" i="12" s="1"/>
  <c r="P12" i="12"/>
  <c r="K16" i="26"/>
  <c r="AK73" i="14"/>
  <c r="AA10" i="12"/>
  <c r="AA9" i="12" s="1"/>
  <c r="AA8" i="12" s="1"/>
  <c r="AP11" i="12"/>
  <c r="AG11" i="12"/>
  <c r="G8" i="28"/>
  <c r="AG28" i="16"/>
  <c r="L9" i="27"/>
  <c r="AL28" i="15"/>
  <c r="BQ13" i="15"/>
  <c r="P14" i="26"/>
  <c r="V43" i="13"/>
  <c r="P28" i="16"/>
  <c r="P8" i="16"/>
  <c r="P14" i="16" s="1"/>
  <c r="P24" i="16" s="1"/>
  <c r="BG27" i="23"/>
  <c r="BG29" i="23"/>
  <c r="H8" i="33"/>
  <c r="AH28" i="18"/>
  <c r="N8" i="28"/>
  <c r="AN28" i="16"/>
  <c r="D5" i="26"/>
  <c r="AD25" i="14"/>
  <c r="K10" i="25"/>
  <c r="BT26" i="13"/>
  <c r="AK10" i="12"/>
  <c r="AK47" i="13"/>
  <c r="AK16" i="13"/>
  <c r="BG73" i="14"/>
  <c r="BG15" i="12"/>
  <c r="BG22" i="12" s="1"/>
  <c r="N8" i="32"/>
  <c r="AN28" i="21"/>
  <c r="K14" i="31"/>
  <c r="AK8" i="20"/>
  <c r="C8" i="32"/>
  <c r="AC28" i="21"/>
  <c r="F8" i="31"/>
  <c r="AF28" i="20"/>
  <c r="AF9" i="19"/>
  <c r="F8" i="30" s="1"/>
  <c r="H7" i="19"/>
  <c r="H21" i="20"/>
  <c r="H23" i="20" s="1"/>
  <c r="Z57" i="14"/>
  <c r="Q28" i="23"/>
  <c r="Q29" i="23" s="1"/>
  <c r="Q30" i="23" s="1"/>
  <c r="Q8" i="23"/>
  <c r="C5" i="26"/>
  <c r="AC25" i="14"/>
  <c r="D6" i="25"/>
  <c r="AD40" i="13"/>
  <c r="AD42" i="13" s="1"/>
  <c r="AK29" i="20"/>
  <c r="AK27" i="20"/>
  <c r="E6" i="27"/>
  <c r="AE14" i="15"/>
  <c r="AE21" i="15"/>
  <c r="AE23" i="15" s="1"/>
  <c r="BG25" i="14"/>
  <c r="BG72" i="14" s="1"/>
  <c r="BG6" i="12"/>
  <c r="BG7" i="12" s="1"/>
  <c r="M4" i="26"/>
  <c r="AM79" i="14"/>
  <c r="H4" i="26"/>
  <c r="AH79" i="14"/>
  <c r="AH5" i="12"/>
  <c r="H4" i="24" s="1"/>
  <c r="BA24" i="15"/>
  <c r="BA26" i="15"/>
  <c r="AQ13" i="13"/>
  <c r="AQ6" i="12"/>
  <c r="AQ7" i="12" s="1"/>
  <c r="P5" i="25"/>
  <c r="AP13" i="13"/>
  <c r="AP6" i="12"/>
  <c r="P5" i="24" s="1"/>
  <c r="N5" i="25"/>
  <c r="AN13" i="13"/>
  <c r="AN6" i="12"/>
  <c r="N5" i="24" s="1"/>
  <c r="I14" i="28"/>
  <c r="AI8" i="16"/>
  <c r="AI12" i="16" s="1"/>
  <c r="BD16" i="13"/>
  <c r="BD15" i="13" s="1"/>
  <c r="BD29" i="13" s="1"/>
  <c r="BD10" i="12"/>
  <c r="BD9" i="12" s="1"/>
  <c r="O11" i="26"/>
  <c r="AO11" i="12"/>
  <c r="AO26" i="13"/>
  <c r="G29" i="18"/>
  <c r="G30" i="18" s="1"/>
  <c r="G27" i="18"/>
  <c r="K16" i="13"/>
  <c r="K15" i="13" s="1"/>
  <c r="K29" i="13" s="1"/>
  <c r="K43" i="13" s="1"/>
  <c r="K10" i="12"/>
  <c r="K9" i="12" s="1"/>
  <c r="K8" i="12" s="1"/>
  <c r="P10" i="12"/>
  <c r="P9" i="12" s="1"/>
  <c r="P8" i="12" s="1"/>
  <c r="P16" i="13"/>
  <c r="P15" i="13" s="1"/>
  <c r="P29" i="13" s="1"/>
  <c r="T50" i="14"/>
  <c r="AD6" i="12"/>
  <c r="D5" i="24" s="1"/>
  <c r="Y28" i="21"/>
  <c r="Y8" i="21"/>
  <c r="Y14" i="21" s="1"/>
  <c r="Y24" i="21" s="1"/>
  <c r="H8" i="32"/>
  <c r="AH28" i="21"/>
  <c r="BA6" i="12"/>
  <c r="BA7" i="12" s="1"/>
  <c r="V26" i="23"/>
  <c r="V24" i="23"/>
  <c r="L14" i="34"/>
  <c r="AL8" i="23"/>
  <c r="AL12" i="23" s="1"/>
  <c r="H6" i="32"/>
  <c r="AH14" i="21"/>
  <c r="AH21" i="21"/>
  <c r="AH23" i="21" s="1"/>
  <c r="T41" i="13"/>
  <c r="T15" i="12"/>
  <c r="T22" i="12" s="1"/>
  <c r="T23" i="12" s="1"/>
  <c r="D15" i="12"/>
  <c r="D22" i="12" s="1"/>
  <c r="D23" i="12" s="1"/>
  <c r="D41" i="13"/>
  <c r="AQ13" i="12"/>
  <c r="O8" i="29"/>
  <c r="AO28" i="22"/>
  <c r="E8" i="32"/>
  <c r="AE28" i="21"/>
  <c r="AY26" i="20"/>
  <c r="AY24" i="20"/>
  <c r="BF21" i="20"/>
  <c r="BF23" i="20" s="1"/>
  <c r="BF14" i="20"/>
  <c r="BF8" i="20" s="1"/>
  <c r="BF12" i="20" s="1"/>
  <c r="BF46" i="14" s="1"/>
  <c r="N10" i="26"/>
  <c r="AN28" i="14"/>
  <c r="Q26" i="15"/>
  <c r="O8" i="32"/>
  <c r="AO28" i="21"/>
  <c r="E9" i="19"/>
  <c r="E8" i="20"/>
  <c r="E28" i="20"/>
  <c r="AX14" i="21"/>
  <c r="AX8" i="21" s="1"/>
  <c r="AX12" i="21" s="1"/>
  <c r="AX45" i="14" s="1"/>
  <c r="AX21" i="21"/>
  <c r="AX23" i="21" s="1"/>
  <c r="AG26" i="23"/>
  <c r="AG24" i="23"/>
  <c r="O4" i="26"/>
  <c r="AO79" i="14"/>
  <c r="AY23" i="13"/>
  <c r="AY15" i="13" s="1"/>
  <c r="AY29" i="13" s="1"/>
  <c r="J6" i="25"/>
  <c r="AJ40" i="13"/>
  <c r="AJ42" i="13" s="1"/>
  <c r="G6" i="27"/>
  <c r="AG14" i="15"/>
  <c r="AG21" i="15"/>
  <c r="AG23" i="15" s="1"/>
  <c r="D8" i="33"/>
  <c r="AD28" i="18"/>
  <c r="C26" i="20"/>
  <c r="AV26" i="20"/>
  <c r="AV24" i="20"/>
  <c r="L6" i="29"/>
  <c r="AL21" i="22"/>
  <c r="AL23" i="22" s="1"/>
  <c r="AL14" i="22"/>
  <c r="AU21" i="21"/>
  <c r="AU23" i="21" s="1"/>
  <c r="AU14" i="21"/>
  <c r="Z26" i="16"/>
  <c r="Z24" i="16"/>
  <c r="P6" i="27"/>
  <c r="AP21" i="15"/>
  <c r="AP23" i="15" s="1"/>
  <c r="AP14" i="15"/>
  <c r="AQ73" i="14"/>
  <c r="AQ74" i="14" s="1"/>
  <c r="AQ15" i="12"/>
  <c r="AQ22" i="12" s="1"/>
  <c r="S21" i="21"/>
  <c r="S23" i="21" s="1"/>
  <c r="S7" i="19"/>
  <c r="AA29" i="13"/>
  <c r="AA13" i="12"/>
  <c r="O29" i="13"/>
  <c r="O43" i="13" s="1"/>
  <c r="O13" i="12"/>
  <c r="O14" i="12" s="1"/>
  <c r="S13" i="13"/>
  <c r="S40" i="13" s="1"/>
  <c r="S6" i="12"/>
  <c r="B6" i="35"/>
  <c r="AB21" i="17"/>
  <c r="AB23" i="17" s="1"/>
  <c r="AB14" i="17"/>
  <c r="AI26" i="16"/>
  <c r="AI24" i="16"/>
  <c r="Y29" i="13"/>
  <c r="Y13" i="12"/>
  <c r="H9" i="26"/>
  <c r="E25" i="14"/>
  <c r="E72" i="14" s="1"/>
  <c r="E74" i="14" s="1"/>
  <c r="K28" i="16"/>
  <c r="K29" i="16" s="1"/>
  <c r="K30" i="16" s="1"/>
  <c r="K8" i="16"/>
  <c r="K14" i="16" s="1"/>
  <c r="K24" i="16" s="1"/>
  <c r="P28" i="15"/>
  <c r="P8" i="15"/>
  <c r="P14" i="15" s="1"/>
  <c r="P24" i="15" s="1"/>
  <c r="Q42" i="13"/>
  <c r="Z26" i="21"/>
  <c r="H26" i="21"/>
  <c r="H24" i="21"/>
  <c r="AW14" i="16"/>
  <c r="AW8" i="16" s="1"/>
  <c r="AW12" i="16" s="1"/>
  <c r="AW25" i="13" s="1"/>
  <c r="AW21" i="16"/>
  <c r="AW23" i="16" s="1"/>
  <c r="BB13" i="12"/>
  <c r="I7" i="22"/>
  <c r="I21" i="22" s="1"/>
  <c r="I23" i="22" s="1"/>
  <c r="I8" i="14"/>
  <c r="F28" i="20"/>
  <c r="F9" i="19"/>
  <c r="F8" i="20"/>
  <c r="D9" i="27"/>
  <c r="AD28" i="15"/>
  <c r="J6" i="32"/>
  <c r="AJ21" i="21"/>
  <c r="AJ23" i="21" s="1"/>
  <c r="AJ14" i="21"/>
  <c r="BD24" i="15"/>
  <c r="BD26" i="15"/>
  <c r="AS26" i="22"/>
  <c r="AS24" i="22"/>
  <c r="L8" i="32"/>
  <c r="AL28" i="21"/>
  <c r="F7" i="19"/>
  <c r="F21" i="20"/>
  <c r="F23" i="20" s="1"/>
  <c r="R28" i="16"/>
  <c r="R8" i="16"/>
  <c r="R14" i="16" s="1"/>
  <c r="Y26" i="17"/>
  <c r="Y24" i="17"/>
  <c r="AQ26" i="15"/>
  <c r="AQ24" i="15"/>
  <c r="K24" i="21"/>
  <c r="K26" i="21"/>
  <c r="AX14" i="17"/>
  <c r="AX8" i="17" s="1"/>
  <c r="AX12" i="17" s="1"/>
  <c r="AX49" i="14" s="1"/>
  <c r="AX21" i="17"/>
  <c r="AX23" i="17" s="1"/>
  <c r="AU13" i="12"/>
  <c r="S29" i="23"/>
  <c r="S30" i="23" s="1"/>
  <c r="S27" i="23"/>
  <c r="B6" i="32"/>
  <c r="AB21" i="21"/>
  <c r="AB23" i="21" s="1"/>
  <c r="AB14" i="21"/>
  <c r="J57" i="14"/>
  <c r="J75" i="14" s="1"/>
  <c r="J13" i="12"/>
  <c r="AA29" i="23"/>
  <c r="AA30" i="23" s="1"/>
  <c r="AA27" i="23"/>
  <c r="S29" i="22"/>
  <c r="S30" i="22" s="1"/>
  <c r="S27" i="22"/>
  <c r="I6" i="33"/>
  <c r="AI14" i="18"/>
  <c r="AI21" i="18"/>
  <c r="AI23" i="18" s="1"/>
  <c r="B14" i="26"/>
  <c r="D29" i="18"/>
  <c r="D30" i="18" s="1"/>
  <c r="D27" i="18"/>
  <c r="BF21" i="18"/>
  <c r="BF23" i="18" s="1"/>
  <c r="BF14" i="18"/>
  <c r="BF8" i="18" s="1"/>
  <c r="BF12" i="18" s="1"/>
  <c r="BF44" i="14" s="1"/>
  <c r="BF43" i="14" s="1"/>
  <c r="BF27" i="14" s="1"/>
  <c r="BF57" i="14" s="1"/>
  <c r="G9" i="27"/>
  <c r="AG28" i="15"/>
  <c r="BL13" i="15"/>
  <c r="AW24" i="15"/>
  <c r="AW26" i="15"/>
  <c r="L14" i="26"/>
  <c r="BD6" i="12"/>
  <c r="AW28" i="15"/>
  <c r="AW12" i="15"/>
  <c r="AW24" i="13" s="1"/>
  <c r="E8" i="28"/>
  <c r="AE28" i="16"/>
  <c r="F6" i="26"/>
  <c r="AF72" i="14"/>
  <c r="AF74" i="14" s="1"/>
  <c r="Q13" i="12"/>
  <c r="Q14" i="12" s="1"/>
  <c r="H10" i="25"/>
  <c r="AH16" i="13"/>
  <c r="AH47" i="13"/>
  <c r="BQ26" i="13"/>
  <c r="AH10" i="12"/>
  <c r="BA26" i="23"/>
  <c r="BA24" i="23"/>
  <c r="AE23" i="20"/>
  <c r="J9" i="27"/>
  <c r="AJ28" i="15"/>
  <c r="BO13" i="15"/>
  <c r="P57" i="14"/>
  <c r="P13" i="12"/>
  <c r="I24" i="15"/>
  <c r="I26" i="15"/>
  <c r="AZ9" i="12"/>
  <c r="AW26" i="17"/>
  <c r="AW24" i="17"/>
  <c r="U13" i="12"/>
  <c r="J8" i="23"/>
  <c r="J14" i="23" s="1"/>
  <c r="J24" i="23" s="1"/>
  <c r="J28" i="23"/>
  <c r="J29" i="23" s="1"/>
  <c r="J30" i="23" s="1"/>
  <c r="K6" i="32"/>
  <c r="AK21" i="21"/>
  <c r="AK23" i="21" s="1"/>
  <c r="AK14" i="21"/>
  <c r="AK14" i="19" s="1"/>
  <c r="K14" i="30" s="1"/>
  <c r="AK24" i="20"/>
  <c r="AT27" i="20"/>
  <c r="AT29" i="20"/>
  <c r="AT30" i="20" s="1"/>
  <c r="AQ26" i="18"/>
  <c r="AQ24" i="18"/>
  <c r="BB26" i="20"/>
  <c r="BB24" i="20"/>
  <c r="AD24" i="17"/>
  <c r="AD26" i="17"/>
  <c r="K14" i="28"/>
  <c r="AK8" i="16"/>
  <c r="AK12" i="16" s="1"/>
  <c r="M19" i="5"/>
  <c r="M16" i="5"/>
  <c r="C26" i="21"/>
  <c r="V28" i="18"/>
  <c r="V29" i="18" s="1"/>
  <c r="V30" i="18" s="1"/>
  <c r="V8" i="18"/>
  <c r="V27" i="18" s="1"/>
  <c r="L14" i="33"/>
  <c r="AL8" i="18"/>
  <c r="AL12" i="18" s="1"/>
  <c r="AS26" i="15"/>
  <c r="AS24" i="15"/>
  <c r="AR73" i="14"/>
  <c r="AR15" i="12"/>
  <c r="AR22" i="12" s="1"/>
  <c r="Z75" i="14"/>
  <c r="AA26" i="16"/>
  <c r="AA24" i="16"/>
  <c r="O28" i="16"/>
  <c r="O29" i="16" s="1"/>
  <c r="O30" i="16" s="1"/>
  <c r="O8" i="16"/>
  <c r="O4" i="25"/>
  <c r="AO5" i="12"/>
  <c r="O4" i="24" s="1"/>
  <c r="Z26" i="23"/>
  <c r="W8" i="18"/>
  <c r="W28" i="18"/>
  <c r="O10" i="25"/>
  <c r="AO47" i="13"/>
  <c r="AO10" i="12"/>
  <c r="AO16" i="13"/>
  <c r="F26" i="16"/>
  <c r="F24" i="16"/>
  <c r="AV14" i="16"/>
  <c r="AV8" i="16" s="1"/>
  <c r="AV12" i="16" s="1"/>
  <c r="AV25" i="13" s="1"/>
  <c r="AV21" i="16"/>
  <c r="AV23" i="16" s="1"/>
  <c r="R26" i="21"/>
  <c r="Z21" i="20"/>
  <c r="Z23" i="20" s="1"/>
  <c r="Z7" i="19"/>
  <c r="K24" i="15"/>
  <c r="K26" i="15"/>
  <c r="AQ21" i="23"/>
  <c r="AQ23" i="23" s="1"/>
  <c r="AQ14" i="23"/>
  <c r="AQ8" i="23" s="1"/>
  <c r="AQ12" i="23" s="1"/>
  <c r="AQ48" i="14" s="1"/>
  <c r="G6" i="31"/>
  <c r="AG14" i="20"/>
  <c r="AG21" i="20"/>
  <c r="AG23" i="20" s="1"/>
  <c r="AG7" i="19"/>
  <c r="G6" i="30" s="1"/>
  <c r="F26" i="21"/>
  <c r="F24" i="21"/>
  <c r="I14" i="34"/>
  <c r="AI8" i="23"/>
  <c r="AI12" i="23" s="1"/>
  <c r="C28" i="21"/>
  <c r="C8" i="21"/>
  <c r="C14" i="21" s="1"/>
  <c r="C24" i="21" s="1"/>
  <c r="AT26" i="22"/>
  <c r="AT24" i="22"/>
  <c r="P6" i="29"/>
  <c r="AP21" i="22"/>
  <c r="AP23" i="22" s="1"/>
  <c r="AP14" i="22"/>
  <c r="K14" i="34"/>
  <c r="AK8" i="23"/>
  <c r="AK12" i="23" s="1"/>
  <c r="BG24" i="21"/>
  <c r="BG26" i="21"/>
  <c r="C6" i="32"/>
  <c r="AC21" i="21"/>
  <c r="AC23" i="21" s="1"/>
  <c r="AC14" i="21"/>
  <c r="N16" i="26"/>
  <c r="AN73" i="14"/>
  <c r="B6" i="29"/>
  <c r="AB14" i="22"/>
  <c r="AB21" i="22"/>
  <c r="AB23" i="22" s="1"/>
  <c r="Q27" i="22"/>
  <c r="Q29" i="22"/>
  <c r="Q30" i="22" s="1"/>
  <c r="Y28" i="14"/>
  <c r="Y27" i="14" s="1"/>
  <c r="Y10" i="12"/>
  <c r="Y9" i="12" s="1"/>
  <c r="Y8" i="12" s="1"/>
  <c r="J21" i="20"/>
  <c r="J23" i="20" s="1"/>
  <c r="J7" i="19"/>
  <c r="R28" i="21"/>
  <c r="R8" i="21"/>
  <c r="R9" i="19"/>
  <c r="D14" i="31"/>
  <c r="AD8" i="20"/>
  <c r="AD27" i="20" s="1"/>
  <c r="AD14" i="19"/>
  <c r="D14" i="30" s="1"/>
  <c r="P9" i="27"/>
  <c r="AP28" i="15"/>
  <c r="O14" i="26"/>
  <c r="BC14" i="20"/>
  <c r="BC8" i="20" s="1"/>
  <c r="BC12" i="20" s="1"/>
  <c r="BC46" i="14" s="1"/>
  <c r="BC21" i="20"/>
  <c r="BC23" i="20" s="1"/>
  <c r="J6" i="31"/>
  <c r="AJ14" i="20"/>
  <c r="AJ7" i="19"/>
  <c r="J6" i="30" s="1"/>
  <c r="AJ21" i="20"/>
  <c r="AJ23" i="20" s="1"/>
  <c r="AX26" i="22"/>
  <c r="AX24" i="22"/>
  <c r="J27" i="18"/>
  <c r="J29" i="18"/>
  <c r="J30" i="18" s="1"/>
  <c r="C26" i="23"/>
  <c r="C24" i="23"/>
  <c r="X27" i="18"/>
  <c r="X29" i="18"/>
  <c r="X30" i="18" s="1"/>
  <c r="Y57" i="14"/>
  <c r="Y75" i="14" s="1"/>
  <c r="N21" i="20"/>
  <c r="N23" i="20" s="1"/>
  <c r="N7" i="19"/>
  <c r="P6" i="26"/>
  <c r="AP72" i="14"/>
  <c r="AP74" i="14" s="1"/>
  <c r="AB27" i="15"/>
  <c r="AB29" i="15"/>
  <c r="AP21" i="23"/>
  <c r="AP23" i="23" s="1"/>
  <c r="P6" i="34"/>
  <c r="AP14" i="23"/>
  <c r="AS26" i="23"/>
  <c r="AS24" i="23"/>
  <c r="BA14" i="17"/>
  <c r="BA8" i="17" s="1"/>
  <c r="BA12" i="17" s="1"/>
  <c r="BA49" i="14" s="1"/>
  <c r="BA21" i="17"/>
  <c r="BA23" i="17" s="1"/>
  <c r="D26" i="21"/>
  <c r="S41" i="13"/>
  <c r="S15" i="12"/>
  <c r="S22" i="12" s="1"/>
  <c r="S23" i="12" s="1"/>
  <c r="AP27" i="20"/>
  <c r="AP29" i="20"/>
  <c r="BB16" i="13"/>
  <c r="BB15" i="13" s="1"/>
  <c r="BB29" i="13" s="1"/>
  <c r="BB10" i="12"/>
  <c r="BB9" i="12" s="1"/>
  <c r="U41" i="13"/>
  <c r="U15" i="12"/>
  <c r="U22" i="12" s="1"/>
  <c r="U23" i="12" s="1"/>
  <c r="L16" i="26"/>
  <c r="AL73" i="14"/>
  <c r="C57" i="14"/>
  <c r="C75" i="14" s="1"/>
  <c r="B14" i="31"/>
  <c r="AB8" i="20"/>
  <c r="Y7" i="19"/>
  <c r="C16" i="26"/>
  <c r="AC73" i="14"/>
  <c r="X26" i="20"/>
  <c r="J8" i="19"/>
  <c r="AO52" i="13"/>
  <c r="M14" i="26"/>
  <c r="M6" i="31"/>
  <c r="AM14" i="20"/>
  <c r="AM7" i="19"/>
  <c r="M6" i="30" s="1"/>
  <c r="AM21" i="20"/>
  <c r="AM23" i="20" s="1"/>
  <c r="F6" i="32"/>
  <c r="AF14" i="21"/>
  <c r="AF21" i="21"/>
  <c r="AF23" i="21" s="1"/>
  <c r="AT16" i="13"/>
  <c r="AT11" i="12"/>
  <c r="BF21" i="15"/>
  <c r="BF23" i="15" s="1"/>
  <c r="BF14" i="15"/>
  <c r="BF8" i="15" s="1"/>
  <c r="BF12" i="15" s="1"/>
  <c r="BF24" i="13" s="1"/>
  <c r="BF23" i="13" s="1"/>
  <c r="BF15" i="13" s="1"/>
  <c r="BF29" i="13" s="1"/>
  <c r="I6" i="27"/>
  <c r="AI21" i="15"/>
  <c r="AI23" i="15" s="1"/>
  <c r="AI14" i="15"/>
  <c r="AS7" i="12"/>
  <c r="AA8" i="15"/>
  <c r="AA14" i="15" s="1"/>
  <c r="AA24" i="15" s="1"/>
  <c r="AA28" i="15"/>
  <c r="Q28" i="15"/>
  <c r="Q8" i="15"/>
  <c r="Q14" i="15" s="1"/>
  <c r="Q24" i="15" s="1"/>
  <c r="L29" i="15"/>
  <c r="L30" i="15" s="1"/>
  <c r="L27" i="15"/>
  <c r="AS13" i="12"/>
  <c r="BD7" i="12"/>
  <c r="L24" i="23"/>
  <c r="L26" i="23"/>
  <c r="J8" i="29"/>
  <c r="AJ28" i="22"/>
  <c r="R27" i="23"/>
  <c r="R29" i="23"/>
  <c r="R30" i="23" s="1"/>
  <c r="AR26" i="22"/>
  <c r="AR24" i="22"/>
  <c r="AW14" i="21"/>
  <c r="AW8" i="21" s="1"/>
  <c r="AW12" i="21" s="1"/>
  <c r="AW45" i="14" s="1"/>
  <c r="AW21" i="21"/>
  <c r="AW23" i="21" s="1"/>
  <c r="P8" i="29"/>
  <c r="AP28" i="22"/>
  <c r="D6" i="33"/>
  <c r="AD21" i="18"/>
  <c r="AD23" i="18" s="1"/>
  <c r="AD14" i="18"/>
  <c r="AX24" i="23"/>
  <c r="P8" i="33"/>
  <c r="AP28" i="18"/>
  <c r="P21" i="20"/>
  <c r="P23" i="20" s="1"/>
  <c r="P7" i="19"/>
  <c r="J8" i="33"/>
  <c r="AJ28" i="18"/>
  <c r="M6" i="27"/>
  <c r="AM21" i="15"/>
  <c r="AM23" i="15" s="1"/>
  <c r="AM14" i="15"/>
  <c r="BD21" i="18"/>
  <c r="BD23" i="18" s="1"/>
  <c r="BD14" i="18"/>
  <c r="BD8" i="18" s="1"/>
  <c r="BD12" i="18" s="1"/>
  <c r="BD44" i="14" s="1"/>
  <c r="BD43" i="14" s="1"/>
  <c r="F14" i="33"/>
  <c r="AF8" i="18"/>
  <c r="AF12" i="18" s="1"/>
  <c r="J6" i="33"/>
  <c r="AJ14" i="18"/>
  <c r="AJ21" i="18"/>
  <c r="AJ23" i="18" s="1"/>
  <c r="M8" i="33"/>
  <c r="AM28" i="18"/>
  <c r="BD26" i="20"/>
  <c r="BD24" i="20"/>
  <c r="AR14" i="15"/>
  <c r="AR8" i="15" s="1"/>
  <c r="AR12" i="15" s="1"/>
  <c r="AR24" i="13" s="1"/>
  <c r="AR23" i="13" s="1"/>
  <c r="AR15" i="13" s="1"/>
  <c r="AR29" i="13" s="1"/>
  <c r="AR21" i="15"/>
  <c r="AR23" i="15" s="1"/>
  <c r="Y26" i="20"/>
  <c r="AQ12" i="20"/>
  <c r="AQ8" i="19"/>
  <c r="E29" i="18"/>
  <c r="E30" i="18" s="1"/>
  <c r="E27" i="18"/>
  <c r="AT14" i="17"/>
  <c r="AT8" i="17" s="1"/>
  <c r="AT12" i="17" s="1"/>
  <c r="AT49" i="14" s="1"/>
  <c r="AT21" i="17"/>
  <c r="AT23" i="17" s="1"/>
  <c r="P41" i="13"/>
  <c r="P42" i="13" s="1"/>
  <c r="P43" i="13" s="1"/>
  <c r="P15" i="12"/>
  <c r="P22" i="12" s="1"/>
  <c r="P23" i="12" s="1"/>
  <c r="N17" i="25"/>
  <c r="BW39" i="13"/>
  <c r="AN15" i="12"/>
  <c r="AN41" i="13"/>
  <c r="K25" i="14"/>
  <c r="K72" i="14" s="1"/>
  <c r="K74" i="14" s="1"/>
  <c r="K75" i="14" s="1"/>
  <c r="K6" i="12"/>
  <c r="M17" i="25"/>
  <c r="AM15" i="12"/>
  <c r="AM41" i="13"/>
  <c r="BV39" i="13"/>
  <c r="E5" i="26"/>
  <c r="AE25" i="14"/>
  <c r="BC12" i="16"/>
  <c r="BC25" i="13" s="1"/>
  <c r="W11" i="12"/>
  <c r="W9" i="12" s="1"/>
  <c r="W8" i="12" s="1"/>
  <c r="J3" i="25"/>
  <c r="AJ4" i="12"/>
  <c r="BB4" i="12"/>
  <c r="BB7" i="12" s="1"/>
  <c r="Q24" i="16"/>
  <c r="Q26" i="16"/>
  <c r="P27" i="16"/>
  <c r="P29" i="16"/>
  <c r="P30" i="16" s="1"/>
  <c r="P10" i="25"/>
  <c r="AP47" i="13"/>
  <c r="AP10" i="12"/>
  <c r="AP16" i="13"/>
  <c r="BG21" i="18"/>
  <c r="BG23" i="18" s="1"/>
  <c r="BG14" i="18"/>
  <c r="BG8" i="18" s="1"/>
  <c r="BG12" i="18" s="1"/>
  <c r="BG44" i="14" s="1"/>
  <c r="BG24" i="16"/>
  <c r="BG26" i="16"/>
  <c r="AX21" i="18"/>
  <c r="AX23" i="18" s="1"/>
  <c r="AX14" i="18"/>
  <c r="AX8" i="18" s="1"/>
  <c r="AX12" i="18" s="1"/>
  <c r="AX44" i="14" s="1"/>
  <c r="M4" i="25"/>
  <c r="AM13" i="13"/>
  <c r="AM5" i="12"/>
  <c r="M4" i="24" s="1"/>
  <c r="AT13" i="12"/>
  <c r="W25" i="14"/>
  <c r="W72" i="14" s="1"/>
  <c r="W74" i="14" s="1"/>
  <c r="W75" i="14" s="1"/>
  <c r="V10" i="12"/>
  <c r="V9" i="12" s="1"/>
  <c r="V8" i="12" s="1"/>
  <c r="F14" i="35"/>
  <c r="AF8" i="17"/>
  <c r="AF12" i="17" s="1"/>
  <c r="L10" i="24"/>
  <c r="AL33" i="12"/>
  <c r="AL68" i="12" s="1"/>
  <c r="AL69" i="12" s="1"/>
  <c r="I10" i="26"/>
  <c r="AI28" i="14"/>
  <c r="H11" i="12"/>
  <c r="H9" i="12" s="1"/>
  <c r="H8" i="12" s="1"/>
  <c r="H14" i="12" s="1"/>
  <c r="H24" i="12" s="1"/>
  <c r="G9" i="12"/>
  <c r="G8" i="12" s="1"/>
  <c r="G14" i="12" s="1"/>
  <c r="G24" i="12" s="1"/>
  <c r="AG4" i="12"/>
  <c r="H10" i="24"/>
  <c r="AH33" i="12"/>
  <c r="AH68" i="12" s="1"/>
  <c r="AH69" i="12" s="1"/>
  <c r="AN25" i="14"/>
  <c r="L29" i="22"/>
  <c r="L30" i="22" s="1"/>
  <c r="L27" i="22"/>
  <c r="U8" i="16"/>
  <c r="U14" i="16" s="1"/>
  <c r="U24" i="16" s="1"/>
  <c r="U28" i="16"/>
  <c r="M29" i="23"/>
  <c r="M30" i="23" s="1"/>
  <c r="M27" i="23"/>
  <c r="AL24" i="23"/>
  <c r="AL26" i="23"/>
  <c r="C3" i="25"/>
  <c r="AC4" i="12"/>
  <c r="M16" i="26"/>
  <c r="AM73" i="14"/>
  <c r="F5" i="25"/>
  <c r="AF6" i="12"/>
  <c r="F5" i="24" s="1"/>
  <c r="AF13" i="13"/>
  <c r="B9" i="25"/>
  <c r="E8" i="31"/>
  <c r="AE28" i="20"/>
  <c r="AE9" i="19"/>
  <c r="E8" i="30" s="1"/>
  <c r="AL24" i="18"/>
  <c r="AL26" i="18"/>
  <c r="D16" i="26"/>
  <c r="AD73" i="14"/>
  <c r="BE25" i="14"/>
  <c r="BE72" i="14" s="1"/>
  <c r="BE74" i="14" s="1"/>
  <c r="D7" i="19"/>
  <c r="U16" i="13"/>
  <c r="U15" i="13" s="1"/>
  <c r="U29" i="13" s="1"/>
  <c r="U10" i="12"/>
  <c r="U9" i="12" s="1"/>
  <c r="U8" i="12" s="1"/>
  <c r="Q32" i="18"/>
  <c r="Q14" i="18"/>
  <c r="T28" i="14"/>
  <c r="T27" i="14" s="1"/>
  <c r="W14" i="19"/>
  <c r="Q25" i="14"/>
  <c r="Q72" i="14" s="1"/>
  <c r="Q74" i="14" s="1"/>
  <c r="Q75" i="14" s="1"/>
  <c r="Q6" i="12"/>
  <c r="E9" i="26"/>
  <c r="T13" i="13"/>
  <c r="T40" i="13" s="1"/>
  <c r="T42" i="13" s="1"/>
  <c r="T43" i="13" s="1"/>
  <c r="T6" i="12"/>
  <c r="C8" i="35"/>
  <c r="AC28" i="17"/>
  <c r="O15" i="12"/>
  <c r="O22" i="12" s="1"/>
  <c r="O23" i="12" s="1"/>
  <c r="B15" i="27"/>
  <c r="AB8" i="15"/>
  <c r="AX4" i="14"/>
  <c r="AX4" i="12" s="1"/>
  <c r="AX7" i="12" s="1"/>
  <c r="D13" i="13"/>
  <c r="D40" i="13" s="1"/>
  <c r="D6" i="12"/>
  <c r="BB24" i="18"/>
  <c r="BB26" i="18"/>
  <c r="AF26" i="17"/>
  <c r="AF24" i="17"/>
  <c r="F27" i="15"/>
  <c r="F29" i="15"/>
  <c r="F30" i="15" s="1"/>
  <c r="C23" i="22"/>
  <c r="BF26" i="23"/>
  <c r="BF24" i="23"/>
  <c r="I8" i="19"/>
  <c r="K8" i="34"/>
  <c r="AK28" i="23"/>
  <c r="AF28" i="23"/>
  <c r="F8" i="34"/>
  <c r="AU26" i="23"/>
  <c r="AU24" i="23"/>
  <c r="N6" i="29"/>
  <c r="AN21" i="22"/>
  <c r="AN23" i="22" s="1"/>
  <c r="AN14" i="22"/>
  <c r="H8" i="31"/>
  <c r="AH28" i="20"/>
  <c r="AH9" i="19"/>
  <c r="H8" i="30" s="1"/>
  <c r="AA26" i="21"/>
  <c r="AT21" i="18"/>
  <c r="AT23" i="18" s="1"/>
  <c r="AT14" i="18"/>
  <c r="AT8" i="18" s="1"/>
  <c r="AT12" i="18" s="1"/>
  <c r="AT44" i="14" s="1"/>
  <c r="I14" i="20"/>
  <c r="I14" i="19" s="1"/>
  <c r="M8" i="29"/>
  <c r="AM28" i="22"/>
  <c r="J14" i="34"/>
  <c r="AJ8" i="23"/>
  <c r="AJ12" i="23" s="1"/>
  <c r="AX27" i="23"/>
  <c r="AX29" i="23"/>
  <c r="AX30" i="23" s="1"/>
  <c r="C9" i="19"/>
  <c r="C8" i="20"/>
  <c r="C28" i="20"/>
  <c r="AQ24" i="20"/>
  <c r="AQ26" i="20"/>
  <c r="M6" i="33"/>
  <c r="AM14" i="18"/>
  <c r="AM21" i="18"/>
  <c r="AM23" i="18" s="1"/>
  <c r="F8" i="29"/>
  <c r="AF28" i="22"/>
  <c r="AK26" i="17"/>
  <c r="AK24" i="17"/>
  <c r="N6" i="27"/>
  <c r="AN21" i="15"/>
  <c r="AN23" i="15" s="1"/>
  <c r="AN14" i="15"/>
  <c r="V24" i="15"/>
  <c r="V26" i="15"/>
  <c r="BA26" i="20"/>
  <c r="BA24" i="20"/>
  <c r="AQ14" i="19"/>
  <c r="AR7" i="12"/>
  <c r="N41" i="13"/>
  <c r="N15" i="12"/>
  <c r="N22" i="12" s="1"/>
  <c r="H75" i="14"/>
  <c r="K27" i="18"/>
  <c r="K10" i="26"/>
  <c r="AK28" i="14"/>
  <c r="BC24" i="16"/>
  <c r="BC26" i="16"/>
  <c r="J6" i="27"/>
  <c r="AJ21" i="15"/>
  <c r="AJ23" i="15" s="1"/>
  <c r="AJ14" i="15"/>
  <c r="D3" i="25"/>
  <c r="AD4" i="12"/>
  <c r="D9" i="12"/>
  <c r="D8" i="12" s="1"/>
  <c r="I14" i="12"/>
  <c r="I24" i="12" s="1"/>
  <c r="AH26" i="16"/>
  <c r="AH24" i="16"/>
  <c r="I21" i="5"/>
  <c r="I18" i="5"/>
  <c r="AF13" i="12"/>
  <c r="F13" i="24" s="1"/>
  <c r="H15" i="13"/>
  <c r="H29" i="13" s="1"/>
  <c r="E28" i="15"/>
  <c r="E29" i="15" s="1"/>
  <c r="E30" i="15" s="1"/>
  <c r="E8" i="15"/>
  <c r="E14" i="15" s="1"/>
  <c r="E24" i="15" s="1"/>
  <c r="AE6" i="12"/>
  <c r="E5" i="24" s="1"/>
  <c r="X42" i="13"/>
  <c r="W26" i="13"/>
  <c r="K13" i="12"/>
  <c r="K14" i="12" s="1"/>
  <c r="K24" i="12" s="1"/>
  <c r="N26" i="18"/>
  <c r="AT14" i="16"/>
  <c r="AT8" i="16" s="1"/>
  <c r="AT12" i="16" s="1"/>
  <c r="AT25" i="13" s="1"/>
  <c r="AT21" i="16"/>
  <c r="AT23" i="16" s="1"/>
  <c r="Q15" i="12"/>
  <c r="Q22" i="12" s="1"/>
  <c r="Q23" i="12" s="1"/>
  <c r="Q24" i="12" s="1"/>
  <c r="Q41" i="13"/>
  <c r="G5" i="26"/>
  <c r="AG25" i="14"/>
  <c r="K6" i="29"/>
  <c r="AK21" i="22"/>
  <c r="AK23" i="22" s="1"/>
  <c r="AK14" i="22"/>
  <c r="N6" i="34"/>
  <c r="AN14" i="23"/>
  <c r="AN21" i="23"/>
  <c r="AN23" i="23" s="1"/>
  <c r="AK24" i="23"/>
  <c r="AK26" i="23"/>
  <c r="P10" i="26"/>
  <c r="AP28" i="14"/>
  <c r="T27" i="16"/>
  <c r="T29" i="16"/>
  <c r="T30" i="16" s="1"/>
  <c r="AL21" i="16"/>
  <c r="AL23" i="16" s="1"/>
  <c r="AL14" i="16"/>
  <c r="L6" i="28"/>
  <c r="L5" i="26"/>
  <c r="AL25" i="14"/>
  <c r="U28" i="20"/>
  <c r="U29" i="20" s="1"/>
  <c r="U30" i="20" s="1"/>
  <c r="U9" i="19"/>
  <c r="U8" i="20"/>
  <c r="U27" i="20" s="1"/>
  <c r="O26" i="23"/>
  <c r="P6" i="33"/>
  <c r="AP21" i="18"/>
  <c r="AP23" i="18" s="1"/>
  <c r="AP14" i="18"/>
  <c r="X29" i="13"/>
  <c r="X13" i="12"/>
  <c r="X14" i="12" s="1"/>
  <c r="AW16" i="13"/>
  <c r="S25" i="14"/>
  <c r="S72" i="14" s="1"/>
  <c r="S74" i="14" s="1"/>
  <c r="AX15" i="13"/>
  <c r="AX29" i="13" s="1"/>
  <c r="R29" i="13"/>
  <c r="R13" i="12"/>
  <c r="R14" i="12" s="1"/>
  <c r="BC28" i="14"/>
  <c r="AA75" i="14"/>
  <c r="BW27" i="13"/>
  <c r="AN17" i="13"/>
  <c r="BF21" i="16"/>
  <c r="BF23" i="16" s="1"/>
  <c r="BF14" i="16"/>
  <c r="BF8" i="16" s="1"/>
  <c r="BF12" i="16" s="1"/>
  <c r="BF25" i="13" s="1"/>
  <c r="AF4" i="12"/>
  <c r="B5" i="26"/>
  <c r="Z11" i="12"/>
  <c r="AK24" i="16"/>
  <c r="AK26" i="16"/>
  <c r="F4" i="26"/>
  <c r="AF79" i="14"/>
  <c r="AF5" i="12"/>
  <c r="F4" i="24" s="1"/>
  <c r="G43" i="13"/>
  <c r="AG8" i="18"/>
  <c r="AG12" i="18" s="1"/>
  <c r="G14" i="33"/>
  <c r="AM14" i="16"/>
  <c r="AM21" i="16"/>
  <c r="AM23" i="16" s="1"/>
  <c r="M6" i="28"/>
  <c r="S14" i="19"/>
  <c r="E7" i="19"/>
  <c r="E21" i="20"/>
  <c r="E23" i="20" s="1"/>
  <c r="B8" i="29"/>
  <c r="AB28" i="22"/>
  <c r="M6" i="35"/>
  <c r="AM21" i="17"/>
  <c r="AM23" i="17" s="1"/>
  <c r="AM14" i="17"/>
  <c r="I9" i="27"/>
  <c r="AI28" i="15"/>
  <c r="BN13" i="15"/>
  <c r="O27" i="22"/>
  <c r="O29" i="22"/>
  <c r="O30" i="22" s="1"/>
  <c r="M28" i="16"/>
  <c r="M29" i="16" s="1"/>
  <c r="M30" i="16" s="1"/>
  <c r="M8" i="16"/>
  <c r="M14" i="16" s="1"/>
  <c r="M24" i="16" s="1"/>
  <c r="J8" i="32"/>
  <c r="AJ28" i="21"/>
  <c r="T26" i="23"/>
  <c r="T24" i="23"/>
  <c r="F6" i="29"/>
  <c r="AF21" i="22"/>
  <c r="AF23" i="22" s="1"/>
  <c r="AF14" i="22"/>
  <c r="AB28" i="23"/>
  <c r="B8" i="34"/>
  <c r="G8" i="31"/>
  <c r="AG28" i="20"/>
  <c r="AG9" i="19"/>
  <c r="G8" i="30" s="1"/>
  <c r="BC24" i="23"/>
  <c r="AZ26" i="23"/>
  <c r="AZ24" i="23"/>
  <c r="F27" i="23"/>
  <c r="F29" i="23"/>
  <c r="F30" i="23" s="1"/>
  <c r="AH24" i="23"/>
  <c r="AH26" i="23"/>
  <c r="N8" i="19"/>
  <c r="N14" i="20"/>
  <c r="N14" i="19" s="1"/>
  <c r="I27" i="21"/>
  <c r="I29" i="21"/>
  <c r="I30" i="21" s="1"/>
  <c r="P6" i="28"/>
  <c r="AP14" i="16"/>
  <c r="AP21" i="16"/>
  <c r="AP23" i="16" s="1"/>
  <c r="P6" i="35"/>
  <c r="AP21" i="17"/>
  <c r="AP23" i="17" s="1"/>
  <c r="AP14" i="17"/>
  <c r="E14" i="32"/>
  <c r="AE8" i="21"/>
  <c r="AE12" i="21" s="1"/>
  <c r="N6" i="35"/>
  <c r="AN21" i="17"/>
  <c r="AN23" i="17" s="1"/>
  <c r="AN14" i="17"/>
  <c r="BG24" i="22"/>
  <c r="BG26" i="22"/>
  <c r="X26" i="15"/>
  <c r="X24" i="15"/>
  <c r="K12" i="35"/>
  <c r="AK49" i="14"/>
  <c r="W27" i="15"/>
  <c r="W29" i="15"/>
  <c r="W30" i="15" s="1"/>
  <c r="K11" i="25"/>
  <c r="BT29" i="13"/>
  <c r="AK11" i="12"/>
  <c r="AK52" i="13"/>
  <c r="R41" i="13"/>
  <c r="R15" i="12"/>
  <c r="R22" i="12" s="1"/>
  <c r="R23" i="12" s="1"/>
  <c r="E12" i="12"/>
  <c r="E8" i="12" s="1"/>
  <c r="E14" i="12" s="1"/>
  <c r="E24" i="12" s="1"/>
  <c r="N6" i="31"/>
  <c r="AN14" i="20"/>
  <c r="AN7" i="19"/>
  <c r="N6" i="30" s="1"/>
  <c r="AN21" i="20"/>
  <c r="AN23" i="20" s="1"/>
  <c r="U28" i="14"/>
  <c r="U27" i="14" s="1"/>
  <c r="Q26" i="20"/>
  <c r="AH8" i="18"/>
  <c r="AH12" i="18" s="1"/>
  <c r="H14" i="33"/>
  <c r="L16" i="13"/>
  <c r="L15" i="13" s="1"/>
  <c r="L29" i="13" s="1"/>
  <c r="L10" i="12"/>
  <c r="L9" i="12" s="1"/>
  <c r="L8" i="12" s="1"/>
  <c r="L14" i="12" s="1"/>
  <c r="L24" i="12" s="1"/>
  <c r="G12" i="35"/>
  <c r="AG49" i="14"/>
  <c r="N4" i="12"/>
  <c r="N7" i="12" s="1"/>
  <c r="N21" i="12" s="1"/>
  <c r="N23" i="12" s="1"/>
  <c r="N24" i="12" s="1"/>
  <c r="N13" i="13"/>
  <c r="N40" i="13" s="1"/>
  <c r="N42" i="13" s="1"/>
  <c r="N43" i="13" s="1"/>
  <c r="AY26" i="17"/>
  <c r="AY24" i="17"/>
  <c r="B10" i="26"/>
  <c r="AB28" i="14"/>
  <c r="D6" i="28"/>
  <c r="AD21" i="16"/>
  <c r="AD23" i="16" s="1"/>
  <c r="AD14" i="16"/>
  <c r="BE12" i="16"/>
  <c r="BE25" i="13" s="1"/>
  <c r="AY14" i="16"/>
  <c r="AY8" i="16" s="1"/>
  <c r="AY12" i="16" s="1"/>
  <c r="AY25" i="13" s="1"/>
  <c r="AY21" i="16"/>
  <c r="AY23" i="16" s="1"/>
  <c r="C9" i="25"/>
  <c r="AH24" i="15"/>
  <c r="AH26" i="15"/>
  <c r="AZ23" i="13"/>
  <c r="AC24" i="15"/>
  <c r="AC26" i="15"/>
  <c r="B6" i="25"/>
  <c r="AB40" i="13"/>
  <c r="AB42" i="13" s="1"/>
  <c r="I8" i="35"/>
  <c r="AI28" i="17"/>
  <c r="M13" i="13"/>
  <c r="M40" i="13" s="1"/>
  <c r="M42" i="13" s="1"/>
  <c r="M43" i="13" s="1"/>
  <c r="AX10" i="12"/>
  <c r="AX9" i="12" s="1"/>
  <c r="F15" i="13"/>
  <c r="F29" i="13" s="1"/>
  <c r="F43" i="13" s="1"/>
  <c r="AG28" i="14"/>
  <c r="J16" i="13"/>
  <c r="J15" i="13" s="1"/>
  <c r="J29" i="13" s="1"/>
  <c r="J43" i="13" s="1"/>
  <c r="J10" i="12"/>
  <c r="J9" i="12" s="1"/>
  <c r="J8" i="12" s="1"/>
  <c r="AK15" i="12"/>
  <c r="AA28" i="20"/>
  <c r="AA9" i="19"/>
  <c r="AA8" i="20"/>
  <c r="S24" i="16"/>
  <c r="S26" i="16"/>
  <c r="C27" i="15"/>
  <c r="C29" i="15"/>
  <c r="C30" i="15" s="1"/>
  <c r="T26" i="15"/>
  <c r="T24" i="15"/>
  <c r="BB14" i="21"/>
  <c r="BB8" i="21" s="1"/>
  <c r="BB12" i="21" s="1"/>
  <c r="BB45" i="14" s="1"/>
  <c r="BB43" i="14" s="1"/>
  <c r="BB27" i="14" s="1"/>
  <c r="BB57" i="14" s="1"/>
  <c r="BB75" i="14" s="1"/>
  <c r="BB21" i="21"/>
  <c r="BB23" i="21" s="1"/>
  <c r="R25" i="14"/>
  <c r="R72" i="14" s="1"/>
  <c r="R74" i="14" s="1"/>
  <c r="R75" i="14" s="1"/>
  <c r="F6" i="28"/>
  <c r="AF21" i="16"/>
  <c r="AF23" i="16" s="1"/>
  <c r="AF14" i="16"/>
  <c r="S24" i="20"/>
  <c r="S26" i="20"/>
  <c r="AS12" i="18"/>
  <c r="AS44" i="14" s="1"/>
  <c r="L8" i="33"/>
  <c r="AL28" i="18"/>
  <c r="F24" i="18"/>
  <c r="F26" i="18"/>
  <c r="AD28" i="14"/>
  <c r="N14" i="25"/>
  <c r="AN13" i="12"/>
  <c r="N13" i="24" s="1"/>
  <c r="G8" i="33"/>
  <c r="AG28" i="18"/>
  <c r="G24" i="21"/>
  <c r="G26" i="21"/>
  <c r="L25" i="14"/>
  <c r="L72" i="14" s="1"/>
  <c r="L74" i="14" s="1"/>
  <c r="G6" i="29"/>
  <c r="AG14" i="22"/>
  <c r="AG21" i="22"/>
  <c r="AG23" i="22" s="1"/>
  <c r="O24" i="21"/>
  <c r="O26" i="21"/>
  <c r="AA29" i="18"/>
  <c r="AA30" i="18" s="1"/>
  <c r="AA27" i="18"/>
  <c r="AC24" i="17"/>
  <c r="AC26" i="17"/>
  <c r="N11" i="25"/>
  <c r="BW29" i="13"/>
  <c r="AN52" i="13"/>
  <c r="AN11" i="12"/>
  <c r="AR13" i="12"/>
  <c r="L14" i="25"/>
  <c r="AL13" i="12"/>
  <c r="L13" i="24" s="1"/>
  <c r="M24" i="15"/>
  <c r="M26" i="15"/>
  <c r="AT15" i="12"/>
  <c r="AT22" i="12" s="1"/>
  <c r="AZ24" i="15"/>
  <c r="AZ26" i="15"/>
  <c r="O8" i="23"/>
  <c r="O14" i="23" s="1"/>
  <c r="O24" i="23" s="1"/>
  <c r="O28" i="23"/>
  <c r="F8" i="22"/>
  <c r="F14" i="22" s="1"/>
  <c r="F28" i="22"/>
  <c r="BE21" i="20"/>
  <c r="BE23" i="20" s="1"/>
  <c r="BE14" i="20"/>
  <c r="BE8" i="20" s="1"/>
  <c r="BE12" i="20" s="1"/>
  <c r="BE46" i="14" s="1"/>
  <c r="BE43" i="14" s="1"/>
  <c r="BE27" i="14" s="1"/>
  <c r="BE57" i="14" s="1"/>
  <c r="G8" i="29"/>
  <c r="AG28" i="22"/>
  <c r="R24" i="22"/>
  <c r="R26" i="22"/>
  <c r="BC29" i="23"/>
  <c r="BC30" i="23" s="1"/>
  <c r="BC27" i="23"/>
  <c r="D8" i="31"/>
  <c r="AD28" i="20"/>
  <c r="AD9" i="19"/>
  <c r="D8" i="30" s="1"/>
  <c r="C8" i="31"/>
  <c r="AC28" i="20"/>
  <c r="AC9" i="19"/>
  <c r="C8" i="30" s="1"/>
  <c r="F12" i="34"/>
  <c r="AF48" i="14"/>
  <c r="O6" i="31"/>
  <c r="AO14" i="20"/>
  <c r="AO7" i="19"/>
  <c r="O6" i="30" s="1"/>
  <c r="AO21" i="20"/>
  <c r="AO23" i="20" s="1"/>
  <c r="X8" i="20"/>
  <c r="X28" i="20"/>
  <c r="X9" i="19"/>
  <c r="AV14" i="17"/>
  <c r="AV8" i="17" s="1"/>
  <c r="AV12" i="17" s="1"/>
  <c r="AV49" i="14" s="1"/>
  <c r="AV21" i="17"/>
  <c r="AV23" i="17" s="1"/>
  <c r="AE24" i="21"/>
  <c r="AE26" i="21"/>
  <c r="F10" i="26"/>
  <c r="AF28" i="14"/>
  <c r="BA24" i="22"/>
  <c r="BA26" i="22"/>
  <c r="AV24" i="22"/>
  <c r="AV26" i="22"/>
  <c r="O12" i="33"/>
  <c r="AO44" i="14"/>
  <c r="J16" i="26"/>
  <c r="AJ73" i="14"/>
  <c r="AV14" i="15"/>
  <c r="AV8" i="15" s="1"/>
  <c r="AV12" i="15" s="1"/>
  <c r="AV24" i="13" s="1"/>
  <c r="AV23" i="13" s="1"/>
  <c r="AV21" i="15"/>
  <c r="AV23" i="15" s="1"/>
  <c r="AS14" i="17"/>
  <c r="AS8" i="17" s="1"/>
  <c r="AS12" i="17" s="1"/>
  <c r="AS49" i="14" s="1"/>
  <c r="AS21" i="17"/>
  <c r="AS23" i="17" s="1"/>
  <c r="AI17" i="13"/>
  <c r="BE12" i="17"/>
  <c r="BE49" i="14" s="1"/>
  <c r="AP21" i="21"/>
  <c r="AP23" i="21" s="1"/>
  <c r="AP14" i="21"/>
  <c r="AP7" i="19"/>
  <c r="P6" i="30" s="1"/>
  <c r="J24" i="21"/>
  <c r="J26" i="21"/>
  <c r="AT9" i="12"/>
  <c r="N26" i="15"/>
  <c r="N24" i="15"/>
  <c r="AY12" i="17"/>
  <c r="AY49" i="14" s="1"/>
  <c r="I16" i="26"/>
  <c r="AI73" i="14"/>
  <c r="AI15" i="12"/>
  <c r="B8" i="35"/>
  <c r="AB28" i="17"/>
  <c r="O5" i="25"/>
  <c r="AO13" i="13"/>
  <c r="AO6" i="12"/>
  <c r="O5" i="24" s="1"/>
  <c r="H15" i="27"/>
  <c r="AH8" i="15"/>
  <c r="BB27" i="17"/>
  <c r="H27" i="15"/>
  <c r="H29" i="15"/>
  <c r="H30" i="15" s="1"/>
  <c r="C15" i="27"/>
  <c r="AC8" i="15"/>
  <c r="D9" i="25"/>
  <c r="X9" i="12"/>
  <c r="X8" i="12" s="1"/>
  <c r="AM4" i="12"/>
  <c r="BD27" i="14"/>
  <c r="BD57" i="14" s="1"/>
  <c r="BD75" i="14" s="1"/>
  <c r="BB13" i="13"/>
  <c r="H43" i="13"/>
  <c r="N9" i="27"/>
  <c r="BS13" i="15"/>
  <c r="AN28" i="15"/>
  <c r="J28" i="16"/>
  <c r="J8" i="16"/>
  <c r="J14" i="16" s="1"/>
  <c r="J6" i="28"/>
  <c r="AJ21" i="16"/>
  <c r="AJ23" i="16" s="1"/>
  <c r="AJ14" i="16"/>
  <c r="BA16" i="13"/>
  <c r="BA15" i="13" s="1"/>
  <c r="BA29" i="13" s="1"/>
  <c r="BA10" i="12"/>
  <c r="BA9" i="12" s="1"/>
  <c r="AD29" i="20"/>
  <c r="AW26" i="20"/>
  <c r="AW24" i="20"/>
  <c r="BE21" i="15"/>
  <c r="BE23" i="15" s="1"/>
  <c r="BE14" i="15"/>
  <c r="BE8" i="15" s="1"/>
  <c r="BE12" i="15" s="1"/>
  <c r="BE24" i="13" s="1"/>
  <c r="D6" i="27"/>
  <c r="AD14" i="15"/>
  <c r="AD21" i="15"/>
  <c r="AD23" i="15" s="1"/>
  <c r="G26" i="23"/>
  <c r="G24" i="23"/>
  <c r="K8" i="32"/>
  <c r="AK28" i="21"/>
  <c r="AN4" i="12"/>
  <c r="Q16" i="13"/>
  <c r="Q15" i="13" s="1"/>
  <c r="Q29" i="13" s="1"/>
  <c r="Q10" i="12"/>
  <c r="Q9" i="12" s="1"/>
  <c r="Q8" i="12" s="1"/>
  <c r="BD24" i="22"/>
  <c r="BD26" i="22"/>
  <c r="AT14" i="15"/>
  <c r="AT8" i="15" s="1"/>
  <c r="AT12" i="15" s="1"/>
  <c r="AT24" i="13" s="1"/>
  <c r="AT23" i="13" s="1"/>
  <c r="AT21" i="15"/>
  <c r="AT23" i="15" s="1"/>
  <c r="H6" i="29"/>
  <c r="AH21" i="22"/>
  <c r="AH23" i="22" s="1"/>
  <c r="AH14" i="22"/>
  <c r="AR24" i="21"/>
  <c r="AR26" i="21"/>
  <c r="BB29" i="23"/>
  <c r="BB30" i="23" s="1"/>
  <c r="BB27" i="23"/>
  <c r="Y8" i="18"/>
  <c r="Y28" i="18"/>
  <c r="F7" i="22"/>
  <c r="F21" i="22" s="1"/>
  <c r="F23" i="22" s="1"/>
  <c r="F8" i="14"/>
  <c r="Z7" i="22"/>
  <c r="Z8" i="14"/>
  <c r="I8" i="31"/>
  <c r="AI9" i="19"/>
  <c r="I8" i="30" s="1"/>
  <c r="AI28" i="20"/>
  <c r="K8" i="33"/>
  <c r="AK28" i="18"/>
  <c r="Z28" i="21"/>
  <c r="Z8" i="21"/>
  <c r="Z14" i="21" s="1"/>
  <c r="Z24" i="21" s="1"/>
  <c r="L9" i="19"/>
  <c r="Z26" i="17"/>
  <c r="Z24" i="17"/>
  <c r="AS12" i="20"/>
  <c r="AS8" i="19"/>
  <c r="P29" i="22"/>
  <c r="P30" i="22" s="1"/>
  <c r="P27" i="22"/>
  <c r="AV15" i="13"/>
  <c r="AV29" i="13" s="1"/>
  <c r="M10" i="12"/>
  <c r="M9" i="12" s="1"/>
  <c r="M8" i="12" s="1"/>
  <c r="M16" i="13"/>
  <c r="M15" i="13" s="1"/>
  <c r="M29" i="13" s="1"/>
  <c r="BC25" i="14"/>
  <c r="BC72" i="14" s="1"/>
  <c r="BC74" i="14" s="1"/>
  <c r="BF24" i="17"/>
  <c r="BF26" i="17"/>
  <c r="BE23" i="17"/>
  <c r="V57" i="14"/>
  <c r="M5" i="26"/>
  <c r="AM6" i="12"/>
  <c r="M5" i="24" s="1"/>
  <c r="AM25" i="14"/>
  <c r="U13" i="13"/>
  <c r="U40" i="13" s="1"/>
  <c r="U6" i="12"/>
  <c r="L6" i="25"/>
  <c r="AL40" i="13"/>
  <c r="O25" i="14"/>
  <c r="O72" i="14" s="1"/>
  <c r="O74" i="14" s="1"/>
  <c r="O75" i="14" s="1"/>
  <c r="O6" i="12"/>
  <c r="C6" i="28"/>
  <c r="AC21" i="16"/>
  <c r="AC23" i="16" s="1"/>
  <c r="AC14" i="16"/>
  <c r="AB4" i="14"/>
  <c r="BB30" i="17"/>
  <c r="Z9" i="12"/>
  <c r="Z8" i="12" s="1"/>
  <c r="D9" i="24"/>
  <c r="AD32" i="12"/>
  <c r="AD9" i="12"/>
  <c r="P3" i="24"/>
  <c r="AP7" i="12"/>
  <c r="M14" i="25"/>
  <c r="AM13" i="12"/>
  <c r="M13" i="24" s="1"/>
  <c r="BE6" i="12"/>
  <c r="C10" i="12"/>
  <c r="C9" i="12" s="1"/>
  <c r="C8" i="12" s="1"/>
  <c r="BU27" i="13"/>
  <c r="AL17" i="13"/>
  <c r="N8" i="29"/>
  <c r="AN28" i="22"/>
  <c r="D8" i="32"/>
  <c r="AD28" i="21"/>
  <c r="E14" i="31"/>
  <c r="AE8" i="20"/>
  <c r="AE14" i="19"/>
  <c r="E14" i="30" s="1"/>
  <c r="BE26" i="18"/>
  <c r="BE24" i="18"/>
  <c r="U26" i="16"/>
  <c r="AY21" i="23"/>
  <c r="AY23" i="23" s="1"/>
  <c r="AY14" i="23"/>
  <c r="AY8" i="23" s="1"/>
  <c r="AY12" i="23" s="1"/>
  <c r="AY48" i="14" s="1"/>
  <c r="B8" i="33"/>
  <c r="AB28" i="18"/>
  <c r="N6" i="32"/>
  <c r="AN21" i="21"/>
  <c r="AN23" i="21" s="1"/>
  <c r="AN14" i="21"/>
  <c r="AR9" i="19"/>
  <c r="U26" i="23"/>
  <c r="U24" i="23"/>
  <c r="C6" i="34"/>
  <c r="AC21" i="23"/>
  <c r="AC23" i="23" s="1"/>
  <c r="AC14" i="23"/>
  <c r="N27" i="22"/>
  <c r="N29" i="22"/>
  <c r="N30" i="22" s="1"/>
  <c r="AI24" i="23"/>
  <c r="AI26" i="23"/>
  <c r="AF24" i="23"/>
  <c r="AF26" i="23"/>
  <c r="U26" i="18"/>
  <c r="U24" i="18"/>
  <c r="N32" i="18"/>
  <c r="N14" i="18"/>
  <c r="N24" i="18" s="1"/>
  <c r="V26" i="17"/>
  <c r="V24" i="17"/>
  <c r="E8" i="35"/>
  <c r="AE28" i="17"/>
  <c r="D6" i="32"/>
  <c r="AD21" i="21"/>
  <c r="AD23" i="21" s="1"/>
  <c r="AD14" i="21"/>
  <c r="BF73" i="14"/>
  <c r="BF15" i="12"/>
  <c r="BF22" i="12" s="1"/>
  <c r="X26" i="17"/>
  <c r="AQ28" i="14"/>
  <c r="G8" i="19"/>
  <c r="G14" i="20"/>
  <c r="G14" i="19" s="1"/>
  <c r="N6" i="33"/>
  <c r="AN21" i="18"/>
  <c r="AN23" i="18" s="1"/>
  <c r="AN14" i="18"/>
  <c r="L8" i="19"/>
  <c r="K6" i="27"/>
  <c r="AK21" i="15"/>
  <c r="AK23" i="15" s="1"/>
  <c r="AK14" i="15"/>
  <c r="L14" i="35"/>
  <c r="AL8" i="17"/>
  <c r="AL12" i="17" s="1"/>
  <c r="AU14" i="16"/>
  <c r="AU8" i="16" s="1"/>
  <c r="AU12" i="16" s="1"/>
  <c r="AU25" i="13" s="1"/>
  <c r="AU21" i="16"/>
  <c r="AU23" i="16" s="1"/>
  <c r="AZ24" i="22"/>
  <c r="AZ26" i="22"/>
  <c r="AS24" i="21"/>
  <c r="AS26" i="21"/>
  <c r="P32" i="18"/>
  <c r="P14" i="18"/>
  <c r="AQ23" i="21"/>
  <c r="J8" i="28"/>
  <c r="AJ28" i="16"/>
  <c r="W26" i="17"/>
  <c r="W24" i="17"/>
  <c r="BC13" i="12"/>
  <c r="AX26" i="20"/>
  <c r="AX24" i="20"/>
  <c r="I25" i="14"/>
  <c r="I72" i="14" s="1"/>
  <c r="I74" i="14" s="1"/>
  <c r="I75" i="14" s="1"/>
  <c r="S24" i="17"/>
  <c r="S26" i="17"/>
  <c r="T21" i="21"/>
  <c r="T23" i="21" s="1"/>
  <c r="T7" i="19"/>
  <c r="K3" i="26"/>
  <c r="AK4" i="12"/>
  <c r="H6" i="12"/>
  <c r="AL6" i="12"/>
  <c r="L5" i="24" s="1"/>
  <c r="N6" i="28"/>
  <c r="AN14" i="16"/>
  <c r="AN21" i="16"/>
  <c r="AN23" i="16" s="1"/>
  <c r="B6" i="33"/>
  <c r="AB21" i="18"/>
  <c r="AB23" i="18" s="1"/>
  <c r="AB14" i="18"/>
  <c r="M8" i="28"/>
  <c r="AM28" i="16"/>
  <c r="L43" i="13"/>
  <c r="E17" i="25"/>
  <c r="AE15" i="12"/>
  <c r="BN39" i="13"/>
  <c r="AE41" i="13"/>
  <c r="AZ13" i="12"/>
  <c r="K6" i="25"/>
  <c r="AK40" i="13"/>
  <c r="AK42" i="13" s="1"/>
  <c r="R16" i="13"/>
  <c r="R15" i="13" s="1"/>
  <c r="R10" i="12"/>
  <c r="R9" i="12" s="1"/>
  <c r="R8" i="12" s="1"/>
  <c r="U57" i="14"/>
  <c r="H3" i="24"/>
  <c r="AH7" i="12"/>
  <c r="BN28" i="13"/>
  <c r="AE17" i="13"/>
  <c r="F9" i="27"/>
  <c r="AF28" i="15"/>
  <c r="BK13" i="15"/>
  <c r="AR26" i="17"/>
  <c r="AR24" i="17"/>
  <c r="AS10" i="12"/>
  <c r="AS16" i="13"/>
  <c r="AO9" i="19"/>
  <c r="O8" i="30" s="1"/>
  <c r="AQ24" i="16"/>
  <c r="AQ26" i="16"/>
  <c r="AU26" i="18"/>
  <c r="AU24" i="18"/>
  <c r="BF4" i="12"/>
  <c r="AG23" i="18"/>
  <c r="AS26" i="18"/>
  <c r="AS24" i="18"/>
  <c r="H5" i="26"/>
  <c r="AH25" i="14"/>
  <c r="O6" i="32"/>
  <c r="AO21" i="21"/>
  <c r="AO23" i="21" s="1"/>
  <c r="AO14" i="21"/>
  <c r="BB24" i="22"/>
  <c r="BB26" i="22"/>
  <c r="E26" i="21"/>
  <c r="AH26" i="18"/>
  <c r="AH24" i="18"/>
  <c r="BB24" i="23"/>
  <c r="AA7" i="22"/>
  <c r="AA21" i="22" s="1"/>
  <c r="AA23" i="22" s="1"/>
  <c r="AA8" i="14"/>
  <c r="B6" i="34"/>
  <c r="AB14" i="23"/>
  <c r="AB21" i="23"/>
  <c r="AB23" i="23" s="1"/>
  <c r="M6" i="29"/>
  <c r="AM21" i="22"/>
  <c r="AM23" i="22" s="1"/>
  <c r="AM14" i="22"/>
  <c r="M21" i="20"/>
  <c r="M23" i="20" s="1"/>
  <c r="M7" i="19"/>
  <c r="H7" i="22"/>
  <c r="H21" i="22" s="1"/>
  <c r="H23" i="22" s="1"/>
  <c r="H8" i="14"/>
  <c r="O8" i="34"/>
  <c r="AO28" i="23"/>
  <c r="BG12" i="23"/>
  <c r="BG48" i="14" s="1"/>
  <c r="V26" i="21"/>
  <c r="T8" i="19"/>
  <c r="G9" i="19"/>
  <c r="AW24" i="22"/>
  <c r="AW26" i="22"/>
  <c r="AY21" i="18"/>
  <c r="AY23" i="18" s="1"/>
  <c r="AY14" i="18"/>
  <c r="AY8" i="18" s="1"/>
  <c r="AY12" i="18" s="1"/>
  <c r="AY44" i="14" s="1"/>
  <c r="AY43" i="14" s="1"/>
  <c r="I8" i="33"/>
  <c r="AI28" i="18"/>
  <c r="S24" i="18"/>
  <c r="S26" i="18"/>
  <c r="D28" i="21"/>
  <c r="D8" i="21"/>
  <c r="D14" i="21" s="1"/>
  <c r="D24" i="21" s="1"/>
  <c r="AH7" i="19"/>
  <c r="H6" i="30" s="1"/>
  <c r="BA26" i="21"/>
  <c r="BA24" i="21"/>
  <c r="AT12" i="20"/>
  <c r="AT8" i="19"/>
  <c r="AL23" i="17"/>
  <c r="AF7" i="19"/>
  <c r="F6" i="30" s="1"/>
  <c r="Y26" i="16"/>
  <c r="Y24" i="16"/>
  <c r="J11" i="25"/>
  <c r="BS29" i="13"/>
  <c r="AJ52" i="13"/>
  <c r="AJ16" i="13"/>
  <c r="AJ11" i="12"/>
  <c r="G14" i="25"/>
  <c r="AG13" i="12"/>
  <c r="G13" i="24" s="1"/>
  <c r="R21" i="20"/>
  <c r="R23" i="20" s="1"/>
  <c r="R7" i="19"/>
  <c r="BG23" i="13"/>
  <c r="BG15" i="13" s="1"/>
  <c r="BG29" i="13" s="1"/>
  <c r="BC4" i="12"/>
  <c r="BC7" i="12" s="1"/>
  <c r="AZ24" i="17"/>
  <c r="AZ26" i="17"/>
  <c r="AC15" i="12"/>
  <c r="BD24" i="17"/>
  <c r="BD26" i="17"/>
  <c r="AN9" i="19"/>
  <c r="N8" i="30" s="1"/>
  <c r="G24" i="16"/>
  <c r="G26" i="16"/>
  <c r="J27" i="15"/>
  <c r="J29" i="15"/>
  <c r="J30" i="15" s="1"/>
  <c r="U75" i="14"/>
  <c r="L27" i="16"/>
  <c r="L29" i="16"/>
  <c r="L30" i="16" s="1"/>
  <c r="G27" i="15"/>
  <c r="G29" i="15"/>
  <c r="G30" i="15" s="1"/>
  <c r="BA43" i="14"/>
  <c r="BA27" i="14" s="1"/>
  <c r="BA57" i="14" s="1"/>
  <c r="BA75" i="14" s="1"/>
  <c r="AA43" i="13"/>
  <c r="AZ6" i="12"/>
  <c r="L27" i="14"/>
  <c r="L57" i="14" s="1"/>
  <c r="AF17" i="13"/>
  <c r="BO28" i="13"/>
  <c r="AR25" i="14"/>
  <c r="AR72" i="14" s="1"/>
  <c r="F25" i="14"/>
  <c r="F72" i="14" s="1"/>
  <c r="F74" i="14" s="1"/>
  <c r="F75" i="14" s="1"/>
  <c r="R28" i="15"/>
  <c r="R8" i="15"/>
  <c r="R14" i="15" s="1"/>
  <c r="N26" i="16"/>
  <c r="S26" i="13"/>
  <c r="AZ29" i="21"/>
  <c r="AZ30" i="21" s="1"/>
  <c r="AZ27" i="21"/>
  <c r="E6" i="35"/>
  <c r="AE14" i="17"/>
  <c r="AE21" i="17"/>
  <c r="AE23" i="17" s="1"/>
  <c r="Y27" i="15"/>
  <c r="Y29" i="15"/>
  <c r="Y30" i="15" s="1"/>
  <c r="AO21" i="23"/>
  <c r="AO23" i="23" s="1"/>
  <c r="AO14" i="23"/>
  <c r="O6" i="34"/>
  <c r="M27" i="22"/>
  <c r="M29" i="22"/>
  <c r="M30" i="22" s="1"/>
  <c r="E6" i="33"/>
  <c r="AE21" i="18"/>
  <c r="AE23" i="18" s="1"/>
  <c r="AE14" i="18"/>
  <c r="C6" i="29"/>
  <c r="AC21" i="22"/>
  <c r="AC23" i="22" s="1"/>
  <c r="AC14" i="22"/>
  <c r="O6" i="29"/>
  <c r="AO21" i="22"/>
  <c r="AO23" i="22" s="1"/>
  <c r="AO14" i="22"/>
  <c r="U29" i="22"/>
  <c r="U30" i="22" s="1"/>
  <c r="U27" i="22"/>
  <c r="L8" i="34"/>
  <c r="AL28" i="23"/>
  <c r="R24" i="16"/>
  <c r="R26" i="16"/>
  <c r="L14" i="19"/>
  <c r="X28" i="21"/>
  <c r="X29" i="21" s="1"/>
  <c r="X30" i="21" s="1"/>
  <c r="X8" i="21"/>
  <c r="X14" i="21" s="1"/>
  <c r="X24" i="21" s="1"/>
  <c r="V28" i="21"/>
  <c r="V8" i="21"/>
  <c r="V14" i="21" s="1"/>
  <c r="V24" i="21" s="1"/>
  <c r="W29" i="18"/>
  <c r="W30" i="18" s="1"/>
  <c r="W27" i="18"/>
  <c r="N14" i="26"/>
  <c r="G57" i="14"/>
  <c r="J17" i="25"/>
  <c r="AJ41" i="13"/>
  <c r="BS39" i="13"/>
  <c r="AJ15" i="12"/>
  <c r="AA26" i="17"/>
  <c r="BG24" i="20"/>
  <c r="BG26" i="20"/>
  <c r="AB7" i="19"/>
  <c r="B6" i="30" s="1"/>
  <c r="Y43" i="13"/>
  <c r="K9" i="27"/>
  <c r="AK28" i="15"/>
  <c r="BP13" i="15"/>
  <c r="F24" i="12"/>
  <c r="G4" i="26"/>
  <c r="AG79" i="14"/>
  <c r="AG5" i="12"/>
  <c r="G4" i="24" s="1"/>
  <c r="E6" i="29"/>
  <c r="AE14" i="22"/>
  <c r="AE21" i="22"/>
  <c r="AE23" i="22" s="1"/>
  <c r="Y28" i="20"/>
  <c r="Y9" i="19"/>
  <c r="Y8" i="20"/>
  <c r="S23" i="15"/>
  <c r="I5" i="26"/>
  <c r="AI25" i="14"/>
  <c r="AI6" i="12"/>
  <c r="I5" i="24" s="1"/>
  <c r="I3" i="25"/>
  <c r="AI4" i="12"/>
  <c r="AA21" i="20"/>
  <c r="AA23" i="20" s="1"/>
  <c r="AA7" i="19"/>
  <c r="I21" i="20"/>
  <c r="I23" i="20" s="1"/>
  <c r="I7" i="19"/>
  <c r="AJ23" i="23"/>
  <c r="AT9" i="19"/>
  <c r="AT28" i="20"/>
  <c r="X28" i="17"/>
  <c r="X8" i="17"/>
  <c r="C29" i="18"/>
  <c r="C30" i="18" s="1"/>
  <c r="C27" i="18"/>
  <c r="O32" i="18"/>
  <c r="O14" i="18"/>
  <c r="O24" i="18" s="1"/>
  <c r="AZ26" i="16"/>
  <c r="AZ24" i="16"/>
  <c r="I6" i="31"/>
  <c r="AI21" i="20"/>
  <c r="AI23" i="20" s="1"/>
  <c r="AI14" i="20"/>
  <c r="AI7" i="19"/>
  <c r="I6" i="30" s="1"/>
  <c r="AD26" i="23"/>
  <c r="AD24" i="23"/>
  <c r="AR12" i="21"/>
  <c r="AR45" i="14" s="1"/>
  <c r="AW21" i="23"/>
  <c r="AW23" i="23" s="1"/>
  <c r="AW14" i="23"/>
  <c r="AW8" i="23" s="1"/>
  <c r="AW12" i="23" s="1"/>
  <c r="AW48" i="14" s="1"/>
  <c r="AW43" i="14" s="1"/>
  <c r="AU21" i="22"/>
  <c r="AU23" i="22" s="1"/>
  <c r="AU14" i="22"/>
  <c r="AU8" i="22" s="1"/>
  <c r="AU12" i="22" s="1"/>
  <c r="AU47" i="14" s="1"/>
  <c r="I26" i="23"/>
  <c r="I24" i="23"/>
  <c r="H14" i="20"/>
  <c r="H14" i="19" s="1"/>
  <c r="T27" i="22"/>
  <c r="T29" i="22"/>
  <c r="T30" i="22" s="1"/>
  <c r="E6" i="34"/>
  <c r="AE21" i="23"/>
  <c r="AE23" i="23" s="1"/>
  <c r="AE14" i="23"/>
  <c r="I6" i="32"/>
  <c r="AI21" i="21"/>
  <c r="AI23" i="21" s="1"/>
  <c r="AI14" i="21"/>
  <c r="D8" i="35"/>
  <c r="AD28" i="17"/>
  <c r="B8" i="31"/>
  <c r="AB28" i="20"/>
  <c r="AB9" i="19"/>
  <c r="B8" i="30" s="1"/>
  <c r="M24" i="21"/>
  <c r="M26" i="21"/>
  <c r="E7" i="22"/>
  <c r="E21" i="22" s="1"/>
  <c r="E23" i="22" s="1"/>
  <c r="E8" i="14"/>
  <c r="C6" i="33"/>
  <c r="AC21" i="18"/>
  <c r="AC23" i="18" s="1"/>
  <c r="AC14" i="18"/>
  <c r="AT26" i="23"/>
  <c r="AT24" i="23"/>
  <c r="B8" i="32"/>
  <c r="AB28" i="21"/>
  <c r="AA28" i="21"/>
  <c r="AA8" i="21"/>
  <c r="AA14" i="21" s="1"/>
  <c r="AA24" i="21" s="1"/>
  <c r="AH26" i="20"/>
  <c r="AH24" i="20"/>
  <c r="U26" i="17"/>
  <c r="U24" i="17"/>
  <c r="AF23" i="20"/>
  <c r="C26" i="16"/>
  <c r="C24" i="16"/>
  <c r="J14" i="35"/>
  <c r="AJ8" i="17"/>
  <c r="AJ12" i="17" s="1"/>
  <c r="T28" i="17"/>
  <c r="T8" i="17"/>
  <c r="T14" i="17" s="1"/>
  <c r="AR24" i="16"/>
  <c r="AR26" i="16"/>
  <c r="W24" i="21"/>
  <c r="W26" i="21"/>
  <c r="U23" i="21"/>
  <c r="N28" i="16"/>
  <c r="N8" i="16"/>
  <c r="N14" i="16" s="1"/>
  <c r="N24" i="16" s="1"/>
  <c r="R26" i="15"/>
  <c r="R24" i="15"/>
  <c r="AP12" i="20"/>
  <c r="AQ26" i="17"/>
  <c r="AQ24" i="17"/>
  <c r="L17" i="25"/>
  <c r="AL15" i="12"/>
  <c r="AL41" i="13"/>
  <c r="BU39" i="13"/>
  <c r="Z28" i="23"/>
  <c r="Z8" i="23"/>
  <c r="Z14" i="23" s="1"/>
  <c r="Z24" i="23" s="1"/>
  <c r="BC14" i="21"/>
  <c r="BC8" i="21" s="1"/>
  <c r="BC12" i="21" s="1"/>
  <c r="BC45" i="14" s="1"/>
  <c r="BC43" i="14" s="1"/>
  <c r="BC21" i="21"/>
  <c r="BC23" i="21" s="1"/>
  <c r="BG24" i="15"/>
  <c r="BG26" i="15"/>
  <c r="E3" i="25"/>
  <c r="AE4" i="12"/>
  <c r="AZ12" i="17"/>
  <c r="AZ49" i="14" s="1"/>
  <c r="AH6" i="12"/>
  <c r="H5" i="24" s="1"/>
  <c r="H6" i="35"/>
  <c r="AH14" i="17"/>
  <c r="AH21" i="17"/>
  <c r="AH23" i="17" s="1"/>
  <c r="AV75" i="14"/>
  <c r="E27" i="14"/>
  <c r="E57" i="14" s="1"/>
  <c r="O5" i="26"/>
  <c r="AO25" i="14"/>
  <c r="H12" i="28"/>
  <c r="BM15" i="16"/>
  <c r="AH25" i="13"/>
  <c r="BA24" i="18"/>
  <c r="BA26" i="18"/>
  <c r="BC27" i="18"/>
  <c r="BC29" i="18"/>
  <c r="BC30" i="18" s="1"/>
  <c r="AI26" i="12"/>
  <c r="F8" i="28"/>
  <c r="AF28" i="16"/>
  <c r="H15" i="24"/>
  <c r="AH22" i="12"/>
  <c r="AU10" i="12"/>
  <c r="AU9" i="12" s="1"/>
  <c r="AB24" i="20"/>
  <c r="AB26" i="20"/>
  <c r="D14" i="35"/>
  <c r="AD8" i="17"/>
  <c r="AD12" i="17" s="1"/>
  <c r="D26" i="20"/>
  <c r="D26" i="15"/>
  <c r="D24" i="15"/>
  <c r="B9" i="24"/>
  <c r="AB9" i="12"/>
  <c r="B8" i="24" s="1"/>
  <c r="U28" i="21"/>
  <c r="U8" i="21"/>
  <c r="U14" i="21" s="1"/>
  <c r="M6" i="32"/>
  <c r="AM21" i="21"/>
  <c r="AM23" i="21" s="1"/>
  <c r="AM14" i="21"/>
  <c r="R24" i="18"/>
  <c r="R26" i="18"/>
  <c r="X57" i="14"/>
  <c r="X75" i="14" s="1"/>
  <c r="BF27" i="22"/>
  <c r="BF29" i="22"/>
  <c r="BF30" i="22" s="1"/>
  <c r="M14" i="34"/>
  <c r="AM8" i="23"/>
  <c r="AM12" i="23" s="1"/>
  <c r="AO23" i="18"/>
  <c r="M8" i="32"/>
  <c r="AM28" i="21"/>
  <c r="H14" i="31"/>
  <c r="AH8" i="20"/>
  <c r="AH14" i="19"/>
  <c r="H14" i="30" s="1"/>
  <c r="O6" i="35"/>
  <c r="AO21" i="17"/>
  <c r="AO23" i="17" s="1"/>
  <c r="AO14" i="17"/>
  <c r="F14" i="31"/>
  <c r="AF8" i="20"/>
  <c r="C14" i="31"/>
  <c r="AC8" i="20"/>
  <c r="AX24" i="15"/>
  <c r="AX26" i="15"/>
  <c r="L8" i="28"/>
  <c r="AL28" i="16"/>
  <c r="K5" i="26"/>
  <c r="AK6" i="12"/>
  <c r="K5" i="24" s="1"/>
  <c r="AK25" i="14"/>
  <c r="AU26" i="15"/>
  <c r="AU24" i="15"/>
  <c r="O17" i="25"/>
  <c r="AO15" i="12"/>
  <c r="AO41" i="13"/>
  <c r="AT12" i="21"/>
  <c r="AT45" i="14" s="1"/>
  <c r="BG26" i="17"/>
  <c r="BG24" i="17"/>
  <c r="BB23" i="13"/>
  <c r="O24" i="15"/>
  <c r="O26" i="15"/>
  <c r="O6" i="28"/>
  <c r="AO14" i="16"/>
  <c r="AO21" i="16"/>
  <c r="AO23" i="16" s="1"/>
  <c r="BA26" i="16"/>
  <c r="BA24" i="16"/>
  <c r="AY13" i="12"/>
  <c r="AC10" i="13"/>
  <c r="V75" i="14"/>
  <c r="P74" i="14"/>
  <c r="Q28" i="16"/>
  <c r="Q8" i="16"/>
  <c r="Q14" i="16" s="1"/>
  <c r="AZ43" i="14"/>
  <c r="AZ27" i="14" s="1"/>
  <c r="AZ57" i="14" s="1"/>
  <c r="F8" i="35"/>
  <c r="AF28" i="17"/>
  <c r="J10" i="26"/>
  <c r="AJ28" i="14"/>
  <c r="AJ10" i="12"/>
  <c r="AV7" i="12"/>
  <c r="M27" i="14"/>
  <c r="BA15" i="12"/>
  <c r="BA22" i="12" s="1"/>
  <c r="D12" i="34"/>
  <c r="AD48" i="14"/>
  <c r="V27" i="16"/>
  <c r="V29" i="16"/>
  <c r="V30" i="16" s="1"/>
  <c r="I10" i="12"/>
  <c r="I9" i="12" s="1"/>
  <c r="I8" i="12" s="1"/>
  <c r="I16" i="13"/>
  <c r="I15" i="13" s="1"/>
  <c r="I29" i="13" s="1"/>
  <c r="I43" i="13" s="1"/>
  <c r="AG17" i="13"/>
  <c r="BP28" i="13"/>
  <c r="AV21" i="23"/>
  <c r="AV23" i="23" s="1"/>
  <c r="AV14" i="23"/>
  <c r="AV8" i="23" s="1"/>
  <c r="AV12" i="23" s="1"/>
  <c r="AV48" i="14" s="1"/>
  <c r="BC29" i="22"/>
  <c r="BC30" i="22" s="1"/>
  <c r="BC27" i="22"/>
  <c r="AU26" i="20"/>
  <c r="AU24" i="20"/>
  <c r="AI28" i="22"/>
  <c r="I8" i="29"/>
  <c r="G14" i="34"/>
  <c r="AG8" i="23"/>
  <c r="AG12" i="23" s="1"/>
  <c r="D26" i="23"/>
  <c r="BD24" i="23"/>
  <c r="BD26" i="23"/>
  <c r="Z28" i="20"/>
  <c r="Z9" i="19"/>
  <c r="Z8" i="20"/>
  <c r="AD33" i="12"/>
  <c r="M9" i="27"/>
  <c r="AM28" i="15"/>
  <c r="BR13" i="15"/>
  <c r="G28" i="22"/>
  <c r="G29" i="22" s="1"/>
  <c r="G30" i="22" s="1"/>
  <c r="G8" i="22"/>
  <c r="G14" i="22" s="1"/>
  <c r="G24" i="22" s="1"/>
  <c r="Y7" i="22"/>
  <c r="Y21" i="22" s="1"/>
  <c r="Y23" i="22" s="1"/>
  <c r="Y8" i="14"/>
  <c r="F6" i="27"/>
  <c r="AF21" i="15"/>
  <c r="AF23" i="15" s="1"/>
  <c r="AF14" i="15"/>
  <c r="S28" i="14"/>
  <c r="S27" i="14" s="1"/>
  <c r="S57" i="14" s="1"/>
  <c r="S10" i="12"/>
  <c r="S9" i="12" s="1"/>
  <c r="S8" i="12" s="1"/>
  <c r="R13" i="13"/>
  <c r="R40" i="13" s="1"/>
  <c r="R42" i="13" s="1"/>
  <c r="R6" i="12"/>
  <c r="K29" i="22"/>
  <c r="K30" i="22" s="1"/>
  <c r="K27" i="22"/>
  <c r="Y26" i="21"/>
  <c r="D28" i="20"/>
  <c r="D9" i="19"/>
  <c r="D8" i="20"/>
  <c r="AY21" i="21"/>
  <c r="AY23" i="21" s="1"/>
  <c r="AY14" i="21"/>
  <c r="AY8" i="21" s="1"/>
  <c r="AY12" i="21" s="1"/>
  <c r="AY45" i="14" s="1"/>
  <c r="AF26" i="18"/>
  <c r="AF24" i="18"/>
  <c r="D23" i="16"/>
  <c r="O6" i="27"/>
  <c r="AO14" i="15"/>
  <c r="AO21" i="15"/>
  <c r="AO23" i="15" s="1"/>
  <c r="B16" i="26"/>
  <c r="AB73" i="14"/>
  <c r="AB15" i="12"/>
  <c r="BE4" i="12"/>
  <c r="BE7" i="12" s="1"/>
  <c r="BE13" i="13"/>
  <c r="AZ4" i="12"/>
  <c r="AZ13" i="13"/>
  <c r="M57" i="14"/>
  <c r="K24" i="23"/>
  <c r="K26" i="23"/>
  <c r="K21" i="20"/>
  <c r="K23" i="20" s="1"/>
  <c r="K7" i="19"/>
  <c r="AR12" i="20"/>
  <c r="AR8" i="19"/>
  <c r="C8" i="33"/>
  <c r="AC28" i="18"/>
  <c r="L6" i="31"/>
  <c r="AL7" i="19"/>
  <c r="L6" i="30" s="1"/>
  <c r="AL14" i="20"/>
  <c r="AL21" i="20"/>
  <c r="AL23" i="20" s="1"/>
  <c r="C10" i="26"/>
  <c r="AC28" i="14"/>
  <c r="X24" i="12"/>
  <c r="Q24" i="18"/>
  <c r="Q26" i="18"/>
  <c r="H14" i="34"/>
  <c r="AH8" i="23"/>
  <c r="AH12" i="23" s="1"/>
  <c r="V8" i="20"/>
  <c r="V28" i="20"/>
  <c r="V29" i="20" s="1"/>
  <c r="V30" i="20" s="1"/>
  <c r="V9" i="19"/>
  <c r="AC28" i="22"/>
  <c r="C8" i="29"/>
  <c r="X23" i="22"/>
  <c r="H26" i="23"/>
  <c r="H24" i="23"/>
  <c r="AQ26" i="22"/>
  <c r="AQ24" i="22"/>
  <c r="BE26" i="22"/>
  <c r="BE24" i="22"/>
  <c r="C8" i="34"/>
  <c r="AC28" i="23"/>
  <c r="X8" i="18"/>
  <c r="X28" i="18"/>
  <c r="I8" i="34"/>
  <c r="AI28" i="23"/>
  <c r="AR21" i="23"/>
  <c r="AR23" i="23" s="1"/>
  <c r="AR14" i="23"/>
  <c r="AR8" i="23" s="1"/>
  <c r="AR12" i="23" s="1"/>
  <c r="AR48" i="14" s="1"/>
  <c r="J6" i="29"/>
  <c r="AJ21" i="22"/>
  <c r="AJ23" i="22" s="1"/>
  <c r="AJ14" i="22"/>
  <c r="I6" i="29"/>
  <c r="AI21" i="22"/>
  <c r="AI23" i="22" s="1"/>
  <c r="AI14" i="22"/>
  <c r="BE24" i="23"/>
  <c r="BE26" i="23"/>
  <c r="AV21" i="21"/>
  <c r="AV23" i="21" s="1"/>
  <c r="AV14" i="21"/>
  <c r="AV8" i="21" s="1"/>
  <c r="AV12" i="21" s="1"/>
  <c r="AV45" i="14" s="1"/>
  <c r="AV43" i="14" s="1"/>
  <c r="AM23" i="23"/>
  <c r="E8" i="33"/>
  <c r="AE28" i="18"/>
  <c r="N8" i="34"/>
  <c r="AN28" i="23"/>
  <c r="AY26" i="22"/>
  <c r="AY24" i="22"/>
  <c r="AK9" i="19"/>
  <c r="K8" i="30" s="1"/>
  <c r="X29" i="23"/>
  <c r="X30" i="23" s="1"/>
  <c r="X27" i="23"/>
  <c r="E28" i="21"/>
  <c r="E8" i="21"/>
  <c r="E14" i="21" s="1"/>
  <c r="E24" i="21" s="1"/>
  <c r="AS26" i="20"/>
  <c r="AS24" i="20"/>
  <c r="AU12" i="20"/>
  <c r="M8" i="19"/>
  <c r="M14" i="20"/>
  <c r="M14" i="19" s="1"/>
  <c r="T14" i="20"/>
  <c r="I14" i="35"/>
  <c r="AI8" i="17"/>
  <c r="AI12" i="17" s="1"/>
  <c r="AC7" i="19"/>
  <c r="C6" i="30" s="1"/>
  <c r="AG26" i="17"/>
  <c r="AG24" i="17"/>
  <c r="BF24" i="21"/>
  <c r="BF26" i="21"/>
  <c r="K8" i="28"/>
  <c r="AK28" i="16"/>
  <c r="BD24" i="21"/>
  <c r="BD26" i="21"/>
  <c r="AU23" i="13"/>
  <c r="AU15" i="13" s="1"/>
  <c r="AU29" i="13" s="1"/>
  <c r="AT24" i="21"/>
  <c r="AT26" i="21"/>
  <c r="T26" i="17"/>
  <c r="T24" i="17"/>
  <c r="D28" i="23"/>
  <c r="D8" i="23"/>
  <c r="D14" i="23" s="1"/>
  <c r="D24" i="23" s="1"/>
  <c r="BB24" i="15"/>
  <c r="BB26" i="15"/>
  <c r="G6" i="32"/>
  <c r="AG14" i="21"/>
  <c r="AG21" i="21"/>
  <c r="AG23" i="21" s="1"/>
  <c r="E6" i="28"/>
  <c r="AE21" i="16"/>
  <c r="AE23" i="16" s="1"/>
  <c r="AE14" i="16"/>
  <c r="AW29" i="18"/>
  <c r="AW30" i="18" s="1"/>
  <c r="AW27" i="18"/>
  <c r="Z29" i="13"/>
  <c r="Z43" i="13" s="1"/>
  <c r="Z13" i="12"/>
  <c r="AO4" i="12"/>
  <c r="AZ24" i="18"/>
  <c r="AZ26" i="18"/>
  <c r="AR27" i="20"/>
  <c r="AR29" i="20"/>
  <c r="AR30" i="20" s="1"/>
  <c r="P24" i="18"/>
  <c r="P26" i="18"/>
  <c r="J4" i="26"/>
  <c r="AJ79" i="14"/>
  <c r="AJ5" i="12"/>
  <c r="J4" i="24" s="1"/>
  <c r="AN5" i="12"/>
  <c r="N4" i="24" s="1"/>
  <c r="AX25" i="14"/>
  <c r="AX72" i="14" s="1"/>
  <c r="AX74" i="14" s="1"/>
  <c r="BC16" i="13"/>
  <c r="BC10" i="12"/>
  <c r="BC9" i="12" s="1"/>
  <c r="I28" i="16"/>
  <c r="I29" i="16" s="1"/>
  <c r="I30" i="16" s="1"/>
  <c r="I8" i="16"/>
  <c r="AQ14" i="12" l="1"/>
  <c r="AQ8" i="12" s="1"/>
  <c r="AQ21" i="12"/>
  <c r="AQ23" i="12" s="1"/>
  <c r="AQ24" i="12" s="1"/>
  <c r="BA21" i="12"/>
  <c r="BA23" i="12" s="1"/>
  <c r="BA14" i="12"/>
  <c r="BA8" i="12" s="1"/>
  <c r="BA12" i="12" s="1"/>
  <c r="BG14" i="12"/>
  <c r="BG8" i="12" s="1"/>
  <c r="BG12" i="12" s="1"/>
  <c r="BG21" i="12"/>
  <c r="BG23" i="12" s="1"/>
  <c r="BG24" i="12" s="1"/>
  <c r="AW27" i="15"/>
  <c r="AW29" i="15"/>
  <c r="AW30" i="15" s="1"/>
  <c r="Q43" i="13"/>
  <c r="AR29" i="21"/>
  <c r="AR30" i="21" s="1"/>
  <c r="AR27" i="21"/>
  <c r="J12" i="34"/>
  <c r="AJ48" i="14"/>
  <c r="K12" i="34"/>
  <c r="AK48" i="14"/>
  <c r="U27" i="15"/>
  <c r="U29" i="15"/>
  <c r="U30" i="15" s="1"/>
  <c r="AI26" i="22"/>
  <c r="AI24" i="22"/>
  <c r="BA29" i="21"/>
  <c r="BA30" i="21" s="1"/>
  <c r="BA27" i="21"/>
  <c r="AS29" i="18"/>
  <c r="AS30" i="18" s="1"/>
  <c r="AS27" i="18"/>
  <c r="P6" i="24"/>
  <c r="AP14" i="12"/>
  <c r="AP21" i="12"/>
  <c r="G29" i="23"/>
  <c r="G30" i="23" s="1"/>
  <c r="G27" i="23"/>
  <c r="F9" i="26"/>
  <c r="AF26" i="20"/>
  <c r="AF24" i="20"/>
  <c r="C14" i="29"/>
  <c r="AC8" i="22"/>
  <c r="AC12" i="22" s="1"/>
  <c r="K15" i="27"/>
  <c r="AK8" i="15"/>
  <c r="R29" i="22"/>
  <c r="R30" i="22" s="1"/>
  <c r="R27" i="22"/>
  <c r="P14" i="35"/>
  <c r="AP8" i="17"/>
  <c r="AP12" i="17" s="1"/>
  <c r="AY26" i="23"/>
  <c r="AY24" i="23"/>
  <c r="F24" i="22"/>
  <c r="F26" i="22"/>
  <c r="AE27" i="21"/>
  <c r="AE29" i="21"/>
  <c r="AE30" i="21" s="1"/>
  <c r="AD26" i="16"/>
  <c r="AD24" i="16"/>
  <c r="AP24" i="17"/>
  <c r="AP26" i="17"/>
  <c r="AF24" i="22"/>
  <c r="AF26" i="22"/>
  <c r="AM24" i="16"/>
  <c r="AM26" i="16"/>
  <c r="AK27" i="23"/>
  <c r="AK29" i="23"/>
  <c r="AK30" i="23" s="1"/>
  <c r="P9" i="25"/>
  <c r="C14" i="32"/>
  <c r="AC8" i="21"/>
  <c r="AC12" i="21" s="1"/>
  <c r="O14" i="16"/>
  <c r="O24" i="16" s="1"/>
  <c r="O27" i="16"/>
  <c r="AD29" i="17"/>
  <c r="AD30" i="17" s="1"/>
  <c r="AD27" i="17"/>
  <c r="J14" i="12"/>
  <c r="J24" i="12" s="1"/>
  <c r="N9" i="26"/>
  <c r="O10" i="24"/>
  <c r="AO33" i="12"/>
  <c r="AO68" i="12" s="1"/>
  <c r="AO69" i="12" s="1"/>
  <c r="P29" i="15"/>
  <c r="P30" i="15" s="1"/>
  <c r="P27" i="15"/>
  <c r="B14" i="28"/>
  <c r="AB8" i="16"/>
  <c r="AB12" i="16" s="1"/>
  <c r="D27" i="22"/>
  <c r="D29" i="22"/>
  <c r="D30" i="22" s="1"/>
  <c r="AJ26" i="22"/>
  <c r="AJ24" i="22"/>
  <c r="H12" i="34"/>
  <c r="AH48" i="14"/>
  <c r="R43" i="13"/>
  <c r="AV21" i="12"/>
  <c r="AV23" i="12" s="1"/>
  <c r="AV24" i="12" s="1"/>
  <c r="AV14" i="12"/>
  <c r="AV8" i="12" s="1"/>
  <c r="AV12" i="12" s="1"/>
  <c r="AO24" i="17"/>
  <c r="AO26" i="17"/>
  <c r="U27" i="17"/>
  <c r="U29" i="17"/>
  <c r="U30" i="17" s="1"/>
  <c r="AI24" i="21"/>
  <c r="AI26" i="21"/>
  <c r="AZ29" i="16"/>
  <c r="AZ30" i="16" s="1"/>
  <c r="AZ27" i="16"/>
  <c r="AR74" i="14"/>
  <c r="BC21" i="12"/>
  <c r="BC23" i="12" s="1"/>
  <c r="BC14" i="12"/>
  <c r="BC8" i="12" s="1"/>
  <c r="BC12" i="12" s="1"/>
  <c r="U29" i="18"/>
  <c r="U30" i="18" s="1"/>
  <c r="U27" i="18"/>
  <c r="U27" i="16"/>
  <c r="U29" i="16"/>
  <c r="U30" i="16" s="1"/>
  <c r="D15" i="27"/>
  <c r="AD8" i="15"/>
  <c r="J27" i="21"/>
  <c r="J29" i="21"/>
  <c r="J30" i="21" s="1"/>
  <c r="AC29" i="17"/>
  <c r="AC30" i="17" s="1"/>
  <c r="AC27" i="17"/>
  <c r="M14" i="28"/>
  <c r="AM8" i="16"/>
  <c r="AM12" i="16" s="1"/>
  <c r="S75" i="14"/>
  <c r="AR14" i="12"/>
  <c r="AR8" i="12" s="1"/>
  <c r="AR21" i="12"/>
  <c r="AR23" i="12" s="1"/>
  <c r="C14" i="20"/>
  <c r="C8" i="19"/>
  <c r="P9" i="24"/>
  <c r="AP9" i="12"/>
  <c r="AP32" i="12"/>
  <c r="AP62" i="12" s="1"/>
  <c r="AP63" i="12" s="1"/>
  <c r="AP56" i="12"/>
  <c r="N15" i="24"/>
  <c r="AN22" i="12"/>
  <c r="F12" i="33"/>
  <c r="AF44" i="14"/>
  <c r="AR27" i="22"/>
  <c r="AR29" i="22"/>
  <c r="AR30" i="22" s="1"/>
  <c r="BF26" i="15"/>
  <c r="BF24" i="15"/>
  <c r="AC26" i="21"/>
  <c r="AC24" i="21"/>
  <c r="AQ24" i="23"/>
  <c r="AQ26" i="23"/>
  <c r="Z27" i="21"/>
  <c r="Z29" i="21"/>
  <c r="Z30" i="21" s="1"/>
  <c r="BG74" i="14"/>
  <c r="BG30" i="23"/>
  <c r="C8" i="27"/>
  <c r="AC12" i="15"/>
  <c r="G15" i="27"/>
  <c r="AG8" i="15"/>
  <c r="O27" i="21"/>
  <c r="O29" i="21"/>
  <c r="O30" i="21" s="1"/>
  <c r="K10" i="24"/>
  <c r="AK33" i="12"/>
  <c r="AK68" i="12" s="1"/>
  <c r="AK69" i="12" s="1"/>
  <c r="F14" i="32"/>
  <c r="AF8" i="21"/>
  <c r="AF12" i="21" s="1"/>
  <c r="L24" i="21"/>
  <c r="L26" i="21"/>
  <c r="BF75" i="14"/>
  <c r="BD29" i="23"/>
  <c r="BD30" i="23" s="1"/>
  <c r="BD27" i="23"/>
  <c r="O29" i="15"/>
  <c r="O30" i="15" s="1"/>
  <c r="O27" i="15"/>
  <c r="BA29" i="18"/>
  <c r="BA30" i="18" s="1"/>
  <c r="BA27" i="18"/>
  <c r="C29" i="16"/>
  <c r="C30" i="16" s="1"/>
  <c r="C27" i="16"/>
  <c r="AI26" i="20"/>
  <c r="AI24" i="20"/>
  <c r="Z21" i="22"/>
  <c r="Z23" i="22" s="1"/>
  <c r="Z19" i="22"/>
  <c r="F29" i="18"/>
  <c r="F30" i="18" s="1"/>
  <c r="F27" i="18"/>
  <c r="K15" i="24"/>
  <c r="AK22" i="12"/>
  <c r="S26" i="15"/>
  <c r="S24" i="15"/>
  <c r="AZ27" i="17"/>
  <c r="AZ29" i="17"/>
  <c r="AZ30" i="17" s="1"/>
  <c r="M14" i="29"/>
  <c r="AM8" i="22"/>
  <c r="AM12" i="22" s="1"/>
  <c r="S27" i="17"/>
  <c r="S29" i="17"/>
  <c r="S30" i="17" s="1"/>
  <c r="BF29" i="17"/>
  <c r="BF30" i="17" s="1"/>
  <c r="BF27" i="17"/>
  <c r="E14" i="33"/>
  <c r="AE8" i="18"/>
  <c r="AE12" i="18" s="1"/>
  <c r="S29" i="18"/>
  <c r="S30" i="18" s="1"/>
  <c r="S27" i="18"/>
  <c r="AB26" i="23"/>
  <c r="AB24" i="23"/>
  <c r="AU29" i="18"/>
  <c r="AU30" i="18" s="1"/>
  <c r="AU27" i="18"/>
  <c r="AF29" i="23"/>
  <c r="AF30" i="23" s="1"/>
  <c r="AF27" i="23"/>
  <c r="Y32" i="18"/>
  <c r="Y14" i="18"/>
  <c r="Y24" i="18" s="1"/>
  <c r="AV26" i="17"/>
  <c r="AV24" i="17"/>
  <c r="AS43" i="14"/>
  <c r="AS27" i="14" s="1"/>
  <c r="AS57" i="14" s="1"/>
  <c r="AS75" i="14" s="1"/>
  <c r="G9" i="26"/>
  <c r="B9" i="26"/>
  <c r="R24" i="12"/>
  <c r="AP24" i="16"/>
  <c r="AP26" i="16"/>
  <c r="AN24" i="23"/>
  <c r="AN26" i="23"/>
  <c r="F6" i="25"/>
  <c r="AF40" i="13"/>
  <c r="AF42" i="13" s="1"/>
  <c r="I9" i="26"/>
  <c r="K27" i="15"/>
  <c r="K29" i="15"/>
  <c r="K30" i="15" s="1"/>
  <c r="B14" i="32"/>
  <c r="AB8" i="21"/>
  <c r="AB12" i="21" s="1"/>
  <c r="J27" i="23"/>
  <c r="AA14" i="12"/>
  <c r="AA24" i="12" s="1"/>
  <c r="V29" i="23"/>
  <c r="V30" i="23" s="1"/>
  <c r="V27" i="23"/>
  <c r="AE24" i="15"/>
  <c r="AE26" i="15"/>
  <c r="BC27" i="15"/>
  <c r="BC29" i="15"/>
  <c r="BC30" i="15" s="1"/>
  <c r="AA32" i="17"/>
  <c r="AA14" i="17"/>
  <c r="AA24" i="17" s="1"/>
  <c r="AY27" i="14"/>
  <c r="AY57" i="14" s="1"/>
  <c r="AY75" i="14" s="1"/>
  <c r="AE42" i="13"/>
  <c r="E14" i="29"/>
  <c r="AE8" i="22"/>
  <c r="AE12" i="22" s="1"/>
  <c r="AI29" i="23"/>
  <c r="AI30" i="23" s="1"/>
  <c r="AI27" i="23"/>
  <c r="AP8" i="21"/>
  <c r="AP14" i="19"/>
  <c r="P14" i="30" s="1"/>
  <c r="M15" i="27"/>
  <c r="AM8" i="15"/>
  <c r="F10" i="24"/>
  <c r="AF33" i="12"/>
  <c r="AF68" i="12" s="1"/>
  <c r="AF69" i="12" s="1"/>
  <c r="BB27" i="15"/>
  <c r="BB29" i="15"/>
  <c r="BB30" i="15" s="1"/>
  <c r="AF12" i="20"/>
  <c r="AF8" i="19"/>
  <c r="J15" i="24"/>
  <c r="AJ22" i="12"/>
  <c r="C15" i="24"/>
  <c r="AC22" i="12"/>
  <c r="M26" i="20"/>
  <c r="M24" i="20"/>
  <c r="T24" i="21"/>
  <c r="T26" i="21"/>
  <c r="BE24" i="17"/>
  <c r="BE26" i="17"/>
  <c r="P9" i="26"/>
  <c r="AG26" i="18"/>
  <c r="AG24" i="18"/>
  <c r="N29" i="15"/>
  <c r="N30" i="15" s="1"/>
  <c r="N27" i="15"/>
  <c r="D14" i="28"/>
  <c r="AD8" i="16"/>
  <c r="AD12" i="16" s="1"/>
  <c r="N14" i="31"/>
  <c r="AN14" i="19"/>
  <c r="N14" i="30" s="1"/>
  <c r="AN8" i="20"/>
  <c r="F14" i="29"/>
  <c r="AF8" i="22"/>
  <c r="AF12" i="22" s="1"/>
  <c r="AU46" i="14"/>
  <c r="J14" i="29"/>
  <c r="AJ8" i="22"/>
  <c r="AJ12" i="22" s="1"/>
  <c r="V8" i="19"/>
  <c r="V14" i="20"/>
  <c r="V27" i="20"/>
  <c r="AZ7" i="12"/>
  <c r="D27" i="23"/>
  <c r="D29" i="23"/>
  <c r="D30" i="23" s="1"/>
  <c r="O14" i="35"/>
  <c r="AO8" i="17"/>
  <c r="AO12" i="17" s="1"/>
  <c r="L15" i="24"/>
  <c r="AL22" i="12"/>
  <c r="I14" i="32"/>
  <c r="AI8" i="21"/>
  <c r="AI12" i="21" s="1"/>
  <c r="Y8" i="19"/>
  <c r="Y14" i="20"/>
  <c r="AC26" i="22"/>
  <c r="AC24" i="22"/>
  <c r="AM24" i="22"/>
  <c r="AM26" i="22"/>
  <c r="BF7" i="12"/>
  <c r="AK24" i="15"/>
  <c r="AK26" i="15"/>
  <c r="D8" i="24"/>
  <c r="AD38" i="12"/>
  <c r="AD31" i="12"/>
  <c r="AD34" i="12"/>
  <c r="AD24" i="15"/>
  <c r="AD26" i="15"/>
  <c r="M3" i="24"/>
  <c r="AM7" i="12"/>
  <c r="AS27" i="20"/>
  <c r="AS29" i="20"/>
  <c r="AS30" i="20" s="1"/>
  <c r="BE21" i="12"/>
  <c r="BE23" i="12" s="1"/>
  <c r="BE14" i="12"/>
  <c r="BE8" i="12" s="1"/>
  <c r="BE12" i="12" s="1"/>
  <c r="G12" i="34"/>
  <c r="AG48" i="14"/>
  <c r="J9" i="24"/>
  <c r="AJ32" i="12"/>
  <c r="AJ62" i="12" s="1"/>
  <c r="AJ63" i="12" s="1"/>
  <c r="AJ9" i="12"/>
  <c r="AJ56" i="12"/>
  <c r="BG29" i="17"/>
  <c r="BG30" i="17" s="1"/>
  <c r="BG27" i="17"/>
  <c r="P29" i="18"/>
  <c r="P30" i="18" s="1"/>
  <c r="P27" i="18"/>
  <c r="T29" i="17"/>
  <c r="T30" i="17" s="1"/>
  <c r="T27" i="17"/>
  <c r="Q29" i="18"/>
  <c r="Q30" i="18" s="1"/>
  <c r="Q27" i="18"/>
  <c r="J9" i="26"/>
  <c r="D27" i="15"/>
  <c r="D29" i="15"/>
  <c r="D30" i="15" s="1"/>
  <c r="O6" i="26"/>
  <c r="AO72" i="14"/>
  <c r="AO74" i="14" s="1"/>
  <c r="AQ29" i="17"/>
  <c r="AQ30" i="17" s="1"/>
  <c r="AQ27" i="17"/>
  <c r="AH27" i="20"/>
  <c r="AH29" i="20"/>
  <c r="AE8" i="23"/>
  <c r="AE12" i="23" s="1"/>
  <c r="E14" i="34"/>
  <c r="AE24" i="22"/>
  <c r="AE26" i="22"/>
  <c r="AE26" i="18"/>
  <c r="AE24" i="18"/>
  <c r="F10" i="25"/>
  <c r="BO26" i="13"/>
  <c r="AF10" i="12"/>
  <c r="AF47" i="13"/>
  <c r="AF16" i="13"/>
  <c r="AB8" i="23"/>
  <c r="AB12" i="23" s="1"/>
  <c r="B14" i="34"/>
  <c r="AQ27" i="16"/>
  <c r="AQ29" i="16"/>
  <c r="AQ30" i="16" s="1"/>
  <c r="E15" i="24"/>
  <c r="AE22" i="12"/>
  <c r="AX27" i="20"/>
  <c r="AX29" i="20"/>
  <c r="AX30" i="20" s="1"/>
  <c r="N14" i="33"/>
  <c r="AN8" i="18"/>
  <c r="AN12" i="18" s="1"/>
  <c r="BE23" i="13"/>
  <c r="BE15" i="13" s="1"/>
  <c r="BE29" i="13" s="1"/>
  <c r="S29" i="20"/>
  <c r="S30" i="20" s="1"/>
  <c r="S27" i="20"/>
  <c r="P14" i="28"/>
  <c r="AP8" i="16"/>
  <c r="AP12" i="16" s="1"/>
  <c r="T29" i="23"/>
  <c r="T30" i="23" s="1"/>
  <c r="T27" i="23"/>
  <c r="G12" i="33"/>
  <c r="AG44" i="14"/>
  <c r="N14" i="34"/>
  <c r="AN8" i="23"/>
  <c r="AN12" i="23" s="1"/>
  <c r="AT15" i="13"/>
  <c r="AT29" i="13" s="1"/>
  <c r="BG29" i="21"/>
  <c r="BG30" i="21" s="1"/>
  <c r="BG27" i="21"/>
  <c r="AA29" i="16"/>
  <c r="AA30" i="16" s="1"/>
  <c r="AA27" i="16"/>
  <c r="BB27" i="20"/>
  <c r="BB29" i="20"/>
  <c r="BB30" i="20" s="1"/>
  <c r="AB26" i="21"/>
  <c r="AB24" i="21"/>
  <c r="AS27" i="22"/>
  <c r="AS29" i="22"/>
  <c r="AS30" i="22" s="1"/>
  <c r="AG24" i="15"/>
  <c r="AG26" i="15"/>
  <c r="BF26" i="20"/>
  <c r="BF24" i="20"/>
  <c r="AE8" i="15"/>
  <c r="E15" i="27"/>
  <c r="AK12" i="20"/>
  <c r="AK8" i="19"/>
  <c r="AS24" i="16"/>
  <c r="AS26" i="16"/>
  <c r="AR26" i="23"/>
  <c r="AR24" i="23"/>
  <c r="BE27" i="18"/>
  <c r="BE29" i="18"/>
  <c r="BE30" i="18" s="1"/>
  <c r="M10" i="25"/>
  <c r="AM47" i="13"/>
  <c r="BV26" i="13"/>
  <c r="AM10" i="12"/>
  <c r="AM16" i="13"/>
  <c r="B3" i="26"/>
  <c r="AB4" i="12"/>
  <c r="F14" i="28"/>
  <c r="AF8" i="16"/>
  <c r="AF12" i="16" s="1"/>
  <c r="X8" i="19"/>
  <c r="X14" i="20"/>
  <c r="AF26" i="16"/>
  <c r="AF24" i="16"/>
  <c r="AT26" i="17"/>
  <c r="AT24" i="17"/>
  <c r="AR9" i="12"/>
  <c r="AR31" i="12" s="1"/>
  <c r="AR32" i="12"/>
  <c r="BD29" i="21"/>
  <c r="BD30" i="21" s="1"/>
  <c r="BD27" i="21"/>
  <c r="AU29" i="20"/>
  <c r="AU30" i="20" s="1"/>
  <c r="AU27" i="20"/>
  <c r="AS9" i="12"/>
  <c r="AS31" i="12" s="1"/>
  <c r="AS32" i="12"/>
  <c r="AG26" i="22"/>
  <c r="AG24" i="22"/>
  <c r="AM24" i="20"/>
  <c r="AM26" i="20"/>
  <c r="R27" i="21"/>
  <c r="R29" i="21"/>
  <c r="R30" i="21" s="1"/>
  <c r="AW27" i="22"/>
  <c r="AW29" i="22"/>
  <c r="AW30" i="22" s="1"/>
  <c r="B14" i="33"/>
  <c r="AB8" i="18"/>
  <c r="AB12" i="18" s="1"/>
  <c r="AH26" i="22"/>
  <c r="AH24" i="22"/>
  <c r="AG8" i="22"/>
  <c r="AG12" i="22" s="1"/>
  <c r="G14" i="29"/>
  <c r="AP30" i="20"/>
  <c r="R8" i="19"/>
  <c r="R14" i="21"/>
  <c r="AP26" i="22"/>
  <c r="AP24" i="22"/>
  <c r="K14" i="32"/>
  <c r="AK8" i="21"/>
  <c r="AK12" i="21" s="1"/>
  <c r="E75" i="14"/>
  <c r="AL7" i="12"/>
  <c r="M9" i="26"/>
  <c r="AI29" i="17"/>
  <c r="AI30" i="17" s="1"/>
  <c r="AI27" i="17"/>
  <c r="C8" i="24"/>
  <c r="AC38" i="12"/>
  <c r="AC31" i="12"/>
  <c r="AC34" i="12"/>
  <c r="B15" i="24"/>
  <c r="AB22" i="12"/>
  <c r="D29" i="20"/>
  <c r="D30" i="20" s="1"/>
  <c r="D27" i="20"/>
  <c r="R24" i="20"/>
  <c r="R26" i="20"/>
  <c r="AF26" i="21"/>
  <c r="AF24" i="21"/>
  <c r="O15" i="24"/>
  <c r="AO22" i="12"/>
  <c r="AP24" i="21"/>
  <c r="AP26" i="21"/>
  <c r="P14" i="33"/>
  <c r="AP8" i="18"/>
  <c r="AP12" i="18" s="1"/>
  <c r="V27" i="15"/>
  <c r="V29" i="15"/>
  <c r="V30" i="15" s="1"/>
  <c r="C9" i="26"/>
  <c r="D12" i="35"/>
  <c r="AD49" i="14"/>
  <c r="AS15" i="13"/>
  <c r="AS29" i="13" s="1"/>
  <c r="AP26" i="18"/>
  <c r="AP24" i="18"/>
  <c r="Q29" i="16"/>
  <c r="Q30" i="16" s="1"/>
  <c r="Q27" i="16"/>
  <c r="N27" i="21"/>
  <c r="N29" i="21"/>
  <c r="N30" i="21" s="1"/>
  <c r="AK24" i="18"/>
  <c r="AK26" i="18"/>
  <c r="C14" i="28"/>
  <c r="AC8" i="16"/>
  <c r="AC12" i="16" s="1"/>
  <c r="N15" i="27"/>
  <c r="AN8" i="15"/>
  <c r="C3" i="24"/>
  <c r="AC7" i="12"/>
  <c r="P14" i="29"/>
  <c r="AP8" i="22"/>
  <c r="AP12" i="22" s="1"/>
  <c r="AJ26" i="21"/>
  <c r="AJ24" i="21"/>
  <c r="I10" i="24"/>
  <c r="AI33" i="12"/>
  <c r="AI68" i="12" s="1"/>
  <c r="AI69" i="12" s="1"/>
  <c r="AL24" i="20"/>
  <c r="AL26" i="20"/>
  <c r="AO24" i="18"/>
  <c r="AO26" i="18"/>
  <c r="H14" i="35"/>
  <c r="AH8" i="17"/>
  <c r="AH12" i="17" s="1"/>
  <c r="O14" i="34"/>
  <c r="AO8" i="23"/>
  <c r="AO12" i="23" s="1"/>
  <c r="J10" i="24"/>
  <c r="AJ33" i="12"/>
  <c r="AJ68" i="12" s="1"/>
  <c r="AJ69" i="12" s="1"/>
  <c r="AC8" i="23"/>
  <c r="AC12" i="23" s="1"/>
  <c r="C14" i="34"/>
  <c r="AC26" i="16"/>
  <c r="AC24" i="16"/>
  <c r="AS12" i="19"/>
  <c r="AS46" i="14"/>
  <c r="AS26" i="17"/>
  <c r="AS24" i="17"/>
  <c r="AK27" i="16"/>
  <c r="AK29" i="16"/>
  <c r="AK30" i="16" s="1"/>
  <c r="G6" i="26"/>
  <c r="AG72" i="14"/>
  <c r="AG74" i="14" s="1"/>
  <c r="AN26" i="15"/>
  <c r="AN24" i="15"/>
  <c r="BB21" i="12"/>
  <c r="BB23" i="12" s="1"/>
  <c r="BB14" i="12"/>
  <c r="BB8" i="12" s="1"/>
  <c r="BB12" i="12" s="1"/>
  <c r="BD21" i="12"/>
  <c r="BD23" i="12" s="1"/>
  <c r="BD14" i="12"/>
  <c r="BD8" i="12" s="1"/>
  <c r="BD12" i="12" s="1"/>
  <c r="AV24" i="16"/>
  <c r="AV26" i="16"/>
  <c r="AS27" i="15"/>
  <c r="AS29" i="15"/>
  <c r="AS30" i="15" s="1"/>
  <c r="H9" i="24"/>
  <c r="AH32" i="12"/>
  <c r="AH62" i="12" s="1"/>
  <c r="AH63" i="12" s="1"/>
  <c r="AH9" i="12"/>
  <c r="AH56" i="12"/>
  <c r="P15" i="27"/>
  <c r="AP8" i="15"/>
  <c r="C12" i="35"/>
  <c r="AC49" i="14"/>
  <c r="L14" i="32"/>
  <c r="AL8" i="21"/>
  <c r="AL12" i="21" s="1"/>
  <c r="J26" i="22"/>
  <c r="J24" i="22"/>
  <c r="Q8" i="19"/>
  <c r="Q14" i="20"/>
  <c r="O3" i="24"/>
  <c r="AO7" i="12"/>
  <c r="AY29" i="22"/>
  <c r="AY30" i="22" s="1"/>
  <c r="AY27" i="22"/>
  <c r="L14" i="31"/>
  <c r="AL8" i="20"/>
  <c r="AL14" i="19"/>
  <c r="L14" i="30" s="1"/>
  <c r="Y24" i="22"/>
  <c r="Y26" i="22"/>
  <c r="K6" i="26"/>
  <c r="AK72" i="14"/>
  <c r="AK74" i="14" s="1"/>
  <c r="M12" i="34"/>
  <c r="AM48" i="14"/>
  <c r="AT27" i="23"/>
  <c r="AT29" i="23"/>
  <c r="AT30" i="23" s="1"/>
  <c r="AO24" i="23"/>
  <c r="AO26" i="23"/>
  <c r="J9" i="25"/>
  <c r="AH27" i="18"/>
  <c r="AH29" i="18"/>
  <c r="AH30" i="18" s="1"/>
  <c r="AR27" i="17"/>
  <c r="AR29" i="17"/>
  <c r="AR30" i="17" s="1"/>
  <c r="AB24" i="18"/>
  <c r="AB26" i="18"/>
  <c r="AC26" i="23"/>
  <c r="AC24" i="23"/>
  <c r="H8" i="27"/>
  <c r="AH12" i="15"/>
  <c r="O14" i="31"/>
  <c r="AO14" i="19"/>
  <c r="O14" i="30" s="1"/>
  <c r="AO8" i="20"/>
  <c r="AZ27" i="15"/>
  <c r="AZ29" i="15"/>
  <c r="AZ30" i="15" s="1"/>
  <c r="BB24" i="21"/>
  <c r="BB26" i="21"/>
  <c r="AH29" i="23"/>
  <c r="AH30" i="23" s="1"/>
  <c r="AH27" i="23"/>
  <c r="O27" i="23"/>
  <c r="O29" i="23"/>
  <c r="O30" i="23" s="1"/>
  <c r="AL29" i="23"/>
  <c r="AL30" i="23" s="1"/>
  <c r="AL27" i="23"/>
  <c r="J3" i="24"/>
  <c r="AJ7" i="12"/>
  <c r="M14" i="31"/>
  <c r="AM8" i="20"/>
  <c r="AM14" i="19"/>
  <c r="M14" i="30" s="1"/>
  <c r="C29" i="23"/>
  <c r="C30" i="23" s="1"/>
  <c r="C27" i="23"/>
  <c r="AX26" i="17"/>
  <c r="AX24" i="17"/>
  <c r="AP26" i="15"/>
  <c r="AP24" i="15"/>
  <c r="AL24" i="21"/>
  <c r="AL26" i="21"/>
  <c r="Z14" i="12"/>
  <c r="Z24" i="12" s="1"/>
  <c r="D26" i="16"/>
  <c r="D24" i="16"/>
  <c r="P75" i="14"/>
  <c r="U24" i="21"/>
  <c r="U26" i="21"/>
  <c r="C14" i="33"/>
  <c r="AC8" i="18"/>
  <c r="AC12" i="18" s="1"/>
  <c r="I27" i="23"/>
  <c r="I29" i="23"/>
  <c r="I30" i="23" s="1"/>
  <c r="AJ24" i="23"/>
  <c r="AJ26" i="23"/>
  <c r="AQ24" i="21"/>
  <c r="AQ26" i="21"/>
  <c r="X29" i="17"/>
  <c r="X30" i="17" s="1"/>
  <c r="X27" i="17"/>
  <c r="Z27" i="17"/>
  <c r="Z29" i="17"/>
  <c r="Z30" i="17" s="1"/>
  <c r="AT26" i="15"/>
  <c r="AT24" i="15"/>
  <c r="AV26" i="15"/>
  <c r="AV24" i="15"/>
  <c r="L75" i="14"/>
  <c r="U14" i="20"/>
  <c r="U8" i="19"/>
  <c r="D3" i="24"/>
  <c r="AD7" i="12"/>
  <c r="L12" i="33"/>
  <c r="AL44" i="14"/>
  <c r="AK24" i="21"/>
  <c r="AK26" i="21"/>
  <c r="BF26" i="18"/>
  <c r="BF24" i="18"/>
  <c r="T57" i="14"/>
  <c r="T75" i="14" s="1"/>
  <c r="T13" i="12"/>
  <c r="T14" i="12" s="1"/>
  <c r="T24" i="12" s="1"/>
  <c r="P6" i="25"/>
  <c r="AP40" i="13"/>
  <c r="AP42" i="13" s="1"/>
  <c r="K9" i="25"/>
  <c r="E29" i="16"/>
  <c r="E30" i="16" s="1"/>
  <c r="E27" i="16"/>
  <c r="AT14" i="12"/>
  <c r="AT8" i="12" s="1"/>
  <c r="AT12" i="12" s="1"/>
  <c r="AT21" i="12"/>
  <c r="AT23" i="12" s="1"/>
  <c r="AT24" i="12" s="1"/>
  <c r="AT29" i="21"/>
  <c r="AT30" i="21" s="1"/>
  <c r="AT27" i="21"/>
  <c r="AN24" i="18"/>
  <c r="AN26" i="18"/>
  <c r="P24" i="12"/>
  <c r="I12" i="28"/>
  <c r="BN15" i="16"/>
  <c r="AI25" i="13"/>
  <c r="F15" i="27"/>
  <c r="AF8" i="15"/>
  <c r="AP46" i="14"/>
  <c r="AY29" i="17"/>
  <c r="AY30" i="17" s="1"/>
  <c r="AY27" i="17"/>
  <c r="K14" i="29"/>
  <c r="AK8" i="22"/>
  <c r="AK12" i="22" s="1"/>
  <c r="AQ27" i="18"/>
  <c r="AQ29" i="18"/>
  <c r="AQ30" i="18" s="1"/>
  <c r="AY27" i="20"/>
  <c r="AY29" i="20"/>
  <c r="AY30" i="20" s="1"/>
  <c r="J14" i="32"/>
  <c r="AJ8" i="21"/>
  <c r="AJ12" i="21" s="1"/>
  <c r="AJ29" i="17"/>
  <c r="AJ30" i="17" s="1"/>
  <c r="AJ27" i="17"/>
  <c r="AO26" i="15"/>
  <c r="AO24" i="15"/>
  <c r="AY24" i="18"/>
  <c r="AY26" i="18"/>
  <c r="W29" i="17"/>
  <c r="W30" i="17" s="1"/>
  <c r="W27" i="17"/>
  <c r="AH8" i="22"/>
  <c r="AH12" i="22" s="1"/>
  <c r="H14" i="29"/>
  <c r="AO24" i="20"/>
  <c r="AO26" i="20"/>
  <c r="C24" i="22"/>
  <c r="C26" i="22"/>
  <c r="AB25" i="14"/>
  <c r="AT27" i="22"/>
  <c r="AT29" i="22"/>
  <c r="AT30" i="22" s="1"/>
  <c r="H9" i="25"/>
  <c r="AF27" i="18"/>
  <c r="AF29" i="18"/>
  <c r="AF30" i="18" s="1"/>
  <c r="E3" i="24"/>
  <c r="AE7" i="12"/>
  <c r="BD29" i="22"/>
  <c r="BD30" i="22" s="1"/>
  <c r="BD27" i="22"/>
  <c r="AJ24" i="16"/>
  <c r="AJ26" i="16"/>
  <c r="M29" i="15"/>
  <c r="M30" i="15" s="1"/>
  <c r="M27" i="15"/>
  <c r="BE30" i="16"/>
  <c r="V32" i="18"/>
  <c r="V14" i="18"/>
  <c r="V24" i="18" s="1"/>
  <c r="Z29" i="16"/>
  <c r="Z30" i="16" s="1"/>
  <c r="Z27" i="16"/>
  <c r="K9" i="24"/>
  <c r="AK32" i="12"/>
  <c r="AK62" i="12" s="1"/>
  <c r="AK63" i="12" s="1"/>
  <c r="AK9" i="12"/>
  <c r="AK56" i="12"/>
  <c r="AX26" i="16"/>
  <c r="AX24" i="16"/>
  <c r="G10" i="25"/>
  <c r="AG16" i="13"/>
  <c r="BP26" i="13"/>
  <c r="AG47" i="13"/>
  <c r="AG10" i="12"/>
  <c r="AR27" i="16"/>
  <c r="AR29" i="16"/>
  <c r="AR30" i="16" s="1"/>
  <c r="E14" i="35"/>
  <c r="AE8" i="17"/>
  <c r="AE12" i="17" s="1"/>
  <c r="E10" i="25"/>
  <c r="AE16" i="13"/>
  <c r="AE47" i="13"/>
  <c r="AE10" i="12"/>
  <c r="BN26" i="13"/>
  <c r="N14" i="28"/>
  <c r="AN8" i="16"/>
  <c r="AN12" i="16" s="1"/>
  <c r="AS29" i="21"/>
  <c r="AS30" i="21" s="1"/>
  <c r="AS27" i="21"/>
  <c r="D14" i="32"/>
  <c r="AD8" i="21"/>
  <c r="AD12" i="21" s="1"/>
  <c r="L10" i="25"/>
  <c r="AL47" i="13"/>
  <c r="BU26" i="13"/>
  <c r="AL10" i="12"/>
  <c r="AL16" i="13"/>
  <c r="M27" i="16"/>
  <c r="X29" i="15"/>
  <c r="X30" i="15" s="1"/>
  <c r="X27" i="15"/>
  <c r="M14" i="35"/>
  <c r="AM8" i="17"/>
  <c r="AM12" i="17" s="1"/>
  <c r="F3" i="24"/>
  <c r="AF7" i="12"/>
  <c r="L6" i="26"/>
  <c r="AL72" i="14"/>
  <c r="AL74" i="14" s="1"/>
  <c r="AJ26" i="15"/>
  <c r="AJ24" i="15"/>
  <c r="AA27" i="21"/>
  <c r="AA29" i="21"/>
  <c r="AA30" i="21" s="1"/>
  <c r="BB27" i="18"/>
  <c r="BB29" i="18"/>
  <c r="BB30" i="18" s="1"/>
  <c r="Y27" i="20"/>
  <c r="Y29" i="20"/>
  <c r="Y30" i="20" s="1"/>
  <c r="D27" i="21"/>
  <c r="D29" i="21"/>
  <c r="D30" i="21" s="1"/>
  <c r="O9" i="24"/>
  <c r="AO9" i="12"/>
  <c r="AO32" i="12"/>
  <c r="AO62" i="12" s="1"/>
  <c r="AO63" i="12" s="1"/>
  <c r="AO56" i="12"/>
  <c r="AU8" i="21"/>
  <c r="AU14" i="19"/>
  <c r="AX26" i="21"/>
  <c r="AX24" i="21"/>
  <c r="Q14" i="23"/>
  <c r="Q24" i="23" s="1"/>
  <c r="Q27" i="23"/>
  <c r="G10" i="24"/>
  <c r="AG33" i="12"/>
  <c r="AG68" i="12" s="1"/>
  <c r="AG69" i="12" s="1"/>
  <c r="W27" i="16"/>
  <c r="W29" i="16"/>
  <c r="W30" i="16" s="1"/>
  <c r="L9" i="26"/>
  <c r="AW12" i="12"/>
  <c r="AW27" i="14"/>
  <c r="AW57" i="14" s="1"/>
  <c r="AW75" i="14" s="1"/>
  <c r="AH12" i="20"/>
  <c r="BE26" i="20"/>
  <c r="BE24" i="20"/>
  <c r="N26" i="20"/>
  <c r="N24" i="20"/>
  <c r="F12" i="35"/>
  <c r="AF49" i="14"/>
  <c r="R29" i="15"/>
  <c r="R30" i="15" s="1"/>
  <c r="R27" i="15"/>
  <c r="I10" i="25"/>
  <c r="AI47" i="13"/>
  <c r="BR26" i="13"/>
  <c r="AI10" i="12"/>
  <c r="AI16" i="13"/>
  <c r="N6" i="25"/>
  <c r="AN40" i="13"/>
  <c r="AN42" i="13" s="1"/>
  <c r="AY27" i="15"/>
  <c r="AY29" i="15"/>
  <c r="AY30" i="15" s="1"/>
  <c r="AK8" i="18"/>
  <c r="AK12" i="18" s="1"/>
  <c r="K14" i="33"/>
  <c r="AU27" i="15"/>
  <c r="AU29" i="15"/>
  <c r="AU30" i="15" s="1"/>
  <c r="AV26" i="23"/>
  <c r="AV24" i="23"/>
  <c r="W29" i="21"/>
  <c r="W30" i="21" s="1"/>
  <c r="W27" i="21"/>
  <c r="AQ12" i="19"/>
  <c r="AQ46" i="14"/>
  <c r="AQ43" i="14" s="1"/>
  <c r="AQ27" i="14" s="1"/>
  <c r="AQ57" i="14" s="1"/>
  <c r="AQ75" i="14" s="1"/>
  <c r="F29" i="16"/>
  <c r="F30" i="16" s="1"/>
  <c r="F27" i="16"/>
  <c r="AY21" i="12"/>
  <c r="AY23" i="12" s="1"/>
  <c r="AY14" i="12"/>
  <c r="AY8" i="12" s="1"/>
  <c r="AY12" i="12" s="1"/>
  <c r="C5" i="25"/>
  <c r="AC6" i="12"/>
  <c r="C5" i="24" s="1"/>
  <c r="AC13" i="13"/>
  <c r="T27" i="15"/>
  <c r="T29" i="15"/>
  <c r="T30" i="15" s="1"/>
  <c r="AT24" i="16"/>
  <c r="AT26" i="16"/>
  <c r="J15" i="27"/>
  <c r="AJ8" i="15"/>
  <c r="AK27" i="17"/>
  <c r="AK29" i="17"/>
  <c r="AK30" i="17" s="1"/>
  <c r="O9" i="25"/>
  <c r="Y14" i="12"/>
  <c r="Y24" i="12" s="1"/>
  <c r="AG29" i="23"/>
  <c r="AG30" i="23" s="1"/>
  <c r="AG27" i="23"/>
  <c r="AV29" i="18"/>
  <c r="AV30" i="18" s="1"/>
  <c r="AV27" i="18"/>
  <c r="C14" i="12"/>
  <c r="C24" i="12" s="1"/>
  <c r="E14" i="28"/>
  <c r="AE8" i="16"/>
  <c r="AE12" i="16" s="1"/>
  <c r="AG29" i="17"/>
  <c r="AG30" i="17" s="1"/>
  <c r="AG27" i="17"/>
  <c r="AM24" i="23"/>
  <c r="AM26" i="23"/>
  <c r="AQ27" i="22"/>
  <c r="AQ29" i="22"/>
  <c r="AQ30" i="22" s="1"/>
  <c r="AY26" i="21"/>
  <c r="AY24" i="21"/>
  <c r="AX27" i="15"/>
  <c r="AX29" i="15"/>
  <c r="AX30" i="15" s="1"/>
  <c r="R29" i="18"/>
  <c r="R30" i="18" s="1"/>
  <c r="R27" i="18"/>
  <c r="BG29" i="15"/>
  <c r="BG30" i="15" s="1"/>
  <c r="BG27" i="15"/>
  <c r="E24" i="22"/>
  <c r="E26" i="22"/>
  <c r="AW26" i="23"/>
  <c r="AW24" i="23"/>
  <c r="AA26" i="20"/>
  <c r="Y29" i="16"/>
  <c r="Y30" i="16" s="1"/>
  <c r="Y27" i="16"/>
  <c r="O14" i="32"/>
  <c r="AO8" i="21"/>
  <c r="AO12" i="21" s="1"/>
  <c r="AD24" i="21"/>
  <c r="AD26" i="21"/>
  <c r="AH29" i="15"/>
  <c r="AH27" i="15"/>
  <c r="BG27" i="22"/>
  <c r="BG29" i="22"/>
  <c r="BG30" i="22" s="1"/>
  <c r="AZ29" i="23"/>
  <c r="AZ30" i="23" s="1"/>
  <c r="AZ27" i="23"/>
  <c r="AM24" i="17"/>
  <c r="AM26" i="17"/>
  <c r="N27" i="18"/>
  <c r="N29" i="18"/>
  <c r="N30" i="18" s="1"/>
  <c r="BE75" i="14"/>
  <c r="M6" i="25"/>
  <c r="AM40" i="13"/>
  <c r="AM42" i="13" s="1"/>
  <c r="E6" i="26"/>
  <c r="AE72" i="14"/>
  <c r="AE74" i="14" s="1"/>
  <c r="AR26" i="15"/>
  <c r="AR24" i="15"/>
  <c r="BA24" i="17"/>
  <c r="BA26" i="17"/>
  <c r="AX27" i="22"/>
  <c r="AX29" i="22"/>
  <c r="AX30" i="22" s="1"/>
  <c r="I12" i="34"/>
  <c r="AI48" i="14"/>
  <c r="U14" i="12"/>
  <c r="U24" i="12" s="1"/>
  <c r="K27" i="16"/>
  <c r="AQ27" i="15"/>
  <c r="AQ29" i="15"/>
  <c r="AQ30" i="15" s="1"/>
  <c r="AU24" i="21"/>
  <c r="AU26" i="21"/>
  <c r="BA27" i="15"/>
  <c r="BA29" i="15"/>
  <c r="BA30" i="15" s="1"/>
  <c r="P10" i="24"/>
  <c r="AP33" i="12"/>
  <c r="AP68" i="12" s="1"/>
  <c r="AP69" i="12" s="1"/>
  <c r="AZ29" i="20"/>
  <c r="AZ30" i="20" s="1"/>
  <c r="AZ27" i="20"/>
  <c r="G27" i="22"/>
  <c r="J6" i="26"/>
  <c r="AJ72" i="14"/>
  <c r="AJ74" i="14" s="1"/>
  <c r="W27" i="22"/>
  <c r="W29" i="22"/>
  <c r="W30" i="22" s="1"/>
  <c r="W27" i="20"/>
  <c r="W29" i="20"/>
  <c r="W30" i="20" s="1"/>
  <c r="AL70" i="12"/>
  <c r="AL71" i="12"/>
  <c r="AD8" i="19"/>
  <c r="AD12" i="20"/>
  <c r="Z26" i="20"/>
  <c r="AE24" i="20"/>
  <c r="AE26" i="20"/>
  <c r="AF24" i="15"/>
  <c r="AF26" i="15"/>
  <c r="X32" i="17"/>
  <c r="X14" i="17"/>
  <c r="X24" i="17" s="1"/>
  <c r="AA24" i="22"/>
  <c r="AA26" i="22"/>
  <c r="AW27" i="20"/>
  <c r="AW29" i="20"/>
  <c r="AW30" i="20" s="1"/>
  <c r="AK24" i="22"/>
  <c r="AK26" i="22"/>
  <c r="AH27" i="16"/>
  <c r="AH29" i="16"/>
  <c r="AH30" i="16" s="1"/>
  <c r="L29" i="23"/>
  <c r="L30" i="23" s="1"/>
  <c r="L27" i="23"/>
  <c r="AC29" i="20"/>
  <c r="AC30" i="20" s="1"/>
  <c r="AC27" i="20"/>
  <c r="BE29" i="22"/>
  <c r="BE30" i="22" s="1"/>
  <c r="BE27" i="22"/>
  <c r="I24" i="20"/>
  <c r="I26" i="20"/>
  <c r="AE26" i="17"/>
  <c r="AE24" i="17"/>
  <c r="BB29" i="22"/>
  <c r="BB30" i="22" s="1"/>
  <c r="BB27" i="22"/>
  <c r="AN24" i="16"/>
  <c r="AN26" i="16"/>
  <c r="AL42" i="13"/>
  <c r="D8" i="19"/>
  <c r="D14" i="20"/>
  <c r="AO24" i="21"/>
  <c r="AO26" i="21"/>
  <c r="AM24" i="18"/>
  <c r="AM26" i="18"/>
  <c r="C29" i="21"/>
  <c r="C30" i="21" s="1"/>
  <c r="C27" i="21"/>
  <c r="AI26" i="18"/>
  <c r="AI24" i="18"/>
  <c r="I26" i="22"/>
  <c r="I24" i="22"/>
  <c r="AI27" i="16"/>
  <c r="AI29" i="16"/>
  <c r="AI30" i="16" s="1"/>
  <c r="L14" i="29"/>
  <c r="AL8" i="22"/>
  <c r="AL12" i="22" s="1"/>
  <c r="AZ75" i="14"/>
  <c r="G29" i="20"/>
  <c r="G30" i="20" s="1"/>
  <c r="G27" i="20"/>
  <c r="I14" i="16"/>
  <c r="I24" i="16" s="1"/>
  <c r="I27" i="16"/>
  <c r="I12" i="35"/>
  <c r="AI49" i="14"/>
  <c r="AV26" i="21"/>
  <c r="AV24" i="21"/>
  <c r="H29" i="23"/>
  <c r="H30" i="23" s="1"/>
  <c r="H27" i="23"/>
  <c r="AO24" i="16"/>
  <c r="AO26" i="16"/>
  <c r="AC14" i="19"/>
  <c r="C14" i="30" s="1"/>
  <c r="M14" i="32"/>
  <c r="AM8" i="21"/>
  <c r="AM12" i="21" s="1"/>
  <c r="BC24" i="21"/>
  <c r="BC26" i="21"/>
  <c r="I3" i="24"/>
  <c r="AI7" i="12"/>
  <c r="BG29" i="20"/>
  <c r="BG30" i="20" s="1"/>
  <c r="BG27" i="20"/>
  <c r="AL24" i="17"/>
  <c r="AL26" i="17"/>
  <c r="N14" i="32"/>
  <c r="AN8" i="21"/>
  <c r="AN12" i="21" s="1"/>
  <c r="M6" i="26"/>
  <c r="AM72" i="14"/>
  <c r="AM74" i="14" s="1"/>
  <c r="N3" i="24"/>
  <c r="AN7" i="12"/>
  <c r="I15" i="24"/>
  <c r="AI22" i="12"/>
  <c r="AV27" i="22"/>
  <c r="AV29" i="22"/>
  <c r="AV30" i="22" s="1"/>
  <c r="Q29" i="20"/>
  <c r="Q30" i="20" s="1"/>
  <c r="Q27" i="20"/>
  <c r="N14" i="35"/>
  <c r="AN8" i="17"/>
  <c r="AN12" i="17" s="1"/>
  <c r="N10" i="25"/>
  <c r="AN47" i="13"/>
  <c r="BW26" i="13"/>
  <c r="AN10" i="12"/>
  <c r="AN16" i="13"/>
  <c r="L14" i="28"/>
  <c r="AL8" i="16"/>
  <c r="AL12" i="16" s="1"/>
  <c r="M14" i="33"/>
  <c r="AM8" i="18"/>
  <c r="AM12" i="18" s="1"/>
  <c r="D42" i="13"/>
  <c r="D43" i="13" s="1"/>
  <c r="AX43" i="14"/>
  <c r="AX27" i="14" s="1"/>
  <c r="AX57" i="14" s="1"/>
  <c r="AX75" i="14" s="1"/>
  <c r="AD24" i="18"/>
  <c r="AD26" i="18"/>
  <c r="AJ26" i="20"/>
  <c r="AJ24" i="20"/>
  <c r="AB24" i="22"/>
  <c r="AB26" i="22"/>
  <c r="I14" i="33"/>
  <c r="AI8" i="18"/>
  <c r="AI12" i="18" s="1"/>
  <c r="Y27" i="17"/>
  <c r="Y29" i="17"/>
  <c r="Y30" i="17" s="1"/>
  <c r="B14" i="35"/>
  <c r="AB8" i="17"/>
  <c r="AL26" i="22"/>
  <c r="AL24" i="22"/>
  <c r="E8" i="19"/>
  <c r="E14" i="20"/>
  <c r="E14" i="19" s="1"/>
  <c r="E27" i="15"/>
  <c r="G24" i="20"/>
  <c r="G75" i="14"/>
  <c r="P27" i="21"/>
  <c r="P29" i="21"/>
  <c r="P30" i="21" s="1"/>
  <c r="N75" i="14"/>
  <c r="P15" i="24"/>
  <c r="AP22" i="12"/>
  <c r="BD27" i="20"/>
  <c r="BD29" i="20"/>
  <c r="BD30" i="20" s="1"/>
  <c r="AS27" i="23"/>
  <c r="AS29" i="23"/>
  <c r="AS30" i="23" s="1"/>
  <c r="B14" i="29"/>
  <c r="AB8" i="22"/>
  <c r="AB12" i="22" s="1"/>
  <c r="F29" i="21"/>
  <c r="F30" i="21" s="1"/>
  <c r="F27" i="21"/>
  <c r="W32" i="18"/>
  <c r="W14" i="18"/>
  <c r="W24" i="18" s="1"/>
  <c r="AW27" i="17"/>
  <c r="AW29" i="17"/>
  <c r="AW30" i="17" s="1"/>
  <c r="AB24" i="17"/>
  <c r="AB26" i="17"/>
  <c r="H26" i="20"/>
  <c r="H24" i="20"/>
  <c r="D6" i="26"/>
  <c r="AD72" i="14"/>
  <c r="AD74" i="14" s="1"/>
  <c r="Z27" i="15"/>
  <c r="Z29" i="15"/>
  <c r="Z30" i="15" s="1"/>
  <c r="BE24" i="15"/>
  <c r="BE26" i="15"/>
  <c r="BA27" i="20"/>
  <c r="BA29" i="20"/>
  <c r="BA30" i="20" s="1"/>
  <c r="BB26" i="16"/>
  <c r="BB24" i="16"/>
  <c r="S24" i="21"/>
  <c r="S26" i="21"/>
  <c r="AK30" i="20"/>
  <c r="AZ29" i="18"/>
  <c r="AZ30" i="18" s="1"/>
  <c r="AZ27" i="18"/>
  <c r="AH26" i="17"/>
  <c r="AH24" i="17"/>
  <c r="BF27" i="21"/>
  <c r="BF29" i="21"/>
  <c r="BF30" i="21" s="1"/>
  <c r="AC24" i="18"/>
  <c r="AC26" i="18"/>
  <c r="AC27" i="15"/>
  <c r="AC29" i="15"/>
  <c r="AC30" i="15" s="1"/>
  <c r="AT26" i="18"/>
  <c r="AT24" i="18"/>
  <c r="P24" i="20"/>
  <c r="P26" i="20"/>
  <c r="K29" i="21"/>
  <c r="K30" i="21" s="1"/>
  <c r="K27" i="21"/>
  <c r="AU24" i="22"/>
  <c r="AU26" i="22"/>
  <c r="V29" i="21"/>
  <c r="V30" i="21" s="1"/>
  <c r="V27" i="21"/>
  <c r="O6" i="25"/>
  <c r="AO40" i="13"/>
  <c r="AO42" i="13" s="1"/>
  <c r="H6" i="24"/>
  <c r="AH14" i="12"/>
  <c r="AH21" i="12"/>
  <c r="AH23" i="12" s="1"/>
  <c r="AH24" i="12" s="1"/>
  <c r="AZ29" i="22"/>
  <c r="AZ30" i="22" s="1"/>
  <c r="AZ27" i="22"/>
  <c r="U42" i="13"/>
  <c r="U43" i="13" s="1"/>
  <c r="S27" i="16"/>
  <c r="S29" i="16"/>
  <c r="S30" i="16" s="1"/>
  <c r="H12" i="33"/>
  <c r="AH44" i="14"/>
  <c r="BF24" i="16"/>
  <c r="BF26" i="16"/>
  <c r="BC29" i="16"/>
  <c r="BC30" i="16" s="1"/>
  <c r="BC27" i="16"/>
  <c r="D14" i="33"/>
  <c r="AD8" i="18"/>
  <c r="AD12" i="18" s="1"/>
  <c r="X27" i="20"/>
  <c r="X29" i="20"/>
  <c r="X30" i="20" s="1"/>
  <c r="D24" i="12"/>
  <c r="AG26" i="21"/>
  <c r="AG24" i="21"/>
  <c r="BE29" i="23"/>
  <c r="BE30" i="23" s="1"/>
  <c r="BE27" i="23"/>
  <c r="X24" i="22"/>
  <c r="X26" i="22"/>
  <c r="K26" i="20"/>
  <c r="K24" i="20"/>
  <c r="Z8" i="19"/>
  <c r="Z14" i="20"/>
  <c r="Z14" i="19" s="1"/>
  <c r="AC8" i="19"/>
  <c r="AC12" i="20"/>
  <c r="AM26" i="21"/>
  <c r="AM24" i="21"/>
  <c r="J12" i="35"/>
  <c r="AJ49" i="14"/>
  <c r="AD29" i="23"/>
  <c r="AD30" i="23" s="1"/>
  <c r="AD27" i="23"/>
  <c r="S29" i="13"/>
  <c r="S13" i="12"/>
  <c r="S14" i="12" s="1"/>
  <c r="S24" i="12" s="1"/>
  <c r="K3" i="24"/>
  <c r="AK7" i="12"/>
  <c r="AN26" i="21"/>
  <c r="AN24" i="21"/>
  <c r="K9" i="26"/>
  <c r="N14" i="29"/>
  <c r="AN8" i="22"/>
  <c r="AN12" i="22" s="1"/>
  <c r="AX21" i="12"/>
  <c r="AX23" i="12" s="1"/>
  <c r="AX14" i="12"/>
  <c r="AX8" i="12" s="1"/>
  <c r="AX12" i="12" s="1"/>
  <c r="AL27" i="18"/>
  <c r="AL29" i="18"/>
  <c r="AL30" i="18" s="1"/>
  <c r="N6" i="26"/>
  <c r="AN72" i="14"/>
  <c r="AN74" i="14" s="1"/>
  <c r="AX24" i="18"/>
  <c r="AX26" i="18"/>
  <c r="G14" i="32"/>
  <c r="AG8" i="21"/>
  <c r="AG12" i="21" s="1"/>
  <c r="T14" i="19"/>
  <c r="T24" i="20"/>
  <c r="K29" i="23"/>
  <c r="K30" i="23" s="1"/>
  <c r="K27" i="23"/>
  <c r="AA27" i="17"/>
  <c r="AA29" i="17"/>
  <c r="AA30" i="17" s="1"/>
  <c r="O14" i="29"/>
  <c r="AO8" i="22"/>
  <c r="AO12" i="22" s="1"/>
  <c r="N27" i="16"/>
  <c r="N29" i="16"/>
  <c r="N30" i="16" s="1"/>
  <c r="BD29" i="17"/>
  <c r="BD30" i="17" s="1"/>
  <c r="BD27" i="17"/>
  <c r="AT12" i="19"/>
  <c r="AT46" i="14"/>
  <c r="AT43" i="14" s="1"/>
  <c r="AT27" i="14" s="1"/>
  <c r="AT57" i="14" s="1"/>
  <c r="AT75" i="14" s="1"/>
  <c r="H26" i="22"/>
  <c r="H24" i="22"/>
  <c r="BA29" i="22"/>
  <c r="BA30" i="22" s="1"/>
  <c r="BA27" i="22"/>
  <c r="D9" i="26"/>
  <c r="AY26" i="16"/>
  <c r="AY24" i="16"/>
  <c r="E26" i="20"/>
  <c r="W29" i="13"/>
  <c r="W43" i="13" s="1"/>
  <c r="W13" i="12"/>
  <c r="W14" i="12" s="1"/>
  <c r="W24" i="12" s="1"/>
  <c r="X27" i="21"/>
  <c r="AN24" i="22"/>
  <c r="AN26" i="22"/>
  <c r="B8" i="27"/>
  <c r="AB12" i="15"/>
  <c r="AH71" i="12"/>
  <c r="AH70" i="12"/>
  <c r="BG27" i="16"/>
  <c r="BG29" i="16"/>
  <c r="BG30" i="16" s="1"/>
  <c r="M15" i="24"/>
  <c r="AM22" i="12"/>
  <c r="AS14" i="12"/>
  <c r="AS8" i="12" s="1"/>
  <c r="AS12" i="12" s="1"/>
  <c r="AS21" i="12"/>
  <c r="AS23" i="12" s="1"/>
  <c r="AS24" i="12" s="1"/>
  <c r="P14" i="34"/>
  <c r="AP8" i="23"/>
  <c r="AP12" i="23" s="1"/>
  <c r="J14" i="31"/>
  <c r="AJ8" i="20"/>
  <c r="AJ14" i="19"/>
  <c r="J14" i="30" s="1"/>
  <c r="Z29" i="23"/>
  <c r="Z30" i="23" s="1"/>
  <c r="Z27" i="23"/>
  <c r="K12" i="28"/>
  <c r="AK25" i="13"/>
  <c r="BP15" i="16"/>
  <c r="AW26" i="16"/>
  <c r="AW24" i="16"/>
  <c r="AH24" i="21"/>
  <c r="AH26" i="21"/>
  <c r="O14" i="25"/>
  <c r="AO13" i="12"/>
  <c r="O13" i="24" s="1"/>
  <c r="O9" i="26"/>
  <c r="AU26" i="17"/>
  <c r="AU24" i="17"/>
  <c r="AD8" i="22"/>
  <c r="AD12" i="22" s="1"/>
  <c r="D14" i="29"/>
  <c r="O29" i="18"/>
  <c r="O30" i="18" s="1"/>
  <c r="O27" i="18"/>
  <c r="Q27" i="21"/>
  <c r="Q29" i="21"/>
  <c r="Q30" i="21" s="1"/>
  <c r="Z18" i="22"/>
  <c r="AE26" i="23"/>
  <c r="AE24" i="23"/>
  <c r="BD26" i="18"/>
  <c r="BD24" i="18"/>
  <c r="BD29" i="15"/>
  <c r="BD30" i="15" s="1"/>
  <c r="BD27" i="15"/>
  <c r="AQ9" i="12"/>
  <c r="AQ31" i="12" s="1"/>
  <c r="AQ32" i="12"/>
  <c r="AE12" i="20"/>
  <c r="AE8" i="19"/>
  <c r="BF29" i="23"/>
  <c r="BF30" i="23" s="1"/>
  <c r="BF27" i="23"/>
  <c r="AM26" i="15"/>
  <c r="AM24" i="15"/>
  <c r="BA27" i="23"/>
  <c r="BA29" i="23"/>
  <c r="BA30" i="23" s="1"/>
  <c r="X29" i="16"/>
  <c r="X30" i="16" s="1"/>
  <c r="X27" i="16"/>
  <c r="X32" i="18"/>
  <c r="X14" i="18"/>
  <c r="X24" i="18" s="1"/>
  <c r="O15" i="27"/>
  <c r="AO8" i="15"/>
  <c r="AB29" i="20"/>
  <c r="AB30" i="20" s="1"/>
  <c r="AB27" i="20"/>
  <c r="E27" i="21"/>
  <c r="E29" i="21"/>
  <c r="E30" i="21" s="1"/>
  <c r="J14" i="28"/>
  <c r="AJ8" i="16"/>
  <c r="AJ12" i="16" s="1"/>
  <c r="G29" i="21"/>
  <c r="G30" i="21" s="1"/>
  <c r="G27" i="21"/>
  <c r="AF29" i="17"/>
  <c r="AF30" i="17" s="1"/>
  <c r="AF27" i="17"/>
  <c r="J26" i="20"/>
  <c r="J24" i="20"/>
  <c r="F8" i="19"/>
  <c r="F14" i="20"/>
  <c r="F14" i="19" s="1"/>
  <c r="C6" i="26"/>
  <c r="AC72" i="14"/>
  <c r="AC74" i="14" s="1"/>
  <c r="J27" i="16"/>
  <c r="J29" i="16"/>
  <c r="J30" i="16" s="1"/>
  <c r="R29" i="16"/>
  <c r="R30" i="16" s="1"/>
  <c r="R27" i="16"/>
  <c r="U29" i="23"/>
  <c r="U30" i="23" s="1"/>
  <c r="U27" i="23"/>
  <c r="AE26" i="16"/>
  <c r="AE24" i="16"/>
  <c r="AR12" i="19"/>
  <c r="AR46" i="14"/>
  <c r="AR43" i="14" s="1"/>
  <c r="AR27" i="14" s="1"/>
  <c r="AR57" i="14" s="1"/>
  <c r="BA29" i="16"/>
  <c r="BA30" i="16" s="1"/>
  <c r="BA27" i="16"/>
  <c r="M27" i="21"/>
  <c r="M29" i="21"/>
  <c r="M30" i="21" s="1"/>
  <c r="G29" i="16"/>
  <c r="G30" i="16" s="1"/>
  <c r="G27" i="16"/>
  <c r="O14" i="28"/>
  <c r="AO8" i="16"/>
  <c r="AO12" i="16" s="1"/>
  <c r="AJ26" i="12"/>
  <c r="H6" i="26"/>
  <c r="AH72" i="14"/>
  <c r="AH74" i="14" s="1"/>
  <c r="AU24" i="16"/>
  <c r="AU26" i="16"/>
  <c r="AA8" i="19"/>
  <c r="AA14" i="20"/>
  <c r="AA14" i="19" s="1"/>
  <c r="AN24" i="17"/>
  <c r="AN26" i="17"/>
  <c r="AL24" i="16"/>
  <c r="AL26" i="16"/>
  <c r="BC15" i="13"/>
  <c r="BC29" i="13" s="1"/>
  <c r="I14" i="29"/>
  <c r="AI8" i="22"/>
  <c r="AI12" i="22" s="1"/>
  <c r="Y29" i="21"/>
  <c r="Y30" i="21" s="1"/>
  <c r="Y27" i="21"/>
  <c r="AF14" i="19"/>
  <c r="F14" i="30" s="1"/>
  <c r="I14" i="31"/>
  <c r="AI8" i="20"/>
  <c r="AI14" i="19"/>
  <c r="I14" i="30" s="1"/>
  <c r="I6" i="26"/>
  <c r="AI72" i="14"/>
  <c r="AI74" i="14" s="1"/>
  <c r="AO26" i="22"/>
  <c r="AO24" i="22"/>
  <c r="L12" i="35"/>
  <c r="AL49" i="14"/>
  <c r="V27" i="17"/>
  <c r="V29" i="17"/>
  <c r="V30" i="17" s="1"/>
  <c r="N10" i="24"/>
  <c r="AN33" i="12"/>
  <c r="AN68" i="12" s="1"/>
  <c r="AN69" i="12" s="1"/>
  <c r="AN24" i="20"/>
  <c r="AN26" i="20"/>
  <c r="E12" i="32"/>
  <c r="AE45" i="14"/>
  <c r="BC27" i="14"/>
  <c r="BC57" i="14" s="1"/>
  <c r="BC75" i="14" s="1"/>
  <c r="X43" i="13"/>
  <c r="I15" i="27"/>
  <c r="AI8" i="15"/>
  <c r="AG26" i="20"/>
  <c r="AG24" i="20"/>
  <c r="I29" i="15"/>
  <c r="I30" i="15" s="1"/>
  <c r="I27" i="15"/>
  <c r="AV27" i="20"/>
  <c r="AV29" i="20"/>
  <c r="AV30" i="20" s="1"/>
  <c r="H14" i="32"/>
  <c r="AH8" i="21"/>
  <c r="AH12" i="21" s="1"/>
  <c r="AG29" i="16"/>
  <c r="AG30" i="16" s="1"/>
  <c r="AG27" i="16"/>
  <c r="AD24" i="22"/>
  <c r="AD26" i="22"/>
  <c r="AQ27" i="20"/>
  <c r="AQ29" i="20"/>
  <c r="AQ30" i="20" s="1"/>
  <c r="O24" i="12"/>
  <c r="G3" i="24"/>
  <c r="AG7" i="12"/>
  <c r="BG43" i="14"/>
  <c r="BG27" i="14" s="1"/>
  <c r="BG57" i="14" s="1"/>
  <c r="AJ24" i="18"/>
  <c r="AJ26" i="18"/>
  <c r="AW26" i="21"/>
  <c r="AW24" i="21"/>
  <c r="AI24" i="15"/>
  <c r="AI26" i="15"/>
  <c r="AB14" i="19"/>
  <c r="B14" i="30" s="1"/>
  <c r="AP24" i="23"/>
  <c r="AP26" i="23"/>
  <c r="BC26" i="20"/>
  <c r="BC24" i="20"/>
  <c r="G14" i="31"/>
  <c r="AG8" i="20"/>
  <c r="AG14" i="19"/>
  <c r="G14" i="30" s="1"/>
  <c r="F26" i="20"/>
  <c r="AR29" i="18"/>
  <c r="AR30" i="18" s="1"/>
  <c r="AR27" i="18"/>
  <c r="D14" i="12"/>
  <c r="L15" i="27"/>
  <c r="AL8" i="15"/>
  <c r="M10" i="24"/>
  <c r="AM33" i="12"/>
  <c r="AM68" i="12" s="1"/>
  <c r="AM69" i="12" s="1"/>
  <c r="AU21" i="12"/>
  <c r="AU23" i="12" s="1"/>
  <c r="AU14" i="12"/>
  <c r="AU8" i="12" s="1"/>
  <c r="AU12" i="12" s="1"/>
  <c r="M75" i="14"/>
  <c r="AU27" i="23"/>
  <c r="AU29" i="23"/>
  <c r="AU30" i="23" s="1"/>
  <c r="BG26" i="18"/>
  <c r="BG24" i="18"/>
  <c r="J14" i="33"/>
  <c r="AJ8" i="18"/>
  <c r="AJ12" i="18" s="1"/>
  <c r="AB8" i="19"/>
  <c r="AB12" i="20"/>
  <c r="P14" i="12"/>
  <c r="AW23" i="13"/>
  <c r="AW15" i="13" s="1"/>
  <c r="AW29" i="13" s="1"/>
  <c r="H29" i="21"/>
  <c r="H30" i="21" s="1"/>
  <c r="H27" i="21"/>
  <c r="S42" i="13"/>
  <c r="C29" i="20"/>
  <c r="C30" i="20" s="1"/>
  <c r="C27" i="20"/>
  <c r="Q29" i="15"/>
  <c r="Q30" i="15" s="1"/>
  <c r="Q27" i="15"/>
  <c r="L12" i="34"/>
  <c r="AL48" i="14"/>
  <c r="AB26" i="16"/>
  <c r="AB24" i="16"/>
  <c r="AL24" i="15"/>
  <c r="AL26" i="15"/>
  <c r="G12" i="28"/>
  <c r="BL15" i="16"/>
  <c r="AG25" i="13"/>
  <c r="AM27" i="17" l="1"/>
  <c r="AM29" i="17"/>
  <c r="AM30" i="17" s="1"/>
  <c r="H12" i="31"/>
  <c r="AH12" i="19"/>
  <c r="H12" i="30" s="1"/>
  <c r="AH46" i="14"/>
  <c r="K12" i="29"/>
  <c r="AK47" i="14"/>
  <c r="H13" i="27"/>
  <c r="BM19" i="15"/>
  <c r="AH24" i="13"/>
  <c r="AH23" i="13" s="1"/>
  <c r="C12" i="34"/>
  <c r="AC48" i="14"/>
  <c r="J12" i="33"/>
  <c r="AJ44" i="14"/>
  <c r="BC27" i="20"/>
  <c r="BC29" i="20"/>
  <c r="BC30" i="20" s="1"/>
  <c r="AO29" i="22"/>
  <c r="AO30" i="22" s="1"/>
  <c r="AO27" i="22"/>
  <c r="AJ34" i="12"/>
  <c r="AK26" i="12"/>
  <c r="AB27" i="17"/>
  <c r="AB29" i="17"/>
  <c r="AB30" i="17" s="1"/>
  <c r="L12" i="28"/>
  <c r="BQ15" i="16"/>
  <c r="AL25" i="13"/>
  <c r="AE29" i="20"/>
  <c r="AE30" i="20" s="1"/>
  <c r="AE27" i="20"/>
  <c r="AU29" i="21"/>
  <c r="AU27" i="21"/>
  <c r="K8" i="24"/>
  <c r="AK31" i="12"/>
  <c r="AK50" i="12" s="1"/>
  <c r="AK38" i="12"/>
  <c r="B6" i="26"/>
  <c r="AB72" i="14"/>
  <c r="AB74" i="14" s="1"/>
  <c r="AX27" i="17"/>
  <c r="AX29" i="17"/>
  <c r="AX30" i="17" s="1"/>
  <c r="AL12" i="20"/>
  <c r="AL8" i="19"/>
  <c r="AV29" i="16"/>
  <c r="AV30" i="16" s="1"/>
  <c r="AV27" i="16"/>
  <c r="C12" i="28"/>
  <c r="AC25" i="13"/>
  <c r="F9" i="25"/>
  <c r="T27" i="21"/>
  <c r="T29" i="21"/>
  <c r="T30" i="21" s="1"/>
  <c r="AQ27" i="23"/>
  <c r="AQ29" i="23"/>
  <c r="AQ30" i="23" s="1"/>
  <c r="M12" i="28"/>
  <c r="BR15" i="16"/>
  <c r="AM25" i="13"/>
  <c r="AO27" i="17"/>
  <c r="AO29" i="17"/>
  <c r="AO30" i="17" s="1"/>
  <c r="AY27" i="23"/>
  <c r="AY29" i="23"/>
  <c r="AY30" i="23" s="1"/>
  <c r="H12" i="32"/>
  <c r="AH45" i="14"/>
  <c r="AH43" i="14" s="1"/>
  <c r="H29" i="20"/>
  <c r="H30" i="20" s="1"/>
  <c r="H27" i="20"/>
  <c r="AL27" i="17"/>
  <c r="AL29" i="17"/>
  <c r="AL30" i="17" s="1"/>
  <c r="AP27" i="23"/>
  <c r="AP29" i="23"/>
  <c r="AP30" i="23" s="1"/>
  <c r="AU27" i="17"/>
  <c r="AU29" i="17"/>
  <c r="AU30" i="17" s="1"/>
  <c r="H27" i="22"/>
  <c r="H29" i="22"/>
  <c r="H30" i="22" s="1"/>
  <c r="L12" i="29"/>
  <c r="AL47" i="14"/>
  <c r="AE29" i="17"/>
  <c r="AE30" i="17" s="1"/>
  <c r="AE27" i="17"/>
  <c r="AK64" i="12"/>
  <c r="AK65" i="12"/>
  <c r="C27" i="22"/>
  <c r="C29" i="22"/>
  <c r="C30" i="22" s="1"/>
  <c r="AJ71" i="12"/>
  <c r="AJ70" i="12"/>
  <c r="AP27" i="22"/>
  <c r="AP29" i="22"/>
  <c r="AP30" i="22" s="1"/>
  <c r="AR27" i="23"/>
  <c r="AR29" i="23"/>
  <c r="AR30" i="23" s="1"/>
  <c r="N12" i="34"/>
  <c r="AN48" i="14"/>
  <c r="V14" i="19"/>
  <c r="V24" i="20"/>
  <c r="AP27" i="16"/>
  <c r="AP29" i="16"/>
  <c r="AP30" i="16" s="1"/>
  <c r="P12" i="35"/>
  <c r="AP49" i="14"/>
  <c r="AI27" i="22"/>
  <c r="AI29" i="22"/>
  <c r="AI30" i="22" s="1"/>
  <c r="BG29" i="18"/>
  <c r="BG30" i="18" s="1"/>
  <c r="BG27" i="18"/>
  <c r="J27" i="20"/>
  <c r="J29" i="20"/>
  <c r="J30" i="20" s="1"/>
  <c r="AX24" i="12"/>
  <c r="K29" i="20"/>
  <c r="K30" i="20" s="1"/>
  <c r="K27" i="20"/>
  <c r="N9" i="24"/>
  <c r="AN32" i="12"/>
  <c r="AN62" i="12" s="1"/>
  <c r="AN63" i="12" s="1"/>
  <c r="AN9" i="12"/>
  <c r="AN56" i="12"/>
  <c r="I6" i="24"/>
  <c r="AI14" i="12"/>
  <c r="AI21" i="12"/>
  <c r="AI23" i="12" s="1"/>
  <c r="AI24" i="12" s="1"/>
  <c r="Z24" i="20"/>
  <c r="AO29" i="20"/>
  <c r="AO30" i="20" s="1"/>
  <c r="AO27" i="20"/>
  <c r="AQ27" i="21"/>
  <c r="AQ29" i="21"/>
  <c r="AQ30" i="21" s="1"/>
  <c r="AB29" i="18"/>
  <c r="AB30" i="18" s="1"/>
  <c r="AB27" i="18"/>
  <c r="BD24" i="12"/>
  <c r="O12" i="34"/>
  <c r="AO48" i="14"/>
  <c r="R29" i="20"/>
  <c r="R30" i="20" s="1"/>
  <c r="R27" i="20"/>
  <c r="J12" i="29"/>
  <c r="AJ47" i="14"/>
  <c r="M29" i="20"/>
  <c r="M30" i="20" s="1"/>
  <c r="M27" i="20"/>
  <c r="AC27" i="21"/>
  <c r="AC29" i="21"/>
  <c r="AC30" i="21" s="1"/>
  <c r="C12" i="32"/>
  <c r="AC45" i="14"/>
  <c r="AI29" i="15"/>
  <c r="AI30" i="15" s="1"/>
  <c r="AI27" i="15"/>
  <c r="X29" i="22"/>
  <c r="X30" i="22" s="1"/>
  <c r="X27" i="22"/>
  <c r="AH29" i="17"/>
  <c r="AH30" i="17" s="1"/>
  <c r="AH27" i="17"/>
  <c r="D12" i="31"/>
  <c r="AD46" i="14"/>
  <c r="AD12" i="19"/>
  <c r="D12" i="30" s="1"/>
  <c r="AT27" i="16"/>
  <c r="AT29" i="16"/>
  <c r="AT30" i="16" s="1"/>
  <c r="AM12" i="20"/>
  <c r="AM8" i="19"/>
  <c r="O6" i="24"/>
  <c r="AO14" i="12"/>
  <c r="AO21" i="12"/>
  <c r="AO23" i="12" s="1"/>
  <c r="AO24" i="12" s="1"/>
  <c r="AK29" i="15"/>
  <c r="AK27" i="15"/>
  <c r="D12" i="29"/>
  <c r="AD47" i="14"/>
  <c r="AC29" i="18"/>
  <c r="AC30" i="18" s="1"/>
  <c r="AC27" i="18"/>
  <c r="AM29" i="15"/>
  <c r="AM30" i="15" s="1"/>
  <c r="AM27" i="15"/>
  <c r="N9" i="25"/>
  <c r="J8" i="27"/>
  <c r="AJ12" i="15"/>
  <c r="AK27" i="18"/>
  <c r="AK29" i="18"/>
  <c r="AK30" i="18" s="1"/>
  <c r="AF27" i="21"/>
  <c r="AF29" i="21"/>
  <c r="AF30" i="21" s="1"/>
  <c r="R24" i="21"/>
  <c r="R14" i="19"/>
  <c r="F9" i="24"/>
  <c r="AF32" i="12"/>
  <c r="AF62" i="12" s="1"/>
  <c r="AF63" i="12" s="1"/>
  <c r="AF9" i="12"/>
  <c r="AF56" i="12"/>
  <c r="AL27" i="15"/>
  <c r="AL29" i="15"/>
  <c r="AI12" i="20"/>
  <c r="AI8" i="19"/>
  <c r="N12" i="29"/>
  <c r="AN47" i="14"/>
  <c r="H14" i="24"/>
  <c r="AH8" i="12"/>
  <c r="AH12" i="12" s="1"/>
  <c r="H12" i="24" s="1"/>
  <c r="AL29" i="22"/>
  <c r="AL30" i="22" s="1"/>
  <c r="AL27" i="22"/>
  <c r="BC27" i="21"/>
  <c r="BC29" i="21"/>
  <c r="BC30" i="21" s="1"/>
  <c r="AY29" i="21"/>
  <c r="AY30" i="21" s="1"/>
  <c r="AY27" i="21"/>
  <c r="AJ29" i="15"/>
  <c r="AJ30" i="15" s="1"/>
  <c r="AJ27" i="15"/>
  <c r="E9" i="24"/>
  <c r="AE32" i="12"/>
  <c r="AE62" i="12" s="1"/>
  <c r="AE63" i="12" s="1"/>
  <c r="AE9" i="12"/>
  <c r="AE56" i="12"/>
  <c r="F8" i="27"/>
  <c r="AF12" i="15"/>
  <c r="BF29" i="18"/>
  <c r="BF30" i="18" s="1"/>
  <c r="BF27" i="18"/>
  <c r="AJ29" i="23"/>
  <c r="AJ30" i="23" s="1"/>
  <c r="AJ27" i="23"/>
  <c r="BB24" i="12"/>
  <c r="H12" i="35"/>
  <c r="AH49" i="14"/>
  <c r="K12" i="31"/>
  <c r="AK12" i="19"/>
  <c r="K12" i="30" s="1"/>
  <c r="AK46" i="14"/>
  <c r="M12" i="29"/>
  <c r="AM47" i="14"/>
  <c r="K8" i="27"/>
  <c r="AK12" i="15"/>
  <c r="Z29" i="20"/>
  <c r="Z30" i="20" s="1"/>
  <c r="Z27" i="20"/>
  <c r="K12" i="33"/>
  <c r="AK44" i="14"/>
  <c r="AC29" i="23"/>
  <c r="AC30" i="23" s="1"/>
  <c r="AC27" i="23"/>
  <c r="AS27" i="16"/>
  <c r="AS29" i="16"/>
  <c r="AS30" i="16" s="1"/>
  <c r="I27" i="22"/>
  <c r="I29" i="22"/>
  <c r="I30" i="22" s="1"/>
  <c r="AH30" i="15"/>
  <c r="AG70" i="12"/>
  <c r="AG71" i="12" s="1"/>
  <c r="H12" i="29"/>
  <c r="AH47" i="14"/>
  <c r="AK27" i="21"/>
  <c r="AK29" i="21"/>
  <c r="AK30" i="21" s="1"/>
  <c r="J6" i="24"/>
  <c r="AJ14" i="12"/>
  <c r="AJ21" i="12"/>
  <c r="AJ23" i="12" s="1"/>
  <c r="Q14" i="19"/>
  <c r="Q24" i="20"/>
  <c r="G12" i="29"/>
  <c r="AG47" i="14"/>
  <c r="AT27" i="17"/>
  <c r="AT29" i="17"/>
  <c r="AT30" i="17" s="1"/>
  <c r="AE29" i="18"/>
  <c r="AE30" i="18" s="1"/>
  <c r="AE27" i="18"/>
  <c r="BF14" i="12"/>
  <c r="BF8" i="12" s="1"/>
  <c r="BF12" i="12" s="1"/>
  <c r="BF21" i="12"/>
  <c r="BF23" i="12" s="1"/>
  <c r="BF24" i="12" s="1"/>
  <c r="AE27" i="15"/>
  <c r="AE29" i="15"/>
  <c r="AE30" i="15" s="1"/>
  <c r="L27" i="21"/>
  <c r="L29" i="21"/>
  <c r="L30" i="21" s="1"/>
  <c r="BF29" i="15"/>
  <c r="BF30" i="15" s="1"/>
  <c r="BF27" i="15"/>
  <c r="D8" i="27"/>
  <c r="AD12" i="15"/>
  <c r="I29" i="20"/>
  <c r="I30" i="20" s="1"/>
  <c r="I27" i="20"/>
  <c r="N12" i="28"/>
  <c r="BS15" i="16"/>
  <c r="AN25" i="13"/>
  <c r="AG29" i="20"/>
  <c r="AG27" i="20"/>
  <c r="E12" i="31"/>
  <c r="AE46" i="14"/>
  <c r="AE12" i="19"/>
  <c r="E12" i="30" s="1"/>
  <c r="AB32" i="17"/>
  <c r="AB12" i="17"/>
  <c r="AB29" i="16"/>
  <c r="AB30" i="16" s="1"/>
  <c r="AB27" i="16"/>
  <c r="AW27" i="21"/>
  <c r="AW29" i="21"/>
  <c r="AW30" i="21" s="1"/>
  <c r="I8" i="27"/>
  <c r="AI12" i="15"/>
  <c r="AH27" i="21"/>
  <c r="AH29" i="21"/>
  <c r="AH30" i="21" s="1"/>
  <c r="B13" i="27"/>
  <c r="AB24" i="13"/>
  <c r="N12" i="35"/>
  <c r="AN49" i="14"/>
  <c r="M12" i="32"/>
  <c r="AM45" i="14"/>
  <c r="I9" i="25"/>
  <c r="E9" i="25"/>
  <c r="AN29" i="15"/>
  <c r="AN30" i="15" s="1"/>
  <c r="AN27" i="15"/>
  <c r="AO27" i="18"/>
  <c r="AO29" i="18"/>
  <c r="AO30" i="18" s="1"/>
  <c r="E8" i="27"/>
  <c r="AE12" i="15"/>
  <c r="P12" i="28"/>
  <c r="AP25" i="13"/>
  <c r="AE29" i="22"/>
  <c r="AE30" i="22" s="1"/>
  <c r="AE27" i="22"/>
  <c r="AM27" i="22"/>
  <c r="AM29" i="22"/>
  <c r="AM30" i="22" s="1"/>
  <c r="F12" i="29"/>
  <c r="AF47" i="14"/>
  <c r="C12" i="29"/>
  <c r="AC47" i="14"/>
  <c r="AU24" i="12"/>
  <c r="AJ27" i="18"/>
  <c r="AJ29" i="18"/>
  <c r="AJ30" i="18" s="1"/>
  <c r="J12" i="28"/>
  <c r="AJ25" i="13"/>
  <c r="BO15" i="16"/>
  <c r="O12" i="29"/>
  <c r="AO47" i="14"/>
  <c r="S27" i="21"/>
  <c r="S29" i="21"/>
  <c r="S30" i="21" s="1"/>
  <c r="AI27" i="18"/>
  <c r="AI29" i="18"/>
  <c r="AI30" i="18" s="1"/>
  <c r="AD27" i="21"/>
  <c r="AD29" i="21"/>
  <c r="AD30" i="21" s="1"/>
  <c r="AM27" i="23"/>
  <c r="AM29" i="23"/>
  <c r="AM30" i="23" s="1"/>
  <c r="C6" i="25"/>
  <c r="AC40" i="13"/>
  <c r="AC42" i="13" s="1"/>
  <c r="I9" i="24"/>
  <c r="AI32" i="12"/>
  <c r="AI62" i="12" s="1"/>
  <c r="AI63" i="12" s="1"/>
  <c r="AI9" i="12"/>
  <c r="AI56" i="12"/>
  <c r="F6" i="24"/>
  <c r="AF21" i="12"/>
  <c r="AF23" i="12" s="1"/>
  <c r="AF14" i="12"/>
  <c r="AH29" i="22"/>
  <c r="AH30" i="22" s="1"/>
  <c r="AH27" i="22"/>
  <c r="AF27" i="16"/>
  <c r="AF29" i="16"/>
  <c r="AF30" i="16" s="1"/>
  <c r="J8" i="24"/>
  <c r="AJ31" i="12"/>
  <c r="AJ50" i="12" s="1"/>
  <c r="AJ38" i="12"/>
  <c r="F12" i="32"/>
  <c r="AF45" i="14"/>
  <c r="AF43" i="14" s="1"/>
  <c r="AJ27" i="22"/>
  <c r="AJ29" i="22"/>
  <c r="AJ30" i="22" s="1"/>
  <c r="AN29" i="22"/>
  <c r="AN30" i="22" s="1"/>
  <c r="AN27" i="22"/>
  <c r="AN27" i="21"/>
  <c r="AN29" i="21"/>
  <c r="AN30" i="21" s="1"/>
  <c r="AG27" i="21"/>
  <c r="AG29" i="21"/>
  <c r="AG30" i="21" s="1"/>
  <c r="B12" i="29"/>
  <c r="AB47" i="14"/>
  <c r="E12" i="35"/>
  <c r="AE49" i="14"/>
  <c r="AY29" i="18"/>
  <c r="AY30" i="18" s="1"/>
  <c r="AY27" i="18"/>
  <c r="C12" i="33"/>
  <c r="AC44" i="14"/>
  <c r="J29" i="22"/>
  <c r="J30" i="22" s="1"/>
  <c r="J27" i="22"/>
  <c r="AL29" i="20"/>
  <c r="AL27" i="20"/>
  <c r="AP27" i="18"/>
  <c r="AP29" i="18"/>
  <c r="AP30" i="18" s="1"/>
  <c r="B12" i="33"/>
  <c r="AB44" i="14"/>
  <c r="X14" i="19"/>
  <c r="X24" i="20"/>
  <c r="BF27" i="20"/>
  <c r="BF29" i="20"/>
  <c r="BF30" i="20" s="1"/>
  <c r="AJ64" i="12"/>
  <c r="AJ65" i="12"/>
  <c r="AN12" i="20"/>
  <c r="AN8" i="19"/>
  <c r="F12" i="31"/>
  <c r="AF46" i="14"/>
  <c r="AF12" i="19"/>
  <c r="F12" i="30" s="1"/>
  <c r="AM29" i="16"/>
  <c r="AM30" i="16" s="1"/>
  <c r="AM27" i="16"/>
  <c r="I12" i="33"/>
  <c r="AI44" i="14"/>
  <c r="AO27" i="16"/>
  <c r="AO29" i="16"/>
  <c r="AO30" i="16" s="1"/>
  <c r="BA29" i="17"/>
  <c r="BA30" i="17" s="1"/>
  <c r="BA27" i="17"/>
  <c r="O12" i="32"/>
  <c r="AO45" i="14"/>
  <c r="M12" i="35"/>
  <c r="AM49" i="14"/>
  <c r="AJ27" i="16"/>
  <c r="AJ29" i="16"/>
  <c r="AJ30" i="16" s="1"/>
  <c r="L12" i="32"/>
  <c r="AL45" i="14"/>
  <c r="AG27" i="15"/>
  <c r="AG29" i="15"/>
  <c r="AG30" i="15" s="1"/>
  <c r="E12" i="34"/>
  <c r="AE48" i="14"/>
  <c r="AC29" i="22"/>
  <c r="AC30" i="22" s="1"/>
  <c r="AC27" i="22"/>
  <c r="AV27" i="17"/>
  <c r="AV29" i="17"/>
  <c r="AV30" i="17" s="1"/>
  <c r="S27" i="15"/>
  <c r="S29" i="15"/>
  <c r="S30" i="15" s="1"/>
  <c r="AK70" i="12"/>
  <c r="AK71" i="12" s="1"/>
  <c r="AF29" i="20"/>
  <c r="AF30" i="20" s="1"/>
  <c r="AF27" i="20"/>
  <c r="G6" i="24"/>
  <c r="AG21" i="12"/>
  <c r="AG23" i="12" s="1"/>
  <c r="AG14" i="12"/>
  <c r="AU27" i="22"/>
  <c r="AU29" i="22"/>
  <c r="AU30" i="22" s="1"/>
  <c r="BB29" i="16"/>
  <c r="BB30" i="16" s="1"/>
  <c r="BB27" i="16"/>
  <c r="AM27" i="18"/>
  <c r="AM29" i="18"/>
  <c r="AM30" i="18" s="1"/>
  <c r="AX29" i="21"/>
  <c r="AX30" i="21" s="1"/>
  <c r="AX27" i="21"/>
  <c r="U29" i="21"/>
  <c r="U30" i="21" s="1"/>
  <c r="U27" i="21"/>
  <c r="AO27" i="23"/>
  <c r="AO29" i="23"/>
  <c r="AO30" i="23" s="1"/>
  <c r="AI70" i="12"/>
  <c r="AI71" i="12" s="1"/>
  <c r="BK15" i="16"/>
  <c r="AF25" i="13"/>
  <c r="F12" i="28"/>
  <c r="AH30" i="20"/>
  <c r="AF29" i="22"/>
  <c r="AF30" i="22" s="1"/>
  <c r="AF27" i="22"/>
  <c r="Y14" i="19"/>
  <c r="Y24" i="20"/>
  <c r="AL27" i="16"/>
  <c r="AL29" i="16"/>
  <c r="AL30" i="16" s="1"/>
  <c r="BD27" i="18"/>
  <c r="BD29" i="18"/>
  <c r="BD30" i="18" s="1"/>
  <c r="AB29" i="22"/>
  <c r="AB30" i="22" s="1"/>
  <c r="AB27" i="22"/>
  <c r="AK27" i="22"/>
  <c r="AK29" i="22"/>
  <c r="AK30" i="22" s="1"/>
  <c r="BJ15" i="16"/>
  <c r="AE25" i="13"/>
  <c r="E12" i="28"/>
  <c r="AY24" i="12"/>
  <c r="AO27" i="15"/>
  <c r="AO29" i="15"/>
  <c r="AO30" i="15" s="1"/>
  <c r="AN27" i="18"/>
  <c r="AN29" i="18"/>
  <c r="AN30" i="18" s="1"/>
  <c r="D6" i="24"/>
  <c r="AD14" i="12"/>
  <c r="AD21" i="12"/>
  <c r="AD23" i="12" s="1"/>
  <c r="AD24" i="12" s="1"/>
  <c r="N12" i="33"/>
  <c r="AN44" i="14"/>
  <c r="AD25" i="13"/>
  <c r="D12" i="28"/>
  <c r="AF70" i="12"/>
  <c r="AF71" i="12" s="1"/>
  <c r="B12" i="32"/>
  <c r="AB45" i="14"/>
  <c r="B12" i="28"/>
  <c r="AB25" i="13"/>
  <c r="B3" i="24"/>
  <c r="AB7" i="12"/>
  <c r="I12" i="32"/>
  <c r="AI45" i="14"/>
  <c r="AP29" i="17"/>
  <c r="AP30" i="17" s="1"/>
  <c r="AP27" i="17"/>
  <c r="AR27" i="15"/>
  <c r="AR29" i="15"/>
  <c r="AR30" i="15" s="1"/>
  <c r="AU12" i="21"/>
  <c r="AU8" i="19"/>
  <c r="G9" i="24"/>
  <c r="AG32" i="12"/>
  <c r="AG62" i="12" s="1"/>
  <c r="AG63" i="12" s="1"/>
  <c r="AG9" i="12"/>
  <c r="AG56" i="12"/>
  <c r="S43" i="13"/>
  <c r="AN27" i="17"/>
  <c r="AN29" i="17"/>
  <c r="AN30" i="17" s="1"/>
  <c r="O8" i="27"/>
  <c r="AO12" i="15"/>
  <c r="AE27" i="23"/>
  <c r="AE29" i="23"/>
  <c r="AE30" i="23" s="1"/>
  <c r="E29" i="20"/>
  <c r="E30" i="20" s="1"/>
  <c r="E27" i="20"/>
  <c r="BE29" i="15"/>
  <c r="BE30" i="15" s="1"/>
  <c r="BE27" i="15"/>
  <c r="AA29" i="20"/>
  <c r="AA30" i="20" s="1"/>
  <c r="AA27" i="20"/>
  <c r="E6" i="24"/>
  <c r="AE21" i="12"/>
  <c r="AE23" i="12" s="1"/>
  <c r="AE14" i="12"/>
  <c r="BB29" i="21"/>
  <c r="BB30" i="21" s="1"/>
  <c r="BB27" i="21"/>
  <c r="P8" i="27"/>
  <c r="AP12" i="15"/>
  <c r="AS27" i="17"/>
  <c r="AS29" i="17"/>
  <c r="AS30" i="17" s="1"/>
  <c r="BE24" i="12"/>
  <c r="M8" i="27"/>
  <c r="AM12" i="15"/>
  <c r="G8" i="27"/>
  <c r="AG12" i="15"/>
  <c r="AP64" i="12"/>
  <c r="AP65" i="12"/>
  <c r="BC24" i="12"/>
  <c r="AN29" i="20"/>
  <c r="AN30" i="20" s="1"/>
  <c r="AN27" i="20"/>
  <c r="AE27" i="16"/>
  <c r="AE29" i="16"/>
  <c r="AE30" i="16" s="1"/>
  <c r="AO29" i="21"/>
  <c r="AO30" i="21" s="1"/>
  <c r="AO27" i="21"/>
  <c r="AN70" i="12"/>
  <c r="AN71" i="12"/>
  <c r="E24" i="20"/>
  <c r="P29" i="20"/>
  <c r="P30" i="20" s="1"/>
  <c r="P27" i="20"/>
  <c r="AJ29" i="20"/>
  <c r="AJ30" i="20" s="1"/>
  <c r="AJ27" i="20"/>
  <c r="N6" i="24"/>
  <c r="AN14" i="12"/>
  <c r="AN21" i="12"/>
  <c r="AN23" i="12" s="1"/>
  <c r="AN24" i="12" s="1"/>
  <c r="AV27" i="21"/>
  <c r="AV29" i="21"/>
  <c r="AV30" i="21" s="1"/>
  <c r="D14" i="19"/>
  <c r="D24" i="20"/>
  <c r="AA24" i="20"/>
  <c r="AO64" i="12"/>
  <c r="AO65" i="12"/>
  <c r="L9" i="25"/>
  <c r="J12" i="32"/>
  <c r="AJ45" i="14"/>
  <c r="U14" i="19"/>
  <c r="U24" i="20"/>
  <c r="D29" i="16"/>
  <c r="D30" i="16" s="1"/>
  <c r="D27" i="16"/>
  <c r="AD30" i="20"/>
  <c r="AJ27" i="21"/>
  <c r="AJ29" i="21"/>
  <c r="AJ30" i="21" s="1"/>
  <c r="AM29" i="20"/>
  <c r="AM30" i="20" s="1"/>
  <c r="AM27" i="20"/>
  <c r="M9" i="25"/>
  <c r="AB29" i="21"/>
  <c r="AB30" i="21" s="1"/>
  <c r="AB27" i="21"/>
  <c r="P8" i="24"/>
  <c r="AP31" i="12"/>
  <c r="AP50" i="12" s="1"/>
  <c r="AP38" i="12"/>
  <c r="AR75" i="14"/>
  <c r="AP23" i="12"/>
  <c r="AP24" i="12" s="1"/>
  <c r="O12" i="28"/>
  <c r="AO25" i="13"/>
  <c r="I12" i="29"/>
  <c r="AI47" i="14"/>
  <c r="L8" i="27"/>
  <c r="AL12" i="15"/>
  <c r="P12" i="29"/>
  <c r="AP47" i="14"/>
  <c r="M9" i="24"/>
  <c r="AM9" i="12"/>
  <c r="AM32" i="12"/>
  <c r="AM62" i="12" s="1"/>
  <c r="AM63" i="12" s="1"/>
  <c r="AM56" i="12"/>
  <c r="Z24" i="22"/>
  <c r="Z26" i="22"/>
  <c r="C13" i="27"/>
  <c r="AC24" i="13"/>
  <c r="AO70" i="12"/>
  <c r="AO71" i="12"/>
  <c r="AD27" i="16"/>
  <c r="AD29" i="16"/>
  <c r="AD30" i="16" s="1"/>
  <c r="P14" i="24"/>
  <c r="AP8" i="12"/>
  <c r="AP12" i="12" s="1"/>
  <c r="P12" i="24" s="1"/>
  <c r="G12" i="32"/>
  <c r="AG45" i="14"/>
  <c r="AD29" i="18"/>
  <c r="AD30" i="18" s="1"/>
  <c r="AD27" i="18"/>
  <c r="O8" i="24"/>
  <c r="AO31" i="12"/>
  <c r="AO50" i="12" s="1"/>
  <c r="AO38" i="12"/>
  <c r="L9" i="24"/>
  <c r="AL32" i="12"/>
  <c r="AL62" i="12" s="1"/>
  <c r="AL63" i="12" s="1"/>
  <c r="AL9" i="12"/>
  <c r="AL56" i="12"/>
  <c r="G9" i="25"/>
  <c r="F24" i="20"/>
  <c r="AD29" i="22"/>
  <c r="AD30" i="22" s="1"/>
  <c r="AD27" i="22"/>
  <c r="AJ12" i="20"/>
  <c r="AJ8" i="19"/>
  <c r="AY29" i="16"/>
  <c r="AY30" i="16" s="1"/>
  <c r="AY27" i="16"/>
  <c r="BF27" i="16"/>
  <c r="BF29" i="16"/>
  <c r="BF30" i="16" s="1"/>
  <c r="AW27" i="23"/>
  <c r="AW29" i="23"/>
  <c r="AW30" i="23" s="1"/>
  <c r="N27" i="20"/>
  <c r="N29" i="20"/>
  <c r="N30" i="20" s="1"/>
  <c r="AL27" i="21"/>
  <c r="AL29" i="21"/>
  <c r="AL30" i="21" s="1"/>
  <c r="H8" i="24"/>
  <c r="AH18" i="12"/>
  <c r="AH38" i="12"/>
  <c r="AH31" i="12"/>
  <c r="AH50" i="12" s="1"/>
  <c r="AH34" i="12"/>
  <c r="P12" i="33"/>
  <c r="AP44" i="14"/>
  <c r="M6" i="24"/>
  <c r="AM14" i="12"/>
  <c r="AM21" i="12"/>
  <c r="AM23" i="12" s="1"/>
  <c r="AM24" i="12" s="1"/>
  <c r="O12" i="35"/>
  <c r="AO49" i="14"/>
  <c r="AG27" i="18"/>
  <c r="AG29" i="18"/>
  <c r="AG30" i="18" s="1"/>
  <c r="AP12" i="21"/>
  <c r="AP8" i="19"/>
  <c r="L6" i="24"/>
  <c r="AL14" i="12"/>
  <c r="AL21" i="12"/>
  <c r="AL23" i="12" s="1"/>
  <c r="AL24" i="12" s="1"/>
  <c r="AG29" i="22"/>
  <c r="AG30" i="22" s="1"/>
  <c r="AG27" i="22"/>
  <c r="AB29" i="23"/>
  <c r="AB30" i="23" s="1"/>
  <c r="AB27" i="23"/>
  <c r="AI29" i="20"/>
  <c r="AI27" i="20"/>
  <c r="C14" i="19"/>
  <c r="C24" i="20"/>
  <c r="AI27" i="21"/>
  <c r="AI29" i="21"/>
  <c r="AI30" i="21" s="1"/>
  <c r="BA24" i="12"/>
  <c r="AV27" i="15"/>
  <c r="AV29" i="15"/>
  <c r="AV30" i="15" s="1"/>
  <c r="AO12" i="20"/>
  <c r="AO8" i="19"/>
  <c r="AH64" i="12"/>
  <c r="AH65" i="12"/>
  <c r="C6" i="24"/>
  <c r="AC21" i="12"/>
  <c r="AC23" i="12" s="1"/>
  <c r="AC14" i="12"/>
  <c r="AB30" i="15"/>
  <c r="AG12" i="20"/>
  <c r="AG8" i="19"/>
  <c r="P12" i="34"/>
  <c r="AP48" i="14"/>
  <c r="AM27" i="21"/>
  <c r="AM29" i="21"/>
  <c r="AM30" i="21" s="1"/>
  <c r="N12" i="32"/>
  <c r="AN45" i="14"/>
  <c r="BE29" i="20"/>
  <c r="BE30" i="20" s="1"/>
  <c r="BE27" i="20"/>
  <c r="Y29" i="22"/>
  <c r="Y30" i="22" s="1"/>
  <c r="Y27" i="22"/>
  <c r="AC29" i="16"/>
  <c r="AC30" i="16" s="1"/>
  <c r="AC27" i="16"/>
  <c r="AP27" i="21"/>
  <c r="AP29" i="21"/>
  <c r="AD27" i="15"/>
  <c r="AD29" i="15"/>
  <c r="AD30" i="15" s="1"/>
  <c r="BG75" i="14"/>
  <c r="AR24" i="12"/>
  <c r="F27" i="22"/>
  <c r="F29" i="22"/>
  <c r="F30" i="22" s="1"/>
  <c r="AM70" i="12"/>
  <c r="AM71" i="12"/>
  <c r="AW29" i="16"/>
  <c r="AW30" i="16" s="1"/>
  <c r="AW27" i="16"/>
  <c r="K6" i="24"/>
  <c r="AK14" i="12"/>
  <c r="AK21" i="12"/>
  <c r="AK23" i="12" s="1"/>
  <c r="D12" i="33"/>
  <c r="AD44" i="14"/>
  <c r="F29" i="20"/>
  <c r="F30" i="20" s="1"/>
  <c r="F27" i="20"/>
  <c r="AA29" i="22"/>
  <c r="AA30" i="22" s="1"/>
  <c r="AA27" i="22"/>
  <c r="AU27" i="16"/>
  <c r="AU29" i="16"/>
  <c r="AU30" i="16" s="1"/>
  <c r="AX29" i="18"/>
  <c r="AX30" i="18" s="1"/>
  <c r="AX27" i="18"/>
  <c r="AT29" i="18"/>
  <c r="AT30" i="18" s="1"/>
  <c r="AT27" i="18"/>
  <c r="AN29" i="16"/>
  <c r="AN30" i="16" s="1"/>
  <c r="AN27" i="16"/>
  <c r="AP70" i="12"/>
  <c r="AP71" i="12"/>
  <c r="E29" i="22"/>
  <c r="E30" i="22" s="1"/>
  <c r="E27" i="22"/>
  <c r="B12" i="31"/>
  <c r="AB12" i="19"/>
  <c r="B12" i="30" s="1"/>
  <c r="AB46" i="14"/>
  <c r="C12" i="31"/>
  <c r="AC12" i="19"/>
  <c r="C12" i="30" s="1"/>
  <c r="AC46" i="14"/>
  <c r="M12" i="33"/>
  <c r="AM44" i="14"/>
  <c r="AF27" i="15"/>
  <c r="AF29" i="15"/>
  <c r="AF30" i="15" s="1"/>
  <c r="AV27" i="23"/>
  <c r="AV29" i="23"/>
  <c r="AV30" i="23" s="1"/>
  <c r="AH8" i="19"/>
  <c r="D12" i="32"/>
  <c r="AD45" i="14"/>
  <c r="AX29" i="16"/>
  <c r="AX30" i="16" s="1"/>
  <c r="AX27" i="16"/>
  <c r="AT27" i="15"/>
  <c r="AT29" i="15"/>
  <c r="AT30" i="15" s="1"/>
  <c r="AP27" i="15"/>
  <c r="AP29" i="15"/>
  <c r="N8" i="27"/>
  <c r="AN12" i="15"/>
  <c r="K12" i="32"/>
  <c r="AK45" i="14"/>
  <c r="BE29" i="17"/>
  <c r="BE30" i="17" s="1"/>
  <c r="BE27" i="17"/>
  <c r="E12" i="29"/>
  <c r="AE47" i="14"/>
  <c r="AN27" i="23"/>
  <c r="AN29" i="23"/>
  <c r="AN30" i="23" s="1"/>
  <c r="AR12" i="12"/>
  <c r="B12" i="34"/>
  <c r="AB48" i="14"/>
  <c r="AZ21" i="12"/>
  <c r="AZ23" i="12" s="1"/>
  <c r="AZ14" i="12"/>
  <c r="AZ8" i="12" s="1"/>
  <c r="AZ12" i="12" s="1"/>
  <c r="E12" i="33"/>
  <c r="AE44" i="14"/>
  <c r="AE43" i="14" s="1"/>
  <c r="AQ12" i="12"/>
  <c r="H13" i="26" l="1"/>
  <c r="AH27" i="14"/>
  <c r="F13" i="26"/>
  <c r="AF27" i="14"/>
  <c r="M8" i="24"/>
  <c r="AM31" i="12"/>
  <c r="AM50" i="12" s="1"/>
  <c r="AM38" i="12"/>
  <c r="L14" i="24"/>
  <c r="AL8" i="12"/>
  <c r="AL12" i="12" s="1"/>
  <c r="L12" i="24" s="1"/>
  <c r="E13" i="27"/>
  <c r="BJ19" i="15"/>
  <c r="AE24" i="13"/>
  <c r="AE23" i="13" s="1"/>
  <c r="I12" i="31"/>
  <c r="AI12" i="19"/>
  <c r="I12" i="30" s="1"/>
  <c r="AI46" i="14"/>
  <c r="AI43" i="14" s="1"/>
  <c r="N8" i="24"/>
  <c r="AN31" i="12"/>
  <c r="AN50" i="12" s="1"/>
  <c r="AN38" i="12"/>
  <c r="L12" i="31"/>
  <c r="AL12" i="19"/>
  <c r="L12" i="30" s="1"/>
  <c r="AL46" i="14"/>
  <c r="AL43" i="14" s="1"/>
  <c r="AC24" i="12"/>
  <c r="E14" i="24"/>
  <c r="AE8" i="12"/>
  <c r="AE12" i="12" s="1"/>
  <c r="E12" i="24" s="1"/>
  <c r="AU45" i="14"/>
  <c r="AU43" i="14" s="1"/>
  <c r="AU27" i="14" s="1"/>
  <c r="AU57" i="14" s="1"/>
  <c r="AU75" i="14" s="1"/>
  <c r="AU12" i="19"/>
  <c r="AL30" i="20"/>
  <c r="AL30" i="15"/>
  <c r="AN64" i="12"/>
  <c r="AN65" i="12"/>
  <c r="AE24" i="12"/>
  <c r="BK19" i="15"/>
  <c r="F13" i="27"/>
  <c r="AF24" i="13"/>
  <c r="AF23" i="13" s="1"/>
  <c r="AK30" i="15"/>
  <c r="P13" i="27"/>
  <c r="AP24" i="13"/>
  <c r="AP23" i="13" s="1"/>
  <c r="AP45" i="14"/>
  <c r="AP43" i="14" s="1"/>
  <c r="AP12" i="19"/>
  <c r="P12" i="30" s="1"/>
  <c r="O12" i="31"/>
  <c r="AO12" i="19"/>
  <c r="O12" i="30" s="1"/>
  <c r="AO46" i="14"/>
  <c r="AK43" i="14"/>
  <c r="AE65" i="12"/>
  <c r="AE64" i="12"/>
  <c r="H13" i="25"/>
  <c r="BQ35" i="13"/>
  <c r="AH15" i="13"/>
  <c r="AG24" i="12"/>
  <c r="D14" i="24"/>
  <c r="AD8" i="12"/>
  <c r="B12" i="35"/>
  <c r="AB49" i="14"/>
  <c r="AB43" i="14" s="1"/>
  <c r="AP30" i="21"/>
  <c r="M12" i="31"/>
  <c r="AM12" i="19"/>
  <c r="M12" i="30" s="1"/>
  <c r="AM46" i="14"/>
  <c r="AM43" i="14" s="1"/>
  <c r="L8" i="24"/>
  <c r="AL31" i="12"/>
  <c r="AL50" i="12" s="1"/>
  <c r="AL38" i="12"/>
  <c r="AO43" i="14"/>
  <c r="B6" i="24"/>
  <c r="AB21" i="12"/>
  <c r="AB23" i="12" s="1"/>
  <c r="AB14" i="12"/>
  <c r="AM64" i="12"/>
  <c r="AM65" i="12" s="1"/>
  <c r="AJ51" i="12"/>
  <c r="AJ75" i="12"/>
  <c r="AJ76" i="12" s="1"/>
  <c r="G12" i="31"/>
  <c r="AG12" i="19"/>
  <c r="G12" i="30" s="1"/>
  <c r="AG46" i="14"/>
  <c r="AG43" i="14" s="1"/>
  <c r="AC43" i="14"/>
  <c r="F8" i="24"/>
  <c r="AF31" i="12"/>
  <c r="AF50" i="12" s="1"/>
  <c r="AF38" i="12"/>
  <c r="AF34" i="12"/>
  <c r="AF64" i="12"/>
  <c r="AF65" i="12" s="1"/>
  <c r="J12" i="31"/>
  <c r="AJ12" i="19"/>
  <c r="J12" i="30" s="1"/>
  <c r="AJ46" i="14"/>
  <c r="AJ43" i="14" s="1"/>
  <c r="AU30" i="21"/>
  <c r="AZ24" i="12"/>
  <c r="AD43" i="14"/>
  <c r="N12" i="31"/>
  <c r="AN12" i="19"/>
  <c r="N12" i="30" s="1"/>
  <c r="AN46" i="14"/>
  <c r="AJ24" i="12"/>
  <c r="AL64" i="12"/>
  <c r="AL65" i="12" s="1"/>
  <c r="E13" i="26"/>
  <c r="AE27" i="14"/>
  <c r="E8" i="24"/>
  <c r="AE38" i="12"/>
  <c r="AE31" i="12"/>
  <c r="AE50" i="12" s="1"/>
  <c r="AE34" i="12"/>
  <c r="AE19" i="12"/>
  <c r="AE18" i="12"/>
  <c r="AF24" i="12"/>
  <c r="G13" i="27"/>
  <c r="BL19" i="15"/>
  <c r="AG24" i="13"/>
  <c r="AG23" i="13" s="1"/>
  <c r="J14" i="24"/>
  <c r="AJ8" i="12"/>
  <c r="AJ12" i="12" s="1"/>
  <c r="J12" i="24" s="1"/>
  <c r="G8" i="24"/>
  <c r="AG31" i="12"/>
  <c r="AG50" i="12" s="1"/>
  <c r="AG38" i="12"/>
  <c r="AG34" i="12"/>
  <c r="I13" i="27"/>
  <c r="AI24" i="13"/>
  <c r="AI23" i="13" s="1"/>
  <c r="BN19" i="15"/>
  <c r="I14" i="24"/>
  <c r="AI8" i="12"/>
  <c r="AI12" i="12" s="1"/>
  <c r="I12" i="24" s="1"/>
  <c r="M14" i="24"/>
  <c r="AM8" i="12"/>
  <c r="AM12" i="12" s="1"/>
  <c r="M12" i="24" s="1"/>
  <c r="F14" i="24"/>
  <c r="AF8" i="12"/>
  <c r="AF12" i="12" s="1"/>
  <c r="F12" i="24" s="1"/>
  <c r="N13" i="27"/>
  <c r="AN24" i="13"/>
  <c r="AN23" i="13" s="1"/>
  <c r="BS19" i="15"/>
  <c r="AC23" i="13"/>
  <c r="AK24" i="12"/>
  <c r="AH75" i="12"/>
  <c r="AH76" i="12" s="1"/>
  <c r="AH51" i="12"/>
  <c r="O13" i="27"/>
  <c r="AO24" i="13"/>
  <c r="AO23" i="13" s="1"/>
  <c r="I8" i="24"/>
  <c r="AI38" i="12"/>
  <c r="AI31" i="12"/>
  <c r="AI50" i="12" s="1"/>
  <c r="AI34" i="12"/>
  <c r="J13" i="27"/>
  <c r="BO19" i="15"/>
  <c r="AJ24" i="13"/>
  <c r="AJ23" i="13" s="1"/>
  <c r="O14" i="24"/>
  <c r="AO8" i="12"/>
  <c r="AO12" i="12" s="1"/>
  <c r="O12" i="24" s="1"/>
  <c r="K13" i="27"/>
  <c r="BP19" i="15"/>
  <c r="AK24" i="13"/>
  <c r="AK23" i="13" s="1"/>
  <c r="Z29" i="22"/>
  <c r="Z30" i="22" s="1"/>
  <c r="Z27" i="22"/>
  <c r="M13" i="27"/>
  <c r="AM24" i="13"/>
  <c r="AM23" i="13" s="1"/>
  <c r="BR19" i="15"/>
  <c r="AI64" i="12"/>
  <c r="AI65" i="12" s="1"/>
  <c r="G14" i="24"/>
  <c r="AG8" i="12"/>
  <c r="AG12" i="12" s="1"/>
  <c r="G12" i="24" s="1"/>
  <c r="AN43" i="14"/>
  <c r="AK34" i="12"/>
  <c r="AL26" i="12"/>
  <c r="AG64" i="12"/>
  <c r="AG65" i="12"/>
  <c r="C14" i="24"/>
  <c r="AC8" i="12"/>
  <c r="AC12" i="12" s="1"/>
  <c r="C12" i="24" s="1"/>
  <c r="L13" i="27"/>
  <c r="AL24" i="13"/>
  <c r="AL23" i="13" s="1"/>
  <c r="BQ19" i="15"/>
  <c r="AG30" i="20"/>
  <c r="AP30" i="15"/>
  <c r="K14" i="24"/>
  <c r="AK8" i="12"/>
  <c r="AK12" i="12" s="1"/>
  <c r="K12" i="24" s="1"/>
  <c r="AI30" i="20"/>
  <c r="N14" i="24"/>
  <c r="AN8" i="12"/>
  <c r="AN12" i="12" s="1"/>
  <c r="N12" i="24" s="1"/>
  <c r="AB23" i="13"/>
  <c r="D13" i="27"/>
  <c r="AD24" i="13"/>
  <c r="AD23" i="13" s="1"/>
  <c r="P13" i="26" l="1"/>
  <c r="AP27" i="14"/>
  <c r="J13" i="26"/>
  <c r="AJ27" i="14"/>
  <c r="B13" i="26"/>
  <c r="AB27" i="14"/>
  <c r="I13" i="26"/>
  <c r="AI27" i="14"/>
  <c r="M13" i="26"/>
  <c r="AM27" i="14"/>
  <c r="G13" i="26"/>
  <c r="AG27" i="14"/>
  <c r="L13" i="26"/>
  <c r="AL27" i="14"/>
  <c r="J13" i="25"/>
  <c r="BS35" i="13"/>
  <c r="AJ15" i="13"/>
  <c r="AH77" i="12"/>
  <c r="AH78" i="12" s="1"/>
  <c r="L13" i="25"/>
  <c r="BU35" i="13"/>
  <c r="AL15" i="13"/>
  <c r="E13" i="25"/>
  <c r="BN35" i="13"/>
  <c r="AE15" i="13"/>
  <c r="AI75" i="12"/>
  <c r="AI76" i="12" s="1"/>
  <c r="AI51" i="12"/>
  <c r="M13" i="25"/>
  <c r="BV35" i="13"/>
  <c r="AM15" i="13"/>
  <c r="O13" i="26"/>
  <c r="AO27" i="14"/>
  <c r="C13" i="25"/>
  <c r="AC15" i="13"/>
  <c r="AE51" i="12"/>
  <c r="AE75" i="12"/>
  <c r="AE76" i="12" s="1"/>
  <c r="AF18" i="12"/>
  <c r="AD12" i="12"/>
  <c r="D12" i="24" s="1"/>
  <c r="AD18" i="12"/>
  <c r="I13" i="25"/>
  <c r="BR35" i="13"/>
  <c r="AI15" i="13"/>
  <c r="AL34" i="12"/>
  <c r="AM26" i="12"/>
  <c r="AG75" i="12"/>
  <c r="AG76" i="12" s="1"/>
  <c r="AG51" i="12"/>
  <c r="H8" i="25"/>
  <c r="AH29" i="13"/>
  <c r="AK75" i="12"/>
  <c r="AK76" i="12" s="1"/>
  <c r="AK51" i="12"/>
  <c r="AG18" i="12"/>
  <c r="AJ77" i="12"/>
  <c r="AJ78" i="12" s="1"/>
  <c r="N13" i="26"/>
  <c r="AN27" i="14"/>
  <c r="AI18" i="12"/>
  <c r="F8" i="26"/>
  <c r="AF57" i="14"/>
  <c r="P13" i="25"/>
  <c r="AP15" i="13"/>
  <c r="K13" i="25"/>
  <c r="BT35" i="13"/>
  <c r="AK15" i="13"/>
  <c r="F13" i="25"/>
  <c r="BO35" i="13"/>
  <c r="AF15" i="13"/>
  <c r="C13" i="26"/>
  <c r="AC27" i="14"/>
  <c r="H8" i="26"/>
  <c r="AH57" i="14"/>
  <c r="G13" i="25"/>
  <c r="BP35" i="13"/>
  <c r="AG15" i="13"/>
  <c r="AF75" i="12"/>
  <c r="AF76" i="12" s="1"/>
  <c r="AF51" i="12"/>
  <c r="O13" i="25"/>
  <c r="AO15" i="13"/>
  <c r="D13" i="25"/>
  <c r="BM35" i="13"/>
  <c r="AD15" i="13"/>
  <c r="B14" i="24"/>
  <c r="AB8" i="12"/>
  <c r="AB12" i="12" s="1"/>
  <c r="B12" i="24" s="1"/>
  <c r="K13" i="26"/>
  <c r="AK27" i="14"/>
  <c r="B13" i="25"/>
  <c r="AB15" i="13"/>
  <c r="N13" i="25"/>
  <c r="BW35" i="13"/>
  <c r="AN15" i="13"/>
  <c r="E8" i="26"/>
  <c r="AE57" i="14"/>
  <c r="D13" i="26"/>
  <c r="AD27" i="14"/>
  <c r="AB24" i="12"/>
  <c r="F8" i="25" l="1"/>
  <c r="AF29" i="13"/>
  <c r="I8" i="25"/>
  <c r="AI29" i="13"/>
  <c r="K8" i="26"/>
  <c r="AK57" i="14"/>
  <c r="G8" i="26"/>
  <c r="AG57" i="14"/>
  <c r="AM34" i="12"/>
  <c r="AN26" i="12"/>
  <c r="B8" i="25"/>
  <c r="AB29" i="13"/>
  <c r="F15" i="26"/>
  <c r="AF75" i="14"/>
  <c r="N8" i="26"/>
  <c r="AN57" i="14"/>
  <c r="O8" i="25"/>
  <c r="AO29" i="13"/>
  <c r="I8" i="26"/>
  <c r="AI57" i="14"/>
  <c r="AF77" i="12"/>
  <c r="AF78" i="12" s="1"/>
  <c r="L8" i="26"/>
  <c r="AL57" i="14"/>
  <c r="C8" i="25"/>
  <c r="AC29" i="13"/>
  <c r="B8" i="26"/>
  <c r="AB57" i="14"/>
  <c r="D8" i="25"/>
  <c r="AD29" i="13"/>
  <c r="AE77" i="12"/>
  <c r="AE78" i="12" s="1"/>
  <c r="AK78" i="12"/>
  <c r="AK77" i="12"/>
  <c r="L8" i="25"/>
  <c r="AL29" i="13"/>
  <c r="O8" i="26"/>
  <c r="AO57" i="14"/>
  <c r="H15" i="26"/>
  <c r="AH75" i="14"/>
  <c r="K8" i="25"/>
  <c r="AK29" i="13"/>
  <c r="J8" i="25"/>
  <c r="AJ29" i="13"/>
  <c r="H15" i="25"/>
  <c r="AH43" i="13"/>
  <c r="AI77" i="12"/>
  <c r="AI78" i="12" s="1"/>
  <c r="J8" i="26"/>
  <c r="AJ57" i="14"/>
  <c r="E15" i="26"/>
  <c r="AE75" i="14"/>
  <c r="E8" i="25"/>
  <c r="AE29" i="13"/>
  <c r="P8" i="25"/>
  <c r="AP29" i="13"/>
  <c r="D8" i="26"/>
  <c r="AD57" i="14"/>
  <c r="C8" i="26"/>
  <c r="AC57" i="14"/>
  <c r="P8" i="26"/>
  <c r="AP57" i="14"/>
  <c r="AL75" i="12"/>
  <c r="AL76" i="12" s="1"/>
  <c r="AL51" i="12"/>
  <c r="M8" i="26"/>
  <c r="AM57" i="14"/>
  <c r="M8" i="25"/>
  <c r="AM29" i="13"/>
  <c r="G8" i="25"/>
  <c r="AG29" i="13"/>
  <c r="N8" i="25"/>
  <c r="AN29" i="13"/>
  <c r="AG77" i="12"/>
  <c r="AG78" i="12" s="1"/>
  <c r="L15" i="25" l="1"/>
  <c r="AL43" i="13"/>
  <c r="N15" i="26"/>
  <c r="AN75" i="14"/>
  <c r="K15" i="25"/>
  <c r="AK43" i="13"/>
  <c r="I15" i="26"/>
  <c r="AI75" i="14"/>
  <c r="G15" i="26"/>
  <c r="AG75" i="14"/>
  <c r="P15" i="25"/>
  <c r="AP43" i="13"/>
  <c r="O15" i="25"/>
  <c r="AO43" i="13"/>
  <c r="AL77" i="12"/>
  <c r="AL78" i="12" s="1"/>
  <c r="C15" i="26"/>
  <c r="AC75" i="14"/>
  <c r="D15" i="25"/>
  <c r="AD43" i="13"/>
  <c r="P15" i="26"/>
  <c r="AP75" i="14"/>
  <c r="O15" i="26"/>
  <c r="AO75" i="14"/>
  <c r="E15" i="25"/>
  <c r="AE43" i="13"/>
  <c r="AN34" i="12"/>
  <c r="AO26" i="12"/>
  <c r="AM75" i="12"/>
  <c r="AM76" i="12" s="1"/>
  <c r="AM51" i="12"/>
  <c r="B15" i="26"/>
  <c r="AB75" i="14"/>
  <c r="J15" i="26"/>
  <c r="AJ75" i="14"/>
  <c r="M15" i="25"/>
  <c r="AM43" i="13"/>
  <c r="L15" i="26"/>
  <c r="AL75" i="14"/>
  <c r="F15" i="25"/>
  <c r="AF43" i="13"/>
  <c r="M15" i="26"/>
  <c r="AM75" i="14"/>
  <c r="J15" i="25"/>
  <c r="AJ43" i="13"/>
  <c r="D15" i="26"/>
  <c r="AD75" i="14"/>
  <c r="B15" i="25"/>
  <c r="AB43" i="13"/>
  <c r="N15" i="25"/>
  <c r="AN43" i="13"/>
  <c r="K15" i="26"/>
  <c r="AK75" i="14"/>
  <c r="G15" i="25"/>
  <c r="AG43" i="13"/>
  <c r="C15" i="25"/>
  <c r="AC43" i="13"/>
  <c r="I15" i="25"/>
  <c r="AI43" i="13"/>
  <c r="AN51" i="12" l="1"/>
  <c r="AN75" i="12"/>
  <c r="AN76" i="12" s="1"/>
  <c r="AO34" i="12"/>
  <c r="AP26" i="12"/>
  <c r="AM77" i="12"/>
  <c r="AM78" i="12" s="1"/>
  <c r="AN77" i="12" l="1"/>
  <c r="AN78" i="12" s="1"/>
  <c r="AP34" i="12"/>
  <c r="AQ26" i="12"/>
  <c r="AO51" i="12"/>
  <c r="AO75" i="12"/>
  <c r="AO76" i="12" s="1"/>
  <c r="AO77" i="12" l="1"/>
  <c r="AO78" i="12" s="1"/>
  <c r="AQ34" i="12"/>
  <c r="AR26" i="12"/>
  <c r="AP51" i="12"/>
  <c r="AP75" i="12"/>
  <c r="AP76" i="12" s="1"/>
  <c r="AR34" i="12" l="1"/>
  <c r="AS26" i="12"/>
  <c r="AS34" i="12" s="1"/>
  <c r="AP77" i="12"/>
  <c r="AP78" i="12" s="1"/>
</calcChain>
</file>

<file path=xl/sharedStrings.xml><?xml version="1.0" encoding="utf-8"?>
<sst xmlns="http://schemas.openxmlformats.org/spreadsheetml/2006/main" count="900" uniqueCount="216">
  <si>
    <t>Cellulosic Biofuel</t>
  </si>
  <si>
    <t>Biomass-Based Diesel</t>
  </si>
  <si>
    <t>Advanced Biofuel</t>
  </si>
  <si>
    <t>Total Renewable Fuel</t>
  </si>
  <si>
    <t>Implied Ethanol</t>
  </si>
  <si>
    <t>Supplemental Standard</t>
  </si>
  <si>
    <t>YOY % Change (does not include supplemental volume)</t>
  </si>
  <si>
    <t>(billion gallons)</t>
  </si>
  <si>
    <t>* All values are ethanol-equivalent on an energy consult basis, except for biomass-based diesel (BBD), which is biodiesel equivalent</t>
  </si>
  <si>
    <t>Domestic Biomass-Based Diesel Production Volumes (gallons)</t>
  </si>
  <si>
    <t>Biodiesel</t>
  </si>
  <si>
    <t>RD</t>
  </si>
  <si>
    <t>SAF</t>
  </si>
  <si>
    <t>Process Tech Percentages:</t>
  </si>
  <si>
    <t>Renewable Diesel</t>
  </si>
  <si>
    <t>Co-Processing</t>
  </si>
  <si>
    <t>Sustainable Avaition Fuel</t>
  </si>
  <si>
    <t>D4 RINs</t>
  </si>
  <si>
    <t>91 - 204</t>
  </si>
  <si>
    <t>106 - 196</t>
  </si>
  <si>
    <t>135 - 205</t>
  </si>
  <si>
    <t>140 - 200</t>
  </si>
  <si>
    <t>150 - 210</t>
  </si>
  <si>
    <t>130 - 190</t>
  </si>
  <si>
    <t>120 - 185</t>
  </si>
  <si>
    <t>140 - 205</t>
  </si>
  <si>
    <t>165 - 225</t>
  </si>
  <si>
    <t>155 - 215</t>
  </si>
  <si>
    <t>36 - 104</t>
  </si>
  <si>
    <t>CA LCFS Credits</t>
  </si>
  <si>
    <t>144 - 202</t>
  </si>
  <si>
    <t>58 - 155</t>
  </si>
  <si>
    <t>50 - 100</t>
  </si>
  <si>
    <t>75 - 125</t>
  </si>
  <si>
    <t>100 - 150</t>
  </si>
  <si>
    <t>95 - 140</t>
  </si>
  <si>
    <t>110 - 160</t>
  </si>
  <si>
    <t>171 - 217</t>
  </si>
  <si>
    <t>OR LCFS Credits</t>
  </si>
  <si>
    <t>125 - 127</t>
  </si>
  <si>
    <t>120 - 140</t>
  </si>
  <si>
    <t>110 - 130</t>
  </si>
  <si>
    <t>100 - 120</t>
  </si>
  <si>
    <t>130 - 150</t>
  </si>
  <si>
    <t>111 - 159</t>
  </si>
  <si>
    <t>SBO</t>
  </si>
  <si>
    <t>Realized Average</t>
  </si>
  <si>
    <t>Difference</t>
  </si>
  <si>
    <t xml:space="preserve">  High</t>
  </si>
  <si>
    <t xml:space="preserve">  Low</t>
  </si>
  <si>
    <t xml:space="preserve">  Average</t>
  </si>
  <si>
    <t>New</t>
  </si>
  <si>
    <t>Old</t>
  </si>
  <si>
    <t>SBO (Crude - Decatur, IL)</t>
  </si>
  <si>
    <t>CO (RBD - Los Angeles)</t>
  </si>
  <si>
    <t>CO - SBO</t>
  </si>
  <si>
    <t>BFT (Packer - Chicago</t>
  </si>
  <si>
    <t>CWG (Missouri River)</t>
  </si>
  <si>
    <t>YG (Missouri River)</t>
  </si>
  <si>
    <t>PF (Mid-South)</t>
  </si>
  <si>
    <t>DCO (IL/WI)</t>
  </si>
  <si>
    <t>UCO (Illinois)</t>
  </si>
  <si>
    <t>BFT - CWG ( 2-5 - 4 )</t>
  </si>
  <si>
    <t>CWG - YG ( 4-10 - 7 )</t>
  </si>
  <si>
    <r>
      <t xml:space="preserve">YG - PF ( </t>
    </r>
    <r>
      <rPr>
        <sz val="10"/>
        <color rgb="FFFF0000"/>
        <rFont val="Arial Narrow"/>
        <family val="2"/>
      </rPr>
      <t>(2)</t>
    </r>
    <r>
      <rPr>
        <sz val="10"/>
        <color theme="1"/>
        <rFont val="Arial Narrow"/>
        <family val="2"/>
      </rPr>
      <t>-</t>
    </r>
    <r>
      <rPr>
        <sz val="10"/>
        <color rgb="FFFF0000"/>
        <rFont val="Arial Narrow"/>
        <family val="2"/>
      </rPr>
      <t>(8)</t>
    </r>
    <r>
      <rPr>
        <sz val="10"/>
        <color theme="1"/>
        <rFont val="Arial Narrow"/>
        <family val="2"/>
      </rPr>
      <t xml:space="preserve"> - </t>
    </r>
    <r>
      <rPr>
        <sz val="10"/>
        <color rgb="FFFF0000"/>
        <rFont val="Arial Narrow"/>
        <family val="2"/>
      </rPr>
      <t xml:space="preserve">(5) </t>
    </r>
    <r>
      <rPr>
        <sz val="10"/>
        <color theme="1"/>
        <rFont val="Arial Narrow"/>
        <family val="2"/>
      </rPr>
      <t>)</t>
    </r>
  </si>
  <si>
    <t>Good</t>
  </si>
  <si>
    <r>
      <t xml:space="preserve">BFT - DCO ( </t>
    </r>
    <r>
      <rPr>
        <sz val="10"/>
        <color rgb="FFFF0000"/>
        <rFont val="Arial Narrow"/>
        <family val="2"/>
      </rPr>
      <t>(1)</t>
    </r>
    <r>
      <rPr>
        <sz val="10"/>
        <color theme="1"/>
        <rFont val="Arial Narrow"/>
        <family val="2"/>
      </rPr>
      <t>-6 - 2 )</t>
    </r>
  </si>
  <si>
    <r>
      <t xml:space="preserve">UCO - DCO ( </t>
    </r>
    <r>
      <rPr>
        <sz val="10"/>
        <color rgb="FFFF0000"/>
        <rFont val="Arial Narrow"/>
        <family val="2"/>
      </rPr>
      <t>(8)</t>
    </r>
    <r>
      <rPr>
        <sz val="10"/>
        <color theme="1"/>
        <rFont val="Arial Narrow"/>
        <family val="2"/>
      </rPr>
      <t>-</t>
    </r>
    <r>
      <rPr>
        <sz val="10"/>
        <color rgb="FFFF0000"/>
        <rFont val="Arial Narrow"/>
        <family val="2"/>
      </rPr>
      <t>(1)</t>
    </r>
    <r>
      <rPr>
        <sz val="10"/>
        <color theme="1"/>
        <rFont val="Arial Narrow"/>
        <family val="2"/>
      </rPr>
      <t xml:space="preserve"> - </t>
    </r>
    <r>
      <rPr>
        <sz val="10"/>
        <color rgb="FFFF0000"/>
        <rFont val="Arial Narrow"/>
        <family val="2"/>
      </rPr>
      <t>(5)</t>
    </r>
    <r>
      <rPr>
        <sz val="10"/>
        <color theme="1"/>
        <rFont val="Arial Narrow"/>
        <family val="2"/>
      </rPr>
      <t xml:space="preserve"> )</t>
    </r>
  </si>
  <si>
    <t>UCO - YG ( 4-8 - 6 )</t>
  </si>
  <si>
    <r>
      <rPr>
        <b/>
        <sz val="8"/>
        <color theme="1"/>
        <rFont val="Avenir Next LT Pro Demi"/>
        <family val="2"/>
      </rPr>
      <t>US BIOMASS-BASED DIESEL FEEDSTOCK SUPPLY AND DEMAND</t>
    </r>
    <r>
      <rPr>
        <sz val="8"/>
        <color theme="1"/>
        <rFont val="Avenir Next LT Pro Demi"/>
        <family val="2"/>
      </rPr>
      <t xml:space="preserve"> (million pounds)</t>
    </r>
  </si>
  <si>
    <t>Beginning Stocks (January 1)</t>
  </si>
  <si>
    <t>Production</t>
  </si>
  <si>
    <t>Imports</t>
  </si>
  <si>
    <t xml:space="preserve">    Total Supply</t>
  </si>
  <si>
    <t>Domestic Usage</t>
  </si>
  <si>
    <t xml:space="preserve">  Biomass-Based Diesel Production</t>
  </si>
  <si>
    <t xml:space="preserve">    Biodiesel Production</t>
  </si>
  <si>
    <t xml:space="preserve">    Renewable Diesel Production</t>
  </si>
  <si>
    <t xml:space="preserve">  Non-Biodiesel Use</t>
  </si>
  <si>
    <t>Exports</t>
  </si>
  <si>
    <t xml:space="preserve">    Total Use</t>
  </si>
  <si>
    <t>Ending Stocks (December 31)</t>
  </si>
  <si>
    <t>Source: USDA, The Jacobsen</t>
  </si>
  <si>
    <t>Total Supply</t>
  </si>
  <si>
    <t>Ending Stocks</t>
  </si>
  <si>
    <t>Total Use</t>
  </si>
  <si>
    <t>Check</t>
  </si>
  <si>
    <t>Non-Fat and Grease Capacity</t>
  </si>
  <si>
    <t>Total Biomass-Based Diesel Production</t>
  </si>
  <si>
    <t>Yields without SAF</t>
  </si>
  <si>
    <t xml:space="preserve">  Biodiesel Yield</t>
  </si>
  <si>
    <t xml:space="preserve">  Renewable Diesel Yield</t>
  </si>
  <si>
    <t>Yields with SAF</t>
  </si>
  <si>
    <t>Total Feedstock Use - Last Report</t>
  </si>
  <si>
    <t>Change in Feedstock Demand</t>
  </si>
  <si>
    <t>Biodiesel Production - Last Report</t>
  </si>
  <si>
    <t>Renewable Diesel Production - Last Report</t>
  </si>
  <si>
    <t>SAF Production - Last Report</t>
  </si>
  <si>
    <t>Total BBD + SAF Production - Last Report</t>
  </si>
  <si>
    <t>Yields without SAF - Last Report</t>
  </si>
  <si>
    <t>Yields with SAF - Last Report</t>
  </si>
  <si>
    <t>Change in Biodiesel Production</t>
  </si>
  <si>
    <t>Change in Renewable Diesel Production</t>
  </si>
  <si>
    <t>Change in SAF</t>
  </si>
  <si>
    <t>Change in Yields - without SAF</t>
  </si>
  <si>
    <t>Change in Yields - with SAF</t>
  </si>
  <si>
    <t>Change in Total BBD Production</t>
  </si>
  <si>
    <t>Biodiesel - wldbiodiesel Feedstock Use</t>
  </si>
  <si>
    <t xml:space="preserve"> Difference</t>
  </si>
  <si>
    <t xml:space="preserve">  Veg Oil Difference</t>
  </si>
  <si>
    <t xml:space="preserve">  Fats and Grease Difference</t>
  </si>
  <si>
    <t xml:space="preserve">    Total Difference</t>
  </si>
  <si>
    <t>Biodiesel - wldbiodiesel Yield</t>
  </si>
  <si>
    <t>Additional Feedstock Use</t>
  </si>
  <si>
    <t>Renewable Diesel - RD Feedstock Build-Up Yield</t>
  </si>
  <si>
    <t>SAF - RD Feedstock Build-Up Yield</t>
  </si>
  <si>
    <r>
      <t xml:space="preserve">US VEGETABLE OIL FEEDSTOCKS SUPPLY AND DEMAND </t>
    </r>
    <r>
      <rPr>
        <sz val="8"/>
        <color theme="1"/>
        <rFont val="Avenir Next LT Pro Demi"/>
        <family val="2"/>
      </rPr>
      <t>(million pounds)</t>
    </r>
  </si>
  <si>
    <t xml:space="preserve">  Soybean Oil</t>
  </si>
  <si>
    <t xml:space="preserve">  Canola Oil</t>
  </si>
  <si>
    <t xml:space="preserve">      Soybean Oil</t>
  </si>
  <si>
    <t xml:space="preserve">      Canola Oil</t>
  </si>
  <si>
    <t>Non-bio</t>
  </si>
  <si>
    <t xml:space="preserve">    Soybean Oil</t>
  </si>
  <si>
    <t xml:space="preserve">    Canola Oil</t>
  </si>
  <si>
    <t>Ending</t>
  </si>
  <si>
    <t>Additional Biodiesel Feedstock Use</t>
  </si>
  <si>
    <t>Production of Veg Oils Used for BD Feedstock (non-reported feedstock)</t>
  </si>
  <si>
    <t>Check on adding non-reported feedstock to production</t>
  </si>
  <si>
    <t>Copy from row 65 in Total Feedstocks</t>
  </si>
  <si>
    <t>Additional RD and SAF Feedstock Use</t>
  </si>
  <si>
    <t>Copy from row 78 in Total Feedstocks</t>
  </si>
  <si>
    <r>
      <rPr>
        <b/>
        <sz val="8"/>
        <color theme="1"/>
        <rFont val="Avenir Next LT Pro Demi"/>
        <family val="2"/>
      </rPr>
      <t>US FAT AND GREASE FEEDSTOCKS SUPPLY AND DEMAND</t>
    </r>
    <r>
      <rPr>
        <sz val="8"/>
        <color theme="1"/>
        <rFont val="Avenir Next LT Pro Demi"/>
        <family val="2"/>
      </rPr>
      <t xml:space="preserve"> (million pounds)</t>
    </r>
  </si>
  <si>
    <t xml:space="preserve">  Inedible Tallow</t>
  </si>
  <si>
    <t xml:space="preserve">  Yellow Grease</t>
  </si>
  <si>
    <t xml:space="preserve">  Used Cooking Oil</t>
  </si>
  <si>
    <t xml:space="preserve">  Choice White Grease</t>
  </si>
  <si>
    <t xml:space="preserve">  Poultry Fat</t>
  </si>
  <si>
    <t xml:space="preserve">  Distillers' Corn Oil</t>
  </si>
  <si>
    <t xml:space="preserve">      Inedible Tallow</t>
  </si>
  <si>
    <t xml:space="preserve">      Yellow Grease</t>
  </si>
  <si>
    <t xml:space="preserve">      Used Cooking Oil</t>
  </si>
  <si>
    <t xml:space="preserve">      Choice White Grease</t>
  </si>
  <si>
    <t xml:space="preserve">      Poultry Fat</t>
  </si>
  <si>
    <t xml:space="preserve">      Distillers' Corn Oil</t>
  </si>
  <si>
    <t xml:space="preserve">    Inedible Tallow</t>
  </si>
  <si>
    <t xml:space="preserve">    Yellow Grease</t>
  </si>
  <si>
    <t xml:space="preserve">    Used Cooking Oil</t>
  </si>
  <si>
    <t xml:space="preserve">    Choice White Grease</t>
  </si>
  <si>
    <t xml:space="preserve">    Poultry Fat</t>
  </si>
  <si>
    <t xml:space="preserve">    Distillers' Corn Oil</t>
  </si>
  <si>
    <t>Production of Lard Used in BD Production (non-reported feedstock)</t>
  </si>
  <si>
    <t>Check on adding lard feedstock use to production</t>
  </si>
  <si>
    <t>Copy from row 66 in Total Feedstocks</t>
  </si>
  <si>
    <t>Copy from row 79 in Total Feedstocks</t>
  </si>
  <si>
    <r>
      <rPr>
        <b/>
        <sz val="8"/>
        <color theme="1"/>
        <rFont val="Avenir Next LT Pro Demi"/>
        <family val="2"/>
      </rPr>
      <t>US SOYBEAN OIL SUPPLY AND DEMAND</t>
    </r>
    <r>
      <rPr>
        <sz val="8"/>
        <color theme="1"/>
        <rFont val="Avenir Next LT Pro Demi"/>
        <family val="2"/>
      </rPr>
      <t xml:space="preserve"> (million pounds)</t>
    </r>
  </si>
  <si>
    <t xml:space="preserve">    Renewable Diesel/SAF Production</t>
  </si>
  <si>
    <t>Median Price - Central Illinois - Crude - cents/pound</t>
  </si>
  <si>
    <t>Domestic Use</t>
  </si>
  <si>
    <t>Biodiesel Use</t>
  </si>
  <si>
    <t>Non-Biodiesel Use</t>
  </si>
  <si>
    <r>
      <rPr>
        <b/>
        <sz val="8"/>
        <color theme="1"/>
        <rFont val="Avenir Next LT Pro Demi"/>
        <family val="2"/>
      </rPr>
      <t>US CANOLA OIL SUPPLY AND DEMAND</t>
    </r>
    <r>
      <rPr>
        <sz val="8"/>
        <color theme="1"/>
        <rFont val="Avenir Next LT Pro Demi"/>
        <family val="2"/>
      </rPr>
      <t xml:space="preserve"> (million pounds)</t>
    </r>
  </si>
  <si>
    <t>Median Price -Los Angeles - RBD - cents per pound</t>
  </si>
  <si>
    <r>
      <rPr>
        <b/>
        <sz val="8"/>
        <color theme="1"/>
        <rFont val="Avenir Next LT Pro Demi"/>
        <family val="2"/>
      </rPr>
      <t>US DISTILLERS' CORN OIL SUPPLY AND DEMAND</t>
    </r>
    <r>
      <rPr>
        <sz val="8"/>
        <color theme="1"/>
        <rFont val="Avenir Next LT Pro Demi"/>
        <family val="2"/>
      </rPr>
      <t xml:space="preserve"> (million pounds)</t>
    </r>
  </si>
  <si>
    <t>Increase in percentage of all veg diet from 2016 - 2020 then steady</t>
  </si>
  <si>
    <t>Maybe add Spain - don’t know about Saudi Arabia</t>
  </si>
  <si>
    <t>Get down to 70s</t>
  </si>
  <si>
    <t>Median Price - Illinois/Wisconsin - cents per pound</t>
  </si>
  <si>
    <t xml:space="preserve"> </t>
  </si>
  <si>
    <r>
      <rPr>
        <b/>
        <sz val="8"/>
        <color theme="1"/>
        <rFont val="Avenir Next LT Pro Demi"/>
        <family val="2"/>
      </rPr>
      <t>US INEDIBLE TALLOW SUPPLY AND DEMAND</t>
    </r>
    <r>
      <rPr>
        <sz val="8"/>
        <color theme="1"/>
        <rFont val="Avenir Next LT Pro Demi"/>
        <family val="2"/>
      </rPr>
      <t xml:space="preserve"> (million pounds)</t>
    </r>
  </si>
  <si>
    <t>3.9 in 2020 and 3.82 in 2021</t>
  </si>
  <si>
    <t xml:space="preserve">    Renewable Diese/SAF Production</t>
  </si>
  <si>
    <t>Match with the Sep Numbers</t>
  </si>
  <si>
    <t>Median Price - Chicago Packer - cents per pound</t>
  </si>
  <si>
    <t>US Used Cooking Oil/Yellow Grease Supply and Demand</t>
  </si>
  <si>
    <t>Median Price - cents per pound</t>
  </si>
  <si>
    <t xml:space="preserve">  Yellow Grease - Missouri River</t>
  </si>
  <si>
    <t xml:space="preserve">  Used Cooking Oil - Illinois</t>
  </si>
  <si>
    <r>
      <rPr>
        <b/>
        <sz val="8"/>
        <color theme="1"/>
        <rFont val="Avenir Next LT Pro Demi"/>
        <family val="2"/>
      </rPr>
      <t>US USED COOKING OIL SUPPLY AND DEMAND</t>
    </r>
    <r>
      <rPr>
        <sz val="8"/>
        <color theme="1"/>
        <rFont val="Avenir Next LT Pro Demi"/>
        <family val="2"/>
      </rPr>
      <t xml:space="preserve"> (million pounds)</t>
    </r>
  </si>
  <si>
    <t>Should be close to zero</t>
  </si>
  <si>
    <t>Median Price - Illinois - cents per pound</t>
  </si>
  <si>
    <t>Trend toward 100 for non-biofuel use</t>
  </si>
  <si>
    <r>
      <rPr>
        <b/>
        <sz val="8"/>
        <color theme="1"/>
        <rFont val="Avenir Next LT Pro Demi"/>
        <family val="2"/>
      </rPr>
      <t>US YELLOW GREASE SUPPLY AND DEMAND</t>
    </r>
    <r>
      <rPr>
        <sz val="8"/>
        <color theme="1"/>
        <rFont val="Avenir Next LT Pro Demi"/>
        <family val="2"/>
      </rPr>
      <t xml:space="preserve"> (million pounds)</t>
    </r>
  </si>
  <si>
    <t>80% feed - 20% biofuels</t>
  </si>
  <si>
    <t>Median Price - Missouri River - cents per pound</t>
  </si>
  <si>
    <r>
      <rPr>
        <b/>
        <sz val="8"/>
        <color rgb="FF6F0791"/>
        <rFont val="Avenir Next LT Pro Demi"/>
        <family val="2"/>
      </rPr>
      <t>US CHOICE WHITE GREASE SUPPLY AND DEMAND</t>
    </r>
    <r>
      <rPr>
        <sz val="8"/>
        <color rgb="FF6F0791"/>
        <rFont val="Avenir Next LT Pro Demi"/>
        <family val="2"/>
      </rPr>
      <t xml:space="preserve"> (million pounds)</t>
    </r>
  </si>
  <si>
    <t>1.412 in 2020 and 1.477 in 2021</t>
  </si>
  <si>
    <t>50/50 with bio</t>
  </si>
  <si>
    <r>
      <rPr>
        <b/>
        <sz val="8"/>
        <color theme="1"/>
        <rFont val="Avenir Next LT Pro Demi"/>
        <family val="2"/>
      </rPr>
      <t>US POULTRY FAT SUPPLY AND DEMAND</t>
    </r>
    <r>
      <rPr>
        <sz val="8"/>
        <color theme="1"/>
        <rFont val="Avenir Next LT Pro Demi"/>
        <family val="2"/>
      </rPr>
      <t xml:space="preserve"> (million pounds)</t>
    </r>
  </si>
  <si>
    <t>Median Price - Mid-South - cents per pound</t>
  </si>
  <si>
    <t>Total Feedstocks</t>
  </si>
  <si>
    <t>Change</t>
  </si>
  <si>
    <t>Biomass-Based Diesel Production</t>
  </si>
  <si>
    <t>Biodiesel Production</t>
  </si>
  <si>
    <t>Renewable Diesel Production</t>
  </si>
  <si>
    <t>Co-Processing Use</t>
  </si>
  <si>
    <t>Veg Oils</t>
  </si>
  <si>
    <t>Beginning Stocks (Jan 1)</t>
  </si>
  <si>
    <t xml:space="preserve"> Biomass-Based Diesel Prod</t>
  </si>
  <si>
    <t xml:space="preserve">  Biodiesel Production</t>
  </si>
  <si>
    <t xml:space="preserve">  Renewable Diesel Production</t>
  </si>
  <si>
    <t xml:space="preserve">  Co-Processing Use</t>
  </si>
  <si>
    <t xml:space="preserve"> Non-Biodiesel Use</t>
  </si>
  <si>
    <t>Ending Stocks (Dec 31)</t>
  </si>
  <si>
    <t>Fats and Greases</t>
  </si>
  <si>
    <t>Soybean Oil</t>
  </si>
  <si>
    <t>Canola Oil</t>
  </si>
  <si>
    <t>Median Price -Chicago - RBD - cents per pound</t>
  </si>
  <si>
    <t>Choice White Grease</t>
  </si>
  <si>
    <t>Used Cooking Oil/Yellow Grease</t>
  </si>
  <si>
    <t>Yellow Grease - Missouri River</t>
  </si>
  <si>
    <t>Used Cooking Oil - Illinois</t>
  </si>
  <si>
    <t>Used Cooking Oil</t>
  </si>
  <si>
    <t>Yellow Grease</t>
  </si>
  <si>
    <t>Inedible Tallow</t>
  </si>
  <si>
    <t>Poultry Fat</t>
  </si>
  <si>
    <t>Distillers' Corn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</si>
</sst>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0.00_);[Red]\(0.00\)"/>
    <numFmt numFmtId="165" formatCode="0.0%"/>
    <numFmt numFmtId="166" formatCode="0_);[Red]\(0\)"/>
    <numFmt numFmtId="167" formatCode="#,##0.0_);[Red]\(#,##0.0\)"/>
  </numFmts>
  <fonts count="23" x14ac:knownFonts="1">
    <font>
      <sz val="10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9"/>
      <color rgb="FF000000"/>
      <name val="Open Sans"/>
      <family val="2"/>
    </font>
    <font>
      <sz val="9"/>
      <color rgb="FF000000"/>
      <name val="Arial"/>
      <family val="2"/>
    </font>
    <font>
      <b/>
      <sz val="9"/>
      <color rgb="FF000000"/>
      <name val="Open Sans"/>
      <family val="2"/>
    </font>
    <font>
      <sz val="12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0"/>
      <color rgb="FFFFFFFF"/>
      <name val="Open Sans"/>
      <family val="2"/>
    </font>
    <font>
      <sz val="10"/>
      <color rgb="FF000000"/>
      <name val="Open Sans"/>
      <family val="2"/>
    </font>
    <font>
      <sz val="8"/>
      <color rgb="FF000000"/>
      <name val="Open Sans"/>
      <family val="2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  <font>
      <sz val="8"/>
      <color theme="1"/>
      <name val="Avenir Next LT Pro Demi"/>
      <family val="2"/>
    </font>
    <font>
      <b/>
      <sz val="8"/>
      <color theme="1"/>
      <name val="Avenir Next LT Pro Demi"/>
      <family val="2"/>
    </font>
    <font>
      <b/>
      <sz val="8"/>
      <color rgb="FFFF0000"/>
      <name val="Avenir Next LT Pro Demi"/>
      <family val="2"/>
    </font>
    <font>
      <sz val="8"/>
      <color indexed="8"/>
      <name val="Avenir Next LT Pro Demi"/>
      <family val="2"/>
    </font>
    <font>
      <b/>
      <sz val="8"/>
      <color indexed="8"/>
      <name val="Avenir Next LT Pro Demi"/>
      <family val="2"/>
    </font>
    <font>
      <sz val="8"/>
      <color rgb="FF6F0791"/>
      <name val="Avenir Next LT Pro Demi"/>
      <family val="2"/>
    </font>
    <font>
      <b/>
      <sz val="8"/>
      <color rgb="FF6F0791"/>
      <name val="Avenir Next LT Pro Demi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5D803B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rgb="FF6F0791"/>
      </top>
      <bottom style="medium">
        <color rgb="FF6F0791"/>
      </bottom>
      <diagonal/>
    </border>
    <border>
      <left/>
      <right/>
      <top style="medium">
        <color rgb="FF505A5B"/>
      </top>
      <bottom style="medium">
        <color rgb="FF505A5B"/>
      </bottom>
      <diagonal/>
    </border>
    <border>
      <left/>
      <right/>
      <top style="thin">
        <color rgb="FF8C8C8C"/>
      </top>
      <bottom/>
      <diagonal/>
    </border>
    <border>
      <left/>
      <right/>
      <top style="medium">
        <color rgb="FF6F0791"/>
      </top>
      <bottom/>
      <diagonal/>
    </border>
    <border>
      <left/>
      <right/>
      <top style="medium">
        <color rgb="FF505A5B"/>
      </top>
      <bottom/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 style="thin">
        <color rgb="FFD7BA2F"/>
      </top>
      <bottom/>
      <diagonal/>
    </border>
    <border>
      <left/>
      <right/>
      <top style="medium">
        <color rgb="FFD7BA2F"/>
      </top>
      <bottom/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6" fillId="0" borderId="0"/>
  </cellStyleXfs>
  <cellXfs count="94">
    <xf numFmtId="0" fontId="0" fillId="0" borderId="0" xfId="0"/>
    <xf numFmtId="0" fontId="3" fillId="2" borderId="1" xfId="0" applyFont="1" applyFill="1" applyBorder="1" applyAlignment="1">
      <alignment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41" fontId="4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10" fontId="3" fillId="2" borderId="1" xfId="0" applyNumberFormat="1" applyFont="1" applyFill="1" applyBorder="1" applyAlignment="1">
      <alignment horizontal="right" vertical="center" wrapText="1"/>
    </xf>
    <xf numFmtId="164" fontId="0" fillId="0" borderId="0" xfId="0" applyNumberFormat="1"/>
    <xf numFmtId="165" fontId="0" fillId="0" borderId="0" xfId="1" applyNumberFormat="1" applyFont="1"/>
    <xf numFmtId="9" fontId="0" fillId="0" borderId="0" xfId="1" applyFont="1"/>
    <xf numFmtId="0" fontId="6" fillId="0" borderId="0" xfId="2" applyAlignment="1">
      <alignment horizontal="left"/>
    </xf>
    <xf numFmtId="0" fontId="1" fillId="5" borderId="2" xfId="2" applyFont="1" applyFill="1" applyBorder="1" applyAlignment="1">
      <alignment horizontal="center" vertical="center" wrapText="1"/>
    </xf>
    <xf numFmtId="0" fontId="1" fillId="0" borderId="2" xfId="2" applyFont="1" applyBorder="1" applyAlignment="1">
      <alignment horizontal="center" vertical="center" wrapText="1"/>
    </xf>
    <xf numFmtId="0" fontId="6" fillId="0" borderId="0" xfId="2" applyAlignment="1">
      <alignment horizontal="right"/>
    </xf>
    <xf numFmtId="38" fontId="7" fillId="5" borderId="2" xfId="2" applyNumberFormat="1" applyFont="1" applyFill="1" applyBorder="1" applyAlignment="1">
      <alignment horizontal="right" vertical="center" wrapText="1"/>
    </xf>
    <xf numFmtId="38" fontId="7" fillId="0" borderId="2" xfId="2" applyNumberFormat="1" applyFont="1" applyBorder="1" applyAlignment="1">
      <alignment horizontal="right" vertical="center" wrapText="1"/>
    </xf>
    <xf numFmtId="9" fontId="6" fillId="0" borderId="0" xfId="2" applyNumberFormat="1" applyAlignment="1">
      <alignment horizontal="right"/>
    </xf>
    <xf numFmtId="3" fontId="0" fillId="0" borderId="0" xfId="0" applyNumberFormat="1"/>
    <xf numFmtId="38" fontId="0" fillId="0" borderId="0" xfId="0" applyNumberFormat="1"/>
    <xf numFmtId="38" fontId="7" fillId="0" borderId="0" xfId="2" applyNumberFormat="1" applyFont="1" applyAlignment="1">
      <alignment horizontal="right" vertical="center" wrapText="1"/>
    </xf>
    <xf numFmtId="0" fontId="6" fillId="6" borderId="2" xfId="2" applyFill="1" applyBorder="1"/>
    <xf numFmtId="0" fontId="6" fillId="0" borderId="3" xfId="2" applyBorder="1"/>
    <xf numFmtId="165" fontId="6" fillId="5" borderId="3" xfId="2" applyNumberFormat="1" applyFill="1" applyBorder="1"/>
    <xf numFmtId="165" fontId="6" fillId="0" borderId="3" xfId="2" applyNumberFormat="1" applyBorder="1"/>
    <xf numFmtId="0" fontId="0" fillId="0" borderId="4" xfId="0" applyBorder="1"/>
    <xf numFmtId="165" fontId="0" fillId="0" borderId="0" xfId="0" applyNumberFormat="1"/>
    <xf numFmtId="0" fontId="6" fillId="0" borderId="0" xfId="2"/>
    <xf numFmtId="165" fontId="6" fillId="0" borderId="0" xfId="2" applyNumberFormat="1"/>
    <xf numFmtId="0" fontId="0" fillId="7" borderId="1" xfId="0" applyFill="1" applyBorder="1" applyAlignment="1">
      <alignment wrapText="1"/>
    </xf>
    <xf numFmtId="0" fontId="8" fillId="7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40" fontId="0" fillId="0" borderId="0" xfId="0" applyNumberFormat="1"/>
    <xf numFmtId="40" fontId="11" fillId="0" borderId="0" xfId="0" applyNumberFormat="1" applyFont="1"/>
    <xf numFmtId="0" fontId="11" fillId="0" borderId="0" xfId="0" applyFont="1"/>
    <xf numFmtId="0" fontId="13" fillId="8" borderId="0" xfId="0" applyFont="1" applyFill="1"/>
    <xf numFmtId="0" fontId="13" fillId="0" borderId="0" xfId="0" applyFont="1"/>
    <xf numFmtId="0" fontId="13" fillId="8" borderId="5" xfId="0" applyFont="1" applyFill="1" applyBorder="1"/>
    <xf numFmtId="166" fontId="14" fillId="8" borderId="5" xfId="0" applyNumberFormat="1" applyFont="1" applyFill="1" applyBorder="1" applyAlignment="1">
      <alignment horizontal="center"/>
    </xf>
    <xf numFmtId="166" fontId="14" fillId="8" borderId="6" xfId="0" applyNumberFormat="1" applyFont="1" applyFill="1" applyBorder="1" applyAlignment="1">
      <alignment horizontal="center"/>
    </xf>
    <xf numFmtId="38" fontId="13" fillId="8" borderId="0" xfId="0" applyNumberFormat="1" applyFont="1" applyFill="1"/>
    <xf numFmtId="0" fontId="13" fillId="8" borderId="7" xfId="0" applyFont="1" applyFill="1" applyBorder="1"/>
    <xf numFmtId="38" fontId="13" fillId="8" borderId="7" xfId="0" applyNumberFormat="1" applyFont="1" applyFill="1" applyBorder="1"/>
    <xf numFmtId="0" fontId="13" fillId="8" borderId="8" xfId="0" applyFont="1" applyFill="1" applyBorder="1"/>
    <xf numFmtId="0" fontId="13" fillId="8" borderId="9" xfId="0" applyFont="1" applyFill="1" applyBorder="1"/>
    <xf numFmtId="9" fontId="13" fillId="8" borderId="0" xfId="1" applyFont="1" applyFill="1"/>
    <xf numFmtId="38" fontId="13" fillId="0" borderId="0" xfId="0" applyNumberFormat="1" applyFont="1"/>
    <xf numFmtId="38" fontId="15" fillId="0" borderId="0" xfId="0" applyNumberFormat="1" applyFont="1"/>
    <xf numFmtId="2" fontId="13" fillId="0" borderId="0" xfId="0" applyNumberFormat="1" applyFont="1"/>
    <xf numFmtId="40" fontId="13" fillId="0" borderId="0" xfId="0" applyNumberFormat="1" applyFont="1"/>
    <xf numFmtId="164" fontId="13" fillId="0" borderId="0" xfId="0" applyNumberFormat="1" applyFont="1"/>
    <xf numFmtId="4" fontId="13" fillId="0" borderId="0" xfId="0" applyNumberFormat="1" applyFont="1"/>
    <xf numFmtId="0" fontId="14" fillId="8" borderId="0" xfId="0" applyFont="1" applyFill="1"/>
    <xf numFmtId="0" fontId="13" fillId="8" borderId="10" xfId="0" applyFont="1" applyFill="1" applyBorder="1"/>
    <xf numFmtId="166" fontId="14" fillId="8" borderId="0" xfId="0" applyNumberFormat="1" applyFont="1" applyFill="1" applyAlignment="1">
      <alignment horizontal="center"/>
    </xf>
    <xf numFmtId="38" fontId="14" fillId="8" borderId="0" xfId="0" applyNumberFormat="1" applyFont="1" applyFill="1"/>
    <xf numFmtId="0" fontId="13" fillId="8" borderId="11" xfId="0" applyFont="1" applyFill="1" applyBorder="1"/>
    <xf numFmtId="38" fontId="13" fillId="8" borderId="11" xfId="0" applyNumberFormat="1" applyFont="1" applyFill="1" applyBorder="1"/>
    <xf numFmtId="0" fontId="14" fillId="8" borderId="12" xfId="0" applyFont="1" applyFill="1" applyBorder="1"/>
    <xf numFmtId="38" fontId="13" fillId="8" borderId="12" xfId="0" applyNumberFormat="1" applyFont="1" applyFill="1" applyBorder="1"/>
    <xf numFmtId="38" fontId="14" fillId="8" borderId="12" xfId="0" applyNumberFormat="1" applyFont="1" applyFill="1" applyBorder="1"/>
    <xf numFmtId="0" fontId="14" fillId="8" borderId="11" xfId="0" applyFont="1" applyFill="1" applyBorder="1"/>
    <xf numFmtId="38" fontId="14" fillId="8" borderId="11" xfId="0" applyNumberFormat="1" applyFont="1" applyFill="1" applyBorder="1"/>
    <xf numFmtId="166" fontId="13" fillId="0" borderId="0" xfId="0" applyNumberFormat="1" applyFont="1"/>
    <xf numFmtId="40" fontId="13" fillId="8" borderId="9" xfId="0" applyNumberFormat="1" applyFont="1" applyFill="1" applyBorder="1"/>
    <xf numFmtId="0" fontId="15" fillId="0" borderId="0" xfId="0" applyFont="1"/>
    <xf numFmtId="3" fontId="13" fillId="0" borderId="0" xfId="0" applyNumberFormat="1" applyFont="1"/>
    <xf numFmtId="40" fontId="16" fillId="8" borderId="9" xfId="0" applyNumberFormat="1" applyFont="1" applyFill="1" applyBorder="1"/>
    <xf numFmtId="0" fontId="17" fillId="8" borderId="0" xfId="0" applyFont="1" applyFill="1"/>
    <xf numFmtId="38" fontId="17" fillId="8" borderId="0" xfId="0" applyNumberFormat="1" applyFont="1" applyFill="1"/>
    <xf numFmtId="10" fontId="13" fillId="0" borderId="0" xfId="0" applyNumberFormat="1" applyFont="1"/>
    <xf numFmtId="0" fontId="14" fillId="8" borderId="9" xfId="0" applyFont="1" applyFill="1" applyBorder="1"/>
    <xf numFmtId="0" fontId="17" fillId="8" borderId="9" xfId="0" applyFont="1" applyFill="1" applyBorder="1"/>
    <xf numFmtId="0" fontId="16" fillId="8" borderId="9" xfId="0" applyFont="1" applyFill="1" applyBorder="1"/>
    <xf numFmtId="40" fontId="13" fillId="8" borderId="0" xfId="0" applyNumberFormat="1" applyFont="1" applyFill="1"/>
    <xf numFmtId="40" fontId="14" fillId="8" borderId="0" xfId="0" applyNumberFormat="1" applyFont="1" applyFill="1"/>
    <xf numFmtId="0" fontId="18" fillId="8" borderId="0" xfId="0" applyFont="1" applyFill="1"/>
    <xf numFmtId="0" fontId="13" fillId="8" borderId="13" xfId="0" applyFont="1" applyFill="1" applyBorder="1"/>
    <xf numFmtId="166" fontId="14" fillId="8" borderId="13" xfId="0" applyNumberFormat="1" applyFont="1" applyFill="1" applyBorder="1" applyAlignment="1">
      <alignment horizontal="center"/>
    </xf>
    <xf numFmtId="0" fontId="13" fillId="8" borderId="14" xfId="0" applyFont="1" applyFill="1" applyBorder="1"/>
    <xf numFmtId="38" fontId="13" fillId="8" borderId="14" xfId="0" applyNumberFormat="1" applyFont="1" applyFill="1" applyBorder="1"/>
    <xf numFmtId="167" fontId="13" fillId="0" borderId="0" xfId="0" applyNumberFormat="1" applyFont="1"/>
    <xf numFmtId="167" fontId="15" fillId="0" borderId="0" xfId="0" applyNumberFormat="1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38" fontId="21" fillId="0" borderId="0" xfId="0" applyNumberFormat="1" applyFont="1"/>
    <xf numFmtId="40" fontId="21" fillId="0" borderId="0" xfId="0" applyNumberFormat="1" applyFont="1"/>
    <xf numFmtId="167" fontId="21" fillId="0" borderId="0" xfId="0" applyNumberFormat="1" applyFont="1"/>
  </cellXfs>
  <cellStyles count="3">
    <cellStyle name="Normal" xfId="0" builtinId="0"/>
    <cellStyle name="Normal 2" xfId="2" xr:uid="{C27FE1CE-C69C-404F-862C-770DE99613F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7.xml"/><Relationship Id="rId18" Type="http://schemas.openxmlformats.org/officeDocument/2006/relationships/worksheet" Target="worksheets/sheet12.xml"/><Relationship Id="rId26" Type="http://schemas.openxmlformats.org/officeDocument/2006/relationships/worksheet" Target="worksheets/sheet20.xml"/><Relationship Id="rId39" Type="http://schemas.openxmlformats.org/officeDocument/2006/relationships/externalLink" Target="externalLinks/externalLink4.xml"/><Relationship Id="rId21" Type="http://schemas.openxmlformats.org/officeDocument/2006/relationships/worksheet" Target="worksheets/sheet15.xml"/><Relationship Id="rId34" Type="http://schemas.openxmlformats.org/officeDocument/2006/relationships/worksheet" Target="worksheets/sheet28.xml"/><Relationship Id="rId42" Type="http://schemas.openxmlformats.org/officeDocument/2006/relationships/theme" Target="theme/theme1.xml"/><Relationship Id="rId7" Type="http://schemas.openxmlformats.org/officeDocument/2006/relationships/chartsheet" Target="chartsheets/sheet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0.xml"/><Relationship Id="rId29" Type="http://schemas.openxmlformats.org/officeDocument/2006/relationships/worksheet" Target="worksheets/sheet23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chartsheet" Target="chartsheets/sheet6.xml"/><Relationship Id="rId24" Type="http://schemas.openxmlformats.org/officeDocument/2006/relationships/worksheet" Target="worksheets/sheet18.xml"/><Relationship Id="rId32" Type="http://schemas.openxmlformats.org/officeDocument/2006/relationships/worksheet" Target="worksheets/sheet26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9.xml"/><Relationship Id="rId23" Type="http://schemas.openxmlformats.org/officeDocument/2006/relationships/worksheet" Target="worksheets/sheet17.xml"/><Relationship Id="rId28" Type="http://schemas.openxmlformats.org/officeDocument/2006/relationships/worksheet" Target="worksheets/sheet22.xml"/><Relationship Id="rId36" Type="http://schemas.openxmlformats.org/officeDocument/2006/relationships/externalLink" Target="externalLinks/externalLink1.xml"/><Relationship Id="rId10" Type="http://schemas.openxmlformats.org/officeDocument/2006/relationships/chartsheet" Target="chartsheets/sheet5.xml"/><Relationship Id="rId19" Type="http://schemas.openxmlformats.org/officeDocument/2006/relationships/worksheet" Target="worksheets/sheet13.xml"/><Relationship Id="rId31" Type="http://schemas.openxmlformats.org/officeDocument/2006/relationships/worksheet" Target="worksheets/sheet25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4.xml"/><Relationship Id="rId14" Type="http://schemas.openxmlformats.org/officeDocument/2006/relationships/worksheet" Target="worksheets/sheet8.xml"/><Relationship Id="rId22" Type="http://schemas.openxmlformats.org/officeDocument/2006/relationships/worksheet" Target="worksheets/sheet16.xml"/><Relationship Id="rId27" Type="http://schemas.openxmlformats.org/officeDocument/2006/relationships/worksheet" Target="worksheets/sheet21.xml"/><Relationship Id="rId30" Type="http://schemas.openxmlformats.org/officeDocument/2006/relationships/worksheet" Target="worksheets/sheet24.xml"/><Relationship Id="rId35" Type="http://schemas.openxmlformats.org/officeDocument/2006/relationships/worksheet" Target="worksheets/sheet29.xml"/><Relationship Id="rId43" Type="http://schemas.openxmlformats.org/officeDocument/2006/relationships/styles" Target="styles.xml"/><Relationship Id="rId8" Type="http://schemas.openxmlformats.org/officeDocument/2006/relationships/chartsheet" Target="chartsheets/sheet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25" Type="http://schemas.openxmlformats.org/officeDocument/2006/relationships/worksheet" Target="worksheets/sheet19.xml"/><Relationship Id="rId33" Type="http://schemas.openxmlformats.org/officeDocument/2006/relationships/worksheet" Target="worksheets/sheet27.xml"/><Relationship Id="rId38" Type="http://schemas.openxmlformats.org/officeDocument/2006/relationships/externalLink" Target="externalLinks/externalLink3.xml"/><Relationship Id="rId20" Type="http://schemas.openxmlformats.org/officeDocument/2006/relationships/worksheet" Target="worksheets/sheet14.xml"/><Relationship Id="rId41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'Fats and Grease'!$B$21</c:f>
              <c:strCache>
                <c:ptCount val="1"/>
                <c:pt idx="0">
                  <c:v>  Used Cooking Oil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'Fats and Grease'!$AC$3:$AQ$3</c:f>
              <c:numCache>
                <c:formatCode>0_);[Red]\(0\)</c:formatCod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</c:numCache>
            </c:numRef>
          </c:cat>
          <c:val>
            <c:numRef>
              <c:f>'Fats and Grease'!$AC$21:$AQ$21</c:f>
              <c:numCache>
                <c:formatCode>#,##0_);[Red]\(#,##0\)</c:formatCode>
                <c:ptCount val="15"/>
                <c:pt idx="0">
                  <c:v>181.770273</c:v>
                </c:pt>
                <c:pt idx="1">
                  <c:v>292.50858599999998</c:v>
                </c:pt>
                <c:pt idx="2">
                  <c:v>725.9360180000001</c:v>
                </c:pt>
                <c:pt idx="3">
                  <c:v>3019.642902</c:v>
                </c:pt>
                <c:pt idx="4">
                  <c:v>5396.4669739999999</c:v>
                </c:pt>
                <c:pt idx="5">
                  <c:v>5719.3464266659912</c:v>
                </c:pt>
                <c:pt idx="6">
                  <c:v>7089.679546988953</c:v>
                </c:pt>
                <c:pt idx="7">
                  <c:v>10072.92521391198</c:v>
                </c:pt>
                <c:pt idx="8">
                  <c:v>12499.510921922878</c:v>
                </c:pt>
                <c:pt idx="9">
                  <c:v>15201.877675392243</c:v>
                </c:pt>
                <c:pt idx="10">
                  <c:v>18720.193250657456</c:v>
                </c:pt>
                <c:pt idx="11">
                  <c:v>21590.784675196559</c:v>
                </c:pt>
                <c:pt idx="12">
                  <c:v>25062.605395928942</c:v>
                </c:pt>
                <c:pt idx="13">
                  <c:v>28187.596955993678</c:v>
                </c:pt>
                <c:pt idx="14">
                  <c:v>27151.273851292899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E-4D29-BCA3-CC37E8335D19}"/>
            </c:ext>
          </c:extLst>
        </c:ser>
        <c:ser>
          <c:idx val="0"/>
          <c:order val="1"/>
          <c:tx>
            <c:strRef>
              <c:f>'Fats and Grease'!$B$12</c:f>
              <c:strCache>
                <c:ptCount val="1"/>
                <c:pt idx="0">
                  <c:v>  Inedible Tallow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'Fats and Grease'!$AC$3:$AQ$3</c:f>
              <c:numCache>
                <c:formatCode>0_);[Red]\(0\)</c:formatCod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</c:numCache>
            </c:numRef>
          </c:cat>
          <c:val>
            <c:numRef>
              <c:f>'Fats and Grease'!$AC$19:$AQ$19</c:f>
              <c:numCache>
                <c:formatCode>#,##0_);[Red]\(#,##0\)</c:formatCode>
                <c:ptCount val="15"/>
                <c:pt idx="0">
                  <c:v>511.70585600376</c:v>
                </c:pt>
                <c:pt idx="1">
                  <c:v>702.44172196915997</c:v>
                </c:pt>
                <c:pt idx="2">
                  <c:v>1148.6836040000001</c:v>
                </c:pt>
                <c:pt idx="3">
                  <c:v>1698.357833</c:v>
                </c:pt>
                <c:pt idx="4">
                  <c:v>1916.9493247109599</c:v>
                </c:pt>
                <c:pt idx="5">
                  <c:v>3620.2979857098135</c:v>
                </c:pt>
                <c:pt idx="6">
                  <c:v>4701.2430471739744</c:v>
                </c:pt>
                <c:pt idx="7">
                  <c:v>5896.9012498631428</c:v>
                </c:pt>
                <c:pt idx="8">
                  <c:v>5986.7186405129196</c:v>
                </c:pt>
                <c:pt idx="9">
                  <c:v>6303.5915029787848</c:v>
                </c:pt>
                <c:pt idx="10">
                  <c:v>7013.5278812644992</c:v>
                </c:pt>
                <c:pt idx="11">
                  <c:v>7696.7962362707904</c:v>
                </c:pt>
                <c:pt idx="12">
                  <c:v>8999.6375310044969</c:v>
                </c:pt>
                <c:pt idx="13">
                  <c:v>10230.685425689779</c:v>
                </c:pt>
                <c:pt idx="14">
                  <c:v>10214.3667114704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AE-4D29-BCA3-CC37E8335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1257199"/>
        <c:axId val="541259119"/>
      </c:barChart>
      <c:catAx>
        <c:axId val="541257199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259119"/>
        <c:crosses val="autoZero"/>
        <c:auto val="1"/>
        <c:lblAlgn val="ctr"/>
        <c:lblOffset val="100"/>
        <c:noMultiLvlLbl val="0"/>
      </c:catAx>
      <c:valAx>
        <c:axId val="54125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2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5"/>
          <c:order val="0"/>
          <c:tx>
            <c:strRef>
              <c:f>'Fats and Grease'!$B$17</c:f>
              <c:strCache>
                <c:ptCount val="1"/>
                <c:pt idx="0">
                  <c:v>  Distillers' Corn Oil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'Fats and Grease'!$AC$17:$AQ$17</c:f>
              <c:numCache>
                <c:formatCode>#,##0_);[Red]\(#,##0\)</c:formatCode>
                <c:ptCount val="15"/>
                <c:pt idx="0">
                  <c:v>3809.5107453488781</c:v>
                </c:pt>
                <c:pt idx="1">
                  <c:v>4097.0277375894484</c:v>
                </c:pt>
                <c:pt idx="2">
                  <c:v>4103.7251894771998</c:v>
                </c:pt>
                <c:pt idx="3">
                  <c:v>4248.6090480617013</c:v>
                </c:pt>
                <c:pt idx="4">
                  <c:v>4456.254297781521</c:v>
                </c:pt>
                <c:pt idx="5">
                  <c:v>4478.2364390664734</c:v>
                </c:pt>
                <c:pt idx="6">
                  <c:v>4499.2835832457704</c:v>
                </c:pt>
                <c:pt idx="7">
                  <c:v>4564.0358028308547</c:v>
                </c:pt>
                <c:pt idx="8">
                  <c:v>4685.6733813342516</c:v>
                </c:pt>
                <c:pt idx="9">
                  <c:v>4778.5276885615358</c:v>
                </c:pt>
                <c:pt idx="10">
                  <c:v>5104.2167714306297</c:v>
                </c:pt>
                <c:pt idx="11">
                  <c:v>5223.2811019084338</c:v>
                </c:pt>
                <c:pt idx="12">
                  <c:v>5229.7916756970981</c:v>
                </c:pt>
                <c:pt idx="13">
                  <c:v>5355.9385475834424</c:v>
                </c:pt>
                <c:pt idx="14">
                  <c:v>5476.0701928108283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E-46FC-B90B-FCCCEE019D00}"/>
            </c:ext>
          </c:extLst>
        </c:ser>
        <c:ser>
          <c:idx val="2"/>
          <c:order val="1"/>
          <c:tx>
            <c:strRef>
              <c:f>'Fats and Grease'!$B$14</c:f>
              <c:strCache>
                <c:ptCount val="1"/>
                <c:pt idx="0">
                  <c:v>  Used Cooking Oil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'Fats and Grease'!$AC$14:$AQ$14</c:f>
              <c:numCache>
                <c:formatCode>#,##0_);[Red]\(#,##0\)</c:formatCode>
                <c:ptCount val="15"/>
                <c:pt idx="0">
                  <c:v>1758.9907533554049</c:v>
                </c:pt>
                <c:pt idx="1">
                  <c:v>2330.1389352941178</c:v>
                </c:pt>
                <c:pt idx="2">
                  <c:v>3703.4203205882354</c:v>
                </c:pt>
                <c:pt idx="3">
                  <c:v>4549.9405588235286</c:v>
                </c:pt>
                <c:pt idx="4">
                  <c:v>4635.9424588235297</c:v>
                </c:pt>
                <c:pt idx="5">
                  <c:v>4757.1207450498396</c:v>
                </c:pt>
                <c:pt idx="6">
                  <c:v>5087.5918095525058</c:v>
                </c:pt>
                <c:pt idx="7">
                  <c:v>5402.6459505659241</c:v>
                </c:pt>
                <c:pt idx="8">
                  <c:v>5758.4792914281707</c:v>
                </c:pt>
                <c:pt idx="9">
                  <c:v>6079.0711586302377</c:v>
                </c:pt>
                <c:pt idx="10">
                  <c:v>6654.286311724054</c:v>
                </c:pt>
                <c:pt idx="11">
                  <c:v>7053.3442043201621</c:v>
                </c:pt>
                <c:pt idx="12">
                  <c:v>7715.2205470299014</c:v>
                </c:pt>
                <c:pt idx="13">
                  <c:v>8123.4189047943655</c:v>
                </c:pt>
                <c:pt idx="14">
                  <c:v>9559.9418231207947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2E-46FC-B90B-FCCCEE019D00}"/>
            </c:ext>
          </c:extLst>
        </c:ser>
        <c:ser>
          <c:idx val="0"/>
          <c:order val="2"/>
          <c:tx>
            <c:strRef>
              <c:f>'Fats and Grease'!$B$12</c:f>
              <c:strCache>
                <c:ptCount val="1"/>
                <c:pt idx="0">
                  <c:v>  Inedible Tallow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'Fats and Grease'!$AC$12:$AQ$12</c:f>
              <c:numCache>
                <c:formatCode>#,##0_);[Red]\(#,##0\)</c:formatCode>
                <c:ptCount val="15"/>
                <c:pt idx="0">
                  <c:v>3533.9079999999999</c:v>
                </c:pt>
                <c:pt idx="1">
                  <c:v>3941.5820000000003</c:v>
                </c:pt>
                <c:pt idx="2">
                  <c:v>3956.1569999999997</c:v>
                </c:pt>
                <c:pt idx="3">
                  <c:v>3834.4410000000003</c:v>
                </c:pt>
                <c:pt idx="4">
                  <c:v>3868.1689999999994</c:v>
                </c:pt>
                <c:pt idx="5">
                  <c:v>3672.2102363051767</c:v>
                </c:pt>
                <c:pt idx="6">
                  <c:v>3800.2059054833517</c:v>
                </c:pt>
                <c:pt idx="7">
                  <c:v>3816.7812851756762</c:v>
                </c:pt>
                <c:pt idx="8">
                  <c:v>3842.6536210441036</c:v>
                </c:pt>
                <c:pt idx="9">
                  <c:v>3814.1209959381122</c:v>
                </c:pt>
                <c:pt idx="10">
                  <c:v>3792.3219390741287</c:v>
                </c:pt>
                <c:pt idx="11">
                  <c:v>3800.3809119683879</c:v>
                </c:pt>
                <c:pt idx="12">
                  <c:v>3864.7427727357135</c:v>
                </c:pt>
                <c:pt idx="13">
                  <c:v>3841.1174161669974</c:v>
                </c:pt>
                <c:pt idx="14">
                  <c:v>3817.2951220271016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2E-46FC-B90B-FCCCEE019D00}"/>
            </c:ext>
          </c:extLst>
        </c:ser>
        <c:ser>
          <c:idx val="1"/>
          <c:order val="3"/>
          <c:tx>
            <c:strRef>
              <c:f>'Fats and Grease'!$B$13</c:f>
              <c:strCache>
                <c:ptCount val="1"/>
                <c:pt idx="0">
                  <c:v>  Yellow Grease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'Fats and Grease'!$AC$13:$AQ$13</c:f>
              <c:numCache>
                <c:formatCode>#,##0_);[Red]\(#,##0\)</c:formatCode>
                <c:ptCount val="15"/>
                <c:pt idx="0">
                  <c:v>1565.2837499999998</c:v>
                </c:pt>
                <c:pt idx="1">
                  <c:v>1653.135</c:v>
                </c:pt>
                <c:pt idx="2">
                  <c:v>1709.5342499999999</c:v>
                </c:pt>
                <c:pt idx="3">
                  <c:v>2023.5839999999998</c:v>
                </c:pt>
                <c:pt idx="4">
                  <c:v>2427.0750000000007</c:v>
                </c:pt>
                <c:pt idx="5">
                  <c:v>2446.3497536740574</c:v>
                </c:pt>
                <c:pt idx="6">
                  <c:v>2580.6790665163999</c:v>
                </c:pt>
                <c:pt idx="7">
                  <c:v>2904.0413700618428</c:v>
                </c:pt>
                <c:pt idx="8">
                  <c:v>2993.8814748024829</c:v>
                </c:pt>
                <c:pt idx="9">
                  <c:v>2862.206040750074</c:v>
                </c:pt>
                <c:pt idx="10">
                  <c:v>3333.4196581373944</c:v>
                </c:pt>
                <c:pt idx="11">
                  <c:v>3729.6504012487248</c:v>
                </c:pt>
                <c:pt idx="12">
                  <c:v>4272.1154052396123</c:v>
                </c:pt>
                <c:pt idx="13">
                  <c:v>4505.4778726037002</c:v>
                </c:pt>
                <c:pt idx="14">
                  <c:v>4613.181996473586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2E-46FC-B90B-FCCCEE019D00}"/>
            </c:ext>
          </c:extLst>
        </c:ser>
        <c:ser>
          <c:idx val="4"/>
          <c:order val="4"/>
          <c:tx>
            <c:strRef>
              <c:f>'Fats and Grease'!$B$16</c:f>
              <c:strCache>
                <c:ptCount val="1"/>
                <c:pt idx="0">
                  <c:v>  Poultry Fat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'Fats and Grease'!$AC$16:$AQ$16</c:f>
              <c:numCache>
                <c:formatCode>#,##0_);[Red]\(#,##0\)</c:formatCode>
                <c:ptCount val="15"/>
                <c:pt idx="0">
                  <c:v>2527.6399999999994</c:v>
                </c:pt>
                <c:pt idx="1">
                  <c:v>2110.0580000000004</c:v>
                </c:pt>
                <c:pt idx="2">
                  <c:v>2023.7369999999999</c:v>
                </c:pt>
                <c:pt idx="3">
                  <c:v>2296.9290000000001</c:v>
                </c:pt>
                <c:pt idx="4">
                  <c:v>2227.451</c:v>
                </c:pt>
                <c:pt idx="5">
                  <c:v>2273.8869398205215</c:v>
                </c:pt>
                <c:pt idx="6">
                  <c:v>2319.6475252872092</c:v>
                </c:pt>
                <c:pt idx="7">
                  <c:v>2365.0271291092386</c:v>
                </c:pt>
                <c:pt idx="8">
                  <c:v>2432.1514510548</c:v>
                </c:pt>
                <c:pt idx="9">
                  <c:v>2449.3223829555172</c:v>
                </c:pt>
                <c:pt idx="10">
                  <c:v>2502.2121569735509</c:v>
                </c:pt>
                <c:pt idx="11">
                  <c:v>2569.2759994233156</c:v>
                </c:pt>
                <c:pt idx="12">
                  <c:v>2636.9247602141595</c:v>
                </c:pt>
                <c:pt idx="13">
                  <c:v>2671.9351714785853</c:v>
                </c:pt>
                <c:pt idx="14">
                  <c:v>2740.6394590075147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2E-46FC-B90B-FCCCEE019D00}"/>
            </c:ext>
          </c:extLst>
        </c:ser>
        <c:ser>
          <c:idx val="3"/>
          <c:order val="5"/>
          <c:tx>
            <c:strRef>
              <c:f>'Fats and Grease'!$B$15</c:f>
              <c:strCache>
                <c:ptCount val="1"/>
                <c:pt idx="0">
                  <c:v>  Choice White Grease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'Fats and Grease'!$AC$15:$AQ$15</c:f>
              <c:numCache>
                <c:formatCode>#,##0_);[Red]\(#,##0\)</c:formatCode>
                <c:ptCount val="15"/>
                <c:pt idx="0">
                  <c:v>1315.174</c:v>
                </c:pt>
                <c:pt idx="1">
                  <c:v>1247.52</c:v>
                </c:pt>
                <c:pt idx="2">
                  <c:v>1361.057</c:v>
                </c:pt>
                <c:pt idx="3">
                  <c:v>1336.88</c:v>
                </c:pt>
                <c:pt idx="4">
                  <c:v>1233.6860000000001</c:v>
                </c:pt>
                <c:pt idx="5">
                  <c:v>1334.6513796127281</c:v>
                </c:pt>
                <c:pt idx="6">
                  <c:v>1385.8526293029565</c:v>
                </c:pt>
                <c:pt idx="7">
                  <c:v>1412.2332147810912</c:v>
                </c:pt>
                <c:pt idx="8">
                  <c:v>1426.6840516423506</c:v>
                </c:pt>
                <c:pt idx="9">
                  <c:v>1449.618587287689</c:v>
                </c:pt>
                <c:pt idx="10">
                  <c:v>1471.5580943823018</c:v>
                </c:pt>
                <c:pt idx="11">
                  <c:v>1492.6097677964221</c:v>
                </c:pt>
                <c:pt idx="12">
                  <c:v>1510.2976904527038</c:v>
                </c:pt>
                <c:pt idx="13">
                  <c:v>1521.0022877434183</c:v>
                </c:pt>
                <c:pt idx="14">
                  <c:v>1534.2311418793188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2E-46FC-B90B-FCCCEE019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1257199"/>
        <c:axId val="541259119"/>
      </c:barChart>
      <c:catAx>
        <c:axId val="541257199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259119"/>
        <c:crosses val="autoZero"/>
        <c:auto val="1"/>
        <c:lblAlgn val="ctr"/>
        <c:lblOffset val="100"/>
        <c:noMultiLvlLbl val="0"/>
      </c:catAx>
      <c:valAx>
        <c:axId val="54125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2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'Fats and Grease'!$B$12</c:f>
              <c:strCache>
                <c:ptCount val="1"/>
                <c:pt idx="0">
                  <c:v>  Inedible Tallow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SBO!$AC$3:$AQ$3</c:f>
              <c:numCache>
                <c:formatCode>0_);[Red]\(0\)</c:formatCod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</c:numCache>
            </c:numRef>
          </c:cat>
          <c:val>
            <c:numRef>
              <c:f>'Fats and Grease'!$AC$12:$AQ$12</c:f>
              <c:numCache>
                <c:formatCode>#,##0_);[Red]\(#,##0\)</c:formatCode>
                <c:ptCount val="15"/>
                <c:pt idx="0">
                  <c:v>3533.9079999999999</c:v>
                </c:pt>
                <c:pt idx="1">
                  <c:v>3941.5820000000003</c:v>
                </c:pt>
                <c:pt idx="2">
                  <c:v>3956.1569999999997</c:v>
                </c:pt>
                <c:pt idx="3">
                  <c:v>3834.4410000000003</c:v>
                </c:pt>
                <c:pt idx="4">
                  <c:v>3868.1689999999994</c:v>
                </c:pt>
                <c:pt idx="5">
                  <c:v>3672.2102363051767</c:v>
                </c:pt>
                <c:pt idx="6">
                  <c:v>3800.2059054833517</c:v>
                </c:pt>
                <c:pt idx="7">
                  <c:v>3816.7812851756762</c:v>
                </c:pt>
                <c:pt idx="8">
                  <c:v>3842.6536210441036</c:v>
                </c:pt>
                <c:pt idx="9">
                  <c:v>3814.1209959381122</c:v>
                </c:pt>
                <c:pt idx="10">
                  <c:v>3792.3219390741287</c:v>
                </c:pt>
                <c:pt idx="11">
                  <c:v>3800.3809119683879</c:v>
                </c:pt>
                <c:pt idx="12">
                  <c:v>3864.7427727357135</c:v>
                </c:pt>
                <c:pt idx="13">
                  <c:v>3841.1174161669974</c:v>
                </c:pt>
                <c:pt idx="14">
                  <c:v>3817.2951220271016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8-4845-9E50-F9B2F4FAC633}"/>
            </c:ext>
          </c:extLst>
        </c:ser>
        <c:ser>
          <c:idx val="1"/>
          <c:order val="1"/>
          <c:tx>
            <c:v>Canola oil supply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'Canola Oil'!$AC$7:$AQ$7</c:f>
              <c:numCache>
                <c:formatCode>#,##0_);[Red]\(#,##0\)</c:formatCode>
                <c:ptCount val="15"/>
                <c:pt idx="0">
                  <c:v>7585.9198179999994</c:v>
                </c:pt>
                <c:pt idx="1">
                  <c:v>7761.8399629020005</c:v>
                </c:pt>
                <c:pt idx="2">
                  <c:v>7652.2333995379995</c:v>
                </c:pt>
                <c:pt idx="3">
                  <c:v>10027.28937608</c:v>
                </c:pt>
                <c:pt idx="4">
                  <c:v>11331.351406321201</c:v>
                </c:pt>
                <c:pt idx="5">
                  <c:v>9918.5882439589423</c:v>
                </c:pt>
                <c:pt idx="6">
                  <c:v>10073.030496642699</c:v>
                </c:pt>
                <c:pt idx="7">
                  <c:v>10665.285940583064</c:v>
                </c:pt>
                <c:pt idx="8">
                  <c:v>11175.230732415159</c:v>
                </c:pt>
                <c:pt idx="9">
                  <c:v>11702.694694268725</c:v>
                </c:pt>
                <c:pt idx="10">
                  <c:v>12221.668032275886</c:v>
                </c:pt>
                <c:pt idx="11">
                  <c:v>12529.398773199489</c:v>
                </c:pt>
                <c:pt idx="12">
                  <c:v>13550.95256133817</c:v>
                </c:pt>
                <c:pt idx="13">
                  <c:v>13834.044994025964</c:v>
                </c:pt>
                <c:pt idx="14">
                  <c:v>14073.693786635104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8-4845-9E50-F9B2F4FAC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462832"/>
        <c:axId val="30463312"/>
      </c:barChart>
      <c:lineChart>
        <c:grouping val="standard"/>
        <c:varyColors val="0"/>
        <c:ser>
          <c:idx val="2"/>
          <c:order val="2"/>
          <c:tx>
            <c:v>Vegetable oil use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'Veg Oils'!$AC$29:$AQ$29</c:f>
              <c:numCache>
                <c:formatCode>#,##0_);[Red]\(#,##0\)</c:formatCode>
                <c:ptCount val="15"/>
                <c:pt idx="0">
                  <c:v>33114.883030000005</c:v>
                </c:pt>
                <c:pt idx="1">
                  <c:v>32811.125150901993</c:v>
                </c:pt>
                <c:pt idx="2">
                  <c:v>33869.14747343403</c:v>
                </c:pt>
                <c:pt idx="3">
                  <c:v>39262.452466577801</c:v>
                </c:pt>
                <c:pt idx="4">
                  <c:v>40854.731142413963</c:v>
                </c:pt>
                <c:pt idx="5">
                  <c:v>38614.94722655473</c:v>
                </c:pt>
                <c:pt idx="6">
                  <c:v>44422.72487351286</c:v>
                </c:pt>
                <c:pt idx="7">
                  <c:v>45646.220301751753</c:v>
                </c:pt>
                <c:pt idx="8">
                  <c:v>47116.48559109505</c:v>
                </c:pt>
                <c:pt idx="9">
                  <c:v>48534.838569589003</c:v>
                </c:pt>
                <c:pt idx="10">
                  <c:v>51464.595084472458</c:v>
                </c:pt>
                <c:pt idx="11">
                  <c:v>52586.786910600553</c:v>
                </c:pt>
                <c:pt idx="12">
                  <c:v>55218.303833861821</c:v>
                </c:pt>
                <c:pt idx="13">
                  <c:v>55642.936856180684</c:v>
                </c:pt>
                <c:pt idx="14">
                  <c:v>50780.515245312752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48-4845-9E50-F9B2F4FAC633}"/>
            </c:ext>
          </c:extLst>
        </c:ser>
        <c:ser>
          <c:idx val="3"/>
          <c:order val="3"/>
          <c:tx>
            <c:v>VO Supply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'Veg Oils'!$AC$13:$AQ$13</c:f>
              <c:numCache>
                <c:formatCode>#,##0_);[Red]\(#,##0\)</c:formatCode>
                <c:ptCount val="15"/>
                <c:pt idx="0">
                  <c:v>35390.276030000008</c:v>
                </c:pt>
                <c:pt idx="1">
                  <c:v>35416.187150901998</c:v>
                </c:pt>
                <c:pt idx="2">
                  <c:v>36365.937473434038</c:v>
                </c:pt>
                <c:pt idx="3">
                  <c:v>41276.010466577805</c:v>
                </c:pt>
                <c:pt idx="4">
                  <c:v>42671.540142413964</c:v>
                </c:pt>
                <c:pt idx="5">
                  <c:v>39970.951371336167</c:v>
                </c:pt>
                <c:pt idx="6">
                  <c:v>46342.504155280825</c:v>
                </c:pt>
                <c:pt idx="7">
                  <c:v>47544.634288117391</c:v>
                </c:pt>
                <c:pt idx="8">
                  <c:v>48793.485772271233</c:v>
                </c:pt>
                <c:pt idx="9">
                  <c:v>50313.004640748695</c:v>
                </c:pt>
                <c:pt idx="10">
                  <c:v>53195.999015517846</c:v>
                </c:pt>
                <c:pt idx="11">
                  <c:v>54382.582408649381</c:v>
                </c:pt>
                <c:pt idx="12">
                  <c:v>57286.275780607255</c:v>
                </c:pt>
                <c:pt idx="13">
                  <c:v>58390.262484536477</c:v>
                </c:pt>
                <c:pt idx="14">
                  <c:v>53523.77373352526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48-4845-9E50-F9B2F4FAC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62832"/>
        <c:axId val="30463312"/>
      </c:lineChart>
      <c:catAx>
        <c:axId val="30462832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3312"/>
        <c:crosses val="autoZero"/>
        <c:auto val="1"/>
        <c:lblAlgn val="ctr"/>
        <c:lblOffset val="100"/>
        <c:noMultiLvlLbl val="0"/>
      </c:catAx>
      <c:valAx>
        <c:axId val="304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Feedstock Demand by Fuel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12219894323564"/>
          <c:y val="0.11672844669405709"/>
          <c:w val="0.85871640918458947"/>
          <c:h val="0.74962835742534062"/>
        </c:manualLayout>
      </c:layout>
      <c:areaChart>
        <c:grouping val="stacked"/>
        <c:varyColors val="0"/>
        <c:ser>
          <c:idx val="0"/>
          <c:order val="0"/>
          <c:tx>
            <c:strRef>
              <c:f>'Total Feedstocks'!$B$10</c:f>
              <c:strCache>
                <c:ptCount val="1"/>
                <c:pt idx="0">
                  <c:v>    Biodiesel Production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505A5B"/>
              </a:solidFill>
            </a:ln>
            <a:effectLst/>
          </c:spPr>
          <c:dLbls>
            <c:dLbl>
              <c:idx val="2"/>
              <c:layout>
                <c:manualLayout>
                  <c:x val="3.9891850868039088E-3"/>
                  <c:y val="-4.79514528769010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5E-4390-ABEF-F71288ACF41D}"/>
                </c:ext>
              </c:extLst>
            </c:dLbl>
            <c:dLbl>
              <c:idx val="13"/>
              <c:layout>
                <c:manualLayout>
                  <c:x val="-2.407221664994984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5E-4390-ABEF-F71288ACF4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FF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'Total Feedstocks'!$AC$3:$AP$3</c:f>
              <c:numCache>
                <c:formatCode>0_);[Red]\(0\)</c:formatCode>
                <c:ptCount val="1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</c:numCache>
            </c:numRef>
          </c:cat>
          <c:val>
            <c:numRef>
              <c:f>'Total Feedstocks'!$AC$10:$AP$10</c:f>
              <c:numCache>
                <c:formatCode>#,##0_);[Red]\(#,##0\)</c:formatCode>
                <c:ptCount val="14"/>
                <c:pt idx="0">
                  <c:v>13317.683514083714</c:v>
                </c:pt>
                <c:pt idx="1">
                  <c:v>11980.644248205346</c:v>
                </c:pt>
                <c:pt idx="2">
                  <c:v>13513.514252990692</c:v>
                </c:pt>
                <c:pt idx="3">
                  <c:v>14501.796388009625</c:v>
                </c:pt>
                <c:pt idx="4">
                  <c:v>13250.44206389081</c:v>
                </c:pt>
                <c:pt idx="5">
                  <c:v>12713.131995781107</c:v>
                </c:pt>
                <c:pt idx="6">
                  <c:v>11900.774862198294</c:v>
                </c:pt>
                <c:pt idx="7">
                  <c:v>12005.601921959893</c:v>
                </c:pt>
                <c:pt idx="8">
                  <c:v>9419.5726943244954</c:v>
                </c:pt>
                <c:pt idx="9">
                  <c:v>10329.526639069907</c:v>
                </c:pt>
                <c:pt idx="10">
                  <c:v>10339.567382772821</c:v>
                </c:pt>
                <c:pt idx="11">
                  <c:v>10213.095589937433</c:v>
                </c:pt>
                <c:pt idx="12">
                  <c:v>10685.49495656229</c:v>
                </c:pt>
                <c:pt idx="13">
                  <c:v>9060.1252866962386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5E-4390-ABEF-F71288ACF41D}"/>
            </c:ext>
          </c:extLst>
        </c:ser>
        <c:ser>
          <c:idx val="1"/>
          <c:order val="1"/>
          <c:tx>
            <c:strRef>
              <c:f>'Total Feedstocks'!$B$11</c:f>
              <c:strCache>
                <c:ptCount val="1"/>
                <c:pt idx="0">
                  <c:v>    Renewable Diesel Production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505A5B"/>
              </a:solidFill>
            </a:ln>
            <a:effectLst/>
          </c:spPr>
          <c:dLbls>
            <c:dLbl>
              <c:idx val="2"/>
              <c:layout>
                <c:manualLayout>
                  <c:x val="1.203610832497491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5E-4390-ABEF-F71288ACF41D}"/>
                </c:ext>
              </c:extLst>
            </c:dLbl>
            <c:dLbl>
              <c:idx val="13"/>
              <c:layout>
                <c:manualLayout>
                  <c:x val="-1.069876295553326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5E-4390-ABEF-F71288ACF41D}"/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'Total Feedstocks'!$AC$3:$AP$3</c:f>
              <c:numCache>
                <c:formatCode>0_);[Red]\(0\)</c:formatCode>
                <c:ptCount val="1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</c:numCache>
            </c:numRef>
          </c:cat>
          <c:val>
            <c:numRef>
              <c:f>'Total Feedstocks'!$AC$11:$AP$11</c:f>
              <c:numCache>
                <c:formatCode>#,##0_);[Red]\(#,##0\)</c:formatCode>
                <c:ptCount val="14"/>
                <c:pt idx="0">
                  <c:v>5787.3095791019587</c:v>
                </c:pt>
                <c:pt idx="1">
                  <c:v>7688.7050601534829</c:v>
                </c:pt>
                <c:pt idx="2">
                  <c:v>16229.87020873692</c:v>
                </c:pt>
                <c:pt idx="3">
                  <c:v>25884.809785324931</c:v>
                </c:pt>
                <c:pt idx="4">
                  <c:v>31049.987234820295</c:v>
                </c:pt>
                <c:pt idx="5">
                  <c:v>26751.287012001849</c:v>
                </c:pt>
                <c:pt idx="6">
                  <c:v>35194.817950055767</c:v>
                </c:pt>
                <c:pt idx="7">
                  <c:v>43882.572481888899</c:v>
                </c:pt>
                <c:pt idx="8">
                  <c:v>46865.698987669472</c:v>
                </c:pt>
                <c:pt idx="9">
                  <c:v>51259.884534014767</c:v>
                </c:pt>
                <c:pt idx="10">
                  <c:v>58697.172908928595</c:v>
                </c:pt>
                <c:pt idx="11">
                  <c:v>64623.95889170876</c:v>
                </c:pt>
                <c:pt idx="12">
                  <c:v>76789.358989154236</c:v>
                </c:pt>
                <c:pt idx="13">
                  <c:v>78307.292261151772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5E-4390-ABEF-F71288ACF41D}"/>
            </c:ext>
          </c:extLst>
        </c:ser>
        <c:ser>
          <c:idx val="2"/>
          <c:order val="2"/>
          <c:tx>
            <c:strRef>
              <c:f>'Total Feedstocks'!#REF!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'Total Feedstocks'!$AC$3:$AP$3</c:f>
              <c:numCache>
                <c:formatCode>0_);[Red]\(0\)</c:formatCode>
                <c:ptCount val="1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</c:numCache>
            </c:numRef>
          </c:cat>
          <c:val>
            <c:numRef>
              <c:f>'Total Feedstocks'!#REF!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5E-4390-ABEF-F71288ACF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877176"/>
        <c:axId val="1163869632"/>
      </c:areaChart>
      <c:catAx>
        <c:axId val="1163877176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869632"/>
        <c:crosses val="autoZero"/>
        <c:auto val="1"/>
        <c:lblAlgn val="ctr"/>
        <c:lblOffset val="100"/>
        <c:noMultiLvlLbl val="0"/>
      </c:catAx>
      <c:valAx>
        <c:axId val="11638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(million</a:t>
                </a:r>
                <a:r>
                  <a:rPr lang="en-US" sz="1200" baseline="0"/>
                  <a:t> pounds)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3877176"/>
        <c:crosses val="autoZero"/>
        <c:crossBetween val="midCat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1030361425483801"/>
          <c:y val="0.13108958725292083"/>
          <c:w val="0.38866291341305886"/>
          <c:h val="0.14143729564370361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Soybean</a:t>
            </a:r>
            <a:r>
              <a:rPr lang="pt-BR" baseline="0"/>
              <a:t> Oil Use and Supply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SBO!$B$7</c:f>
              <c:strCache>
                <c:ptCount val="1"/>
                <c:pt idx="0">
                  <c:v>    Total Supply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23-4ADB-BB87-276457E335FB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23-4ADB-BB87-276457E335FB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23-4ADB-BB87-276457E335FB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23-4ADB-BB87-276457E335FB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F23-4ADB-BB87-276457E335FB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F23-4ADB-BB87-276457E335F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F23-4ADB-BB87-276457E335FB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F23-4ADB-BB87-276457E335FB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F23-4ADB-BB87-276457E335FB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F23-4ADB-BB87-276457E335FB}"/>
              </c:ext>
            </c:extLst>
          </c:dPt>
          <c:cat>
            <c:numRef>
              <c:f>SBO!$AC$3:$AQ$3</c:f>
              <c:numCache>
                <c:formatCode>0_);[Red]\(0\)</c:formatCod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</c:numCache>
            </c:numRef>
          </c:cat>
          <c:val>
            <c:numRef>
              <c:f>SBO!$AC$7:$AQ$7</c:f>
              <c:numCache>
                <c:formatCode>#,##0_);[Red]\(#,##0\)</c:formatCode>
                <c:ptCount val="15"/>
                <c:pt idx="0">
                  <c:v>27804.356212000002</c:v>
                </c:pt>
                <c:pt idx="1">
                  <c:v>27654.347188</c:v>
                </c:pt>
                <c:pt idx="2">
                  <c:v>28713.704073896035</c:v>
                </c:pt>
                <c:pt idx="3">
                  <c:v>29304.531870999999</c:v>
                </c:pt>
                <c:pt idx="4">
                  <c:v>30102.153053367139</c:v>
                </c:pt>
                <c:pt idx="5">
                  <c:v>28651.508877497949</c:v>
                </c:pt>
                <c:pt idx="6">
                  <c:v>30471.66949834441</c:v>
                </c:pt>
                <c:pt idx="7">
                  <c:v>31313.215198359168</c:v>
                </c:pt>
                <c:pt idx="8">
                  <c:v>32003.762748235709</c:v>
                </c:pt>
                <c:pt idx="9">
                  <c:v>32788.920433067877</c:v>
                </c:pt>
                <c:pt idx="10">
                  <c:v>34805.140415714501</c:v>
                </c:pt>
                <c:pt idx="11">
                  <c:v>35451.864366146459</c:v>
                </c:pt>
                <c:pt idx="12">
                  <c:v>37102.339571002536</c:v>
                </c:pt>
                <c:pt idx="13">
                  <c:v>37322.752659405247</c:v>
                </c:pt>
                <c:pt idx="14">
                  <c:v>39450.07994689016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F23-4ADB-BB87-276457E335FB}"/>
            </c:ext>
          </c:extLst>
        </c:ser>
        <c:ser>
          <c:idx val="1"/>
          <c:order val="1"/>
          <c:tx>
            <c:strRef>
              <c:f>SBO!$B$14</c:f>
              <c:strCache>
                <c:ptCount val="1"/>
                <c:pt idx="0">
                  <c:v>    Total Use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1F23-4ADB-BB87-276457E335FB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1F23-4ADB-BB87-276457E335FB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1F23-4ADB-BB87-276457E335FB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1F23-4ADB-BB87-276457E335FB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1F23-4ADB-BB87-276457E335FB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1F23-4ADB-BB87-276457E335F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1F23-4ADB-BB87-276457E335FB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1F23-4ADB-BB87-276457E335FB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1F23-4ADB-BB87-276457E335FB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1F23-4ADB-BB87-276457E335FB}"/>
              </c:ext>
            </c:extLst>
          </c:dPt>
          <c:val>
            <c:numRef>
              <c:f>SBO!$AC$14:$AQ$14</c:f>
              <c:numCache>
                <c:formatCode>#,##0_);[Red]\(#,##0\)</c:formatCode>
                <c:ptCount val="15"/>
                <c:pt idx="0">
                  <c:v>25693.570212000002</c:v>
                </c:pt>
                <c:pt idx="1">
                  <c:v>25188.456188</c:v>
                </c:pt>
                <c:pt idx="2">
                  <c:v>26407.557073896034</c:v>
                </c:pt>
                <c:pt idx="3">
                  <c:v>27480.697871</c:v>
                </c:pt>
                <c:pt idx="4">
                  <c:v>28411.58305336714</c:v>
                </c:pt>
                <c:pt idx="5">
                  <c:v>27416.289379153535</c:v>
                </c:pt>
                <c:pt idx="6">
                  <c:v>28673.224299985242</c:v>
                </c:pt>
                <c:pt idx="7">
                  <c:v>29523.342450123459</c:v>
                </c:pt>
                <c:pt idx="8">
                  <c:v>30450.042315167837</c:v>
                </c:pt>
                <c:pt idx="9">
                  <c:v>31151.280017353372</c:v>
                </c:pt>
                <c:pt idx="10">
                  <c:v>33199.226049568046</c:v>
                </c:pt>
                <c:pt idx="11">
                  <c:v>33803.924795143925</c:v>
                </c:pt>
                <c:pt idx="12">
                  <c:v>35183.986911597291</c:v>
                </c:pt>
                <c:pt idx="13">
                  <c:v>34748.972712515082</c:v>
                </c:pt>
                <c:pt idx="14">
                  <c:v>36888.926581881198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1F23-4ADB-BB87-276457E33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746800"/>
        <c:axId val="1070744400"/>
      </c:lineChart>
      <c:catAx>
        <c:axId val="1070746800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744400"/>
        <c:crosses val="autoZero"/>
        <c:auto val="1"/>
        <c:lblAlgn val="ctr"/>
        <c:lblOffset val="100"/>
        <c:noMultiLvlLbl val="0"/>
      </c:catAx>
      <c:valAx>
        <c:axId val="1070744400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74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Soybean oil supply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SBO!$AC$3:$AQ$3</c:f>
              <c:numCache>
                <c:formatCode>0_);[Red]\(0\)</c:formatCod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</c:numCache>
            </c:numRef>
          </c:cat>
          <c:val>
            <c:numRef>
              <c:f>SBO!$AC$7:$AQ$7</c:f>
              <c:numCache>
                <c:formatCode>#,##0_);[Red]\(#,##0\)</c:formatCode>
                <c:ptCount val="15"/>
                <c:pt idx="0">
                  <c:v>27804.356212000002</c:v>
                </c:pt>
                <c:pt idx="1">
                  <c:v>27654.347188</c:v>
                </c:pt>
                <c:pt idx="2">
                  <c:v>28713.704073896035</c:v>
                </c:pt>
                <c:pt idx="3">
                  <c:v>29304.531870999999</c:v>
                </c:pt>
                <c:pt idx="4">
                  <c:v>30102.153053367139</c:v>
                </c:pt>
                <c:pt idx="5">
                  <c:v>28651.508877497949</c:v>
                </c:pt>
                <c:pt idx="6">
                  <c:v>30471.66949834441</c:v>
                </c:pt>
                <c:pt idx="7">
                  <c:v>31313.215198359168</c:v>
                </c:pt>
                <c:pt idx="8">
                  <c:v>32003.762748235709</c:v>
                </c:pt>
                <c:pt idx="9">
                  <c:v>32788.920433067877</c:v>
                </c:pt>
                <c:pt idx="10">
                  <c:v>34805.140415714501</c:v>
                </c:pt>
                <c:pt idx="11">
                  <c:v>35451.864366146459</c:v>
                </c:pt>
                <c:pt idx="12">
                  <c:v>37102.339571002536</c:v>
                </c:pt>
                <c:pt idx="13">
                  <c:v>37322.752659405247</c:v>
                </c:pt>
                <c:pt idx="14">
                  <c:v>39450.07994689016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6-4711-A178-F7BD14D22CD5}"/>
            </c:ext>
          </c:extLst>
        </c:ser>
        <c:ser>
          <c:idx val="1"/>
          <c:order val="1"/>
          <c:tx>
            <c:v>Canola oil supply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'Canola Oil'!$AC$7:$AQ$7</c:f>
              <c:numCache>
                <c:formatCode>#,##0_);[Red]\(#,##0\)</c:formatCode>
                <c:ptCount val="15"/>
                <c:pt idx="0">
                  <c:v>7585.9198179999994</c:v>
                </c:pt>
                <c:pt idx="1">
                  <c:v>7761.8399629020005</c:v>
                </c:pt>
                <c:pt idx="2">
                  <c:v>7652.2333995379995</c:v>
                </c:pt>
                <c:pt idx="3">
                  <c:v>10027.28937608</c:v>
                </c:pt>
                <c:pt idx="4">
                  <c:v>11331.351406321201</c:v>
                </c:pt>
                <c:pt idx="5">
                  <c:v>9918.5882439589423</c:v>
                </c:pt>
                <c:pt idx="6">
                  <c:v>10073.030496642699</c:v>
                </c:pt>
                <c:pt idx="7">
                  <c:v>10665.285940583064</c:v>
                </c:pt>
                <c:pt idx="8">
                  <c:v>11175.230732415159</c:v>
                </c:pt>
                <c:pt idx="9">
                  <c:v>11702.694694268725</c:v>
                </c:pt>
                <c:pt idx="10">
                  <c:v>12221.668032275886</c:v>
                </c:pt>
                <c:pt idx="11">
                  <c:v>12529.398773199489</c:v>
                </c:pt>
                <c:pt idx="12">
                  <c:v>13550.95256133817</c:v>
                </c:pt>
                <c:pt idx="13">
                  <c:v>13834.044994025964</c:v>
                </c:pt>
                <c:pt idx="14">
                  <c:v>14073.693786635104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A6-4711-A178-F7BD14D22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462832"/>
        <c:axId val="30463312"/>
      </c:barChart>
      <c:lineChart>
        <c:grouping val="standard"/>
        <c:varyColors val="0"/>
        <c:ser>
          <c:idx val="2"/>
          <c:order val="2"/>
          <c:tx>
            <c:v>Vegetable oil use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'Veg Oils'!$AC$29:$AQ$29</c:f>
              <c:numCache>
                <c:formatCode>#,##0_);[Red]\(#,##0\)</c:formatCode>
                <c:ptCount val="15"/>
                <c:pt idx="0">
                  <c:v>33114.883030000005</c:v>
                </c:pt>
                <c:pt idx="1">
                  <c:v>32811.125150901993</c:v>
                </c:pt>
                <c:pt idx="2">
                  <c:v>33869.14747343403</c:v>
                </c:pt>
                <c:pt idx="3">
                  <c:v>39262.452466577801</c:v>
                </c:pt>
                <c:pt idx="4">
                  <c:v>40854.731142413963</c:v>
                </c:pt>
                <c:pt idx="5">
                  <c:v>38614.94722655473</c:v>
                </c:pt>
                <c:pt idx="6">
                  <c:v>44422.72487351286</c:v>
                </c:pt>
                <c:pt idx="7">
                  <c:v>45646.220301751753</c:v>
                </c:pt>
                <c:pt idx="8">
                  <c:v>47116.48559109505</c:v>
                </c:pt>
                <c:pt idx="9">
                  <c:v>48534.838569589003</c:v>
                </c:pt>
                <c:pt idx="10">
                  <c:v>51464.595084472458</c:v>
                </c:pt>
                <c:pt idx="11">
                  <c:v>52586.786910600553</c:v>
                </c:pt>
                <c:pt idx="12">
                  <c:v>55218.303833861821</c:v>
                </c:pt>
                <c:pt idx="13">
                  <c:v>55642.936856180684</c:v>
                </c:pt>
                <c:pt idx="14">
                  <c:v>50780.515245312752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A6-4711-A178-F7BD14D22CD5}"/>
            </c:ext>
          </c:extLst>
        </c:ser>
        <c:ser>
          <c:idx val="3"/>
          <c:order val="3"/>
          <c:tx>
            <c:v>VO Supply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'Veg Oils'!$AC$13:$AQ$13</c:f>
              <c:numCache>
                <c:formatCode>#,##0_);[Red]\(#,##0\)</c:formatCode>
                <c:ptCount val="15"/>
                <c:pt idx="0">
                  <c:v>35390.276030000008</c:v>
                </c:pt>
                <c:pt idx="1">
                  <c:v>35416.187150901998</c:v>
                </c:pt>
                <c:pt idx="2">
                  <c:v>36365.937473434038</c:v>
                </c:pt>
                <c:pt idx="3">
                  <c:v>41276.010466577805</c:v>
                </c:pt>
                <c:pt idx="4">
                  <c:v>42671.540142413964</c:v>
                </c:pt>
                <c:pt idx="5">
                  <c:v>39970.951371336167</c:v>
                </c:pt>
                <c:pt idx="6">
                  <c:v>46342.504155280825</c:v>
                </c:pt>
                <c:pt idx="7">
                  <c:v>47544.634288117391</c:v>
                </c:pt>
                <c:pt idx="8">
                  <c:v>48793.485772271233</c:v>
                </c:pt>
                <c:pt idx="9">
                  <c:v>50313.004640748695</c:v>
                </c:pt>
                <c:pt idx="10">
                  <c:v>53195.999015517846</c:v>
                </c:pt>
                <c:pt idx="11">
                  <c:v>54382.582408649381</c:v>
                </c:pt>
                <c:pt idx="12">
                  <c:v>57286.275780607255</c:v>
                </c:pt>
                <c:pt idx="13">
                  <c:v>58390.262484536477</c:v>
                </c:pt>
                <c:pt idx="14">
                  <c:v>53523.77373352526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A6-4711-A178-F7BD14D22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62832"/>
        <c:axId val="30463312"/>
      </c:lineChart>
      <c:catAx>
        <c:axId val="30462832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3312"/>
        <c:crosses val="autoZero"/>
        <c:auto val="1"/>
        <c:lblAlgn val="ctr"/>
        <c:lblOffset val="100"/>
        <c:noMultiLvlLbl val="0"/>
      </c:catAx>
      <c:valAx>
        <c:axId val="304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F300933-7447-41A2-B5F5-C4382CFDA854}">
  <sheetPr/>
  <sheetViews>
    <sheetView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C55780-3143-4F87-A650-019A5E467D52}">
  <sheetPr/>
  <sheetViews>
    <sheetView zoomScale="6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206233-FA77-47C8-9995-F172FD93259E}">
  <sheetPr/>
  <sheetViews>
    <sheetView zoomScale="6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C1F27D-268D-4D62-9A27-AA43A6B11A03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E045F8-953F-4ED8-9250-71AD5958AE5A}">
  <sheetPr/>
  <sheetViews>
    <sheetView zoomScale="6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76FBFA-09EA-4BA2-BD3C-B5EB8DA5FC57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15921-D9E1-78A8-3D53-66B07E929A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6B0FC9-27C2-6132-727F-DAD814F86B0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CCE70-8A2F-E5E9-FEE0-655E135E01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B00FAE-9763-38EE-B0EF-70D30D8D6A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0.00943</cdr:x>
      <cdr:y>0.93333</cdr:y>
    </cdr:from>
    <cdr:to>
      <cdr:x>0.30307</cdr:x>
      <cdr:y>0.98958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ACA8DF2-6839-4DF8-863A-A9EB082E64BD}"/>
            </a:ext>
          </a:extLst>
        </cdr:cNvPr>
        <cdr:cNvSpPr txBox="1"/>
      </cdr:nvSpPr>
      <cdr:spPr>
        <a:xfrm xmlns:a="http://schemas.openxmlformats.org/drawingml/2006/main">
          <a:off x="89647" y="5020235"/>
          <a:ext cx="2790265" cy="302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Source: EIA</a:t>
          </a:r>
          <a:r>
            <a:rPr lang="en-US" sz="1200" b="1" baseline="0">
              <a:solidFill>
                <a:srgbClr val="323232"/>
              </a:solidFill>
              <a:latin typeface="Arial" panose="020B0604020202020204" pitchFamily="34" charset="0"/>
              <a:cs typeface="Arial" panose="020B0604020202020204" pitchFamily="34" charset="0"/>
            </a:rPr>
            <a:t> and Fastmarkets</a:t>
          </a:r>
          <a:endParaRPr lang="en-US" sz="1200" b="1">
            <a:solidFill>
              <a:srgbClr val="323232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4F88E-038C-2F4E-98DA-F4D41B5ED9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6680" cy="62954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EECFEA-7847-5DCA-1A88-095195BE35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oilseedbal%20-%20HOBO.xlsx" TargetMode="External"/><Relationship Id="rId1" Type="http://schemas.openxmlformats.org/officeDocument/2006/relationships/externalLinkPath" Target="/Users/torem/Dropbox/FM%20Files/HOBO/Biofuel%20Model/usoilseedbal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calyearbal%20-%20HOBO.xlsx" TargetMode="External"/><Relationship Id="rId1" Type="http://schemas.openxmlformats.org/officeDocument/2006/relationships/externalLinkPath" Target="/Users/torem/Dropbox/FM%20Files/HOBO/Biofuel%20Model/uscalyearbal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EMTS%20-%20EIA%20and%20LCFS%20Conversion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Mandate%20Projections%20-%20HOB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biodiesel%20-%20HOBO.xlsx" TargetMode="External"/><Relationship Id="rId1" Type="http://schemas.openxmlformats.org/officeDocument/2006/relationships/externalLinkPath" Target="/Users/torem/Dropbox/FM%20Files/HOBO/Biofuel%20Model/wldbiodiesel%20-%20HOBO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RD%20Feedstock%20Build%20Up%20-%20HOBO.xlsx" TargetMode="External"/><Relationship Id="rId1" Type="http://schemas.openxmlformats.org/officeDocument/2006/relationships/externalLinkPath" Target="/Users/torem/Dropbox/FM%20Files/HOBO/Biofuel%20Model/RD%20Feedstock%20Build%20Up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tblSAFFeedstock"/>
      <sheetName val="DataDepotMetaData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</sheetNames>
    <sheetDataSet>
      <sheetData sheetId="0"/>
      <sheetData sheetId="1"/>
      <sheetData sheetId="2"/>
      <sheetData sheetId="3"/>
      <sheetData sheetId="4"/>
      <sheetData sheetId="5">
        <row r="275">
          <cell r="BI275">
            <v>2149.9690000000001</v>
          </cell>
          <cell r="BJ275">
            <v>2282.471</v>
          </cell>
          <cell r="BK275">
            <v>2347.58</v>
          </cell>
          <cell r="BL275">
            <v>2338.085</v>
          </cell>
          <cell r="BM275">
            <v>2375.654</v>
          </cell>
          <cell r="BN275">
            <v>2569.453</v>
          </cell>
          <cell r="BO275">
            <v>2373.5</v>
          </cell>
          <cell r="BP275">
            <v>2617.0499999999997</v>
          </cell>
          <cell r="BQ275">
            <v>2693.2499999999995</v>
          </cell>
          <cell r="BR275">
            <v>2666.25</v>
          </cell>
          <cell r="BS275">
            <v>2867.9</v>
          </cell>
          <cell r="BT275">
            <v>2879.8</v>
          </cell>
          <cell r="BU275">
            <v>3070.2000000000003</v>
          </cell>
          <cell r="BV275">
            <v>3117.8</v>
          </cell>
          <cell r="BW275">
            <v>3177.3</v>
          </cell>
          <cell r="BX275">
            <v>3224.9</v>
          </cell>
          <cell r="BY275">
            <v>3260.6</v>
          </cell>
          <cell r="BZ275">
            <v>3213</v>
          </cell>
          <cell r="CA275">
            <v>3343.9</v>
          </cell>
          <cell r="CB275">
            <v>3343.9</v>
          </cell>
          <cell r="CC275">
            <v>3332</v>
          </cell>
          <cell r="CD275">
            <v>3343.9</v>
          </cell>
          <cell r="CE275">
            <v>3272.5</v>
          </cell>
          <cell r="CF275">
            <v>3296.3</v>
          </cell>
          <cell r="CG275">
            <v>3284.4</v>
          </cell>
          <cell r="CH275">
            <v>3284.4</v>
          </cell>
          <cell r="CI275">
            <v>3391.5</v>
          </cell>
          <cell r="CJ275">
            <v>3498.6</v>
          </cell>
          <cell r="CK275">
            <v>3605.7000000000003</v>
          </cell>
          <cell r="CL275">
            <v>3605.7000000000003</v>
          </cell>
          <cell r="CM275">
            <v>3605.7000000000003</v>
          </cell>
          <cell r="CN275">
            <v>3605.7000000000003</v>
          </cell>
        </row>
        <row r="276">
          <cell r="AJ276">
            <v>1341.5</v>
          </cell>
          <cell r="AK276">
            <v>1359.7</v>
          </cell>
          <cell r="AL276">
            <v>1429.7</v>
          </cell>
          <cell r="AM276">
            <v>1579.9</v>
          </cell>
          <cell r="AN276">
            <v>1598</v>
          </cell>
          <cell r="AO276">
            <v>1596.6</v>
          </cell>
          <cell r="AP276">
            <v>1590.8</v>
          </cell>
          <cell r="AQ276">
            <v>1629</v>
          </cell>
          <cell r="AR276">
            <v>1631.5</v>
          </cell>
          <cell r="AS276">
            <v>1610.6</v>
          </cell>
          <cell r="AT276">
            <v>1688</v>
          </cell>
          <cell r="AU276">
            <v>1756.7</v>
          </cell>
          <cell r="AV276">
            <v>1725</v>
          </cell>
          <cell r="AW276">
            <v>1805.4337</v>
          </cell>
          <cell r="AX276">
            <v>1622.9</v>
          </cell>
          <cell r="AY276">
            <v>1854</v>
          </cell>
          <cell r="AZ276">
            <v>1771.2012</v>
          </cell>
          <cell r="BA276">
            <v>1666.9647261262983</v>
          </cell>
          <cell r="BB276">
            <v>1910.5986479779604</v>
          </cell>
          <cell r="BC276">
            <v>1925.4585836365084</v>
          </cell>
          <cell r="BD276">
            <v>1863.6023802989503</v>
          </cell>
          <cell r="BE276">
            <v>1901.8530000000003</v>
          </cell>
          <cell r="BF276">
            <v>1961.2560000000003</v>
          </cell>
          <cell r="BG276">
            <v>1977.0050000000003</v>
          </cell>
          <cell r="BH276">
            <v>2060.5630000000001</v>
          </cell>
          <cell r="BI276">
            <v>1999.6479999999999</v>
          </cell>
          <cell r="BJ276">
            <v>2206.7919999999999</v>
          </cell>
          <cell r="BK276">
            <v>2235.37</v>
          </cell>
          <cell r="BL276">
            <v>2199.962</v>
          </cell>
          <cell r="BM276">
            <v>2324.6680000000001</v>
          </cell>
          <cell r="BN276">
            <v>2489.9409999999998</v>
          </cell>
          <cell r="BO276">
            <v>2180.7999999999997</v>
          </cell>
          <cell r="BP276">
            <v>2502.75</v>
          </cell>
          <cell r="BQ276">
            <v>2554.0899999999997</v>
          </cell>
          <cell r="BR276">
            <v>2551.35</v>
          </cell>
          <cell r="BS276">
            <v>2714.3999999999996</v>
          </cell>
          <cell r="BT276">
            <v>2714.3999999999996</v>
          </cell>
          <cell r="BU276">
            <v>2925</v>
          </cell>
          <cell r="BV276">
            <v>2960.1</v>
          </cell>
          <cell r="BW276">
            <v>3018.6</v>
          </cell>
          <cell r="BX276">
            <v>3065.3999999999996</v>
          </cell>
          <cell r="BY276">
            <v>3088.7999999999997</v>
          </cell>
          <cell r="BZ276">
            <v>3030.2999999999997</v>
          </cell>
          <cell r="CA276">
            <v>3182.3999999999996</v>
          </cell>
          <cell r="CB276">
            <v>3170.7</v>
          </cell>
          <cell r="CC276">
            <v>3170.7</v>
          </cell>
          <cell r="CD276">
            <v>3170.7</v>
          </cell>
          <cell r="CE276">
            <v>3100.5</v>
          </cell>
          <cell r="CF276">
            <v>3123.8999999999996</v>
          </cell>
          <cell r="CG276">
            <v>3112.2</v>
          </cell>
          <cell r="CH276">
            <v>3112.2</v>
          </cell>
          <cell r="CI276">
            <v>3217.5</v>
          </cell>
          <cell r="CJ276">
            <v>3322.7999999999997</v>
          </cell>
          <cell r="CK276">
            <v>3404.7</v>
          </cell>
          <cell r="CL276">
            <v>3416.3999999999996</v>
          </cell>
          <cell r="CM276">
            <v>3416.3999999999996</v>
          </cell>
          <cell r="CN276">
            <v>3416.3999999999996</v>
          </cell>
        </row>
        <row r="277">
          <cell r="AJ277">
            <v>1403</v>
          </cell>
          <cell r="AK277">
            <v>1381.6</v>
          </cell>
          <cell r="AL277">
            <v>1472.7</v>
          </cell>
          <cell r="AM277">
            <v>1689.3</v>
          </cell>
          <cell r="AN277">
            <v>1610.6</v>
          </cell>
          <cell r="AO277">
            <v>1599.2</v>
          </cell>
          <cell r="AP277">
            <v>1579</v>
          </cell>
          <cell r="AQ277">
            <v>1696.4</v>
          </cell>
          <cell r="AR277">
            <v>1696</v>
          </cell>
          <cell r="AS277">
            <v>1604.6</v>
          </cell>
          <cell r="AT277">
            <v>1682.3</v>
          </cell>
          <cell r="AU277">
            <v>1717.3</v>
          </cell>
          <cell r="AV277">
            <v>1771</v>
          </cell>
          <cell r="AW277">
            <v>1879.4398000000001</v>
          </cell>
          <cell r="AX277">
            <v>1597</v>
          </cell>
          <cell r="AY277">
            <v>1898.3</v>
          </cell>
          <cell r="AZ277">
            <v>1731.5061499999999</v>
          </cell>
          <cell r="BA277">
            <v>1718.5974152855483</v>
          </cell>
          <cell r="BB277">
            <v>1940.0599269317408</v>
          </cell>
          <cell r="BC277">
            <v>1972.5023862986898</v>
          </cell>
          <cell r="BD277">
            <v>1920.1517768031722</v>
          </cell>
          <cell r="BE277">
            <v>1929.0269999999998</v>
          </cell>
          <cell r="BF277">
            <v>1950.1759999999999</v>
          </cell>
          <cell r="BG277">
            <v>2015.2560000000001</v>
          </cell>
          <cell r="BH277">
            <v>2135.37</v>
          </cell>
          <cell r="BI277">
            <v>2110.9360000000001</v>
          </cell>
          <cell r="BJ277">
            <v>2233.4859999999999</v>
          </cell>
          <cell r="BK277">
            <v>2324.183</v>
          </cell>
          <cell r="BL277">
            <v>2195.3580000000002</v>
          </cell>
          <cell r="BM277">
            <v>2376.2370000000001</v>
          </cell>
          <cell r="BN277">
            <v>2572.6219999999998</v>
          </cell>
          <cell r="BO277">
            <v>2458.15</v>
          </cell>
          <cell r="BP277">
            <v>2572.3999999999996</v>
          </cell>
          <cell r="BQ277">
            <v>2647.68</v>
          </cell>
          <cell r="BR277">
            <v>2667.6</v>
          </cell>
          <cell r="BS277">
            <v>2855.25</v>
          </cell>
          <cell r="BT277">
            <v>3630.75</v>
          </cell>
          <cell r="BU277">
            <v>3912.75</v>
          </cell>
          <cell r="BV277">
            <v>4805.75</v>
          </cell>
          <cell r="BW277">
            <v>4676.5</v>
          </cell>
          <cell r="BX277">
            <v>5487.25</v>
          </cell>
          <cell r="BY277">
            <v>5475.5</v>
          </cell>
          <cell r="BZ277">
            <v>4570.75</v>
          </cell>
          <cell r="CA277">
            <v>5005.5</v>
          </cell>
          <cell r="CB277">
            <v>4911.5</v>
          </cell>
          <cell r="CC277">
            <v>4923.25</v>
          </cell>
          <cell r="CD277">
            <v>4758.75</v>
          </cell>
          <cell r="CE277">
            <v>4688.25</v>
          </cell>
          <cell r="CF277">
            <v>4711.75</v>
          </cell>
          <cell r="CG277">
            <v>4817.5</v>
          </cell>
          <cell r="CH277">
            <v>4747</v>
          </cell>
          <cell r="CI277">
            <v>5052.5</v>
          </cell>
          <cell r="CJ277">
            <v>5217</v>
          </cell>
          <cell r="CK277">
            <v>5228.75</v>
          </cell>
          <cell r="CL277">
            <v>5322.75</v>
          </cell>
          <cell r="CM277">
            <v>5299.25</v>
          </cell>
          <cell r="CN277">
            <v>5322.75</v>
          </cell>
        </row>
        <row r="278">
          <cell r="AJ278">
            <v>1399.6</v>
          </cell>
          <cell r="AK278">
            <v>1361.2</v>
          </cell>
          <cell r="AL278">
            <v>1474.5</v>
          </cell>
          <cell r="AM278">
            <v>1684.3</v>
          </cell>
          <cell r="AN278">
            <v>1527.5</v>
          </cell>
          <cell r="AO278">
            <v>1579.8</v>
          </cell>
          <cell r="AP278">
            <v>1642.3</v>
          </cell>
          <cell r="AQ278">
            <v>1706.7</v>
          </cell>
          <cell r="AR278">
            <v>1612.8</v>
          </cell>
          <cell r="AS278">
            <v>1618.3</v>
          </cell>
          <cell r="AT278">
            <v>1680.2</v>
          </cell>
          <cell r="AU278">
            <v>1765.2</v>
          </cell>
          <cell r="AV278">
            <v>1747.20389</v>
          </cell>
          <cell r="AW278">
            <v>1845.2</v>
          </cell>
          <cell r="AX278">
            <v>1615.1</v>
          </cell>
          <cell r="AY278">
            <v>1844.85574</v>
          </cell>
          <cell r="AZ278">
            <v>1722.94</v>
          </cell>
          <cell r="BA278">
            <v>1701.1608393340146</v>
          </cell>
          <cell r="BB278">
            <v>1937.5177290996091</v>
          </cell>
          <cell r="BC278">
            <v>1888.1665992691151</v>
          </cell>
          <cell r="BD278">
            <v>1895.4102115917815</v>
          </cell>
          <cell r="BE278">
            <v>1864.8869999999997</v>
          </cell>
          <cell r="BF278">
            <v>1982.893</v>
          </cell>
          <cell r="BG278">
            <v>1995.5889999999999</v>
          </cell>
          <cell r="BH278">
            <v>2115.799</v>
          </cell>
          <cell r="BI278">
            <v>2154.4270000000001</v>
          </cell>
          <cell r="BJ278">
            <v>2308.752</v>
          </cell>
          <cell r="BK278">
            <v>2277.355</v>
          </cell>
          <cell r="BL278">
            <v>2252.3119999999999</v>
          </cell>
          <cell r="BM278">
            <v>2288.5720000000001</v>
          </cell>
          <cell r="BN278">
            <v>2526.6570000000002</v>
          </cell>
          <cell r="BO278">
            <v>2455.75</v>
          </cell>
          <cell r="BP278">
            <v>2524.0499999999997</v>
          </cell>
          <cell r="BQ278">
            <v>2635.14</v>
          </cell>
          <cell r="BR278">
            <v>2631.4</v>
          </cell>
          <cell r="BS278">
            <v>2832</v>
          </cell>
          <cell r="BT278">
            <v>2867.7</v>
          </cell>
          <cell r="BU278">
            <v>3009</v>
          </cell>
          <cell r="BV278">
            <v>3081</v>
          </cell>
          <cell r="BW278">
            <v>3115.2000000000003</v>
          </cell>
          <cell r="BX278">
            <v>3162.4</v>
          </cell>
          <cell r="BY278">
            <v>3197.8</v>
          </cell>
          <cell r="BZ278">
            <v>3174.2000000000003</v>
          </cell>
          <cell r="CA278">
            <v>3280.4</v>
          </cell>
          <cell r="CB278">
            <v>3280.4</v>
          </cell>
          <cell r="CC278">
            <v>3280.4</v>
          </cell>
          <cell r="CD278">
            <v>3292.2000000000003</v>
          </cell>
          <cell r="CE278">
            <v>3221.4</v>
          </cell>
          <cell r="CF278">
            <v>3233.2000000000003</v>
          </cell>
          <cell r="CG278">
            <v>3233.2000000000003</v>
          </cell>
          <cell r="CH278">
            <v>3233.2000000000003</v>
          </cell>
          <cell r="CI278">
            <v>3327.6000000000004</v>
          </cell>
          <cell r="CJ278">
            <v>3445.6000000000004</v>
          </cell>
          <cell r="CK278">
            <v>3540</v>
          </cell>
          <cell r="CL278">
            <v>3540</v>
          </cell>
          <cell r="CM278">
            <v>3540</v>
          </cell>
        </row>
        <row r="279">
          <cell r="AI279">
            <v>4.25</v>
          </cell>
          <cell r="AJ279">
            <v>1288.5999999999999</v>
          </cell>
          <cell r="AK279">
            <v>1235.8</v>
          </cell>
          <cell r="AL279">
            <v>1348.4</v>
          </cell>
          <cell r="AM279">
            <v>1557.6</v>
          </cell>
          <cell r="AN279">
            <v>1438.6</v>
          </cell>
          <cell r="AO279">
            <v>1417.2</v>
          </cell>
          <cell r="AP279">
            <v>1435.7</v>
          </cell>
          <cell r="AQ279">
            <v>1543.7</v>
          </cell>
          <cell r="AR279">
            <v>1473.6</v>
          </cell>
          <cell r="AS279">
            <v>1462.4</v>
          </cell>
          <cell r="AT279">
            <v>1564.1</v>
          </cell>
          <cell r="AU279">
            <v>1588.2</v>
          </cell>
          <cell r="AV279">
            <v>1548.3230000000001</v>
          </cell>
          <cell r="AW279">
            <v>1687.7</v>
          </cell>
          <cell r="AX279">
            <v>1536.1</v>
          </cell>
          <cell r="AY279">
            <v>1690.098</v>
          </cell>
          <cell r="AZ279">
            <v>1500.03</v>
          </cell>
          <cell r="BA279">
            <v>1635.2728574959588</v>
          </cell>
          <cell r="BB279">
            <v>1667.8559554138601</v>
          </cell>
          <cell r="BC279">
            <v>1713.7599052886906</v>
          </cell>
          <cell r="BD279">
            <v>1719.756399877368</v>
          </cell>
          <cell r="BE279">
            <v>1795.866</v>
          </cell>
          <cell r="BF279">
            <v>1757.03</v>
          </cell>
          <cell r="BG279">
            <v>1889.8409999999999</v>
          </cell>
          <cell r="BH279">
            <v>1899.1959999999999</v>
          </cell>
          <cell r="BI279">
            <v>1999.5239999999999</v>
          </cell>
          <cell r="BJ279">
            <v>1924.749</v>
          </cell>
          <cell r="BK279">
            <v>2064.1990000000001</v>
          </cell>
          <cell r="BL279">
            <v>2091.2179999999998</v>
          </cell>
          <cell r="BM279">
            <v>2292.36</v>
          </cell>
          <cell r="BN279">
            <v>2238.85</v>
          </cell>
          <cell r="BO279">
            <v>2253.8000000000002</v>
          </cell>
          <cell r="BP279">
            <v>2346.2999999999997</v>
          </cell>
          <cell r="BQ279">
            <v>2429.25</v>
          </cell>
          <cell r="BR279">
            <v>2464.7999999999997</v>
          </cell>
          <cell r="BS279">
            <v>2583.2999999999997</v>
          </cell>
          <cell r="BT279">
            <v>2654.4</v>
          </cell>
          <cell r="BU279">
            <v>2749.2</v>
          </cell>
          <cell r="BV279">
            <v>2832.15</v>
          </cell>
          <cell r="BW279">
            <v>2879.5499999999997</v>
          </cell>
          <cell r="BX279">
            <v>2950.65</v>
          </cell>
          <cell r="BY279">
            <v>2938.7999999999997</v>
          </cell>
          <cell r="BZ279">
            <v>2926.95</v>
          </cell>
          <cell r="CA279">
            <v>3033.6</v>
          </cell>
          <cell r="CB279">
            <v>3033.6</v>
          </cell>
          <cell r="CC279">
            <v>3033.6</v>
          </cell>
          <cell r="CD279">
            <v>3033.6</v>
          </cell>
          <cell r="CE279">
            <v>2986.2</v>
          </cell>
          <cell r="CF279">
            <v>2986.2</v>
          </cell>
          <cell r="CG279">
            <v>2986.2</v>
          </cell>
          <cell r="CH279">
            <v>2986.2</v>
          </cell>
          <cell r="CI279">
            <v>3081</v>
          </cell>
          <cell r="CJ279">
            <v>3175.7999999999997</v>
          </cell>
          <cell r="CK279">
            <v>3270.6</v>
          </cell>
          <cell r="CL279">
            <v>3270.6</v>
          </cell>
          <cell r="CM279">
            <v>3270.6</v>
          </cell>
        </row>
        <row r="280">
          <cell r="AI280">
            <v>4.28</v>
          </cell>
          <cell r="AJ280">
            <v>1419.4</v>
          </cell>
          <cell r="AK280">
            <v>1291.9000000000001</v>
          </cell>
          <cell r="AL280">
            <v>1412.6</v>
          </cell>
          <cell r="AM280">
            <v>1654.7</v>
          </cell>
          <cell r="AN280">
            <v>1586.9</v>
          </cell>
          <cell r="AO280">
            <v>1481.8</v>
          </cell>
          <cell r="AP280">
            <v>1602.4</v>
          </cell>
          <cell r="AQ280">
            <v>1661.9</v>
          </cell>
          <cell r="AR280">
            <v>1633.3</v>
          </cell>
          <cell r="AS280">
            <v>1461.4</v>
          </cell>
          <cell r="AT280">
            <v>1686.4</v>
          </cell>
          <cell r="AU280">
            <v>1746.5</v>
          </cell>
          <cell r="AV280">
            <v>1766.8603400000002</v>
          </cell>
          <cell r="AW280">
            <v>1827.8</v>
          </cell>
          <cell r="AX280">
            <v>1636</v>
          </cell>
          <cell r="AY280">
            <v>1727.70571</v>
          </cell>
          <cell r="AZ280">
            <v>1623.7739999999999</v>
          </cell>
          <cell r="BA280">
            <v>1693.9893206648965</v>
          </cell>
          <cell r="BB280">
            <v>1708.4563843654869</v>
          </cell>
          <cell r="BC280">
            <v>1867.858351293529</v>
          </cell>
          <cell r="BD280">
            <v>1898.0715179396821</v>
          </cell>
          <cell r="BE280">
            <v>1943.5369999999998</v>
          </cell>
          <cell r="BF280">
            <v>1865.4659999999999</v>
          </cell>
          <cell r="BG280">
            <v>2079.123</v>
          </cell>
          <cell r="BH280">
            <v>2094.4180000000001</v>
          </cell>
          <cell r="BI280">
            <v>2201.0680000000002</v>
          </cell>
          <cell r="BJ280">
            <v>2222.123</v>
          </cell>
          <cell r="BK280">
            <v>2277.5410000000002</v>
          </cell>
          <cell r="BL280">
            <v>2339.5810000000001</v>
          </cell>
          <cell r="BM280">
            <v>2405.5709999999999</v>
          </cell>
          <cell r="BN280">
            <v>2348.2000000000003</v>
          </cell>
          <cell r="BO280">
            <v>2607.8000000000002</v>
          </cell>
          <cell r="BP280">
            <v>2525.2000000000003</v>
          </cell>
          <cell r="BQ280">
            <v>2631.4</v>
          </cell>
          <cell r="BR280">
            <v>2666.8</v>
          </cell>
          <cell r="BS280">
            <v>2820.2000000000003</v>
          </cell>
          <cell r="BT280">
            <v>2902.8</v>
          </cell>
          <cell r="BU280">
            <v>2997.2000000000003</v>
          </cell>
          <cell r="BV280">
            <v>3091.6000000000004</v>
          </cell>
          <cell r="BW280">
            <v>3150.6000000000004</v>
          </cell>
          <cell r="BX280">
            <v>3197.8</v>
          </cell>
          <cell r="BY280">
            <v>3186</v>
          </cell>
          <cell r="BZ280">
            <v>3221.4</v>
          </cell>
          <cell r="CA280">
            <v>3292.2000000000003</v>
          </cell>
          <cell r="CB280">
            <v>3304</v>
          </cell>
          <cell r="CC280">
            <v>3304</v>
          </cell>
          <cell r="CD280">
            <v>3304</v>
          </cell>
          <cell r="CE280">
            <v>3256.8</v>
          </cell>
          <cell r="CF280">
            <v>3245</v>
          </cell>
          <cell r="CG280">
            <v>3256.8</v>
          </cell>
          <cell r="CH280">
            <v>3256.8</v>
          </cell>
          <cell r="CI280">
            <v>3351.2000000000003</v>
          </cell>
          <cell r="CJ280">
            <v>3457.4</v>
          </cell>
          <cell r="CK280">
            <v>3575.4</v>
          </cell>
          <cell r="CL280">
            <v>3563.6000000000004</v>
          </cell>
          <cell r="CM280">
            <v>3563.6000000000004</v>
          </cell>
        </row>
        <row r="281">
          <cell r="AI281">
            <v>4.28</v>
          </cell>
          <cell r="AJ281">
            <v>1333.4</v>
          </cell>
          <cell r="AK281">
            <v>1259.3</v>
          </cell>
          <cell r="AL281">
            <v>1253.7</v>
          </cell>
          <cell r="AM281">
            <v>1525.8</v>
          </cell>
          <cell r="AN281">
            <v>1452.7</v>
          </cell>
          <cell r="AO281">
            <v>1367.9</v>
          </cell>
          <cell r="AP281">
            <v>1485.2</v>
          </cell>
          <cell r="AQ281">
            <v>1550.6</v>
          </cell>
          <cell r="AR281">
            <v>1447.5</v>
          </cell>
          <cell r="AS281">
            <v>1260.3</v>
          </cell>
          <cell r="AT281">
            <v>1579.6</v>
          </cell>
          <cell r="AU281">
            <v>1586.3</v>
          </cell>
          <cell r="AV281">
            <v>1626.3191999999999</v>
          </cell>
          <cell r="AW281">
            <v>1707</v>
          </cell>
          <cell r="AX281">
            <v>1596</v>
          </cell>
          <cell r="AY281">
            <v>1518.1203</v>
          </cell>
          <cell r="AZ281">
            <v>1504.598</v>
          </cell>
          <cell r="BA281">
            <v>1586.1378816686513</v>
          </cell>
          <cell r="BB281">
            <v>1485.5824788099803</v>
          </cell>
          <cell r="BC281">
            <v>1621.828004016691</v>
          </cell>
          <cell r="BD281">
            <v>1770.0670993897402</v>
          </cell>
          <cell r="BE281">
            <v>1840.2629999999999</v>
          </cell>
          <cell r="BF281">
            <v>1737.7750000000001</v>
          </cell>
          <cell r="BG281">
            <v>1964.922</v>
          </cell>
          <cell r="BH281">
            <v>1989.1010000000001</v>
          </cell>
          <cell r="BI281">
            <v>2099.4650000000001</v>
          </cell>
          <cell r="BJ281">
            <v>1991.877</v>
          </cell>
          <cell r="BK281">
            <v>2143.1179999999999</v>
          </cell>
          <cell r="BL281">
            <v>2236.3009999999999</v>
          </cell>
          <cell r="BM281">
            <v>2097.7559999999999</v>
          </cell>
          <cell r="BN281">
            <v>2244.25</v>
          </cell>
          <cell r="BO281">
            <v>2277.4</v>
          </cell>
          <cell r="BP281">
            <v>2360</v>
          </cell>
          <cell r="BQ281">
            <v>2407.2000000000003</v>
          </cell>
          <cell r="BR281">
            <v>2442.6000000000004</v>
          </cell>
          <cell r="BS281">
            <v>2607.8000000000002</v>
          </cell>
          <cell r="BT281">
            <v>2666.8</v>
          </cell>
          <cell r="BU281">
            <v>2761.2000000000003</v>
          </cell>
          <cell r="BV281">
            <v>2843.8</v>
          </cell>
          <cell r="BW281">
            <v>2914.6000000000004</v>
          </cell>
          <cell r="BX281">
            <v>2914.6000000000004</v>
          </cell>
          <cell r="BY281">
            <v>2950</v>
          </cell>
          <cell r="BZ281">
            <v>2938.2000000000003</v>
          </cell>
          <cell r="CA281">
            <v>3044.4</v>
          </cell>
          <cell r="CB281">
            <v>3032.6000000000004</v>
          </cell>
          <cell r="CC281">
            <v>3032.6000000000004</v>
          </cell>
          <cell r="CD281">
            <v>3044.4</v>
          </cell>
          <cell r="CE281">
            <v>2985.4</v>
          </cell>
          <cell r="CF281">
            <v>2985.4</v>
          </cell>
          <cell r="CG281">
            <v>2985.4</v>
          </cell>
          <cell r="CH281">
            <v>2997.2000000000003</v>
          </cell>
          <cell r="CI281">
            <v>3079.8</v>
          </cell>
          <cell r="CJ281">
            <v>3186</v>
          </cell>
          <cell r="CK281">
            <v>3280.4</v>
          </cell>
          <cell r="CL281">
            <v>3280.4</v>
          </cell>
          <cell r="CM281">
            <v>3280.4</v>
          </cell>
        </row>
        <row r="282">
          <cell r="AI282">
            <v>4.28</v>
          </cell>
          <cell r="AJ282">
            <v>1275.3</v>
          </cell>
          <cell r="AK282">
            <v>1197</v>
          </cell>
          <cell r="AL282">
            <v>1216.0999999999999</v>
          </cell>
          <cell r="AM282">
            <v>1417.9</v>
          </cell>
          <cell r="AN282">
            <v>1450.3</v>
          </cell>
          <cell r="AO282">
            <v>1396</v>
          </cell>
          <cell r="AP282">
            <v>1478.6</v>
          </cell>
          <cell r="AQ282">
            <v>1574</v>
          </cell>
          <cell r="AR282">
            <v>1483.9</v>
          </cell>
          <cell r="AS282">
            <v>1314.6</v>
          </cell>
          <cell r="AT282">
            <v>1620.1</v>
          </cell>
          <cell r="AU282">
            <v>1710.5</v>
          </cell>
          <cell r="AV282">
            <v>1729.8758</v>
          </cell>
          <cell r="AW282">
            <v>1756.4</v>
          </cell>
          <cell r="AX282">
            <v>1683.2</v>
          </cell>
          <cell r="AY282">
            <v>1481.5648500000002</v>
          </cell>
          <cell r="AZ282">
            <v>1491.1949999999999</v>
          </cell>
          <cell r="BA282">
            <v>1664.8526337433009</v>
          </cell>
          <cell r="BB282">
            <v>1524.2085852286068</v>
          </cell>
          <cell r="BC282">
            <v>1585.4074798171616</v>
          </cell>
          <cell r="BD282">
            <v>1754.1790000000001</v>
          </cell>
          <cell r="BE282">
            <v>1876.184</v>
          </cell>
          <cell r="BF282">
            <v>1839.3420000000001</v>
          </cell>
          <cell r="BG282">
            <v>1966.511</v>
          </cell>
          <cell r="BH282">
            <v>1915.9939999999999</v>
          </cell>
          <cell r="BI282">
            <v>2057.6170000000002</v>
          </cell>
          <cell r="BJ282">
            <v>2043.1349999999998</v>
          </cell>
          <cell r="BK282">
            <v>2158.7739999999999</v>
          </cell>
          <cell r="BL282">
            <v>2228.3719999999998</v>
          </cell>
          <cell r="BM282">
            <v>2271.018</v>
          </cell>
          <cell r="BN282">
            <v>2267.75</v>
          </cell>
          <cell r="BO282">
            <v>2324.6000000000004</v>
          </cell>
          <cell r="BP282">
            <v>2407.2000000000003</v>
          </cell>
          <cell r="BQ282">
            <v>2489.8000000000002</v>
          </cell>
          <cell r="BR282">
            <v>2513.4</v>
          </cell>
          <cell r="BS282">
            <v>2643.2000000000003</v>
          </cell>
          <cell r="BT282">
            <v>2714</v>
          </cell>
          <cell r="BU282">
            <v>2820.2000000000003</v>
          </cell>
          <cell r="BV282">
            <v>2902.8</v>
          </cell>
          <cell r="BW282">
            <v>2961.8</v>
          </cell>
          <cell r="BX282">
            <v>2997.2000000000003</v>
          </cell>
          <cell r="BY282">
            <v>3009</v>
          </cell>
          <cell r="BZ282">
            <v>2997.2000000000003</v>
          </cell>
          <cell r="CA282">
            <v>3103.4</v>
          </cell>
          <cell r="CB282">
            <v>3103.4</v>
          </cell>
          <cell r="CC282">
            <v>3103.4</v>
          </cell>
          <cell r="CD282">
            <v>3103.4</v>
          </cell>
          <cell r="CE282">
            <v>3056.2000000000003</v>
          </cell>
          <cell r="CF282">
            <v>3056.2000000000003</v>
          </cell>
          <cell r="CG282">
            <v>3056.2000000000003</v>
          </cell>
          <cell r="CH282">
            <v>3056.2000000000003</v>
          </cell>
          <cell r="CI282">
            <v>3150.6000000000004</v>
          </cell>
          <cell r="CJ282">
            <v>3256.8</v>
          </cell>
          <cell r="CK282">
            <v>3351.2000000000003</v>
          </cell>
          <cell r="CL282">
            <v>3351.2000000000003</v>
          </cell>
          <cell r="CM282">
            <v>3351.2000000000003</v>
          </cell>
        </row>
        <row r="283">
          <cell r="AI283">
            <v>4.21</v>
          </cell>
          <cell r="AJ283">
            <v>1183.2</v>
          </cell>
          <cell r="AK283">
            <v>1220.9000000000001</v>
          </cell>
          <cell r="AL283">
            <v>1195.7</v>
          </cell>
          <cell r="AM283">
            <v>1337.2</v>
          </cell>
          <cell r="AN283">
            <v>1383.1</v>
          </cell>
          <cell r="AO283">
            <v>1359.6</v>
          </cell>
          <cell r="AP283">
            <v>1448.8</v>
          </cell>
          <cell r="AQ283">
            <v>1506.1</v>
          </cell>
          <cell r="AR283">
            <v>1391</v>
          </cell>
          <cell r="AS283">
            <v>1236</v>
          </cell>
          <cell r="AT283">
            <v>1497.3</v>
          </cell>
          <cell r="AU283">
            <v>1608.7</v>
          </cell>
          <cell r="AV283">
            <v>1693.47831</v>
          </cell>
          <cell r="AW283">
            <v>1632.8</v>
          </cell>
          <cell r="AX283">
            <v>1604.3</v>
          </cell>
          <cell r="AY283">
            <v>1442.2388999999998</v>
          </cell>
          <cell r="AZ283">
            <v>1437.9970000000001</v>
          </cell>
          <cell r="BA283">
            <v>1610.5064350165826</v>
          </cell>
          <cell r="BB283">
            <v>1477.8974416373535</v>
          </cell>
          <cell r="BC283">
            <v>1457.9818508734431</v>
          </cell>
          <cell r="BD283">
            <v>1708.2860000000001</v>
          </cell>
          <cell r="BE283">
            <v>1787.2339999999999</v>
          </cell>
          <cell r="BF283">
            <v>1735.6079999999999</v>
          </cell>
          <cell r="BG283">
            <v>1936.9069999999999</v>
          </cell>
          <cell r="BH283">
            <v>1811.481</v>
          </cell>
          <cell r="BI283">
            <v>2035.269</v>
          </cell>
          <cell r="BJ283">
            <v>1908.6490000000001</v>
          </cell>
          <cell r="BK283">
            <v>2068.578</v>
          </cell>
          <cell r="BL283">
            <v>2074.857</v>
          </cell>
          <cell r="BM283">
            <v>2183.6149999999998</v>
          </cell>
          <cell r="BN283">
            <v>2138.5</v>
          </cell>
          <cell r="BO283">
            <v>2215.9499999999998</v>
          </cell>
          <cell r="BP283">
            <v>2298.9</v>
          </cell>
          <cell r="BQ283">
            <v>2346.2999999999997</v>
          </cell>
          <cell r="BR283">
            <v>2405.5499999999997</v>
          </cell>
          <cell r="BS283">
            <v>2512.1999999999998</v>
          </cell>
          <cell r="BT283">
            <v>2607</v>
          </cell>
          <cell r="BU283">
            <v>2678.1</v>
          </cell>
          <cell r="BV283">
            <v>2772.9</v>
          </cell>
          <cell r="BW283">
            <v>2820.2999999999997</v>
          </cell>
          <cell r="BX283">
            <v>2867.7</v>
          </cell>
          <cell r="BY283">
            <v>2867.7</v>
          </cell>
          <cell r="BZ283">
            <v>2855.85</v>
          </cell>
          <cell r="CA283">
            <v>2962.5</v>
          </cell>
          <cell r="CB283">
            <v>2950.65</v>
          </cell>
          <cell r="CC283">
            <v>2962.5</v>
          </cell>
          <cell r="CD283">
            <v>2950.65</v>
          </cell>
          <cell r="CE283">
            <v>2915.1</v>
          </cell>
          <cell r="CF283">
            <v>2903.25</v>
          </cell>
          <cell r="CG283">
            <v>2915.1</v>
          </cell>
          <cell r="CH283">
            <v>2915.1</v>
          </cell>
          <cell r="CI283">
            <v>3009.9</v>
          </cell>
          <cell r="CJ283">
            <v>3104.7</v>
          </cell>
          <cell r="CK283">
            <v>3187.65</v>
          </cell>
          <cell r="CL283">
            <v>3199.5</v>
          </cell>
          <cell r="CM283">
            <v>3187.65</v>
          </cell>
        </row>
        <row r="284">
          <cell r="AI284">
            <v>4.2</v>
          </cell>
          <cell r="AJ284">
            <v>1204.7</v>
          </cell>
          <cell r="AK284">
            <v>1262.8</v>
          </cell>
          <cell r="AL284">
            <v>1175.9000000000001</v>
          </cell>
          <cell r="AM284">
            <v>1409.5</v>
          </cell>
          <cell r="AN284">
            <v>1451.2</v>
          </cell>
          <cell r="AO284">
            <v>1485.5</v>
          </cell>
          <cell r="AP284">
            <v>1525.6</v>
          </cell>
          <cell r="AQ284">
            <v>1461.2</v>
          </cell>
          <cell r="AR284">
            <v>1482.4</v>
          </cell>
          <cell r="AS284">
            <v>1304</v>
          </cell>
          <cell r="AT284">
            <v>1586.7</v>
          </cell>
          <cell r="AU284">
            <v>1737</v>
          </cell>
          <cell r="AV284">
            <v>1710.6886999999999</v>
          </cell>
          <cell r="AW284">
            <v>1616.4</v>
          </cell>
          <cell r="AX284">
            <v>1469.2</v>
          </cell>
          <cell r="AY284">
            <v>1440.45102</v>
          </cell>
          <cell r="AZ284">
            <v>1504.674</v>
          </cell>
          <cell r="BA284">
            <v>1660.5491311958474</v>
          </cell>
          <cell r="BB284">
            <v>1446.5020181153575</v>
          </cell>
          <cell r="BC284">
            <v>1481.438525684805</v>
          </cell>
          <cell r="BD284">
            <v>1738.0530000000001</v>
          </cell>
          <cell r="BE284">
            <v>1789.356</v>
          </cell>
          <cell r="BF284">
            <v>1801.376</v>
          </cell>
          <cell r="BG284">
            <v>2043.3230000000001</v>
          </cell>
          <cell r="BH284">
            <v>2090.1680000000001</v>
          </cell>
          <cell r="BI284">
            <v>2122.7579999999998</v>
          </cell>
          <cell r="BJ284">
            <v>1972.6880000000001</v>
          </cell>
          <cell r="BK284">
            <v>2169.9299999999998</v>
          </cell>
          <cell r="BL284">
            <v>2180.0360000000001</v>
          </cell>
          <cell r="BM284">
            <v>2279.5954151178694</v>
          </cell>
          <cell r="BN284">
            <v>2265.6000000000004</v>
          </cell>
          <cell r="BO284">
            <v>2301</v>
          </cell>
          <cell r="BP284">
            <v>2383.6000000000004</v>
          </cell>
          <cell r="BQ284">
            <v>2466.2000000000003</v>
          </cell>
          <cell r="BR284">
            <v>2513.4</v>
          </cell>
          <cell r="BS284">
            <v>2666.8</v>
          </cell>
          <cell r="BT284">
            <v>2714</v>
          </cell>
          <cell r="BU284">
            <v>2796.6000000000004</v>
          </cell>
          <cell r="BV284">
            <v>2902.8</v>
          </cell>
          <cell r="BW284">
            <v>2950</v>
          </cell>
          <cell r="BX284">
            <v>3009</v>
          </cell>
          <cell r="BY284">
            <v>2997.2000000000003</v>
          </cell>
          <cell r="BZ284">
            <v>2985.4</v>
          </cell>
          <cell r="CA284">
            <v>3103.4</v>
          </cell>
          <cell r="CB284">
            <v>3091.6000000000004</v>
          </cell>
          <cell r="CC284">
            <v>3103.4</v>
          </cell>
          <cell r="CD284">
            <v>3091.6000000000004</v>
          </cell>
          <cell r="CE284">
            <v>3044.4</v>
          </cell>
          <cell r="CF284">
            <v>3044.4</v>
          </cell>
          <cell r="CG284">
            <v>3044.4</v>
          </cell>
          <cell r="CH284">
            <v>3044.4</v>
          </cell>
          <cell r="CI284">
            <v>3150.6000000000004</v>
          </cell>
          <cell r="CJ284">
            <v>3245</v>
          </cell>
          <cell r="CK284">
            <v>3339.4</v>
          </cell>
          <cell r="CL284">
            <v>3339.4</v>
          </cell>
          <cell r="CM284">
            <v>3339.4</v>
          </cell>
        </row>
        <row r="285">
          <cell r="AI285">
            <v>4.17</v>
          </cell>
          <cell r="AJ285">
            <v>1228.0999999999999</v>
          </cell>
          <cell r="AK285">
            <v>1172.5999999999999</v>
          </cell>
          <cell r="AL285">
            <v>1141.3</v>
          </cell>
          <cell r="AM285">
            <v>1285.5999999999999</v>
          </cell>
          <cell r="AN285">
            <v>1452.4</v>
          </cell>
          <cell r="AO285">
            <v>1388</v>
          </cell>
          <cell r="AP285">
            <v>1506.1</v>
          </cell>
          <cell r="AQ285">
            <v>1474.8</v>
          </cell>
          <cell r="AR285">
            <v>1440.4</v>
          </cell>
          <cell r="AS285">
            <v>1185.9000000000001</v>
          </cell>
          <cell r="AT285">
            <v>1484.4</v>
          </cell>
          <cell r="AU285">
            <v>1658.3</v>
          </cell>
          <cell r="AV285">
            <v>1662.7852700000001</v>
          </cell>
          <cell r="AW285">
            <v>1507.5</v>
          </cell>
          <cell r="AX285">
            <v>1369.4</v>
          </cell>
          <cell r="AY285">
            <v>1418.4478000000001</v>
          </cell>
          <cell r="AZ285">
            <v>1448.7021990648666</v>
          </cell>
          <cell r="BA285">
            <v>1521.5508786210567</v>
          </cell>
          <cell r="BB285">
            <v>1373.0491380374233</v>
          </cell>
          <cell r="BC285">
            <v>1358.8097884552931</v>
          </cell>
          <cell r="BD285">
            <v>1626.655</v>
          </cell>
          <cell r="BE285">
            <v>1642.4780000000001</v>
          </cell>
          <cell r="BF285">
            <v>1762.2070000000001</v>
          </cell>
          <cell r="BG285">
            <v>1944.9659999999999</v>
          </cell>
          <cell r="BH285">
            <v>2049.8879999999999</v>
          </cell>
          <cell r="BI285">
            <v>2012.8230000000001</v>
          </cell>
          <cell r="BJ285">
            <v>1989.7330000000002</v>
          </cell>
          <cell r="BK285">
            <v>2095.5810000000001</v>
          </cell>
          <cell r="BL285">
            <v>2014.153</v>
          </cell>
          <cell r="BM285">
            <v>1996.9818060707671</v>
          </cell>
          <cell r="BN285">
            <v>1314.3461466666668</v>
          </cell>
          <cell r="BO285">
            <v>2415.7000000000003</v>
          </cell>
          <cell r="BP285">
            <v>2023</v>
          </cell>
          <cell r="BQ285">
            <v>2165.8000000000002</v>
          </cell>
          <cell r="BR285">
            <v>2177.7000000000003</v>
          </cell>
          <cell r="BS285">
            <v>2320.5</v>
          </cell>
          <cell r="BT285">
            <v>1689.8</v>
          </cell>
          <cell r="BU285">
            <v>1618.4</v>
          </cell>
          <cell r="BV285">
            <v>892.5</v>
          </cell>
          <cell r="BW285">
            <v>1047.2</v>
          </cell>
          <cell r="BX285">
            <v>368.90000000000003</v>
          </cell>
          <cell r="BY285">
            <v>261.8</v>
          </cell>
          <cell r="BZ285">
            <v>1368.5</v>
          </cell>
          <cell r="CA285">
            <v>999.6</v>
          </cell>
          <cell r="CB285">
            <v>1130.5</v>
          </cell>
          <cell r="CC285">
            <v>1106.7</v>
          </cell>
          <cell r="CD285">
            <v>1249.5</v>
          </cell>
          <cell r="CE285">
            <v>1297.1000000000001</v>
          </cell>
          <cell r="CF285">
            <v>1213.8</v>
          </cell>
          <cell r="CG285">
            <v>1118.6000000000001</v>
          </cell>
          <cell r="CH285">
            <v>1178.1000000000001</v>
          </cell>
          <cell r="CI285">
            <v>1082.9000000000001</v>
          </cell>
          <cell r="CJ285">
            <v>1071</v>
          </cell>
          <cell r="CK285">
            <v>1297.1000000000001</v>
          </cell>
          <cell r="CL285">
            <v>1190</v>
          </cell>
          <cell r="CM285">
            <v>1225.7</v>
          </cell>
        </row>
        <row r="286">
          <cell r="AI286">
            <v>4.1399999999999997</v>
          </cell>
          <cell r="AJ286">
            <v>1208.4000000000001</v>
          </cell>
          <cell r="AK286">
            <v>1143.0999999999999</v>
          </cell>
          <cell r="AL286">
            <v>1230.8</v>
          </cell>
          <cell r="AM286">
            <v>1410.3</v>
          </cell>
          <cell r="AN286">
            <v>1528.4</v>
          </cell>
          <cell r="AO286">
            <v>1466</v>
          </cell>
          <cell r="AP286">
            <v>1452.5</v>
          </cell>
          <cell r="AQ286">
            <v>1413.8</v>
          </cell>
          <cell r="AR286">
            <v>1445.2</v>
          </cell>
          <cell r="AS286">
            <v>1391.7</v>
          </cell>
          <cell r="AT286">
            <v>1531.1</v>
          </cell>
          <cell r="AU286">
            <v>1684.1</v>
          </cell>
          <cell r="AV286">
            <v>1678</v>
          </cell>
          <cell r="AW286">
            <v>1445.5</v>
          </cell>
          <cell r="AX286">
            <v>1299.9000000000001</v>
          </cell>
          <cell r="AY286">
            <v>1474.4171999999999</v>
          </cell>
          <cell r="AZ286">
            <v>1346.1163714595693</v>
          </cell>
          <cell r="BA286">
            <v>1460.7145340757502</v>
          </cell>
          <cell r="BB286">
            <v>1349.3508938094906</v>
          </cell>
          <cell r="BC286">
            <v>1224.4147303673253</v>
          </cell>
          <cell r="BD286">
            <v>1531.2819999999999</v>
          </cell>
          <cell r="BE286">
            <v>1616.6089999999999</v>
          </cell>
          <cell r="BF286">
            <v>1701.7619999999999</v>
          </cell>
          <cell r="BG286">
            <v>1942.097</v>
          </cell>
          <cell r="BH286">
            <v>1900.6679999999999</v>
          </cell>
          <cell r="BI286">
            <v>1967.6210000000001</v>
          </cell>
          <cell r="BJ286">
            <v>1938.212</v>
          </cell>
          <cell r="BK286">
            <v>1979.0313238960368</v>
          </cell>
          <cell r="BL286">
            <v>2077.0740000000001</v>
          </cell>
          <cell r="BM286">
            <v>2216.5896045608847</v>
          </cell>
          <cell r="BN286">
            <v>2041.4</v>
          </cell>
          <cell r="BO286">
            <v>2192.25</v>
          </cell>
          <cell r="BP286">
            <v>2251.5</v>
          </cell>
          <cell r="BQ286">
            <v>2275.1999999999998</v>
          </cell>
          <cell r="BR286">
            <v>2476.65</v>
          </cell>
          <cell r="BS286">
            <v>2452.9499999999998</v>
          </cell>
          <cell r="BT286">
            <v>2618.85</v>
          </cell>
          <cell r="BU286">
            <v>2642.5499999999997</v>
          </cell>
          <cell r="BV286">
            <v>2713.65</v>
          </cell>
          <cell r="BW286">
            <v>2761.0499999999997</v>
          </cell>
          <cell r="BX286">
            <v>2772.9</v>
          </cell>
          <cell r="BY286">
            <v>2737.35</v>
          </cell>
          <cell r="BZ286">
            <v>2844</v>
          </cell>
          <cell r="CA286">
            <v>2844</v>
          </cell>
          <cell r="CB286">
            <v>2844</v>
          </cell>
          <cell r="CC286">
            <v>2855.85</v>
          </cell>
          <cell r="CD286">
            <v>2855.85</v>
          </cell>
          <cell r="CE286">
            <v>2784.75</v>
          </cell>
          <cell r="CF286">
            <v>2808.45</v>
          </cell>
          <cell r="CG286">
            <v>2796.6</v>
          </cell>
          <cell r="CH286">
            <v>2796.6</v>
          </cell>
          <cell r="CI286">
            <v>2891.4</v>
          </cell>
          <cell r="CJ286">
            <v>2986.2</v>
          </cell>
          <cell r="CK286">
            <v>3069.15</v>
          </cell>
          <cell r="CL286">
            <v>3069.15</v>
          </cell>
          <cell r="CM286">
            <v>3069.15</v>
          </cell>
        </row>
        <row r="287">
          <cell r="AI287">
            <v>4.0999999999999996</v>
          </cell>
          <cell r="AJ287">
            <v>15612.8</v>
          </cell>
          <cell r="AK287">
            <v>15240.099999999999</v>
          </cell>
          <cell r="AL287">
            <v>15752</v>
          </cell>
          <cell r="AM287">
            <v>18142.7</v>
          </cell>
          <cell r="AN287">
            <v>18078.100000000002</v>
          </cell>
          <cell r="AO287">
            <v>17824.699999999997</v>
          </cell>
          <cell r="AP287">
            <v>18419.7</v>
          </cell>
          <cell r="AQ287">
            <v>18898.3</v>
          </cell>
          <cell r="AR287">
            <v>18430.2</v>
          </cell>
          <cell r="AS287">
            <v>17080.599999999999</v>
          </cell>
          <cell r="AT287">
            <v>19359.8</v>
          </cell>
          <cell r="AU287">
            <v>20387.399999999998</v>
          </cell>
          <cell r="AV287">
            <v>20489.034510000001</v>
          </cell>
          <cell r="AW287">
            <v>20579.781579999999</v>
          </cell>
          <cell r="AX287">
            <v>18745.000000000004</v>
          </cell>
          <cell r="AY287">
            <v>19615.399520000003</v>
          </cell>
          <cell r="AZ287">
            <v>18873.277310524434</v>
          </cell>
          <cell r="BA287">
            <v>19620.44474911263</v>
          </cell>
          <cell r="BB287">
            <v>19702.282749789923</v>
          </cell>
          <cell r="BC287">
            <v>20001.17292164098</v>
          </cell>
          <cell r="BD287">
            <v>21301.508853795087</v>
          </cell>
          <cell r="BE287">
            <v>21950.230999999996</v>
          </cell>
          <cell r="BF287">
            <v>22123.409</v>
          </cell>
          <cell r="BG287">
            <v>23772.428000000004</v>
          </cell>
        </row>
        <row r="323">
          <cell r="BI323">
            <v>30.449390999999999</v>
          </cell>
          <cell r="BJ323">
            <v>20.485789</v>
          </cell>
          <cell r="BK323">
            <v>35.917431999999998</v>
          </cell>
          <cell r="BL323">
            <v>29.743419000000003</v>
          </cell>
          <cell r="BM323">
            <v>45.335633999999999</v>
          </cell>
          <cell r="BN323">
            <v>29.27588973232</v>
          </cell>
          <cell r="BO323">
            <v>39.6</v>
          </cell>
          <cell r="BP323">
            <v>39.6</v>
          </cell>
          <cell r="BQ323">
            <v>39.6</v>
          </cell>
          <cell r="BR323">
            <v>36.049999999999997</v>
          </cell>
          <cell r="BS323">
            <v>36.200000000000003</v>
          </cell>
          <cell r="BT323">
            <v>36.1</v>
          </cell>
          <cell r="BU323">
            <v>38.200000000000003</v>
          </cell>
          <cell r="BV323">
            <v>37.5</v>
          </cell>
          <cell r="BW323">
            <v>37.25</v>
          </cell>
          <cell r="BX323">
            <v>36.799999999999997</v>
          </cell>
          <cell r="BY323">
            <v>37.049999999999997</v>
          </cell>
          <cell r="BZ323">
            <v>37.15</v>
          </cell>
          <cell r="CA323">
            <v>37.35</v>
          </cell>
          <cell r="CB323">
            <v>37.15</v>
          </cell>
          <cell r="CC323">
            <v>37.1</v>
          </cell>
          <cell r="CD323">
            <v>37.1</v>
          </cell>
          <cell r="CE323">
            <v>37.15</v>
          </cell>
          <cell r="CF323">
            <v>37.15</v>
          </cell>
          <cell r="CG323">
            <v>37.15</v>
          </cell>
          <cell r="CH323">
            <v>37.15</v>
          </cell>
          <cell r="CI323">
            <v>37.15</v>
          </cell>
          <cell r="CJ323">
            <v>37.15</v>
          </cell>
          <cell r="CK323">
            <v>37.15</v>
          </cell>
          <cell r="CL323">
            <v>37.15</v>
          </cell>
          <cell r="CM323">
            <v>37.15</v>
          </cell>
          <cell r="CN323">
            <v>37.15</v>
          </cell>
        </row>
        <row r="324">
          <cell r="AJ324">
            <v>0.31504048379999999</v>
          </cell>
          <cell r="AK324">
            <v>2.6001311868000001</v>
          </cell>
          <cell r="AL324">
            <v>1.1565447012000001</v>
          </cell>
          <cell r="AM324">
            <v>5.2439138891999999</v>
          </cell>
          <cell r="AN324">
            <v>8.0484135353999999</v>
          </cell>
          <cell r="AO324">
            <v>6.9022305576000011</v>
          </cell>
          <cell r="AP324">
            <v>5.4976658814000006</v>
          </cell>
          <cell r="AQ324">
            <v>3.4846255332</v>
          </cell>
          <cell r="AR324">
            <v>3.5695034801999999</v>
          </cell>
          <cell r="AS324">
            <v>2.7458567010000001</v>
          </cell>
          <cell r="AT324">
            <v>1.7328328919999998</v>
          </cell>
          <cell r="AU324">
            <v>1.8629055899999998</v>
          </cell>
          <cell r="AV324">
            <v>1.000898388</v>
          </cell>
          <cell r="AW324">
            <v>2.9762396999999998</v>
          </cell>
          <cell r="AX324">
            <v>9.2042968499999986</v>
          </cell>
          <cell r="AY324">
            <v>9.6055380539999984</v>
          </cell>
          <cell r="AZ324">
            <v>17.498084813999998</v>
          </cell>
          <cell r="BA324">
            <v>12.418635726</v>
          </cell>
          <cell r="BB324">
            <v>10.886423435999999</v>
          </cell>
          <cell r="BC324">
            <v>15.893119998</v>
          </cell>
          <cell r="BD324">
            <v>12.789012222</v>
          </cell>
          <cell r="BE324">
            <v>17.934837999999999</v>
          </cell>
          <cell r="BF324">
            <v>38.488811999999996</v>
          </cell>
          <cell r="BG324">
            <v>22.105709999999998</v>
          </cell>
          <cell r="BH324">
            <v>34.522067999999997</v>
          </cell>
          <cell r="BI324">
            <v>24.492258000000003</v>
          </cell>
          <cell r="BJ324">
            <v>21.209785</v>
          </cell>
          <cell r="BK324">
            <v>34.170045999999999</v>
          </cell>
          <cell r="BL324">
            <v>26.077672999999997</v>
          </cell>
          <cell r="BM324">
            <v>36.881743999999998</v>
          </cell>
          <cell r="BN324">
            <v>67.14287716246001</v>
          </cell>
          <cell r="BO324">
            <v>42.05</v>
          </cell>
          <cell r="BP324">
            <v>42.05</v>
          </cell>
          <cell r="BQ324">
            <v>42.05</v>
          </cell>
          <cell r="BR324">
            <v>42.05</v>
          </cell>
          <cell r="BS324">
            <v>43.1</v>
          </cell>
          <cell r="BT324">
            <v>46.15</v>
          </cell>
          <cell r="BU324">
            <v>42.25</v>
          </cell>
          <cell r="BV324">
            <v>43.1</v>
          </cell>
          <cell r="BW324">
            <v>43.1</v>
          </cell>
          <cell r="BX324">
            <v>43.35</v>
          </cell>
          <cell r="BY324">
            <v>43.55</v>
          </cell>
          <cell r="BZ324">
            <v>43.6</v>
          </cell>
          <cell r="CA324">
            <v>43.05</v>
          </cell>
          <cell r="CB324">
            <v>43.35</v>
          </cell>
          <cell r="CC324">
            <v>43.35</v>
          </cell>
          <cell r="CD324">
            <v>43.4</v>
          </cell>
          <cell r="CE324">
            <v>43.4</v>
          </cell>
          <cell r="CF324">
            <v>43.35</v>
          </cell>
          <cell r="CG324">
            <v>43.3</v>
          </cell>
          <cell r="CH324">
            <v>43.35</v>
          </cell>
          <cell r="CI324">
            <v>43.35</v>
          </cell>
          <cell r="CJ324">
            <v>43.35</v>
          </cell>
          <cell r="CK324">
            <v>43.35</v>
          </cell>
          <cell r="CL324">
            <v>43.35</v>
          </cell>
          <cell r="CM324">
            <v>43.35</v>
          </cell>
          <cell r="CN324">
            <v>43.35</v>
          </cell>
        </row>
        <row r="325">
          <cell r="AJ325">
            <v>0.30401737380000005</v>
          </cell>
          <cell r="AK325">
            <v>6.5724191063999999</v>
          </cell>
          <cell r="AL325">
            <v>2.3831963819999999</v>
          </cell>
          <cell r="AM325">
            <v>7.1392274226000012</v>
          </cell>
          <cell r="AN325">
            <v>4.8975677729999996</v>
          </cell>
          <cell r="AO325">
            <v>7.3180222668000008</v>
          </cell>
          <cell r="AP325">
            <v>5.7562680420000003</v>
          </cell>
          <cell r="AQ325">
            <v>3.3221448918000007</v>
          </cell>
          <cell r="AR325">
            <v>3.9059287974000005</v>
          </cell>
          <cell r="AS325">
            <v>3.2108114808000003</v>
          </cell>
          <cell r="AT325">
            <v>1.0736509139999999</v>
          </cell>
          <cell r="AU325">
            <v>1.9356581159999999</v>
          </cell>
          <cell r="AV325">
            <v>1.2786807599999999</v>
          </cell>
          <cell r="AW325">
            <v>3.2826821579999996</v>
          </cell>
          <cell r="AX325">
            <v>3.2650451819999993</v>
          </cell>
          <cell r="AY325">
            <v>10.134647333999999</v>
          </cell>
          <cell r="AZ325">
            <v>18.210177720000001</v>
          </cell>
          <cell r="BA325">
            <v>22.185111185999997</v>
          </cell>
          <cell r="BB325">
            <v>12.839718527999999</v>
          </cell>
          <cell r="BC325">
            <v>13.168207206</v>
          </cell>
          <cell r="BD325">
            <v>10.780601580000001</v>
          </cell>
          <cell r="BE325">
            <v>22.359604000000001</v>
          </cell>
          <cell r="BF325">
            <v>47.414898999999998</v>
          </cell>
          <cell r="BG325">
            <v>31.216676</v>
          </cell>
          <cell r="BH325">
            <v>44.485283000000003</v>
          </cell>
          <cell r="BI325">
            <v>35.384629999999994</v>
          </cell>
          <cell r="BJ325">
            <v>25.343575000000001</v>
          </cell>
          <cell r="BK325">
            <v>31.54956</v>
          </cell>
          <cell r="BL325">
            <v>22.590666000000002</v>
          </cell>
          <cell r="BM325">
            <v>48.469362000000004</v>
          </cell>
          <cell r="BN325">
            <v>27.195502273940001</v>
          </cell>
          <cell r="BO325">
            <v>54.9</v>
          </cell>
          <cell r="BP325">
            <v>54.9</v>
          </cell>
          <cell r="BQ325">
            <v>54.9</v>
          </cell>
          <cell r="BR325">
            <v>40.85</v>
          </cell>
          <cell r="BS325">
            <v>45</v>
          </cell>
          <cell r="BT325">
            <v>45.65</v>
          </cell>
          <cell r="BU325">
            <v>50.1</v>
          </cell>
          <cell r="BV325">
            <v>48.25</v>
          </cell>
          <cell r="BW325">
            <v>47.3</v>
          </cell>
          <cell r="BX325">
            <v>45.95</v>
          </cell>
          <cell r="BY325">
            <v>47.25</v>
          </cell>
          <cell r="BZ325">
            <v>47.45</v>
          </cell>
          <cell r="CA325">
            <v>47.75</v>
          </cell>
          <cell r="CB325">
            <v>47.25</v>
          </cell>
          <cell r="CC325">
            <v>47.15</v>
          </cell>
          <cell r="CD325">
            <v>47.15</v>
          </cell>
          <cell r="CE325">
            <v>47.35</v>
          </cell>
          <cell r="CF325">
            <v>47.35</v>
          </cell>
          <cell r="CG325">
            <v>47.35</v>
          </cell>
          <cell r="CH325">
            <v>47.25</v>
          </cell>
          <cell r="CI325">
            <v>47.25</v>
          </cell>
          <cell r="CJ325">
            <v>47.3</v>
          </cell>
          <cell r="CK325">
            <v>47.3</v>
          </cell>
          <cell r="CL325">
            <v>47.3</v>
          </cell>
          <cell r="CM325">
            <v>47.3</v>
          </cell>
          <cell r="CN325">
            <v>47.3</v>
          </cell>
        </row>
        <row r="326">
          <cell r="AJ326">
            <v>1.6684579295999999</v>
          </cell>
          <cell r="AK326">
            <v>13.329144612</v>
          </cell>
          <cell r="AL326">
            <v>6.9350794254000006</v>
          </cell>
          <cell r="AM326">
            <v>5.9293308690000002</v>
          </cell>
          <cell r="AN326">
            <v>3.8318534982000001</v>
          </cell>
          <cell r="AO326">
            <v>7.7516714142000005</v>
          </cell>
          <cell r="AP326">
            <v>6.2701654301999996</v>
          </cell>
          <cell r="AQ326">
            <v>3.9579578766000001</v>
          </cell>
          <cell r="AR326">
            <v>3.6803959668000004</v>
          </cell>
          <cell r="AS326">
            <v>3.1091784065999999</v>
          </cell>
          <cell r="AT326">
            <v>1.6049648159999998</v>
          </cell>
          <cell r="AU326">
            <v>3.0379691159999997</v>
          </cell>
          <cell r="AV326">
            <v>2.4471304200000001</v>
          </cell>
          <cell r="AW326">
            <v>5.9745256199999996</v>
          </cell>
          <cell r="AX326">
            <v>9.1271350800000004</v>
          </cell>
          <cell r="AY326">
            <v>13.611336227999999</v>
          </cell>
          <cell r="AZ326">
            <v>14.435864855999998</v>
          </cell>
          <cell r="BA326">
            <v>17.687682305999999</v>
          </cell>
          <cell r="BB326">
            <v>17.202665465999999</v>
          </cell>
          <cell r="BC326">
            <v>12.86396937</v>
          </cell>
          <cell r="BD326">
            <v>35.418760999999996</v>
          </cell>
          <cell r="BE326">
            <v>16.971494999999997</v>
          </cell>
          <cell r="BF326">
            <v>22.624860000000002</v>
          </cell>
          <cell r="BG326">
            <v>22.166415000000001</v>
          </cell>
          <cell r="BH326">
            <v>30.803106</v>
          </cell>
          <cell r="BI326">
            <v>32.632930999999999</v>
          </cell>
          <cell r="BJ326">
            <v>18.932991999999999</v>
          </cell>
          <cell r="BK326">
            <v>16.338691000000001</v>
          </cell>
          <cell r="BL326">
            <v>25.243176999999999</v>
          </cell>
          <cell r="BM326">
            <v>50.653489999999998</v>
          </cell>
          <cell r="BN326">
            <v>30.456842936960001</v>
          </cell>
          <cell r="BO326">
            <v>37.950000000000003</v>
          </cell>
          <cell r="BP326">
            <v>37.950000000000003</v>
          </cell>
          <cell r="BQ326">
            <v>37.950000000000003</v>
          </cell>
          <cell r="BR326">
            <v>35.799999999999997</v>
          </cell>
          <cell r="BS326">
            <v>36.5</v>
          </cell>
          <cell r="BT326">
            <v>35.299999999999997</v>
          </cell>
          <cell r="BU326">
            <v>37.25</v>
          </cell>
          <cell r="BV326">
            <v>36.700000000000003</v>
          </cell>
          <cell r="BW326">
            <v>36.549999999999997</v>
          </cell>
          <cell r="BX326">
            <v>36.299999999999997</v>
          </cell>
          <cell r="BY326">
            <v>36.450000000000003</v>
          </cell>
          <cell r="BZ326">
            <v>36.4</v>
          </cell>
          <cell r="CA326">
            <v>36.65</v>
          </cell>
          <cell r="CB326">
            <v>36.5</v>
          </cell>
          <cell r="CC326">
            <v>36.450000000000003</v>
          </cell>
          <cell r="CD326">
            <v>36.450000000000003</v>
          </cell>
          <cell r="CE326">
            <v>36.5</v>
          </cell>
          <cell r="CF326">
            <v>36.5</v>
          </cell>
          <cell r="CG326">
            <v>36.5</v>
          </cell>
          <cell r="CH326">
            <v>36.5</v>
          </cell>
          <cell r="CI326">
            <v>36.5</v>
          </cell>
          <cell r="CJ326">
            <v>36.5</v>
          </cell>
          <cell r="CK326">
            <v>36.5</v>
          </cell>
          <cell r="CL326">
            <v>36.5</v>
          </cell>
          <cell r="CM326">
            <v>36.5</v>
          </cell>
        </row>
        <row r="327">
          <cell r="AI327">
            <v>4.43</v>
          </cell>
          <cell r="AJ327">
            <v>2.1777256115999997</v>
          </cell>
          <cell r="AK327">
            <v>10.411106932799999</v>
          </cell>
          <cell r="AL327">
            <v>2.3970855006000003</v>
          </cell>
          <cell r="AM327">
            <v>4.7496376368000002</v>
          </cell>
          <cell r="AN327">
            <v>3.8122323624000001</v>
          </cell>
          <cell r="AO327">
            <v>5.4551166768000003</v>
          </cell>
          <cell r="AP327">
            <v>5.3634044016000004</v>
          </cell>
          <cell r="AQ327">
            <v>3.7818085788000002</v>
          </cell>
          <cell r="AR327">
            <v>3.2088273210000002</v>
          </cell>
          <cell r="AS327">
            <v>2.7967834692000002</v>
          </cell>
          <cell r="AT327">
            <v>2.0414799719999999</v>
          </cell>
          <cell r="AU327">
            <v>3.9705242219999994</v>
          </cell>
          <cell r="AV327">
            <v>1.0890832679999998</v>
          </cell>
          <cell r="AW327">
            <v>6.9092853479999992</v>
          </cell>
          <cell r="AX327">
            <v>10.024416233999998</v>
          </cell>
          <cell r="AY327">
            <v>13.770069011999999</v>
          </cell>
          <cell r="AZ327">
            <v>16.153265394000002</v>
          </cell>
          <cell r="BA327">
            <v>9.8855250479999981</v>
          </cell>
          <cell r="BB327">
            <v>14.144854751999999</v>
          </cell>
          <cell r="BC327">
            <v>11.545605413999999</v>
          </cell>
          <cell r="BD327">
            <v>12.015973000000001</v>
          </cell>
          <cell r="BE327">
            <v>27.864215999999999</v>
          </cell>
          <cell r="BF327">
            <v>20.92502</v>
          </cell>
          <cell r="BG327">
            <v>41.087781</v>
          </cell>
          <cell r="BH327">
            <v>29.339989000000003</v>
          </cell>
          <cell r="BI327">
            <v>28.053150000000002</v>
          </cell>
          <cell r="BJ327">
            <v>21.349169999999997</v>
          </cell>
          <cell r="BK327">
            <v>21.426604000000001</v>
          </cell>
          <cell r="BL327">
            <v>32.417127999999998</v>
          </cell>
          <cell r="BM327">
            <v>35.234842999999998</v>
          </cell>
          <cell r="BN327">
            <v>46.2</v>
          </cell>
          <cell r="BO327">
            <v>42</v>
          </cell>
          <cell r="BP327">
            <v>42</v>
          </cell>
          <cell r="BQ327">
            <v>42</v>
          </cell>
          <cell r="BR327">
            <v>38.85</v>
          </cell>
          <cell r="BS327">
            <v>38.85</v>
          </cell>
          <cell r="BT327">
            <v>41.4</v>
          </cell>
          <cell r="BU327">
            <v>40.75</v>
          </cell>
          <cell r="BV327">
            <v>40.6</v>
          </cell>
          <cell r="BW327">
            <v>40.35</v>
          </cell>
          <cell r="BX327">
            <v>40.1</v>
          </cell>
          <cell r="BY327">
            <v>40.4</v>
          </cell>
          <cell r="BZ327">
            <v>40.65</v>
          </cell>
          <cell r="CA327">
            <v>40.450000000000003</v>
          </cell>
          <cell r="CB327">
            <v>40.4</v>
          </cell>
          <cell r="CC327">
            <v>40.4</v>
          </cell>
          <cell r="CD327">
            <v>40.4</v>
          </cell>
          <cell r="CE327">
            <v>40.450000000000003</v>
          </cell>
          <cell r="CF327">
            <v>40.450000000000003</v>
          </cell>
          <cell r="CG327">
            <v>40.4</v>
          </cell>
          <cell r="CH327">
            <v>40.4</v>
          </cell>
          <cell r="CI327">
            <v>40.4</v>
          </cell>
          <cell r="CJ327">
            <v>40.4</v>
          </cell>
          <cell r="CK327">
            <v>40.4</v>
          </cell>
          <cell r="CL327">
            <v>40.4</v>
          </cell>
          <cell r="CM327">
            <v>40.4</v>
          </cell>
        </row>
        <row r="328">
          <cell r="AI328">
            <v>4.43</v>
          </cell>
          <cell r="AJ328">
            <v>1.6536869622000001</v>
          </cell>
          <cell r="AK328">
            <v>10.524424503600001</v>
          </cell>
          <cell r="AL328">
            <v>2.2405573385999999</v>
          </cell>
          <cell r="AM328">
            <v>3.8664660635999999</v>
          </cell>
          <cell r="AN328">
            <v>7.5753016542000005</v>
          </cell>
          <cell r="AO328">
            <v>7.6293148932000001</v>
          </cell>
          <cell r="AP328">
            <v>9.0684921347999996</v>
          </cell>
          <cell r="AQ328">
            <v>3.7011194135999999</v>
          </cell>
          <cell r="AR328">
            <v>3.4290690588000001</v>
          </cell>
          <cell r="AS328">
            <v>3.4599337668000003</v>
          </cell>
          <cell r="AT328">
            <v>1.7725160880000002</v>
          </cell>
          <cell r="AU328">
            <v>4.1468939819999999</v>
          </cell>
          <cell r="AV328">
            <v>1.4197765680000001</v>
          </cell>
          <cell r="AW328">
            <v>5.3440037279999988</v>
          </cell>
          <cell r="AX328">
            <v>10.251492299999999</v>
          </cell>
          <cell r="AY328">
            <v>4.2813759239999998</v>
          </cell>
          <cell r="AZ328">
            <v>13.102068545999998</v>
          </cell>
          <cell r="BA328">
            <v>10.125828845999999</v>
          </cell>
          <cell r="BB328">
            <v>20.189928275999996</v>
          </cell>
          <cell r="BC328">
            <v>12.370134042</v>
          </cell>
          <cell r="BD328">
            <v>16.220432000000002</v>
          </cell>
          <cell r="BE328">
            <v>17.788627999999999</v>
          </cell>
          <cell r="BF328">
            <v>26.979702</v>
          </cell>
          <cell r="BG328">
            <v>21.190660999999999</v>
          </cell>
          <cell r="BH328">
            <v>30.437549999999998</v>
          </cell>
          <cell r="BI328">
            <v>23.773506000000001</v>
          </cell>
          <cell r="BJ328">
            <v>21.444006000000002</v>
          </cell>
          <cell r="BK328">
            <v>22.189926</v>
          </cell>
          <cell r="BL328">
            <v>33.469337000000003</v>
          </cell>
          <cell r="BM328">
            <v>49.829563</v>
          </cell>
          <cell r="BN328">
            <v>40.65</v>
          </cell>
          <cell r="BO328">
            <v>36.950000000000003</v>
          </cell>
          <cell r="BP328">
            <v>36.950000000000003</v>
          </cell>
          <cell r="BQ328">
            <v>36.950000000000003</v>
          </cell>
          <cell r="BR328">
            <v>38.85</v>
          </cell>
          <cell r="BS328">
            <v>37.700000000000003</v>
          </cell>
          <cell r="BT328">
            <v>37.299999999999997</v>
          </cell>
          <cell r="BU328">
            <v>37.5</v>
          </cell>
          <cell r="BV328">
            <v>37.549999999999997</v>
          </cell>
          <cell r="BW328">
            <v>37.65</v>
          </cell>
          <cell r="BX328">
            <v>37.799999999999997</v>
          </cell>
          <cell r="BY328">
            <v>37.549999999999997</v>
          </cell>
          <cell r="BZ328">
            <v>37.549999999999997</v>
          </cell>
          <cell r="CA328">
            <v>37.6</v>
          </cell>
          <cell r="CB328">
            <v>37.6</v>
          </cell>
          <cell r="CC328">
            <v>37.65</v>
          </cell>
          <cell r="CD328">
            <v>37.6</v>
          </cell>
          <cell r="CE328">
            <v>37.6</v>
          </cell>
          <cell r="CF328">
            <v>37.6</v>
          </cell>
          <cell r="CG328">
            <v>37.6</v>
          </cell>
          <cell r="CH328">
            <v>37.6</v>
          </cell>
          <cell r="CI328">
            <v>37.6</v>
          </cell>
          <cell r="CJ328">
            <v>37.6</v>
          </cell>
          <cell r="CK328">
            <v>37.6</v>
          </cell>
          <cell r="CL328">
            <v>37.6</v>
          </cell>
          <cell r="CM328">
            <v>37.6</v>
          </cell>
        </row>
        <row r="329">
          <cell r="AI329">
            <v>4.49</v>
          </cell>
          <cell r="AJ329">
            <v>1.5370624584000001</v>
          </cell>
          <cell r="AK329">
            <v>12.941572064399999</v>
          </cell>
          <cell r="AL329">
            <v>4.1164701984000001</v>
          </cell>
          <cell r="AM329">
            <v>2.7242514054000004</v>
          </cell>
          <cell r="AN329">
            <v>5.5490335740000001</v>
          </cell>
          <cell r="AO329">
            <v>6.1826419368000005</v>
          </cell>
          <cell r="AP329">
            <v>7.2613634814000001</v>
          </cell>
          <cell r="AQ329">
            <v>3.1054305491999998</v>
          </cell>
          <cell r="AR329">
            <v>4.8003439428000005</v>
          </cell>
          <cell r="AS329">
            <v>6.0100200342000001</v>
          </cell>
          <cell r="AT329">
            <v>2.1362787180000002</v>
          </cell>
          <cell r="AU329">
            <v>2.2950115019999999</v>
          </cell>
          <cell r="AV329">
            <v>1.9973875319999999</v>
          </cell>
          <cell r="AW329">
            <v>7.9432530659999996</v>
          </cell>
          <cell r="AX329">
            <v>10.544707025999998</v>
          </cell>
          <cell r="AY329">
            <v>8.2496955239999981</v>
          </cell>
          <cell r="AZ329">
            <v>13.919983307999999</v>
          </cell>
          <cell r="BA329">
            <v>13.617950093999998</v>
          </cell>
          <cell r="BB329">
            <v>30.062225591999994</v>
          </cell>
          <cell r="BC329">
            <v>14.896630854</v>
          </cell>
          <cell r="BD329">
            <v>36.309125999999999</v>
          </cell>
          <cell r="BE329">
            <v>28.769766999999998</v>
          </cell>
          <cell r="BF329">
            <v>32.243917000000003</v>
          </cell>
          <cell r="BG329">
            <v>28.715931000000001</v>
          </cell>
          <cell r="BH329">
            <v>29.062999999999999</v>
          </cell>
          <cell r="BI329">
            <v>24.512684</v>
          </cell>
          <cell r="BJ329">
            <v>20.517021</v>
          </cell>
          <cell r="BK329">
            <v>23.505512</v>
          </cell>
          <cell r="BL329">
            <v>34.724314</v>
          </cell>
          <cell r="BM329">
            <v>55.59739024884</v>
          </cell>
          <cell r="BN329">
            <v>44.35</v>
          </cell>
          <cell r="BO329">
            <v>40.299999999999997</v>
          </cell>
          <cell r="BP329">
            <v>40.299999999999997</v>
          </cell>
          <cell r="BQ329">
            <v>40.299999999999997</v>
          </cell>
          <cell r="BR329">
            <v>42.25</v>
          </cell>
          <cell r="BS329">
            <v>41.35</v>
          </cell>
          <cell r="BT329">
            <v>40.700000000000003</v>
          </cell>
          <cell r="BU329">
            <v>40.9</v>
          </cell>
          <cell r="BV329">
            <v>41</v>
          </cell>
          <cell r="BW329">
            <v>41.1</v>
          </cell>
          <cell r="BX329">
            <v>41.25</v>
          </cell>
          <cell r="BY329">
            <v>41</v>
          </cell>
          <cell r="BZ329">
            <v>41</v>
          </cell>
          <cell r="CA329">
            <v>41.05</v>
          </cell>
          <cell r="CB329">
            <v>41.05</v>
          </cell>
          <cell r="CC329">
            <v>41.1</v>
          </cell>
          <cell r="CD329">
            <v>41.05</v>
          </cell>
          <cell r="CE329">
            <v>41.05</v>
          </cell>
          <cell r="CF329">
            <v>41.05</v>
          </cell>
          <cell r="CG329">
            <v>41.05</v>
          </cell>
          <cell r="CH329">
            <v>41.05</v>
          </cell>
          <cell r="CI329">
            <v>41.05</v>
          </cell>
          <cell r="CJ329">
            <v>41.05</v>
          </cell>
          <cell r="CK329">
            <v>41.05</v>
          </cell>
          <cell r="CL329">
            <v>41.05</v>
          </cell>
          <cell r="CM329">
            <v>41.05</v>
          </cell>
        </row>
        <row r="330">
          <cell r="AI330">
            <v>4.46</v>
          </cell>
          <cell r="AJ330">
            <v>1.1217116736000001</v>
          </cell>
          <cell r="AK330">
            <v>12.390196102200001</v>
          </cell>
          <cell r="AL330">
            <v>7.3449186551999999</v>
          </cell>
          <cell r="AM330">
            <v>3.936352581</v>
          </cell>
          <cell r="AN330">
            <v>10.690873464600001</v>
          </cell>
          <cell r="AO330">
            <v>7.3250770571999997</v>
          </cell>
          <cell r="AP330">
            <v>9.4922204832000006</v>
          </cell>
          <cell r="AQ330">
            <v>5.7825030438000002</v>
          </cell>
          <cell r="AR330">
            <v>4.8808126458000007</v>
          </cell>
          <cell r="AS330">
            <v>90.460049904000002</v>
          </cell>
          <cell r="AT330">
            <v>1.8166085279999999</v>
          </cell>
          <cell r="AU330">
            <v>2.2288728419999999</v>
          </cell>
          <cell r="AV330">
            <v>3.117335508</v>
          </cell>
          <cell r="AW330">
            <v>5.2470003599999995</v>
          </cell>
          <cell r="AX330">
            <v>2.9806489439999995</v>
          </cell>
          <cell r="AY330">
            <v>10.716667542</v>
          </cell>
          <cell r="AZ330">
            <v>12.308404625999998</v>
          </cell>
          <cell r="BA330">
            <v>10.793829312</v>
          </cell>
          <cell r="BB330">
            <v>13.031520642</v>
          </cell>
          <cell r="BC330">
            <v>13.851640025999998</v>
          </cell>
          <cell r="BD330">
            <v>13.135923</v>
          </cell>
          <cell r="BE330">
            <v>33.209364000000001</v>
          </cell>
          <cell r="BF330">
            <v>31.495176000000001</v>
          </cell>
          <cell r="BG330">
            <v>34.129745</v>
          </cell>
          <cell r="BH330">
            <v>34.485322000000004</v>
          </cell>
          <cell r="BI330">
            <v>24.339372000000001</v>
          </cell>
          <cell r="BJ330">
            <v>16.384754000000001</v>
          </cell>
          <cell r="BK330">
            <v>25.069206999999999</v>
          </cell>
          <cell r="BL330">
            <v>54.155758999999996</v>
          </cell>
          <cell r="BM330">
            <v>88.960641051920007</v>
          </cell>
          <cell r="BN330">
            <v>46.25</v>
          </cell>
          <cell r="BO330">
            <v>42.05</v>
          </cell>
          <cell r="BP330">
            <v>42.05</v>
          </cell>
          <cell r="BQ330">
            <v>42.05</v>
          </cell>
          <cell r="BR330">
            <v>53.7</v>
          </cell>
          <cell r="BS330">
            <v>48.9</v>
          </cell>
          <cell r="BT330">
            <v>44.35</v>
          </cell>
          <cell r="BU330">
            <v>45.75</v>
          </cell>
          <cell r="BV330">
            <v>46.2</v>
          </cell>
          <cell r="BW330">
            <v>46.95</v>
          </cell>
          <cell r="BX330">
            <v>47.8</v>
          </cell>
          <cell r="BY330">
            <v>46.45</v>
          </cell>
          <cell r="BZ330">
            <v>46.2</v>
          </cell>
          <cell r="CA330">
            <v>46.65</v>
          </cell>
          <cell r="CB330">
            <v>46.7</v>
          </cell>
          <cell r="CC330">
            <v>46.8</v>
          </cell>
          <cell r="CD330">
            <v>46.75</v>
          </cell>
          <cell r="CE330">
            <v>46.55</v>
          </cell>
          <cell r="CF330">
            <v>46.6</v>
          </cell>
          <cell r="CG330">
            <v>46.7</v>
          </cell>
          <cell r="CH330">
            <v>46.7</v>
          </cell>
          <cell r="CI330">
            <v>46.7</v>
          </cell>
          <cell r="CJ330">
            <v>46.65</v>
          </cell>
          <cell r="CK330">
            <v>46.65</v>
          </cell>
          <cell r="CL330">
            <v>46.65</v>
          </cell>
          <cell r="CM330">
            <v>46.7</v>
          </cell>
        </row>
        <row r="331">
          <cell r="AI331">
            <v>4.51</v>
          </cell>
          <cell r="AJ331">
            <v>1.6208380944000003</v>
          </cell>
          <cell r="AK331">
            <v>10.486945929600001</v>
          </cell>
          <cell r="AL331">
            <v>5.8204225422000002</v>
          </cell>
          <cell r="AM331">
            <v>5.5197121013999997</v>
          </cell>
          <cell r="AN331">
            <v>9.325330597799999</v>
          </cell>
          <cell r="AO331">
            <v>7.2732684402000007</v>
          </cell>
          <cell r="AP331">
            <v>4.6674052362000005</v>
          </cell>
          <cell r="AQ331">
            <v>3.7584395856000001</v>
          </cell>
          <cell r="AR331">
            <v>4.9831071066000003</v>
          </cell>
          <cell r="AS331">
            <v>119.80004132880001</v>
          </cell>
          <cell r="AT331">
            <v>0.83334711599999989</v>
          </cell>
          <cell r="AU331">
            <v>2.2751699039999993</v>
          </cell>
          <cell r="AV331">
            <v>9.6606536039999984</v>
          </cell>
          <cell r="AW331">
            <v>2.8197115379999995</v>
          </cell>
          <cell r="AX331">
            <v>4.5657721619999991</v>
          </cell>
          <cell r="AY331">
            <v>5.4784856700000004</v>
          </cell>
          <cell r="AZ331">
            <v>12.202582769999999</v>
          </cell>
          <cell r="BA331">
            <v>8.1526921559999987</v>
          </cell>
          <cell r="BB331">
            <v>10.853354105999999</v>
          </cell>
          <cell r="BC331">
            <v>12.892629455999998</v>
          </cell>
          <cell r="BD331">
            <v>50.093855000000005</v>
          </cell>
          <cell r="BE331">
            <v>16.307666999999999</v>
          </cell>
          <cell r="BF331">
            <v>24.289274000000002</v>
          </cell>
          <cell r="BG331">
            <v>31.827203000000001</v>
          </cell>
          <cell r="BH331">
            <v>34.824582999999997</v>
          </cell>
          <cell r="BI331">
            <v>25.234731</v>
          </cell>
          <cell r="BJ331">
            <v>26.140051</v>
          </cell>
          <cell r="BK331">
            <v>24.421099999999999</v>
          </cell>
          <cell r="BL331">
            <v>17.552741999999999</v>
          </cell>
          <cell r="BM331">
            <v>101.3656277326</v>
          </cell>
          <cell r="BN331">
            <v>46.75</v>
          </cell>
          <cell r="BO331">
            <v>42.5</v>
          </cell>
          <cell r="BP331">
            <v>42.5</v>
          </cell>
          <cell r="BQ331">
            <v>42.5</v>
          </cell>
          <cell r="BR331">
            <v>49.2</v>
          </cell>
          <cell r="BS331">
            <v>51.6</v>
          </cell>
          <cell r="BT331">
            <v>43.8</v>
          </cell>
          <cell r="BU331">
            <v>45.65</v>
          </cell>
          <cell r="BV331">
            <v>45.9</v>
          </cell>
          <cell r="BW331">
            <v>46.55</v>
          </cell>
          <cell r="BX331">
            <v>47.25</v>
          </cell>
          <cell r="BY331">
            <v>46.7</v>
          </cell>
          <cell r="BZ331">
            <v>45.85</v>
          </cell>
          <cell r="CA331">
            <v>46.4</v>
          </cell>
          <cell r="CB331">
            <v>46.45</v>
          </cell>
          <cell r="CC331">
            <v>46.55</v>
          </cell>
          <cell r="CD331">
            <v>46.55</v>
          </cell>
          <cell r="CE331">
            <v>46.4</v>
          </cell>
          <cell r="CF331">
            <v>46.35</v>
          </cell>
          <cell r="CG331">
            <v>46.45</v>
          </cell>
          <cell r="CH331">
            <v>46.45</v>
          </cell>
          <cell r="CI331">
            <v>46.45</v>
          </cell>
          <cell r="CJ331">
            <v>46.45</v>
          </cell>
          <cell r="CK331">
            <v>46.4</v>
          </cell>
          <cell r="CL331">
            <v>46.45</v>
          </cell>
          <cell r="CM331">
            <v>46.45</v>
          </cell>
        </row>
        <row r="332">
          <cell r="AI332">
            <v>4.57</v>
          </cell>
          <cell r="AJ332">
            <v>2.4012742824000002</v>
          </cell>
          <cell r="AK332">
            <v>5.7816211950000005</v>
          </cell>
          <cell r="AL332">
            <v>6.2478987480000008</v>
          </cell>
          <cell r="AM332">
            <v>6.0067131011999999</v>
          </cell>
          <cell r="AN332">
            <v>7.8837282719999999</v>
          </cell>
          <cell r="AO332">
            <v>7.0702227540000004</v>
          </cell>
          <cell r="AP332">
            <v>4.6954039355999999</v>
          </cell>
          <cell r="AQ332">
            <v>3.6444606282000001</v>
          </cell>
          <cell r="AR332">
            <v>3.8523564828000003</v>
          </cell>
          <cell r="AS332">
            <v>1.0269129276000002</v>
          </cell>
          <cell r="AT332">
            <v>0.22928068800000001</v>
          </cell>
          <cell r="AU332">
            <v>3.2782729139999995</v>
          </cell>
          <cell r="AV332">
            <v>5.3484129720000002</v>
          </cell>
          <cell r="AW332">
            <v>5.2315680060000007</v>
          </cell>
          <cell r="AX332">
            <v>7.9697085299999992</v>
          </cell>
          <cell r="AY332">
            <v>6.1112121839999993</v>
          </cell>
          <cell r="AZ332">
            <v>10.882014192</v>
          </cell>
          <cell r="BA332">
            <v>8.6884153019999992</v>
          </cell>
          <cell r="BB332">
            <v>18.144039060000001</v>
          </cell>
          <cell r="BC332">
            <v>13.970689613999999</v>
          </cell>
          <cell r="BD332">
            <v>14.673579</v>
          </cell>
          <cell r="BE332">
            <v>16.945882000000001</v>
          </cell>
          <cell r="BF332">
            <v>22.786714</v>
          </cell>
          <cell r="BG332">
            <v>32.746901000000001</v>
          </cell>
          <cell r="BH332">
            <v>36.492615000000001</v>
          </cell>
          <cell r="BI332">
            <v>27.655245999999998</v>
          </cell>
          <cell r="BJ332">
            <v>32.586697999999998</v>
          </cell>
          <cell r="BK332">
            <v>25.034049</v>
          </cell>
          <cell r="BL332">
            <v>28.261885999999997</v>
          </cell>
          <cell r="BM332">
            <v>72.929669560220006</v>
          </cell>
          <cell r="BN332">
            <v>50</v>
          </cell>
          <cell r="BO332">
            <v>45.45</v>
          </cell>
          <cell r="BP332">
            <v>45.45</v>
          </cell>
          <cell r="BQ332">
            <v>45.45</v>
          </cell>
          <cell r="BR332">
            <v>47.55</v>
          </cell>
          <cell r="BS332">
            <v>48.55</v>
          </cell>
          <cell r="BT332">
            <v>45.85</v>
          </cell>
          <cell r="BU332">
            <v>46.5</v>
          </cell>
          <cell r="BV332">
            <v>46.55</v>
          </cell>
          <cell r="BW332">
            <v>46.8</v>
          </cell>
          <cell r="BX332">
            <v>47</v>
          </cell>
          <cell r="BY332">
            <v>46.85</v>
          </cell>
          <cell r="BZ332">
            <v>46.55</v>
          </cell>
          <cell r="CA332">
            <v>46.75</v>
          </cell>
          <cell r="CB332">
            <v>46.75</v>
          </cell>
          <cell r="CC332">
            <v>46.8</v>
          </cell>
          <cell r="CD332">
            <v>46.8</v>
          </cell>
          <cell r="CE332">
            <v>46.75</v>
          </cell>
          <cell r="CF332">
            <v>46.75</v>
          </cell>
          <cell r="CG332">
            <v>46.75</v>
          </cell>
          <cell r="CH332">
            <v>46.75</v>
          </cell>
          <cell r="CI332">
            <v>46.75</v>
          </cell>
          <cell r="CJ332">
            <v>46.75</v>
          </cell>
          <cell r="CK332">
            <v>46.75</v>
          </cell>
          <cell r="CL332">
            <v>46.75</v>
          </cell>
          <cell r="CM332">
            <v>46.75</v>
          </cell>
        </row>
        <row r="333">
          <cell r="AI333">
            <v>4.5599999999999996</v>
          </cell>
          <cell r="AJ333">
            <v>2.2610603231999997</v>
          </cell>
          <cell r="AK333">
            <v>3.6396104598000001</v>
          </cell>
          <cell r="AL333">
            <v>3.2811389226000003</v>
          </cell>
          <cell r="AM333">
            <v>3.4733819609999999</v>
          </cell>
          <cell r="AN333">
            <v>6.8393988306000013</v>
          </cell>
          <cell r="AO333">
            <v>6.8808457242000003</v>
          </cell>
          <cell r="AP333">
            <v>4.9866345018000002</v>
          </cell>
          <cell r="AQ333">
            <v>3.4819799868000003</v>
          </cell>
          <cell r="AR333">
            <v>3.3629303988000001</v>
          </cell>
          <cell r="AS333">
            <v>98.622221934600006</v>
          </cell>
          <cell r="AT333">
            <v>2.7668006099999998</v>
          </cell>
          <cell r="AU333">
            <v>3.68171874</v>
          </cell>
          <cell r="AV333">
            <v>6.8122819799999998</v>
          </cell>
          <cell r="AW333">
            <v>9.2572077779999979</v>
          </cell>
          <cell r="AX333">
            <v>7.8043618799999992</v>
          </cell>
          <cell r="AY333">
            <v>8.1813522419999991</v>
          </cell>
          <cell r="AZ333">
            <v>13.450398821999999</v>
          </cell>
          <cell r="BA333">
            <v>15.23393802</v>
          </cell>
          <cell r="BB333">
            <v>16.521437267999996</v>
          </cell>
          <cell r="BC333">
            <v>14.303587535999998</v>
          </cell>
          <cell r="BD333">
            <v>38.298029999999997</v>
          </cell>
          <cell r="BE333">
            <v>25.228062999999999</v>
          </cell>
          <cell r="BF333">
            <v>19.409273000000002</v>
          </cell>
          <cell r="BG333">
            <v>23.758693999999998</v>
          </cell>
          <cell r="BH333">
            <v>33.028455000000001</v>
          </cell>
          <cell r="BI333">
            <v>22.894570999999999</v>
          </cell>
          <cell r="BJ333">
            <v>42.526710000000001</v>
          </cell>
          <cell r="BK333">
            <v>21.241515</v>
          </cell>
          <cell r="BL333">
            <v>46.505124000000002</v>
          </cell>
          <cell r="BM333">
            <v>15.419994128000001</v>
          </cell>
          <cell r="BN333">
            <v>46.5</v>
          </cell>
          <cell r="BO333">
            <v>42.3</v>
          </cell>
          <cell r="BP333">
            <v>42.3</v>
          </cell>
          <cell r="BQ333">
            <v>42.3</v>
          </cell>
          <cell r="BR333">
            <v>37.9</v>
          </cell>
          <cell r="BS333">
            <v>35.35</v>
          </cell>
          <cell r="BT333">
            <v>41.45</v>
          </cell>
          <cell r="BU333">
            <v>40.049999999999997</v>
          </cell>
          <cell r="BV333">
            <v>39.85</v>
          </cell>
          <cell r="BW333">
            <v>39.4</v>
          </cell>
          <cell r="BX333">
            <v>38.9</v>
          </cell>
          <cell r="BY333">
            <v>39.200000000000003</v>
          </cell>
          <cell r="BZ333">
            <v>39.950000000000003</v>
          </cell>
          <cell r="CA333">
            <v>39.5</v>
          </cell>
          <cell r="CB333">
            <v>39.450000000000003</v>
          </cell>
          <cell r="CC333">
            <v>39.4</v>
          </cell>
          <cell r="CD333">
            <v>39.4</v>
          </cell>
          <cell r="CE333">
            <v>39.5</v>
          </cell>
          <cell r="CF333">
            <v>39.549999999999997</v>
          </cell>
          <cell r="CG333">
            <v>39.450000000000003</v>
          </cell>
          <cell r="CH333">
            <v>39.450000000000003</v>
          </cell>
          <cell r="CI333">
            <v>39.450000000000003</v>
          </cell>
          <cell r="CJ333">
            <v>39.450000000000003</v>
          </cell>
          <cell r="CK333">
            <v>39.5</v>
          </cell>
          <cell r="CL333">
            <v>39.450000000000003</v>
          </cell>
          <cell r="CM333">
            <v>39.450000000000003</v>
          </cell>
        </row>
        <row r="334">
          <cell r="AI334">
            <v>4.55</v>
          </cell>
          <cell r="AJ334">
            <v>1.8620237412</v>
          </cell>
          <cell r="AK334">
            <v>4.9665724416000003</v>
          </cell>
          <cell r="AL334">
            <v>4.3345073141999997</v>
          </cell>
          <cell r="AM334">
            <v>6.1802168526000001</v>
          </cell>
          <cell r="AN334">
            <v>6.0554352474000002</v>
          </cell>
          <cell r="AO334">
            <v>5.7395129148000006</v>
          </cell>
          <cell r="AP334">
            <v>3.2760682919999997</v>
          </cell>
          <cell r="AQ334">
            <v>3.1221856764000004</v>
          </cell>
          <cell r="AR334">
            <v>3.5681807069999998</v>
          </cell>
          <cell r="AS334">
            <v>1.8424026054</v>
          </cell>
          <cell r="AT334">
            <v>5.8224067019999994</v>
          </cell>
          <cell r="AU334">
            <v>2.2972161240000002</v>
          </cell>
          <cell r="AV334">
            <v>2.1935988899999996</v>
          </cell>
          <cell r="AW334">
            <v>5.196294054</v>
          </cell>
          <cell r="AX334">
            <v>7.9719131519999999</v>
          </cell>
          <cell r="AY334">
            <v>4.7619835199999994</v>
          </cell>
          <cell r="AZ334">
            <v>9.2153199599999986</v>
          </cell>
          <cell r="BA334">
            <v>12.414226481999998</v>
          </cell>
          <cell r="BB334">
            <v>6.1023936959999991</v>
          </cell>
          <cell r="BC334">
            <v>12.032826876</v>
          </cell>
          <cell r="BD334">
            <v>13.701938999999999</v>
          </cell>
          <cell r="BE334">
            <v>20.395581999999997</v>
          </cell>
          <cell r="BF334">
            <v>18.088712999999998</v>
          </cell>
          <cell r="BG334">
            <v>14.676216</v>
          </cell>
          <cell r="BH334">
            <v>25.245944999999999</v>
          </cell>
          <cell r="BI334">
            <v>20.835871999999998</v>
          </cell>
          <cell r="BJ334">
            <v>34.991748000000001</v>
          </cell>
          <cell r="BK334">
            <v>22.662388</v>
          </cell>
          <cell r="BL334">
            <v>24.905664000000002</v>
          </cell>
          <cell r="BM334">
            <v>20.638739727320001</v>
          </cell>
          <cell r="BN334">
            <v>75.228887894319996</v>
          </cell>
          <cell r="BO334">
            <v>33.949999999999989</v>
          </cell>
          <cell r="BP334">
            <v>33.949999999999989</v>
          </cell>
          <cell r="BQ334">
            <v>33.949999999999989</v>
          </cell>
          <cell r="BR334">
            <v>36.950000000000045</v>
          </cell>
          <cell r="BS334">
            <v>36.89999999999992</v>
          </cell>
          <cell r="BT334">
            <v>41.949999999999989</v>
          </cell>
          <cell r="BU334">
            <v>35.100000000000023</v>
          </cell>
          <cell r="BV334">
            <v>36.800000000000011</v>
          </cell>
          <cell r="BW334">
            <v>37</v>
          </cell>
          <cell r="BX334">
            <v>37.5</v>
          </cell>
          <cell r="BY334">
            <v>37.550000000000011</v>
          </cell>
          <cell r="BZ334">
            <v>37.649999999999977</v>
          </cell>
          <cell r="CA334">
            <v>36.800000000000068</v>
          </cell>
          <cell r="CB334">
            <v>37.350000000000023</v>
          </cell>
          <cell r="CC334">
            <v>37.249999999999943</v>
          </cell>
          <cell r="CD334">
            <v>37.349999999999966</v>
          </cell>
          <cell r="CE334">
            <v>37.300000000000011</v>
          </cell>
          <cell r="CF334">
            <v>37.299999999999955</v>
          </cell>
          <cell r="CG334">
            <v>37.300000000000068</v>
          </cell>
          <cell r="CH334">
            <v>37.350000000000023</v>
          </cell>
          <cell r="CI334">
            <v>37.350000000000023</v>
          </cell>
          <cell r="CJ334">
            <v>37.350000000000023</v>
          </cell>
          <cell r="CK334">
            <v>37.350000000000023</v>
          </cell>
          <cell r="CL334">
            <v>37.350000000000023</v>
          </cell>
          <cell r="CM334">
            <v>37.300000000000011</v>
          </cell>
        </row>
        <row r="335">
          <cell r="AI335">
            <v>4.54</v>
          </cell>
          <cell r="AJ335">
            <v>17.2668199662</v>
          </cell>
          <cell r="AK335">
            <v>95.39928503279998</v>
          </cell>
          <cell r="AL335">
            <v>53.126099107200005</v>
          </cell>
          <cell r="AM335">
            <v>60.335874433799994</v>
          </cell>
          <cell r="AN335">
            <v>83.149743814200008</v>
          </cell>
          <cell r="AO335">
            <v>82.015686257400006</v>
          </cell>
          <cell r="AP335">
            <v>73.040008708800002</v>
          </cell>
          <cell r="AQ335">
            <v>45.958211598600009</v>
          </cell>
          <cell r="AR335">
            <v>46.02501164520001</v>
          </cell>
          <cell r="AS335">
            <v>336.38541354180006</v>
          </cell>
          <cell r="AT335">
            <v>23.201441927999998</v>
          </cell>
          <cell r="AU335">
            <v>34.125343938</v>
          </cell>
          <cell r="AV335">
            <v>37.341887435999993</v>
          </cell>
          <cell r="AW335">
            <v>64.236071214000006</v>
          </cell>
          <cell r="AX335">
            <v>88.971930053999998</v>
          </cell>
          <cell r="AY335">
            <v>101.92849354799999</v>
          </cell>
          <cell r="AZ335">
            <v>159.07450040999998</v>
          </cell>
          <cell r="BA335">
            <v>149.034651822</v>
          </cell>
          <cell r="BB335">
            <v>182.106186444</v>
          </cell>
          <cell r="BC335">
            <v>158.92679073599999</v>
          </cell>
          <cell r="BD335">
            <v>264.583800634</v>
          </cell>
          <cell r="BE335">
            <v>287.12950499999999</v>
          </cell>
          <cell r="BF335">
            <v>319.28313099999997</v>
          </cell>
          <cell r="BG335">
            <v>335.84869500000002</v>
          </cell>
        </row>
        <row r="340">
          <cell r="AJ340">
            <v>308.40479204220003</v>
          </cell>
          <cell r="AK340">
            <v>205.409040984</v>
          </cell>
          <cell r="AL340">
            <v>303.8529089988001</v>
          </cell>
          <cell r="AM340">
            <v>424.07447405399989</v>
          </cell>
          <cell r="AN340">
            <v>351.67071925440007</v>
          </cell>
          <cell r="AO340">
            <v>114.75674804160001</v>
          </cell>
          <cell r="AP340">
            <v>115.2192777372</v>
          </cell>
          <cell r="AQ340">
            <v>138.60656929980001</v>
          </cell>
          <cell r="AR340">
            <v>194.88263232060001</v>
          </cell>
          <cell r="AS340">
            <v>111.332308689</v>
          </cell>
          <cell r="AT340">
            <v>184.48850097719998</v>
          </cell>
          <cell r="AU340">
            <v>154.11630553200001</v>
          </cell>
          <cell r="AV340">
            <v>120.2557366962</v>
          </cell>
          <cell r="AW340">
            <v>198.02796652800001</v>
          </cell>
          <cell r="AX340">
            <v>102.34648987920001</v>
          </cell>
          <cell r="AY340">
            <v>241.07122691820001</v>
          </cell>
          <cell r="AZ340">
            <v>432.52479018000008</v>
          </cell>
          <cell r="BA340">
            <v>107.774048781</v>
          </cell>
          <cell r="BB340">
            <v>274.60000014300005</v>
          </cell>
          <cell r="BC340">
            <v>135.91737138420001</v>
          </cell>
          <cell r="BD340">
            <v>231.5380004658</v>
          </cell>
          <cell r="BE340">
            <v>232.49482698310001</v>
          </cell>
          <cell r="BF340">
            <v>235.94273361361999</v>
          </cell>
          <cell r="BG340">
            <v>131.75515039324</v>
          </cell>
          <cell r="BH340">
            <v>214.18447800000001</v>
          </cell>
          <cell r="BI340">
            <v>257.23033600000002</v>
          </cell>
          <cell r="BJ340">
            <v>175.07671999999999</v>
          </cell>
          <cell r="BK340">
            <v>229.48059899999998</v>
          </cell>
          <cell r="BL340">
            <v>23.562170999999999</v>
          </cell>
          <cell r="BM340">
            <v>13.253858000000001</v>
          </cell>
          <cell r="BN340">
            <v>128.822382</v>
          </cell>
          <cell r="BO340">
            <v>190</v>
          </cell>
          <cell r="BP340">
            <v>110</v>
          </cell>
          <cell r="BQ340">
            <v>130</v>
          </cell>
          <cell r="BR340">
            <v>110</v>
          </cell>
          <cell r="BS340">
            <v>175</v>
          </cell>
          <cell r="BT340">
            <v>140</v>
          </cell>
          <cell r="BU340">
            <v>125</v>
          </cell>
          <cell r="BV340">
            <v>140</v>
          </cell>
          <cell r="BW340">
            <v>40</v>
          </cell>
          <cell r="BX340">
            <v>40</v>
          </cell>
          <cell r="BY340">
            <v>160</v>
          </cell>
          <cell r="BZ340">
            <v>120</v>
          </cell>
          <cell r="CA340">
            <v>80</v>
          </cell>
          <cell r="CB340">
            <v>80</v>
          </cell>
          <cell r="CC340">
            <v>160</v>
          </cell>
          <cell r="CD340">
            <v>160</v>
          </cell>
          <cell r="CE340">
            <v>160</v>
          </cell>
          <cell r="CF340">
            <v>160</v>
          </cell>
          <cell r="CG340">
            <v>160</v>
          </cell>
          <cell r="CH340">
            <v>160</v>
          </cell>
          <cell r="CI340">
            <v>160</v>
          </cell>
          <cell r="CJ340">
            <v>160</v>
          </cell>
          <cell r="CK340">
            <v>160</v>
          </cell>
          <cell r="CL340">
            <v>160</v>
          </cell>
          <cell r="CM340">
            <v>160</v>
          </cell>
          <cell r="CN340">
            <v>160</v>
          </cell>
        </row>
        <row r="341">
          <cell r="AJ341">
            <v>296.51614744499994</v>
          </cell>
          <cell r="AK341">
            <v>95.919796287000011</v>
          </cell>
          <cell r="AL341">
            <v>213.2522042112</v>
          </cell>
          <cell r="AM341">
            <v>199.92151636379998</v>
          </cell>
          <cell r="AN341">
            <v>449.85223725119988</v>
          </cell>
          <cell r="AO341">
            <v>158.83463753640001</v>
          </cell>
          <cell r="AP341">
            <v>261.62469736200006</v>
          </cell>
          <cell r="AQ341">
            <v>164.76242517</v>
          </cell>
          <cell r="AR341">
            <v>210.21379417079999</v>
          </cell>
          <cell r="AS341">
            <v>133.15211400960001</v>
          </cell>
          <cell r="AT341">
            <v>239.52424366079998</v>
          </cell>
          <cell r="AU341">
            <v>107.7522230232</v>
          </cell>
          <cell r="AV341">
            <v>276.71930327160004</v>
          </cell>
          <cell r="AW341">
            <v>391.33363273200007</v>
          </cell>
          <cell r="AX341">
            <v>119.9054222604</v>
          </cell>
          <cell r="AY341">
            <v>390.3089244264001</v>
          </cell>
          <cell r="AZ341">
            <v>394.46132996340003</v>
          </cell>
          <cell r="BA341">
            <v>59.57902770119999</v>
          </cell>
          <cell r="BB341">
            <v>358.65275712840003</v>
          </cell>
          <cell r="BC341">
            <v>320.22597520619991</v>
          </cell>
          <cell r="BD341">
            <v>235.49860388880003</v>
          </cell>
          <cell r="BE341">
            <v>320.07370701767996</v>
          </cell>
          <cell r="BF341">
            <v>235.00323259599998</v>
          </cell>
          <cell r="BG341">
            <v>172.62649254686002</v>
          </cell>
          <cell r="BH341">
            <v>156.95214999999999</v>
          </cell>
          <cell r="BI341">
            <v>184.528862</v>
          </cell>
          <cell r="BJ341">
            <v>234.742696</v>
          </cell>
          <cell r="BK341">
            <v>164.832829</v>
          </cell>
          <cell r="BL341">
            <v>34.637972000000005</v>
          </cell>
          <cell r="BM341">
            <v>12.609206</v>
          </cell>
          <cell r="BN341">
            <v>279.35427200053999</v>
          </cell>
          <cell r="BO341">
            <v>175</v>
          </cell>
          <cell r="BP341">
            <v>140</v>
          </cell>
          <cell r="BQ341">
            <v>150</v>
          </cell>
          <cell r="BR341">
            <v>155</v>
          </cell>
          <cell r="BS341">
            <v>230</v>
          </cell>
          <cell r="BT341">
            <v>190</v>
          </cell>
          <cell r="BU341">
            <v>150</v>
          </cell>
          <cell r="BV341">
            <v>185</v>
          </cell>
          <cell r="BW341">
            <v>50</v>
          </cell>
          <cell r="BX341">
            <v>50</v>
          </cell>
          <cell r="BY341">
            <v>210</v>
          </cell>
          <cell r="BZ341">
            <v>155</v>
          </cell>
          <cell r="CA341">
            <v>105</v>
          </cell>
          <cell r="CB341">
            <v>105</v>
          </cell>
          <cell r="CC341">
            <v>205</v>
          </cell>
          <cell r="CD341">
            <v>210</v>
          </cell>
          <cell r="CE341">
            <v>210</v>
          </cell>
          <cell r="CF341">
            <v>210</v>
          </cell>
          <cell r="CG341">
            <v>210</v>
          </cell>
          <cell r="CH341">
            <v>210</v>
          </cell>
          <cell r="CI341">
            <v>210</v>
          </cell>
          <cell r="CJ341">
            <v>210</v>
          </cell>
          <cell r="CK341">
            <v>210</v>
          </cell>
          <cell r="CL341">
            <v>210</v>
          </cell>
          <cell r="CM341">
            <v>210</v>
          </cell>
          <cell r="CN341">
            <v>210</v>
          </cell>
        </row>
        <row r="342">
          <cell r="AJ342">
            <v>229.88806136100001</v>
          </cell>
          <cell r="AK342">
            <v>189.063973476</v>
          </cell>
          <cell r="AL342">
            <v>190.54569992220001</v>
          </cell>
          <cell r="AM342">
            <v>451.07117275500002</v>
          </cell>
          <cell r="AN342">
            <v>246.09533999399997</v>
          </cell>
          <cell r="AO342">
            <v>103.02352929540001</v>
          </cell>
          <cell r="AP342">
            <v>130.39567512299999</v>
          </cell>
          <cell r="AQ342">
            <v>249.94240538400004</v>
          </cell>
          <cell r="AR342">
            <v>277.51428996480001</v>
          </cell>
          <cell r="AS342">
            <v>71.181732824999997</v>
          </cell>
          <cell r="AT342">
            <v>77.040515790000001</v>
          </cell>
          <cell r="AU342">
            <v>71.319301237800005</v>
          </cell>
          <cell r="AV342">
            <v>176.39489269080002</v>
          </cell>
          <cell r="AW342">
            <v>157.68382485239999</v>
          </cell>
          <cell r="AX342">
            <v>96.434355061799991</v>
          </cell>
          <cell r="AY342">
            <v>513.86211424800001</v>
          </cell>
          <cell r="AZ342">
            <v>466.26013648620005</v>
          </cell>
          <cell r="BA342">
            <v>91.413107994599997</v>
          </cell>
          <cell r="BB342">
            <v>258.94696348080004</v>
          </cell>
          <cell r="BC342">
            <v>267.15763719540001</v>
          </cell>
          <cell r="BD342">
            <v>256.163161</v>
          </cell>
          <cell r="BE342">
            <v>165.96508109807999</v>
          </cell>
          <cell r="BF342">
            <v>262.65550126926001</v>
          </cell>
          <cell r="BG342">
            <v>180.2512082954</v>
          </cell>
          <cell r="BH342">
            <v>220.500058</v>
          </cell>
          <cell r="BI342">
            <v>124.78887300000001</v>
          </cell>
          <cell r="BJ342">
            <v>327.24921000000001</v>
          </cell>
          <cell r="BK342">
            <v>283.86392000000001</v>
          </cell>
          <cell r="BL342">
            <v>14.807843999999999</v>
          </cell>
          <cell r="BM342">
            <v>11.305634</v>
          </cell>
          <cell r="BN342">
            <v>468.91383788304</v>
          </cell>
          <cell r="BO342">
            <v>210</v>
          </cell>
          <cell r="BP342">
            <v>215</v>
          </cell>
          <cell r="BQ342">
            <v>220</v>
          </cell>
          <cell r="BR342">
            <v>220</v>
          </cell>
          <cell r="BS342">
            <v>345</v>
          </cell>
          <cell r="BT342">
            <v>285</v>
          </cell>
          <cell r="BU342">
            <v>215</v>
          </cell>
          <cell r="BV342">
            <v>275</v>
          </cell>
          <cell r="BW342">
            <v>75</v>
          </cell>
          <cell r="BX342">
            <v>75</v>
          </cell>
          <cell r="BY342">
            <v>310</v>
          </cell>
          <cell r="BZ342">
            <v>230</v>
          </cell>
          <cell r="CA342">
            <v>150</v>
          </cell>
          <cell r="CB342">
            <v>155</v>
          </cell>
          <cell r="CC342">
            <v>305</v>
          </cell>
          <cell r="CD342">
            <v>305</v>
          </cell>
          <cell r="CE342">
            <v>305</v>
          </cell>
          <cell r="CF342">
            <v>305</v>
          </cell>
          <cell r="CG342">
            <v>305</v>
          </cell>
          <cell r="CH342">
            <v>305</v>
          </cell>
          <cell r="CI342">
            <v>305</v>
          </cell>
          <cell r="CJ342">
            <v>305</v>
          </cell>
          <cell r="CK342">
            <v>305</v>
          </cell>
          <cell r="CL342">
            <v>305</v>
          </cell>
          <cell r="CM342">
            <v>305</v>
          </cell>
          <cell r="CN342">
            <v>305</v>
          </cell>
        </row>
        <row r="343">
          <cell r="AI343">
            <v>4.54</v>
          </cell>
          <cell r="AJ343">
            <v>354.93840998280001</v>
          </cell>
          <cell r="AK343">
            <v>97.009981866000018</v>
          </cell>
          <cell r="AL343">
            <v>239.16048103080001</v>
          </cell>
          <cell r="AM343">
            <v>385.70545322819999</v>
          </cell>
          <cell r="AN343">
            <v>149.2513661646</v>
          </cell>
          <cell r="AO343">
            <v>146.149903935</v>
          </cell>
          <cell r="AP343">
            <v>184.53016833300001</v>
          </cell>
          <cell r="AQ343">
            <v>446.69389577400005</v>
          </cell>
          <cell r="AR343">
            <v>319.090374414</v>
          </cell>
          <cell r="AS343">
            <v>62.822247125400011</v>
          </cell>
          <cell r="AT343">
            <v>217.19362742280001</v>
          </cell>
          <cell r="AU343">
            <v>66.965834174400015</v>
          </cell>
          <cell r="AV343">
            <v>118.24988512979999</v>
          </cell>
          <cell r="AW343">
            <v>509.92002964980003</v>
          </cell>
          <cell r="AX343">
            <v>145.89350639640003</v>
          </cell>
          <cell r="AY343">
            <v>399.53636980739998</v>
          </cell>
          <cell r="AZ343">
            <v>301.20603982559999</v>
          </cell>
          <cell r="BA343">
            <v>142.47127166579997</v>
          </cell>
          <cell r="BB343">
            <v>339.73158881340004</v>
          </cell>
          <cell r="BC343">
            <v>276.65492830919999</v>
          </cell>
          <cell r="BD343">
            <v>219.82096925645999</v>
          </cell>
          <cell r="BE343">
            <v>114.12120410878001</v>
          </cell>
          <cell r="BF343">
            <v>238.18432729564</v>
          </cell>
          <cell r="BG343">
            <v>178.97044312488001</v>
          </cell>
          <cell r="BH343">
            <v>91.131142000000011</v>
          </cell>
          <cell r="BI343">
            <v>395.042531</v>
          </cell>
          <cell r="BJ343">
            <v>254.25654500000002</v>
          </cell>
          <cell r="BK343">
            <v>234.146694</v>
          </cell>
          <cell r="BL343">
            <v>25.726937000000003</v>
          </cell>
          <cell r="BM343">
            <v>13.907076999999999</v>
          </cell>
          <cell r="BN343">
            <v>205</v>
          </cell>
          <cell r="BO343">
            <v>250</v>
          </cell>
          <cell r="BP343">
            <v>140</v>
          </cell>
          <cell r="BQ343">
            <v>160</v>
          </cell>
          <cell r="BR343">
            <v>155</v>
          </cell>
          <cell r="BS343">
            <v>235</v>
          </cell>
          <cell r="BT343">
            <v>195</v>
          </cell>
          <cell r="BU343">
            <v>165</v>
          </cell>
          <cell r="BV343">
            <v>190</v>
          </cell>
          <cell r="BW343">
            <v>55</v>
          </cell>
          <cell r="BX343">
            <v>55</v>
          </cell>
          <cell r="BY343">
            <v>215</v>
          </cell>
          <cell r="BZ343">
            <v>165</v>
          </cell>
          <cell r="CA343">
            <v>110</v>
          </cell>
          <cell r="CB343">
            <v>110</v>
          </cell>
          <cell r="CC343">
            <v>220</v>
          </cell>
          <cell r="CD343">
            <v>220</v>
          </cell>
          <cell r="CE343">
            <v>220</v>
          </cell>
          <cell r="CF343">
            <v>220</v>
          </cell>
          <cell r="CG343">
            <v>220</v>
          </cell>
          <cell r="CH343">
            <v>220</v>
          </cell>
          <cell r="CI343">
            <v>220</v>
          </cell>
          <cell r="CJ343">
            <v>220</v>
          </cell>
          <cell r="CK343">
            <v>220</v>
          </cell>
          <cell r="CL343">
            <v>220</v>
          </cell>
          <cell r="CM343">
            <v>220</v>
          </cell>
        </row>
        <row r="344">
          <cell r="AI344">
            <v>4.59</v>
          </cell>
          <cell r="AJ344">
            <v>564.19583912999985</v>
          </cell>
          <cell r="AK344">
            <v>68.016997943999996</v>
          </cell>
          <cell r="AL344">
            <v>298.97386005060002</v>
          </cell>
          <cell r="AM344">
            <v>268.45836417539999</v>
          </cell>
          <cell r="AN344">
            <v>131.57206142219999</v>
          </cell>
          <cell r="AO344">
            <v>161.26809929999999</v>
          </cell>
          <cell r="AP344">
            <v>142.42960431</v>
          </cell>
          <cell r="AQ344">
            <v>233.34887697660002</v>
          </cell>
          <cell r="AR344">
            <v>273.87181349640002</v>
          </cell>
          <cell r="AS344">
            <v>73.481153571000007</v>
          </cell>
          <cell r="AT344">
            <v>74.617636212000008</v>
          </cell>
          <cell r="AU344">
            <v>178.19827348680002</v>
          </cell>
          <cell r="AV344">
            <v>75.175185115799991</v>
          </cell>
          <cell r="AW344">
            <v>385.50791909699996</v>
          </cell>
          <cell r="AX344">
            <v>161.28794089799996</v>
          </cell>
          <cell r="AY344">
            <v>408.03562854180007</v>
          </cell>
          <cell r="AZ344">
            <v>330.14875836600004</v>
          </cell>
          <cell r="BA344">
            <v>69.808694243400012</v>
          </cell>
          <cell r="BB344">
            <v>136.72536534719995</v>
          </cell>
          <cell r="BC344">
            <v>195.54203476079999</v>
          </cell>
          <cell r="BD344">
            <v>232.74479561718002</v>
          </cell>
          <cell r="BE344">
            <v>232.32517486024</v>
          </cell>
          <cell r="BF344">
            <v>295.03894839650002</v>
          </cell>
          <cell r="BG344">
            <v>202.66968924708002</v>
          </cell>
          <cell r="BH344">
            <v>270.20173100000005</v>
          </cell>
          <cell r="BI344">
            <v>319.89317499999999</v>
          </cell>
          <cell r="BJ344">
            <v>155.46368799999999</v>
          </cell>
          <cell r="BK344">
            <v>275.593277</v>
          </cell>
          <cell r="BL344">
            <v>12.230503000000001</v>
          </cell>
          <cell r="BM344">
            <v>98.549413999999999</v>
          </cell>
          <cell r="BN344">
            <v>215</v>
          </cell>
          <cell r="BO344">
            <v>235</v>
          </cell>
          <cell r="BP344">
            <v>145</v>
          </cell>
          <cell r="BQ344">
            <v>185</v>
          </cell>
          <cell r="BR344">
            <v>170</v>
          </cell>
          <cell r="BS344">
            <v>270</v>
          </cell>
          <cell r="BT344">
            <v>200</v>
          </cell>
          <cell r="BU344">
            <v>175</v>
          </cell>
          <cell r="BV344">
            <v>205</v>
          </cell>
          <cell r="BW344">
            <v>60</v>
          </cell>
          <cell r="BX344">
            <v>60</v>
          </cell>
          <cell r="BY344">
            <v>235</v>
          </cell>
          <cell r="BZ344">
            <v>175</v>
          </cell>
          <cell r="CA344">
            <v>120</v>
          </cell>
          <cell r="CB344">
            <v>120</v>
          </cell>
          <cell r="CC344">
            <v>235</v>
          </cell>
          <cell r="CD344">
            <v>235</v>
          </cell>
          <cell r="CE344">
            <v>235</v>
          </cell>
          <cell r="CF344">
            <v>235</v>
          </cell>
          <cell r="CG344">
            <v>235</v>
          </cell>
          <cell r="CH344">
            <v>235</v>
          </cell>
          <cell r="CI344">
            <v>235</v>
          </cell>
          <cell r="CJ344">
            <v>235</v>
          </cell>
          <cell r="CK344">
            <v>235</v>
          </cell>
          <cell r="CL344">
            <v>235</v>
          </cell>
          <cell r="CM344">
            <v>235</v>
          </cell>
        </row>
        <row r="345">
          <cell r="AI345">
            <v>4.66</v>
          </cell>
          <cell r="AJ345">
            <v>239.47596243900006</v>
          </cell>
          <cell r="AK345">
            <v>75.245953481999976</v>
          </cell>
          <cell r="AL345">
            <v>85.149115506000001</v>
          </cell>
          <cell r="AM345">
            <v>191.26881593820002</v>
          </cell>
          <cell r="AN345">
            <v>231.48861693300003</v>
          </cell>
          <cell r="AO345">
            <v>91.549353634200003</v>
          </cell>
          <cell r="AP345">
            <v>105.79672330920002</v>
          </cell>
          <cell r="AQ345">
            <v>233.31735088200006</v>
          </cell>
          <cell r="AR345">
            <v>211.57757334000001</v>
          </cell>
          <cell r="AS345">
            <v>38.8015676622</v>
          </cell>
          <cell r="AT345">
            <v>74.810981561399998</v>
          </cell>
          <cell r="AU345">
            <v>96.808479415199997</v>
          </cell>
          <cell r="AV345">
            <v>102.68203334760001</v>
          </cell>
          <cell r="AW345">
            <v>427.05622530900001</v>
          </cell>
          <cell r="AX345">
            <v>350.31730180860001</v>
          </cell>
          <cell r="AY345">
            <v>148.00134549060004</v>
          </cell>
          <cell r="AZ345">
            <v>188.5765315518</v>
          </cell>
          <cell r="BA345">
            <v>121.22290436759998</v>
          </cell>
          <cell r="BB345">
            <v>135.88849083599999</v>
          </cell>
          <cell r="BC345">
            <v>93.039678106200014</v>
          </cell>
          <cell r="BD345">
            <v>124.61321335540001</v>
          </cell>
          <cell r="BE345">
            <v>124.76960909820001</v>
          </cell>
          <cell r="BF345">
            <v>257.03336091620002</v>
          </cell>
          <cell r="BG345">
            <v>211.72933262887997</v>
          </cell>
          <cell r="BH345">
            <v>147.49098000000001</v>
          </cell>
          <cell r="BI345">
            <v>229.69054500000001</v>
          </cell>
          <cell r="BJ345">
            <v>131.25849400000001</v>
          </cell>
          <cell r="BK345">
            <v>157.14760999999999</v>
          </cell>
          <cell r="BL345">
            <v>60.212870000000002</v>
          </cell>
          <cell r="BM345">
            <v>22.256345</v>
          </cell>
          <cell r="BN345">
            <v>145</v>
          </cell>
          <cell r="BO345">
            <v>165</v>
          </cell>
          <cell r="BP345">
            <v>100</v>
          </cell>
          <cell r="BQ345">
            <v>120</v>
          </cell>
          <cell r="BR345">
            <v>120</v>
          </cell>
          <cell r="BS345">
            <v>170</v>
          </cell>
          <cell r="BT345">
            <v>140</v>
          </cell>
          <cell r="BU345">
            <v>120</v>
          </cell>
          <cell r="BV345">
            <v>140</v>
          </cell>
          <cell r="BW345">
            <v>40</v>
          </cell>
          <cell r="BX345">
            <v>40</v>
          </cell>
          <cell r="BY345">
            <v>155</v>
          </cell>
          <cell r="BZ345">
            <v>120</v>
          </cell>
          <cell r="CA345">
            <v>80</v>
          </cell>
          <cell r="CB345">
            <v>80</v>
          </cell>
          <cell r="CC345">
            <v>160</v>
          </cell>
          <cell r="CD345">
            <v>160</v>
          </cell>
          <cell r="CE345">
            <v>160</v>
          </cell>
          <cell r="CF345">
            <v>160</v>
          </cell>
          <cell r="CG345">
            <v>160</v>
          </cell>
          <cell r="CH345">
            <v>160</v>
          </cell>
          <cell r="CI345">
            <v>160</v>
          </cell>
          <cell r="CJ345">
            <v>160</v>
          </cell>
          <cell r="CK345">
            <v>160</v>
          </cell>
          <cell r="CL345">
            <v>160</v>
          </cell>
          <cell r="CM345">
            <v>160</v>
          </cell>
        </row>
        <row r="346">
          <cell r="AI346">
            <v>4.7</v>
          </cell>
          <cell r="AJ346">
            <v>87.473668942799989</v>
          </cell>
          <cell r="AK346">
            <v>63.93910863060001</v>
          </cell>
          <cell r="AL346">
            <v>28.103198482800003</v>
          </cell>
          <cell r="AM346">
            <v>147.95637120180001</v>
          </cell>
          <cell r="AN346">
            <v>91.161340162200005</v>
          </cell>
          <cell r="AO346">
            <v>48.250357092000002</v>
          </cell>
          <cell r="AP346">
            <v>51.238281288600007</v>
          </cell>
          <cell r="AQ346">
            <v>87.348666875399999</v>
          </cell>
          <cell r="AR346">
            <v>109.5470057934</v>
          </cell>
          <cell r="AS346">
            <v>44.005577893200005</v>
          </cell>
          <cell r="AT346">
            <v>71.93990233080001</v>
          </cell>
          <cell r="AU346">
            <v>53.844585416999998</v>
          </cell>
          <cell r="AV346">
            <v>121.31593941600001</v>
          </cell>
          <cell r="AW346">
            <v>163.39423675679998</v>
          </cell>
          <cell r="AX346">
            <v>277.87849351919999</v>
          </cell>
          <cell r="AY346">
            <v>77.219751558600009</v>
          </cell>
          <cell r="AZ346">
            <v>91.687803895800002</v>
          </cell>
          <cell r="BA346">
            <v>193.55831588519999</v>
          </cell>
          <cell r="BB346">
            <v>79.313481072000016</v>
          </cell>
          <cell r="BC346">
            <v>45.820863648</v>
          </cell>
          <cell r="BD346">
            <v>71.85582120442001</v>
          </cell>
          <cell r="BE346">
            <v>103.50585298702001</v>
          </cell>
          <cell r="BF346">
            <v>160.55444537396002</v>
          </cell>
          <cell r="BG346">
            <v>430.82704763428001</v>
          </cell>
          <cell r="BH346">
            <v>204.75971299999998</v>
          </cell>
          <cell r="BI346">
            <v>357.17821600000002</v>
          </cell>
          <cell r="BJ346">
            <v>71.202950999999999</v>
          </cell>
          <cell r="BK346">
            <v>73.899194000000008</v>
          </cell>
          <cell r="BL346">
            <v>49.812683</v>
          </cell>
          <cell r="BM346">
            <v>93.838687999999991</v>
          </cell>
          <cell r="BN346">
            <v>150</v>
          </cell>
          <cell r="BO346">
            <v>175</v>
          </cell>
          <cell r="BP346">
            <v>85</v>
          </cell>
          <cell r="BQ346">
            <v>120</v>
          </cell>
          <cell r="BR346">
            <v>135</v>
          </cell>
          <cell r="BS346">
            <v>190</v>
          </cell>
          <cell r="BT346">
            <v>140</v>
          </cell>
          <cell r="BU346">
            <v>125</v>
          </cell>
          <cell r="BV346">
            <v>140</v>
          </cell>
          <cell r="BW346">
            <v>40</v>
          </cell>
          <cell r="BX346">
            <v>40</v>
          </cell>
          <cell r="BY346">
            <v>165</v>
          </cell>
          <cell r="BZ346">
            <v>120</v>
          </cell>
          <cell r="CA346">
            <v>80</v>
          </cell>
          <cell r="CB346">
            <v>80</v>
          </cell>
          <cell r="CC346">
            <v>160</v>
          </cell>
          <cell r="CD346">
            <v>160</v>
          </cell>
          <cell r="CE346">
            <v>160</v>
          </cell>
          <cell r="CF346">
            <v>160</v>
          </cell>
          <cell r="CG346">
            <v>160</v>
          </cell>
          <cell r="CH346">
            <v>160</v>
          </cell>
          <cell r="CI346">
            <v>160</v>
          </cell>
          <cell r="CJ346">
            <v>160</v>
          </cell>
          <cell r="CK346">
            <v>160</v>
          </cell>
          <cell r="CL346">
            <v>160</v>
          </cell>
          <cell r="CM346">
            <v>160</v>
          </cell>
        </row>
        <row r="347">
          <cell r="AI347">
            <v>4.7</v>
          </cell>
          <cell r="AJ347">
            <v>160.4140287372</v>
          </cell>
          <cell r="AK347">
            <v>16.820824935600001</v>
          </cell>
          <cell r="AL347">
            <v>44.207521268400001</v>
          </cell>
          <cell r="AM347">
            <v>204.746552073</v>
          </cell>
          <cell r="AN347">
            <v>133.75221211799999</v>
          </cell>
          <cell r="AO347">
            <v>109.8461729988</v>
          </cell>
          <cell r="AP347">
            <v>109.8847538838</v>
          </cell>
          <cell r="AQ347">
            <v>345.45015781920006</v>
          </cell>
          <cell r="AR347">
            <v>96.647101084800028</v>
          </cell>
          <cell r="AS347">
            <v>39.286143577800004</v>
          </cell>
          <cell r="AT347">
            <v>68.535525038399996</v>
          </cell>
          <cell r="AU347">
            <v>82.002899449800012</v>
          </cell>
          <cell r="AV347">
            <v>123.48661023720001</v>
          </cell>
          <cell r="AW347">
            <v>171.69177257820002</v>
          </cell>
          <cell r="AX347">
            <v>86.504076187200027</v>
          </cell>
          <cell r="AY347">
            <v>129.059674191</v>
          </cell>
          <cell r="AZ347">
            <v>129.69284162939999</v>
          </cell>
          <cell r="BA347">
            <v>123.81796492380001</v>
          </cell>
          <cell r="BB347">
            <v>75.067599562199987</v>
          </cell>
          <cell r="BC347">
            <v>78.719335442999977</v>
          </cell>
          <cell r="BD347">
            <v>156.71127903749999</v>
          </cell>
          <cell r="BE347">
            <v>157.95037689002001</v>
          </cell>
          <cell r="BF347">
            <v>137.20419059776</v>
          </cell>
          <cell r="BG347">
            <v>227.33878298120001</v>
          </cell>
          <cell r="BH347">
            <v>94.655007999999995</v>
          </cell>
          <cell r="BI347">
            <v>166.82469800000001</v>
          </cell>
          <cell r="BJ347">
            <v>91.243365999999995</v>
          </cell>
          <cell r="BK347">
            <v>72.837020999999993</v>
          </cell>
          <cell r="BL347">
            <v>39.989739999999998</v>
          </cell>
          <cell r="BM347">
            <v>115.09403399999999</v>
          </cell>
          <cell r="BN347">
            <v>105</v>
          </cell>
          <cell r="BO347">
            <v>135</v>
          </cell>
          <cell r="BP347">
            <v>80</v>
          </cell>
          <cell r="BQ347">
            <v>105</v>
          </cell>
          <cell r="BR347">
            <v>115</v>
          </cell>
          <cell r="BS347">
            <v>165</v>
          </cell>
          <cell r="BT347">
            <v>115</v>
          </cell>
          <cell r="BU347">
            <v>105</v>
          </cell>
          <cell r="BV347">
            <v>125</v>
          </cell>
          <cell r="BW347">
            <v>35</v>
          </cell>
          <cell r="BX347">
            <v>35</v>
          </cell>
          <cell r="BY347">
            <v>140</v>
          </cell>
          <cell r="BZ347">
            <v>105</v>
          </cell>
          <cell r="CA347">
            <v>70</v>
          </cell>
          <cell r="CB347">
            <v>70</v>
          </cell>
          <cell r="CC347">
            <v>140</v>
          </cell>
          <cell r="CD347">
            <v>140</v>
          </cell>
          <cell r="CE347">
            <v>140</v>
          </cell>
          <cell r="CF347">
            <v>140</v>
          </cell>
          <cell r="CG347">
            <v>140</v>
          </cell>
          <cell r="CH347">
            <v>140</v>
          </cell>
          <cell r="CI347">
            <v>140</v>
          </cell>
          <cell r="CJ347">
            <v>140</v>
          </cell>
          <cell r="CK347">
            <v>140</v>
          </cell>
          <cell r="CL347">
            <v>140</v>
          </cell>
          <cell r="CM347">
            <v>140</v>
          </cell>
        </row>
        <row r="348">
          <cell r="AI348">
            <v>4.6900000000000004</v>
          </cell>
          <cell r="AJ348">
            <v>90.991143343800005</v>
          </cell>
          <cell r="AK348">
            <v>26.375436221400001</v>
          </cell>
          <cell r="AL348">
            <v>144.12275400600001</v>
          </cell>
          <cell r="AM348">
            <v>161.78596500780003</v>
          </cell>
          <cell r="AN348">
            <v>111.70951951320001</v>
          </cell>
          <cell r="AO348">
            <v>105.79495961160001</v>
          </cell>
          <cell r="AP348">
            <v>89.06562648900001</v>
          </cell>
          <cell r="AQ348">
            <v>180.77415383160002</v>
          </cell>
          <cell r="AR348">
            <v>234.5424593274</v>
          </cell>
          <cell r="AS348">
            <v>53.868395334600002</v>
          </cell>
          <cell r="AT348">
            <v>52.447295993400012</v>
          </cell>
          <cell r="AU348">
            <v>89.414397689400005</v>
          </cell>
          <cell r="AV348">
            <v>202.05118121580003</v>
          </cell>
          <cell r="AW348">
            <v>125.51001230879999</v>
          </cell>
          <cell r="AX348">
            <v>247.6116790056</v>
          </cell>
          <cell r="AY348">
            <v>179.12002594500001</v>
          </cell>
          <cell r="AZ348">
            <v>119.96208104580001</v>
          </cell>
          <cell r="BA348">
            <v>198.109537542</v>
          </cell>
          <cell r="BB348">
            <v>70.709061868199996</v>
          </cell>
          <cell r="BC348">
            <v>198.0200298888</v>
          </cell>
          <cell r="BD348">
            <v>63.685885292919998</v>
          </cell>
          <cell r="BE348">
            <v>278.43118878805996</v>
          </cell>
          <cell r="BF348">
            <v>198.40281919744001</v>
          </cell>
          <cell r="BG348">
            <v>173.93930407370001</v>
          </cell>
          <cell r="BH348">
            <v>173.527907</v>
          </cell>
          <cell r="BI348">
            <v>164.21516800000001</v>
          </cell>
          <cell r="BJ348">
            <v>30.057490000000001</v>
          </cell>
          <cell r="BK348">
            <v>117.92195100000001</v>
          </cell>
          <cell r="BL348">
            <v>37.032468000000001</v>
          </cell>
          <cell r="BM348">
            <v>96.984442000000001</v>
          </cell>
          <cell r="BN348">
            <v>110</v>
          </cell>
          <cell r="BO348">
            <v>120</v>
          </cell>
          <cell r="BP348">
            <v>75</v>
          </cell>
          <cell r="BQ348">
            <v>105</v>
          </cell>
          <cell r="BR348">
            <v>105</v>
          </cell>
          <cell r="BS348">
            <v>155</v>
          </cell>
          <cell r="BT348">
            <v>110</v>
          </cell>
          <cell r="BU348">
            <v>100</v>
          </cell>
          <cell r="BV348">
            <v>115</v>
          </cell>
          <cell r="BW348">
            <v>35</v>
          </cell>
          <cell r="BX348">
            <v>35</v>
          </cell>
          <cell r="BY348">
            <v>135</v>
          </cell>
          <cell r="BZ348">
            <v>100</v>
          </cell>
          <cell r="CA348">
            <v>65</v>
          </cell>
          <cell r="CB348">
            <v>65</v>
          </cell>
          <cell r="CC348">
            <v>135</v>
          </cell>
          <cell r="CD348">
            <v>135</v>
          </cell>
          <cell r="CE348">
            <v>135</v>
          </cell>
          <cell r="CF348">
            <v>135</v>
          </cell>
          <cell r="CG348">
            <v>135</v>
          </cell>
          <cell r="CH348">
            <v>135</v>
          </cell>
          <cell r="CI348">
            <v>135</v>
          </cell>
          <cell r="CJ348">
            <v>135</v>
          </cell>
          <cell r="CK348">
            <v>135</v>
          </cell>
          <cell r="CL348">
            <v>135</v>
          </cell>
          <cell r="CM348">
            <v>135</v>
          </cell>
        </row>
        <row r="349">
          <cell r="AI349">
            <v>4.5599999999999996</v>
          </cell>
          <cell r="AJ349">
            <v>109.41274431359999</v>
          </cell>
          <cell r="AK349">
            <v>28.708367221800007</v>
          </cell>
          <cell r="AL349">
            <v>212.95171423260001</v>
          </cell>
          <cell r="AM349">
            <v>315.95407915679999</v>
          </cell>
          <cell r="AN349">
            <v>91.239383781000001</v>
          </cell>
          <cell r="AO349">
            <v>56.962141387200006</v>
          </cell>
          <cell r="AP349">
            <v>96.320817028800008</v>
          </cell>
          <cell r="AQ349">
            <v>95.336894230200031</v>
          </cell>
          <cell r="AR349">
            <v>115.99552514340002</v>
          </cell>
          <cell r="AS349">
            <v>68.774946987599989</v>
          </cell>
          <cell r="AT349">
            <v>137.25800202239998</v>
          </cell>
          <cell r="AU349">
            <v>64.746000282599994</v>
          </cell>
          <cell r="AV349">
            <v>202.33601837820001</v>
          </cell>
          <cell r="AW349">
            <v>183.81498895620001</v>
          </cell>
          <cell r="AX349">
            <v>302.93821133099999</v>
          </cell>
          <cell r="AY349">
            <v>365.65860492000007</v>
          </cell>
          <cell r="AZ349">
            <v>114.61653408240001</v>
          </cell>
          <cell r="BA349">
            <v>206.74239636959999</v>
          </cell>
          <cell r="BB349">
            <v>92.790555820200012</v>
          </cell>
          <cell r="BC349">
            <v>118.99954308060001</v>
          </cell>
          <cell r="BD349">
            <v>153.88864893600001</v>
          </cell>
          <cell r="BE349">
            <v>98.670124838779998</v>
          </cell>
          <cell r="BF349">
            <v>162.72398766514002</v>
          </cell>
          <cell r="BG349">
            <v>194.07342832922001</v>
          </cell>
          <cell r="BH349">
            <v>165.163285</v>
          </cell>
          <cell r="BI349">
            <v>200.05587299999999</v>
          </cell>
          <cell r="BJ349">
            <v>40.279175000000002</v>
          </cell>
          <cell r="BK349">
            <v>56.588618000000004</v>
          </cell>
          <cell r="BL349">
            <v>26.078430000000001</v>
          </cell>
          <cell r="BM349">
            <v>63.515813999999999</v>
          </cell>
          <cell r="BN349">
            <v>115</v>
          </cell>
          <cell r="BO349">
            <v>105</v>
          </cell>
          <cell r="BP349">
            <v>60</v>
          </cell>
          <cell r="BQ349">
            <v>80</v>
          </cell>
          <cell r="BR349">
            <v>90</v>
          </cell>
          <cell r="BS349">
            <v>130</v>
          </cell>
          <cell r="BT349">
            <v>95</v>
          </cell>
          <cell r="BU349">
            <v>80</v>
          </cell>
          <cell r="BV349">
            <v>95</v>
          </cell>
          <cell r="BW349">
            <v>30</v>
          </cell>
          <cell r="BX349">
            <v>30</v>
          </cell>
          <cell r="BY349">
            <v>110</v>
          </cell>
          <cell r="BZ349">
            <v>85</v>
          </cell>
          <cell r="CA349">
            <v>55</v>
          </cell>
          <cell r="CB349">
            <v>55</v>
          </cell>
          <cell r="CC349">
            <v>115</v>
          </cell>
          <cell r="CD349">
            <v>110</v>
          </cell>
          <cell r="CE349">
            <v>110</v>
          </cell>
          <cell r="CF349">
            <v>110</v>
          </cell>
          <cell r="CG349">
            <v>110</v>
          </cell>
          <cell r="CH349">
            <v>110</v>
          </cell>
          <cell r="CI349">
            <v>110</v>
          </cell>
          <cell r="CJ349">
            <v>110</v>
          </cell>
          <cell r="CK349">
            <v>110</v>
          </cell>
          <cell r="CL349">
            <v>110</v>
          </cell>
          <cell r="CM349">
            <v>110</v>
          </cell>
        </row>
        <row r="350">
          <cell r="AI350">
            <v>4.54</v>
          </cell>
          <cell r="AJ350">
            <v>79.437380828400009</v>
          </cell>
          <cell r="AK350">
            <v>55.984171067999995</v>
          </cell>
          <cell r="AL350">
            <v>152.0534407266</v>
          </cell>
          <cell r="AM350">
            <v>109.1625197166</v>
          </cell>
          <cell r="AN350">
            <v>194.03539608599999</v>
          </cell>
          <cell r="AO350">
            <v>69.015912172200018</v>
          </cell>
          <cell r="AP350">
            <v>70.56906837119999</v>
          </cell>
          <cell r="AQ350">
            <v>109.84044098160001</v>
          </cell>
          <cell r="AR350">
            <v>105.91621382160001</v>
          </cell>
          <cell r="AS350">
            <v>86.79707045100001</v>
          </cell>
          <cell r="AT350">
            <v>65.871018889200002</v>
          </cell>
          <cell r="AU350">
            <v>111.8409149844</v>
          </cell>
          <cell r="AV350">
            <v>190.82634830279997</v>
          </cell>
          <cell r="AW350">
            <v>64.205206505999982</v>
          </cell>
          <cell r="AX350">
            <v>164.19517592940002</v>
          </cell>
          <cell r="AY350">
            <v>174.48833558519999</v>
          </cell>
          <cell r="AZ350">
            <v>223.56564638939997</v>
          </cell>
          <cell r="BA350">
            <v>71.612956888199989</v>
          </cell>
          <cell r="BB350">
            <v>87.94237158</v>
          </cell>
          <cell r="BC350">
            <v>75.629557710000014</v>
          </cell>
          <cell r="BD350">
            <v>101.17275434728001</v>
          </cell>
          <cell r="BE350">
            <v>226.91755946551999</v>
          </cell>
          <cell r="BF350">
            <v>129.8842172672</v>
          </cell>
          <cell r="BG350">
            <v>120.33798118210001</v>
          </cell>
          <cell r="BH350">
            <v>47.789599000000003</v>
          </cell>
          <cell r="BI350">
            <v>178.052347</v>
          </cell>
          <cell r="BJ350">
            <v>34.405534000000003</v>
          </cell>
          <cell r="BK350">
            <v>44.741493000000006</v>
          </cell>
          <cell r="BL350">
            <v>27.616070000000001</v>
          </cell>
          <cell r="BM350">
            <v>60.072656000000002</v>
          </cell>
          <cell r="BN350">
            <v>55.697139116419976</v>
          </cell>
          <cell r="BO350">
            <v>95</v>
          </cell>
          <cell r="BP350">
            <v>40</v>
          </cell>
          <cell r="BQ350">
            <v>65</v>
          </cell>
          <cell r="BR350">
            <v>60</v>
          </cell>
          <cell r="BS350">
            <v>95</v>
          </cell>
          <cell r="BT350">
            <v>65</v>
          </cell>
          <cell r="BU350">
            <v>65</v>
          </cell>
          <cell r="BV350">
            <v>65</v>
          </cell>
          <cell r="BW350">
            <v>20</v>
          </cell>
          <cell r="BX350">
            <v>20</v>
          </cell>
          <cell r="BY350">
            <v>80</v>
          </cell>
          <cell r="BZ350">
            <v>60</v>
          </cell>
          <cell r="CA350">
            <v>40</v>
          </cell>
          <cell r="CB350">
            <v>40</v>
          </cell>
          <cell r="CC350">
            <v>80</v>
          </cell>
          <cell r="CD350">
            <v>80</v>
          </cell>
          <cell r="CE350">
            <v>80</v>
          </cell>
          <cell r="CF350">
            <v>80</v>
          </cell>
          <cell r="CG350">
            <v>80</v>
          </cell>
          <cell r="CH350">
            <v>80</v>
          </cell>
          <cell r="CI350">
            <v>80</v>
          </cell>
          <cell r="CJ350">
            <v>80</v>
          </cell>
          <cell r="CK350">
            <v>80</v>
          </cell>
          <cell r="CL350">
            <v>80</v>
          </cell>
          <cell r="CM350">
            <v>80</v>
          </cell>
        </row>
        <row r="351">
          <cell r="AI351">
            <v>4.5999999999999996</v>
          </cell>
          <cell r="AJ351">
            <v>2683.1982572891998</v>
          </cell>
          <cell r="AK351">
            <v>991.80564502319987</v>
          </cell>
          <cell r="AL351">
            <v>2033.4020165298002</v>
          </cell>
          <cell r="AM351">
            <v>3079.3156992989998</v>
          </cell>
          <cell r="AN351">
            <v>2371.4543447657998</v>
          </cell>
          <cell r="AO351">
            <v>1374.9140535354002</v>
          </cell>
          <cell r="AP351">
            <v>1401.0211872594002</v>
          </cell>
          <cell r="AQ351">
            <v>2519.3419317612002</v>
          </cell>
          <cell r="AR351">
            <v>2263.3489412981999</v>
          </cell>
          <cell r="AS351">
            <v>935.9788839659999</v>
          </cell>
          <cell r="AT351">
            <v>1323.6543874133999</v>
          </cell>
          <cell r="AU351">
            <v>1153.3557154770001</v>
          </cell>
          <cell r="AV351">
            <v>1876.6215593021998</v>
          </cell>
          <cell r="AW351">
            <v>2911.0514525442009</v>
          </cell>
          <cell r="AX351">
            <v>2193.4379525940003</v>
          </cell>
          <cell r="AY351">
            <v>3358.4874240834001</v>
          </cell>
          <cell r="AZ351">
            <v>3233.0071741716001</v>
          </cell>
          <cell r="BA351">
            <v>1464.1119573444</v>
          </cell>
          <cell r="BB351">
            <v>2163.4932333545999</v>
          </cell>
          <cell r="BC351">
            <v>1877.0810889977997</v>
          </cell>
          <cell r="BD351">
            <v>2005.7764347605596</v>
          </cell>
          <cell r="BE351">
            <v>2234.2991323672795</v>
          </cell>
          <cell r="BF351">
            <v>2552.5065756440799</v>
          </cell>
          <cell r="BG351">
            <v>2436.5741703835401</v>
          </cell>
          <cell r="BH351">
            <v>1932.0763009999998</v>
          </cell>
          <cell r="BI351">
            <v>2829.5818719999993</v>
          </cell>
          <cell r="BJ351">
            <v>1729.1347269999997</v>
          </cell>
          <cell r="BK351">
            <v>1768.7888370000001</v>
          </cell>
          <cell r="BL351">
            <v>374.80810700000001</v>
          </cell>
          <cell r="BM351">
            <v>614.09361800000011</v>
          </cell>
          <cell r="BN351">
            <v>2000</v>
          </cell>
          <cell r="BO351">
            <v>2000</v>
          </cell>
          <cell r="BP351">
            <v>1250</v>
          </cell>
          <cell r="BQ351">
            <v>1500</v>
          </cell>
          <cell r="BR351">
            <v>1500</v>
          </cell>
          <cell r="BS351">
            <v>2250</v>
          </cell>
          <cell r="BT351">
            <v>1750</v>
          </cell>
          <cell r="BU351">
            <v>1500</v>
          </cell>
          <cell r="BV351">
            <v>1750</v>
          </cell>
          <cell r="BW351">
            <v>500</v>
          </cell>
          <cell r="BX351">
            <v>500</v>
          </cell>
          <cell r="BY351">
            <v>2000</v>
          </cell>
          <cell r="BZ351">
            <v>1500</v>
          </cell>
          <cell r="CA351">
            <v>1000</v>
          </cell>
          <cell r="CB351">
            <v>1000</v>
          </cell>
          <cell r="CC351">
            <v>2000</v>
          </cell>
          <cell r="CD351">
            <v>2000</v>
          </cell>
          <cell r="CE351">
            <v>2000</v>
          </cell>
          <cell r="CF351">
            <v>2000</v>
          </cell>
          <cell r="CG351">
            <v>2000</v>
          </cell>
          <cell r="CH351">
            <v>2000</v>
          </cell>
          <cell r="CI351">
            <v>2000</v>
          </cell>
          <cell r="CJ351">
            <v>2000</v>
          </cell>
          <cell r="CK351">
            <v>2000</v>
          </cell>
          <cell r="CL351">
            <v>2000</v>
          </cell>
          <cell r="CM351">
            <v>2000</v>
          </cell>
        </row>
        <row r="403">
          <cell r="AN403">
            <v>0.14845192849800068</v>
          </cell>
          <cell r="AO403">
            <v>0.59380771399200272</v>
          </cell>
          <cell r="AP403">
            <v>0.10594550710612409</v>
          </cell>
          <cell r="AQ403">
            <v>4.7053309611616596</v>
          </cell>
          <cell r="AR403">
            <v>5.6274177871419004</v>
          </cell>
          <cell r="AS403">
            <v>3.2679714900617962</v>
          </cell>
          <cell r="AT403">
            <v>26.33123743930997</v>
          </cell>
          <cell r="AU403">
            <v>88.427799471015888</v>
          </cell>
          <cell r="AV403">
            <v>166.1</v>
          </cell>
          <cell r="AW403">
            <v>246.8</v>
          </cell>
          <cell r="AX403">
            <v>295.3</v>
          </cell>
          <cell r="AY403">
            <v>244</v>
          </cell>
          <cell r="AZ403">
            <v>105</v>
          </cell>
          <cell r="BA403">
            <v>527</v>
          </cell>
          <cell r="BB403">
            <v>307</v>
          </cell>
          <cell r="BC403">
            <v>551</v>
          </cell>
          <cell r="BD403">
            <v>458.81</v>
          </cell>
          <cell r="BE403">
            <v>408</v>
          </cell>
          <cell r="BF403">
            <v>525.96</v>
          </cell>
          <cell r="BG403">
            <v>577.42999999999995</v>
          </cell>
          <cell r="BH403">
            <v>698.88</v>
          </cell>
          <cell r="BI403">
            <v>557.52</v>
          </cell>
          <cell r="BJ403">
            <v>723</v>
          </cell>
          <cell r="BK403">
            <v>650.4058749447114</v>
          </cell>
          <cell r="BL403">
            <v>640.09400000000005</v>
          </cell>
          <cell r="BM403">
            <v>645.47</v>
          </cell>
          <cell r="BN403">
            <v>518.05399999999997</v>
          </cell>
          <cell r="BO403">
            <v>534.56999496829053</v>
          </cell>
          <cell r="BP403">
            <v>523.09294832052228</v>
          </cell>
          <cell r="BQ403">
            <v>522.03538370493322</v>
          </cell>
          <cell r="BR403">
            <v>404.75092021497272</v>
          </cell>
          <cell r="BS403">
            <v>438.35215486242714</v>
          </cell>
          <cell r="BT403">
            <v>442.0051266245506</v>
          </cell>
          <cell r="BU403">
            <v>427.7992961703028</v>
          </cell>
          <cell r="BV403">
            <v>443.20589130084022</v>
          </cell>
          <cell r="BW403">
            <v>404.39182294269892</v>
          </cell>
          <cell r="BX403">
            <v>402.69335725849163</v>
          </cell>
          <cell r="BY403">
            <v>451.41000411569888</v>
          </cell>
          <cell r="BZ403">
            <v>374.15339865887751</v>
          </cell>
          <cell r="CA403">
            <v>313.72098947373377</v>
          </cell>
          <cell r="CB403">
            <v>312.5543119717255</v>
          </cell>
          <cell r="CC403">
            <v>253.5613409222224</v>
          </cell>
          <cell r="CD403">
            <v>132.89559979740815</v>
          </cell>
          <cell r="CE403">
            <v>141.66438521313052</v>
          </cell>
          <cell r="CF403">
            <v>128.0467755191608</v>
          </cell>
          <cell r="CG403">
            <v>84.279985425404334</v>
          </cell>
          <cell r="CH403">
            <v>75.709214084326334</v>
          </cell>
          <cell r="CI403">
            <v>65.851036125250374</v>
          </cell>
          <cell r="CJ403">
            <v>54.649271772887403</v>
          </cell>
          <cell r="CK403">
            <v>44.016041000610073</v>
          </cell>
          <cell r="CL403">
            <v>41.050710031515251</v>
          </cell>
          <cell r="CM403">
            <v>33.029153039462585</v>
          </cell>
          <cell r="CN403">
            <v>39.070341345116958</v>
          </cell>
        </row>
        <row r="404">
          <cell r="AN404">
            <v>0.14845192849800068</v>
          </cell>
          <cell r="AO404">
            <v>0.59380771399200272</v>
          </cell>
          <cell r="AP404">
            <v>0.10594550710612409</v>
          </cell>
          <cell r="AQ404">
            <v>4.7053309611616596</v>
          </cell>
          <cell r="AR404">
            <v>5.6274177871419004</v>
          </cell>
          <cell r="AS404">
            <v>3.2679714900617962</v>
          </cell>
          <cell r="AT404">
            <v>26.33123743930997</v>
          </cell>
          <cell r="AU404">
            <v>88.427799471015888</v>
          </cell>
          <cell r="AV404">
            <v>157.6</v>
          </cell>
          <cell r="AW404">
            <v>219.1</v>
          </cell>
          <cell r="AX404">
            <v>252.4</v>
          </cell>
          <cell r="AY404">
            <v>237</v>
          </cell>
          <cell r="AZ404">
            <v>73</v>
          </cell>
          <cell r="BA404">
            <v>538</v>
          </cell>
          <cell r="BB404">
            <v>246</v>
          </cell>
          <cell r="BC404">
            <v>535</v>
          </cell>
          <cell r="BD404">
            <v>447.12</v>
          </cell>
          <cell r="BE404">
            <v>464</v>
          </cell>
          <cell r="BF404">
            <v>595.83000000000004</v>
          </cell>
          <cell r="BG404">
            <v>590.79999999999995</v>
          </cell>
          <cell r="BH404">
            <v>703.79</v>
          </cell>
          <cell r="BI404">
            <v>526.53</v>
          </cell>
          <cell r="BJ404">
            <v>683</v>
          </cell>
          <cell r="BK404">
            <v>492.70689999400793</v>
          </cell>
          <cell r="BL404">
            <v>593.81100000000004</v>
          </cell>
          <cell r="BM404">
            <v>612.95299999999997</v>
          </cell>
          <cell r="BN404">
            <v>467.47699999999998</v>
          </cell>
          <cell r="BO404">
            <v>501.47370632417528</v>
          </cell>
          <cell r="BP404">
            <v>460.8240092042372</v>
          </cell>
          <cell r="BQ404">
            <v>473.47503112000743</v>
          </cell>
          <cell r="BR404">
            <v>365.27518971753477</v>
          </cell>
          <cell r="BS404">
            <v>390.68651141652646</v>
          </cell>
          <cell r="BT404">
            <v>395.74233525195223</v>
          </cell>
          <cell r="BU404">
            <v>380.42097118055125</v>
          </cell>
          <cell r="BV404">
            <v>395.09848846563028</v>
          </cell>
          <cell r="BW404">
            <v>359.13678931381821</v>
          </cell>
          <cell r="BX404">
            <v>357.55267230923619</v>
          </cell>
          <cell r="BY404">
            <v>407.94081362912533</v>
          </cell>
          <cell r="BZ404">
            <v>354.90126704170848</v>
          </cell>
          <cell r="CA404">
            <v>289.17987625128512</v>
          </cell>
          <cell r="CB404">
            <v>289.04845469833231</v>
          </cell>
          <cell r="CC404">
            <v>233.56039154658464</v>
          </cell>
          <cell r="CD404">
            <v>120.99601357268318</v>
          </cell>
          <cell r="CE404">
            <v>129.18813161229983</v>
          </cell>
          <cell r="CF404">
            <v>115.01639406232897</v>
          </cell>
          <cell r="CG404">
            <v>73.487660145989963</v>
          </cell>
          <cell r="CH404">
            <v>64.895274900956167</v>
          </cell>
          <cell r="CI404">
            <v>55.052087965404638</v>
          </cell>
          <cell r="CJ404">
            <v>43.884793468643636</v>
          </cell>
          <cell r="CK404">
            <v>33.154124315156395</v>
          </cell>
          <cell r="CL404">
            <v>30.579832569185868</v>
          </cell>
          <cell r="CM404">
            <v>22.401729224587058</v>
          </cell>
          <cell r="CN404">
            <v>28.562672222276547</v>
          </cell>
        </row>
        <row r="405">
          <cell r="AN405">
            <v>0.14845192849800068</v>
          </cell>
          <cell r="AO405">
            <v>0.59380771399200272</v>
          </cell>
          <cell r="AP405">
            <v>0.10594550710612409</v>
          </cell>
          <cell r="AQ405">
            <v>4.7053309611616596</v>
          </cell>
          <cell r="AR405">
            <v>5.6274177871419004</v>
          </cell>
          <cell r="AS405">
            <v>3.2679714900617962</v>
          </cell>
          <cell r="AT405">
            <v>26.33123743930997</v>
          </cell>
          <cell r="AU405">
            <v>88.427799471015888</v>
          </cell>
          <cell r="AV405">
            <v>178.7</v>
          </cell>
          <cell r="AW405">
            <v>219.3</v>
          </cell>
          <cell r="AX405">
            <v>207</v>
          </cell>
          <cell r="AY405">
            <v>241</v>
          </cell>
          <cell r="AZ405">
            <v>63</v>
          </cell>
          <cell r="BA405">
            <v>592</v>
          </cell>
          <cell r="BB405">
            <v>273</v>
          </cell>
          <cell r="BC405">
            <v>559</v>
          </cell>
          <cell r="BD405">
            <v>531.30999999999995</v>
          </cell>
          <cell r="BE405">
            <v>436</v>
          </cell>
          <cell r="BF405">
            <v>610.47</v>
          </cell>
          <cell r="BG405">
            <v>593.99</v>
          </cell>
          <cell r="BH405">
            <v>767.76</v>
          </cell>
          <cell r="BI405">
            <v>541.04999999999995</v>
          </cell>
          <cell r="BJ405">
            <v>744</v>
          </cell>
          <cell r="BK405">
            <v>647.82612356375694</v>
          </cell>
          <cell r="BL405">
            <v>533.59299999999996</v>
          </cell>
          <cell r="BM405">
            <v>603</v>
          </cell>
          <cell r="BN405">
            <v>399.74799999999999</v>
          </cell>
          <cell r="BO405">
            <v>988.27710003430116</v>
          </cell>
          <cell r="BP405">
            <v>493.9432802725641</v>
          </cell>
          <cell r="BQ405">
            <v>553.43458973935071</v>
          </cell>
          <cell r="BR405">
            <v>448.59150995405662</v>
          </cell>
          <cell r="BS405">
            <v>503.07031255236188</v>
          </cell>
          <cell r="BT405">
            <v>544.20512179788636</v>
          </cell>
          <cell r="BU405">
            <v>465.84840628339964</v>
          </cell>
          <cell r="BV405">
            <v>495.91600086009555</v>
          </cell>
          <cell r="BW405">
            <v>395.33837618198925</v>
          </cell>
          <cell r="BX405">
            <v>424.02485686039597</v>
          </cell>
          <cell r="BY405">
            <v>476.49501059854845</v>
          </cell>
          <cell r="BZ405">
            <v>420.18011741975516</v>
          </cell>
          <cell r="CA405">
            <v>340.63979638853283</v>
          </cell>
          <cell r="CB405">
            <v>335.15101005078913</v>
          </cell>
          <cell r="CC405">
            <v>275.81230330593348</v>
          </cell>
          <cell r="CD405">
            <v>146.08379184448017</v>
          </cell>
          <cell r="CE405">
            <v>157.94417108529547</v>
          </cell>
          <cell r="CF405">
            <v>143.35161234400709</v>
          </cell>
          <cell r="CG405">
            <v>96.706244978184884</v>
          </cell>
          <cell r="CH405">
            <v>89.242398394161398</v>
          </cell>
          <cell r="CI405">
            <v>79.715292897116285</v>
          </cell>
          <cell r="CJ405">
            <v>68.70529450613742</v>
          </cell>
          <cell r="CK405">
            <v>58.139064373276199</v>
          </cell>
          <cell r="CL405">
            <v>56.540587218099063</v>
          </cell>
          <cell r="CM405">
            <v>49.093665032767603</v>
          </cell>
          <cell r="CN405">
            <v>57.537884895283696</v>
          </cell>
        </row>
        <row r="406">
          <cell r="AN406">
            <v>0.15748480840727289</v>
          </cell>
          <cell r="AO406">
            <v>0.62993923362909154</v>
          </cell>
          <cell r="AP406">
            <v>3.6232368797822416</v>
          </cell>
          <cell r="AQ406">
            <v>6.3683646097343614</v>
          </cell>
          <cell r="AR406">
            <v>5.1705605193162594</v>
          </cell>
          <cell r="AS406">
            <v>12.937129110066229</v>
          </cell>
          <cell r="AT406">
            <v>17.948954341994057</v>
          </cell>
          <cell r="AU406">
            <v>94.4</v>
          </cell>
          <cell r="AV406">
            <v>192.1</v>
          </cell>
          <cell r="AW406">
            <v>289</v>
          </cell>
          <cell r="AX406">
            <v>152</v>
          </cell>
          <cell r="AY406">
            <v>90</v>
          </cell>
          <cell r="AZ406">
            <v>150</v>
          </cell>
          <cell r="BA406">
            <v>306</v>
          </cell>
          <cell r="BB406">
            <v>313</v>
          </cell>
          <cell r="BC406">
            <v>241</v>
          </cell>
          <cell r="BD406">
            <v>306</v>
          </cell>
          <cell r="BE406">
            <v>392.27</v>
          </cell>
          <cell r="BF406">
            <v>390.11</v>
          </cell>
          <cell r="BG406">
            <v>462.12</v>
          </cell>
          <cell r="BH406">
            <v>622.80999999999995</v>
          </cell>
          <cell r="BI406">
            <v>521</v>
          </cell>
          <cell r="BJ406">
            <v>464.92010627046363</v>
          </cell>
          <cell r="BK406">
            <v>543.04</v>
          </cell>
          <cell r="BL406">
            <v>556.82899999999995</v>
          </cell>
          <cell r="BM406">
            <v>544.50800000000004</v>
          </cell>
          <cell r="BN406">
            <v>384.27600000000001</v>
          </cell>
          <cell r="BO406">
            <v>487.39682875753812</v>
          </cell>
          <cell r="BP406">
            <v>460.109988196833</v>
          </cell>
          <cell r="BQ406">
            <v>363.52287156026438</v>
          </cell>
          <cell r="BR406">
            <v>399.43609966981882</v>
          </cell>
          <cell r="BS406">
            <v>383.873141274376</v>
          </cell>
          <cell r="BT406">
            <v>389.88252984313203</v>
          </cell>
          <cell r="BU406">
            <v>394.93367857744266</v>
          </cell>
          <cell r="BV406">
            <v>283.75731903230729</v>
          </cell>
          <cell r="BW406">
            <v>391.95599589102102</v>
          </cell>
          <cell r="BX406">
            <v>391.13203206037372</v>
          </cell>
          <cell r="BY406">
            <v>356.68716161709557</v>
          </cell>
          <cell r="BZ406">
            <v>300.17461656016781</v>
          </cell>
          <cell r="CA406">
            <v>306.17286098877969</v>
          </cell>
          <cell r="CB406">
            <v>306.17286098877969</v>
          </cell>
          <cell r="CC406">
            <v>134.21220618903311</v>
          </cell>
          <cell r="CD406">
            <v>143.33230338574421</v>
          </cell>
          <cell r="CE406">
            <v>131.99421154693928</v>
          </cell>
          <cell r="CF406">
            <v>89.602977459600339</v>
          </cell>
          <cell r="CG406">
            <v>80.362894633552685</v>
          </cell>
          <cell r="CH406">
            <v>70.799987463819292</v>
          </cell>
          <cell r="CI406">
            <v>59.859813194825136</v>
          </cell>
          <cell r="CJ406">
            <v>49.471958228539108</v>
          </cell>
          <cell r="CK406">
            <v>41.348456450490545</v>
          </cell>
          <cell r="CL406">
            <v>36.088325486369683</v>
          </cell>
          <cell r="CM406">
            <v>28.986596018237208</v>
          </cell>
        </row>
        <row r="407">
          <cell r="AI407">
            <v>5.12</v>
          </cell>
          <cell r="AN407">
            <v>0.15748480840727289</v>
          </cell>
          <cell r="AO407">
            <v>0.62993923362909154</v>
          </cell>
          <cell r="AP407">
            <v>3.6232368797822416</v>
          </cell>
          <cell r="AQ407">
            <v>6.3683646097343614</v>
          </cell>
          <cell r="AR407">
            <v>5.1705605193162594</v>
          </cell>
          <cell r="AS407">
            <v>12.937129110066229</v>
          </cell>
          <cell r="AT407">
            <v>17.948954341994057</v>
          </cell>
          <cell r="AU407">
            <v>81.599999999999994</v>
          </cell>
          <cell r="AV407">
            <v>158.4</v>
          </cell>
          <cell r="AW407">
            <v>247.5</v>
          </cell>
          <cell r="AX407">
            <v>146</v>
          </cell>
          <cell r="AY407">
            <v>102</v>
          </cell>
          <cell r="AZ407">
            <v>150</v>
          </cell>
          <cell r="BA407">
            <v>321</v>
          </cell>
          <cell r="BB407">
            <v>287</v>
          </cell>
          <cell r="BC407">
            <v>277</v>
          </cell>
          <cell r="BD407">
            <v>311</v>
          </cell>
          <cell r="BE407">
            <v>416</v>
          </cell>
          <cell r="BF407">
            <v>369.18</v>
          </cell>
          <cell r="BG407">
            <v>495.59</v>
          </cell>
          <cell r="BH407">
            <v>559.57000000000005</v>
          </cell>
          <cell r="BI407">
            <v>574.78</v>
          </cell>
          <cell r="BJ407">
            <v>319.20156533980185</v>
          </cell>
          <cell r="BK407">
            <v>536.60199999999998</v>
          </cell>
          <cell r="BL407">
            <v>536.27599999999995</v>
          </cell>
          <cell r="BM407">
            <v>521.55999999999995</v>
          </cell>
          <cell r="BN407">
            <v>278.14410254510432</v>
          </cell>
          <cell r="BO407">
            <v>409.63744994820536</v>
          </cell>
          <cell r="BP407">
            <v>408.79696538321991</v>
          </cell>
          <cell r="BQ407">
            <v>316.43711217626293</v>
          </cell>
          <cell r="BR407">
            <v>340.32577367494184</v>
          </cell>
          <cell r="BS407">
            <v>312.99374344232632</v>
          </cell>
          <cell r="BT407">
            <v>327.61420852768492</v>
          </cell>
          <cell r="BU407">
            <v>330.99266053321429</v>
          </cell>
          <cell r="BV407">
            <v>192.54786082878169</v>
          </cell>
          <cell r="BW407">
            <v>280.51754090533166</v>
          </cell>
          <cell r="BX407">
            <v>275.54151654751183</v>
          </cell>
          <cell r="BY407">
            <v>274.20529458582865</v>
          </cell>
          <cell r="BZ407">
            <v>228.12000965973988</v>
          </cell>
          <cell r="CA407">
            <v>226.42597970390787</v>
          </cell>
          <cell r="CB407">
            <v>226.42597970390787</v>
          </cell>
          <cell r="CC407">
            <v>96.299903503799982</v>
          </cell>
          <cell r="CD407">
            <v>102.10981961358667</v>
          </cell>
          <cell r="CE407">
            <v>89.975972752601336</v>
          </cell>
          <cell r="CF407">
            <v>54.189307699787065</v>
          </cell>
          <cell r="CG407">
            <v>45.150806903951377</v>
          </cell>
          <cell r="CH407">
            <v>35.261439369067062</v>
          </cell>
          <cell r="CI407">
            <v>24.257593373484468</v>
          </cell>
          <cell r="CJ407">
            <v>13.475521018847388</v>
          </cell>
          <cell r="CK407">
            <v>14.67840206850434</v>
          </cell>
          <cell r="CL407">
            <v>16.383272149292338</v>
          </cell>
          <cell r="CM407">
            <v>11.995834157854716</v>
          </cell>
        </row>
        <row r="408">
          <cell r="AI408">
            <v>5.1100000000000003</v>
          </cell>
          <cell r="AN408">
            <v>0.15748480840727289</v>
          </cell>
          <cell r="AO408">
            <v>0.62993923362909154</v>
          </cell>
          <cell r="AP408">
            <v>3.6232368797822416</v>
          </cell>
          <cell r="AQ408">
            <v>6.3683646097343614</v>
          </cell>
          <cell r="AR408">
            <v>5.1705605193162594</v>
          </cell>
          <cell r="AS408">
            <v>12.937129110066229</v>
          </cell>
          <cell r="AT408">
            <v>17.948954341994057</v>
          </cell>
          <cell r="AU408">
            <v>111.3</v>
          </cell>
          <cell r="AV408">
            <v>222.4</v>
          </cell>
          <cell r="AW408">
            <v>259.5</v>
          </cell>
          <cell r="AX408">
            <v>102</v>
          </cell>
          <cell r="AY408">
            <v>112</v>
          </cell>
          <cell r="AZ408">
            <v>190</v>
          </cell>
          <cell r="BA408">
            <v>388</v>
          </cell>
          <cell r="BB408">
            <v>443</v>
          </cell>
          <cell r="BC408">
            <v>379</v>
          </cell>
          <cell r="BD408">
            <v>381</v>
          </cell>
          <cell r="BE408">
            <v>464.48</v>
          </cell>
          <cell r="BF408">
            <v>369.46</v>
          </cell>
          <cell r="BG408">
            <v>624.15</v>
          </cell>
          <cell r="BH408">
            <v>617.01</v>
          </cell>
          <cell r="BI408">
            <v>656.02</v>
          </cell>
          <cell r="BJ408">
            <v>516.98119277223532</v>
          </cell>
          <cell r="BK408">
            <v>657.06299999999999</v>
          </cell>
          <cell r="BL408">
            <v>592.54200000000003</v>
          </cell>
          <cell r="BM408">
            <v>547.69156099999998</v>
          </cell>
          <cell r="BN408">
            <v>337.24546398341909</v>
          </cell>
          <cell r="BO408">
            <v>449.26017497887426</v>
          </cell>
          <cell r="BP408">
            <v>457.48937588435257</v>
          </cell>
          <cell r="BQ408">
            <v>347.84040652744221</v>
          </cell>
          <cell r="BR408">
            <v>374.92260849704269</v>
          </cell>
          <cell r="BS408">
            <v>355.78224762227347</v>
          </cell>
          <cell r="BT408">
            <v>365.07101465350763</v>
          </cell>
          <cell r="BU408">
            <v>370.93969941920653</v>
          </cell>
          <cell r="BV408">
            <v>214.51258982589226</v>
          </cell>
          <cell r="BW408">
            <v>315.72096933828357</v>
          </cell>
          <cell r="BX408">
            <v>310.69610150558071</v>
          </cell>
          <cell r="BY408">
            <v>306.21098064777476</v>
          </cell>
          <cell r="BZ408">
            <v>255.07916785121779</v>
          </cell>
          <cell r="CA408">
            <v>253.49320512540422</v>
          </cell>
          <cell r="CB408">
            <v>253.49320512540422</v>
          </cell>
          <cell r="CC408">
            <v>109.75044418360366</v>
          </cell>
          <cell r="CD408">
            <v>117.79136977577934</v>
          </cell>
          <cell r="CE408">
            <v>105.87279087665246</v>
          </cell>
          <cell r="CF408">
            <v>67.474602060254881</v>
          </cell>
          <cell r="CG408">
            <v>58.995344544590324</v>
          </cell>
          <cell r="CH408">
            <v>49.5596038301357</v>
          </cell>
          <cell r="CI408">
            <v>38.866385422030561</v>
          </cell>
          <cell r="CJ408">
            <v>28.421921503128829</v>
          </cell>
          <cell r="CK408">
            <v>24.087970681957984</v>
          </cell>
          <cell r="CL408">
            <v>15.961855934774633</v>
          </cell>
          <cell r="CM408">
            <v>23.526582142620498</v>
          </cell>
        </row>
        <row r="409">
          <cell r="AI409">
            <v>5.29</v>
          </cell>
          <cell r="AN409">
            <v>0.34572021789631785</v>
          </cell>
          <cell r="AO409">
            <v>1.3828808715852714</v>
          </cell>
          <cell r="AP409">
            <v>6.6667470785954341</v>
          </cell>
          <cell r="AQ409">
            <v>7.5145764566391513</v>
          </cell>
          <cell r="AR409">
            <v>13.039183905705046</v>
          </cell>
          <cell r="AS409">
            <v>14.863558198765865</v>
          </cell>
          <cell r="AT409">
            <v>41.138238360285243</v>
          </cell>
          <cell r="AU409">
            <v>116.7</v>
          </cell>
          <cell r="AV409">
            <v>214.9</v>
          </cell>
          <cell r="AW409">
            <v>266.5</v>
          </cell>
          <cell r="AX409">
            <v>102</v>
          </cell>
          <cell r="AY409">
            <v>127</v>
          </cell>
          <cell r="AZ409">
            <v>236</v>
          </cell>
          <cell r="BA409">
            <v>350</v>
          </cell>
          <cell r="BB409">
            <v>423</v>
          </cell>
          <cell r="BC409">
            <v>360</v>
          </cell>
          <cell r="BD409">
            <v>384.6</v>
          </cell>
          <cell r="BE409">
            <v>414.75</v>
          </cell>
          <cell r="BF409">
            <v>426.71</v>
          </cell>
          <cell r="BG409">
            <v>519.55999999999995</v>
          </cell>
          <cell r="BH409">
            <v>631.84</v>
          </cell>
          <cell r="BI409">
            <v>671.81</v>
          </cell>
          <cell r="BJ409">
            <v>545.27086158299016</v>
          </cell>
          <cell r="BK409">
            <v>578.07399999999996</v>
          </cell>
          <cell r="BL409">
            <v>578.74400000000003</v>
          </cell>
          <cell r="BM409">
            <v>504.93900000000002</v>
          </cell>
          <cell r="BN409">
            <v>509.72972402203948</v>
          </cell>
          <cell r="BO409">
            <v>464.42391623712058</v>
          </cell>
          <cell r="BP409">
            <v>468.9779253740295</v>
          </cell>
          <cell r="BQ409">
            <v>368.12186667942916</v>
          </cell>
          <cell r="BR409">
            <v>415.35818096954858</v>
          </cell>
          <cell r="BS409">
            <v>399.40564515282517</v>
          </cell>
          <cell r="BT409">
            <v>390.59277751459462</v>
          </cell>
          <cell r="BU409">
            <v>400.44432563629658</v>
          </cell>
          <cell r="BV409">
            <v>233.4035969388481</v>
          </cell>
          <cell r="BW409">
            <v>346.67060325773423</v>
          </cell>
          <cell r="BX409">
            <v>340.17555287124367</v>
          </cell>
          <cell r="BY409">
            <v>332.36059597285544</v>
          </cell>
          <cell r="BZ409">
            <v>278.26693240868212</v>
          </cell>
          <cell r="CA409">
            <v>277.07917247723435</v>
          </cell>
          <cell r="CB409">
            <v>277.07917247723435</v>
          </cell>
          <cell r="CC409">
            <v>121.28970330267398</v>
          </cell>
          <cell r="CD409">
            <v>130.86473307423091</v>
          </cell>
          <cell r="CE409">
            <v>118.16083730611939</v>
          </cell>
          <cell r="CF409">
            <v>77.597367781373862</v>
          </cell>
          <cell r="CG409">
            <v>69.374338622417355</v>
          </cell>
          <cell r="CH409">
            <v>60.103929402205466</v>
          </cell>
          <cell r="CI409">
            <v>49.510185303480341</v>
          </cell>
          <cell r="CJ409">
            <v>39.213611922293609</v>
          </cell>
          <cell r="CK409">
            <v>35.986300541968063</v>
          </cell>
          <cell r="CL409">
            <v>28.173756235671732</v>
          </cell>
          <cell r="CM409">
            <v>37.938145127777403</v>
          </cell>
        </row>
        <row r="410">
          <cell r="AI410">
            <v>5.43</v>
          </cell>
          <cell r="AN410">
            <v>0.34572021789631785</v>
          </cell>
          <cell r="AO410">
            <v>1.3828808715852714</v>
          </cell>
          <cell r="AP410">
            <v>6.6667470785954341</v>
          </cell>
          <cell r="AQ410">
            <v>7.5145764566391513</v>
          </cell>
          <cell r="AR410">
            <v>13.039183905705046</v>
          </cell>
          <cell r="AS410">
            <v>14.863558198765865</v>
          </cell>
          <cell r="AT410">
            <v>41.138238360285243</v>
          </cell>
          <cell r="AU410">
            <v>160.80000000000001</v>
          </cell>
          <cell r="AV410">
            <v>269.10000000000002</v>
          </cell>
          <cell r="AW410">
            <v>269.8</v>
          </cell>
          <cell r="AX410">
            <v>94</v>
          </cell>
          <cell r="AY410">
            <v>98</v>
          </cell>
          <cell r="AZ410">
            <v>264</v>
          </cell>
          <cell r="BA410">
            <v>429</v>
          </cell>
          <cell r="BB410">
            <v>416</v>
          </cell>
          <cell r="BC410">
            <v>364</v>
          </cell>
          <cell r="BD410">
            <v>443</v>
          </cell>
          <cell r="BE410">
            <v>543.78</v>
          </cell>
          <cell r="BF410">
            <v>545.51</v>
          </cell>
          <cell r="BG410">
            <v>581.33000000000004</v>
          </cell>
          <cell r="BH410">
            <v>659.05</v>
          </cell>
          <cell r="BI410">
            <v>805.35</v>
          </cell>
          <cell r="BJ410">
            <v>607.24367577257226</v>
          </cell>
          <cell r="BK410">
            <v>593.74400000000003</v>
          </cell>
          <cell r="BL410">
            <v>662.75699999999995</v>
          </cell>
          <cell r="BM410">
            <v>596.85599999999999</v>
          </cell>
          <cell r="BN410">
            <v>570.66276680019951</v>
          </cell>
          <cell r="BO410">
            <v>521.89839382617527</v>
          </cell>
          <cell r="BP410">
            <v>530.75195576302519</v>
          </cell>
          <cell r="BQ410">
            <v>424.69210189326594</v>
          </cell>
          <cell r="BR410">
            <v>467.27563928221088</v>
          </cell>
          <cell r="BS410">
            <v>455.70641160197368</v>
          </cell>
          <cell r="BT410">
            <v>446.5368283103561</v>
          </cell>
          <cell r="BU410">
            <v>459.02519004385738</v>
          </cell>
          <cell r="BV410">
            <v>266.39647305026983</v>
          </cell>
          <cell r="BW410">
            <v>398.32065076992245</v>
          </cell>
          <cell r="BX410">
            <v>391.28561478610789</v>
          </cell>
          <cell r="BY410">
            <v>375.28720212815443</v>
          </cell>
          <cell r="BZ410">
            <v>314.07145722002417</v>
          </cell>
          <cell r="CA410">
            <v>311.98621331744266</v>
          </cell>
          <cell r="CB410">
            <v>311.98621331744266</v>
          </cell>
          <cell r="CC410">
            <v>137.62017654945589</v>
          </cell>
          <cell r="CD410">
            <v>149.05126825142105</v>
          </cell>
          <cell r="CE410">
            <v>135.92816413842107</v>
          </cell>
          <cell r="CF410">
            <v>91.985046694126225</v>
          </cell>
          <cell r="CG410">
            <v>83.892621448373347</v>
          </cell>
          <cell r="CH410">
            <v>74.657942422815182</v>
          </cell>
          <cell r="CI410">
            <v>63.967508197142337</v>
          </cell>
          <cell r="CJ410">
            <v>53.636362068533856</v>
          </cell>
          <cell r="CK410">
            <v>50.894641014486723</v>
          </cell>
          <cell r="CL410">
            <v>43.309746543421682</v>
          </cell>
          <cell r="CM410">
            <v>52.409712032626686</v>
          </cell>
        </row>
        <row r="411">
          <cell r="AI411">
            <v>5.55</v>
          </cell>
          <cell r="AN411">
            <v>0.34572021789631785</v>
          </cell>
          <cell r="AO411">
            <v>1.3828808715852714</v>
          </cell>
          <cell r="AP411">
            <v>6.6667470785954341</v>
          </cell>
          <cell r="AQ411">
            <v>7.5145764566391513</v>
          </cell>
          <cell r="AR411">
            <v>13.039183905705046</v>
          </cell>
          <cell r="AS411">
            <v>14.863558198765865</v>
          </cell>
          <cell r="AT411">
            <v>41.138238360285243</v>
          </cell>
          <cell r="AU411">
            <v>185.3</v>
          </cell>
          <cell r="AV411">
            <v>255.9</v>
          </cell>
          <cell r="AW411">
            <v>298.8</v>
          </cell>
          <cell r="AX411">
            <v>112</v>
          </cell>
          <cell r="AY411">
            <v>89</v>
          </cell>
          <cell r="AZ411">
            <v>311</v>
          </cell>
          <cell r="BA411">
            <v>369</v>
          </cell>
          <cell r="BB411">
            <v>486</v>
          </cell>
          <cell r="BC411">
            <v>466.61</v>
          </cell>
          <cell r="BD411">
            <v>474</v>
          </cell>
          <cell r="BE411">
            <v>519.69000000000005</v>
          </cell>
          <cell r="BF411">
            <v>548.84</v>
          </cell>
          <cell r="BG411">
            <v>623.61</v>
          </cell>
          <cell r="BH411">
            <v>594.15</v>
          </cell>
          <cell r="BI411">
            <v>747.07</v>
          </cell>
          <cell r="BJ411">
            <v>447.52073891518546</v>
          </cell>
          <cell r="BK411">
            <v>559.88699999999994</v>
          </cell>
          <cell r="BL411">
            <v>627.38300000000004</v>
          </cell>
          <cell r="BM411">
            <v>577.89058302499996</v>
          </cell>
          <cell r="BN411">
            <v>517.10424694441599</v>
          </cell>
          <cell r="BO411">
            <v>453.88221357962993</v>
          </cell>
          <cell r="BP411">
            <v>494.46287146007853</v>
          </cell>
          <cell r="BQ411">
            <v>395.4320125875588</v>
          </cell>
          <cell r="BR411">
            <v>432.79584172121008</v>
          </cell>
          <cell r="BS411">
            <v>415.76040714164094</v>
          </cell>
          <cell r="BT411">
            <v>407.92571573229435</v>
          </cell>
          <cell r="BU411">
            <v>421.18429622664314</v>
          </cell>
          <cell r="BV411">
            <v>245.21171191811888</v>
          </cell>
          <cell r="BW411">
            <v>362.6314783936665</v>
          </cell>
          <cell r="BX411">
            <v>356.07585651362211</v>
          </cell>
          <cell r="BY411">
            <v>349.54134191808657</v>
          </cell>
          <cell r="BZ411">
            <v>292.51227330149828</v>
          </cell>
          <cell r="CA411">
            <v>291.15832919324214</v>
          </cell>
          <cell r="CB411">
            <v>291.15832919324214</v>
          </cell>
          <cell r="CC411">
            <v>126.80511096626796</v>
          </cell>
          <cell r="CD411">
            <v>137.49802404122991</v>
          </cell>
          <cell r="CE411">
            <v>124.49235790711174</v>
          </cell>
          <cell r="CF411">
            <v>82.558210721337048</v>
          </cell>
          <cell r="CG411">
            <v>74.536742867622166</v>
          </cell>
          <cell r="CH411">
            <v>65.432536248971928</v>
          </cell>
          <cell r="CI411">
            <v>54.927530001087547</v>
          </cell>
          <cell r="CJ411">
            <v>44.726343299057589</v>
          </cell>
          <cell r="CK411">
            <v>42.085723817881558</v>
          </cell>
          <cell r="CL411">
            <v>34.499164474555016</v>
          </cell>
          <cell r="CM411">
            <v>44.03743738420647</v>
          </cell>
        </row>
        <row r="412">
          <cell r="AI412">
            <v>5.46</v>
          </cell>
          <cell r="AN412">
            <v>0.40001854693321803</v>
          </cell>
          <cell r="AO412">
            <v>1.6000741877328721</v>
          </cell>
          <cell r="AP412">
            <v>10.637580569212387</v>
          </cell>
          <cell r="AQ412">
            <v>12.961993024509113</v>
          </cell>
          <cell r="AR412">
            <v>15.212707826494727</v>
          </cell>
          <cell r="AS412">
            <v>13.814113468057771</v>
          </cell>
          <cell r="AT412">
            <v>77.428275425543987</v>
          </cell>
          <cell r="AU412">
            <v>163.5</v>
          </cell>
          <cell r="AV412">
            <v>348.1</v>
          </cell>
          <cell r="AW412">
            <v>319.10000000000002</v>
          </cell>
          <cell r="AX412">
            <v>164</v>
          </cell>
          <cell r="AY412">
            <v>96</v>
          </cell>
          <cell r="AZ412">
            <v>367</v>
          </cell>
          <cell r="BA412">
            <v>347</v>
          </cell>
          <cell r="BB412">
            <v>480</v>
          </cell>
          <cell r="BC412">
            <v>434.63</v>
          </cell>
          <cell r="BD412">
            <v>446</v>
          </cell>
          <cell r="BE412">
            <v>535.6</v>
          </cell>
          <cell r="BF412">
            <v>606.15</v>
          </cell>
          <cell r="BG412">
            <v>671.27</v>
          </cell>
          <cell r="BH412">
            <v>708.5</v>
          </cell>
          <cell r="BI412">
            <v>774.83</v>
          </cell>
          <cell r="BJ412">
            <v>622.37633218578083</v>
          </cell>
          <cell r="BK412">
            <v>625.98500000000001</v>
          </cell>
          <cell r="BL412">
            <v>678.70100000000002</v>
          </cell>
          <cell r="BM412">
            <v>641.88599999999997</v>
          </cell>
          <cell r="BN412">
            <v>559.39248702264706</v>
          </cell>
          <cell r="BO412">
            <v>534.20179465652427</v>
          </cell>
          <cell r="BP412">
            <v>544.01162536850234</v>
          </cell>
          <cell r="BQ412">
            <v>432.36612220503105</v>
          </cell>
          <cell r="BR412">
            <v>475.15863747587895</v>
          </cell>
          <cell r="BS412">
            <v>463.75156567706449</v>
          </cell>
          <cell r="BT412">
            <v>456.38905012435697</v>
          </cell>
          <cell r="BU412">
            <v>468.72354000041241</v>
          </cell>
          <cell r="BV412">
            <v>271.57201370043282</v>
          </cell>
          <cell r="BW412">
            <v>406.55783260363881</v>
          </cell>
          <cell r="BX412">
            <v>399.45930683429697</v>
          </cell>
          <cell r="BY412">
            <v>377.3273553963777</v>
          </cell>
          <cell r="BZ412">
            <v>313.81483599450814</v>
          </cell>
          <cell r="CA412">
            <v>311.05102190027901</v>
          </cell>
          <cell r="CB412">
            <v>311.05102190027901</v>
          </cell>
          <cell r="CC412">
            <v>134.54587992141833</v>
          </cell>
          <cell r="CD412">
            <v>145.31768861748924</v>
          </cell>
          <cell r="CE412">
            <v>131.56318859312009</v>
          </cell>
          <cell r="CF412">
            <v>87.815985870635274</v>
          </cell>
          <cell r="CG412">
            <v>79.485041294145162</v>
          </cell>
          <cell r="CH412">
            <v>70.029853795118783</v>
          </cell>
          <cell r="CI412">
            <v>59.159319786214269</v>
          </cell>
          <cell r="CJ412">
            <v>48.665253319839337</v>
          </cell>
          <cell r="CK412">
            <v>45.482513155732875</v>
          </cell>
          <cell r="CL412">
            <v>37.703158521909927</v>
          </cell>
          <cell r="CM412">
            <v>45.395317420825251</v>
          </cell>
        </row>
        <row r="413">
          <cell r="AI413">
            <v>5.53</v>
          </cell>
          <cell r="AN413">
            <v>0.40001854693321803</v>
          </cell>
          <cell r="AO413">
            <v>1.6000741877328721</v>
          </cell>
          <cell r="AP413">
            <v>10.637580569212387</v>
          </cell>
          <cell r="AQ413">
            <v>12.961993024509113</v>
          </cell>
          <cell r="AR413">
            <v>15.212707826494727</v>
          </cell>
          <cell r="AS413">
            <v>13.814113468057771</v>
          </cell>
          <cell r="AT413">
            <v>77.428275425543987</v>
          </cell>
          <cell r="AU413">
            <v>208.5</v>
          </cell>
          <cell r="AV413">
            <v>311.5</v>
          </cell>
          <cell r="AW413">
            <v>331.9</v>
          </cell>
          <cell r="AX413">
            <v>168</v>
          </cell>
          <cell r="AY413">
            <v>84</v>
          </cell>
          <cell r="AZ413">
            <v>398</v>
          </cell>
          <cell r="BA413">
            <v>385</v>
          </cell>
          <cell r="BB413">
            <v>513</v>
          </cell>
          <cell r="BC413">
            <v>447.81</v>
          </cell>
          <cell r="BD413">
            <v>463.6</v>
          </cell>
          <cell r="BE413">
            <v>561.04</v>
          </cell>
          <cell r="BF413">
            <v>608.16999999999996</v>
          </cell>
          <cell r="BG413">
            <v>705.13</v>
          </cell>
          <cell r="BH413">
            <v>701.14</v>
          </cell>
          <cell r="BI413">
            <v>745.33</v>
          </cell>
          <cell r="BJ413">
            <v>513.57724767128968</v>
          </cell>
          <cell r="BK413">
            <v>642.899</v>
          </cell>
          <cell r="BL413">
            <v>617.53700000000003</v>
          </cell>
          <cell r="BM413">
            <v>636.02</v>
          </cell>
          <cell r="BN413">
            <v>548.75348137814137</v>
          </cell>
          <cell r="BO413">
            <v>500.13163754587816</v>
          </cell>
          <cell r="BP413">
            <v>522.85338255465967</v>
          </cell>
          <cell r="BQ413">
            <v>410.41748201234429</v>
          </cell>
          <cell r="BR413">
            <v>455.16826705997175</v>
          </cell>
          <cell r="BS413">
            <v>441.45196801245697</v>
          </cell>
          <cell r="BT413">
            <v>432.51806890248815</v>
          </cell>
          <cell r="BU413">
            <v>445.57691609185099</v>
          </cell>
          <cell r="BV413">
            <v>258.45156487294889</v>
          </cell>
          <cell r="BW413">
            <v>385.28938363965744</v>
          </cell>
          <cell r="BX413">
            <v>378.300243151649</v>
          </cell>
          <cell r="BY413">
            <v>360.68214385828128</v>
          </cell>
          <cell r="BZ413">
            <v>301.28120269147371</v>
          </cell>
          <cell r="CA413">
            <v>299.11630735670303</v>
          </cell>
          <cell r="CB413">
            <v>299.11630735670303</v>
          </cell>
          <cell r="CC413">
            <v>128.06250893236916</v>
          </cell>
          <cell r="CD413">
            <v>138.58008376148203</v>
          </cell>
          <cell r="CE413">
            <v>125.22167636316576</v>
          </cell>
          <cell r="CF413">
            <v>82.60258722780506</v>
          </cell>
          <cell r="CG413">
            <v>74.408016034714251</v>
          </cell>
          <cell r="CH413">
            <v>65.113504284520815</v>
          </cell>
          <cell r="CI413">
            <v>54.429192981600579</v>
          </cell>
          <cell r="CJ413">
            <v>44.086071254779739</v>
          </cell>
          <cell r="CK413">
            <v>41.248449960917242</v>
          </cell>
          <cell r="CL413">
            <v>33.550606583239414</v>
          </cell>
          <cell r="CM413">
            <v>42.618807445161053</v>
          </cell>
        </row>
        <row r="414">
          <cell r="AI414">
            <v>5.58</v>
          </cell>
          <cell r="AN414">
            <v>0.40001854693321803</v>
          </cell>
          <cell r="AO414">
            <v>1.6000741877328721</v>
          </cell>
          <cell r="AP414">
            <v>10.637580569212387</v>
          </cell>
          <cell r="AQ414">
            <v>12.961993024509113</v>
          </cell>
          <cell r="AR414">
            <v>15.212707826494727</v>
          </cell>
          <cell r="AS414">
            <v>13.814113468057771</v>
          </cell>
          <cell r="AT414">
            <v>77.428275425543987</v>
          </cell>
          <cell r="AU414">
            <v>181.2</v>
          </cell>
          <cell r="AV414">
            <v>286.60000000000002</v>
          </cell>
          <cell r="AW414">
            <v>278.10000000000002</v>
          </cell>
          <cell r="AX414">
            <v>215</v>
          </cell>
          <cell r="AY414">
            <v>102</v>
          </cell>
          <cell r="AZ414">
            <v>430</v>
          </cell>
          <cell r="BA414">
            <v>322</v>
          </cell>
          <cell r="BB414">
            <v>502</v>
          </cell>
          <cell r="BC414">
            <v>395.21</v>
          </cell>
          <cell r="BD414">
            <v>390</v>
          </cell>
          <cell r="BE414">
            <v>536.84</v>
          </cell>
          <cell r="BF414">
            <v>603.91</v>
          </cell>
          <cell r="BG414">
            <v>688.71</v>
          </cell>
          <cell r="BH414">
            <v>598.79999999999995</v>
          </cell>
          <cell r="BI414">
            <v>736.53</v>
          </cell>
          <cell r="BJ414">
            <v>572.51958262530229</v>
          </cell>
          <cell r="BK414">
            <v>595.70399999999995</v>
          </cell>
          <cell r="BL414">
            <v>619.99400000000003</v>
          </cell>
          <cell r="BM414">
            <v>673.00900000000001</v>
          </cell>
          <cell r="BN414">
            <v>554.28108449410252</v>
          </cell>
          <cell r="BO414">
            <v>510.23976466028887</v>
          </cell>
          <cell r="BP414">
            <v>528.81551521152028</v>
          </cell>
          <cell r="BQ414">
            <v>422.04496347606175</v>
          </cell>
          <cell r="BR414">
            <v>480.93584287796477</v>
          </cell>
          <cell r="BS414">
            <v>455.01502822378671</v>
          </cell>
          <cell r="BT414">
            <v>446.1893387631651</v>
          </cell>
          <cell r="BU414">
            <v>460.37225420887307</v>
          </cell>
          <cell r="BV414">
            <v>267.74875060951871</v>
          </cell>
          <cell r="BW414">
            <v>400.99351744870216</v>
          </cell>
          <cell r="BX414">
            <v>391.72509601956477</v>
          </cell>
          <cell r="BY414">
            <v>371.1305800623025</v>
          </cell>
          <cell r="BZ414">
            <v>308.19080394660796</v>
          </cell>
          <cell r="CA414">
            <v>305.39785157404822</v>
          </cell>
          <cell r="CB414">
            <v>305.39785157404822</v>
          </cell>
          <cell r="CC414">
            <v>129.36020901372018</v>
          </cell>
          <cell r="CD414">
            <v>139.62272906917605</v>
          </cell>
          <cell r="CE414">
            <v>125.71761678019772</v>
          </cell>
          <cell r="CF414">
            <v>82.532611721892295</v>
          </cell>
          <cell r="CG414">
            <v>74.034681067242502</v>
          </cell>
          <cell r="CH414">
            <v>64.439313578727678</v>
          </cell>
          <cell r="CI414">
            <v>53.478484771836406</v>
          </cell>
          <cell r="CJ414">
            <v>42.88540322978011</v>
          </cell>
          <cell r="CK414">
            <v>39.894683762883233</v>
          </cell>
          <cell r="CL414">
            <v>31.963291582684377</v>
          </cell>
          <cell r="CM414">
            <v>38.912231589017722</v>
          </cell>
        </row>
        <row r="415">
          <cell r="AI415">
            <v>5.68</v>
          </cell>
          <cell r="AN415">
            <v>3.1550265052044284</v>
          </cell>
          <cell r="AO415">
            <v>12.620106020817714</v>
          </cell>
          <cell r="AP415">
            <v>63.10053010408857</v>
          </cell>
          <cell r="AQ415">
            <v>94.650795156132844</v>
          </cell>
          <cell r="AR415">
            <v>117.14961011597379</v>
          </cell>
          <cell r="AS415">
            <v>134.64831680085499</v>
          </cell>
          <cell r="AT415">
            <v>488.54011670139971</v>
          </cell>
          <cell r="AU415">
            <v>1568.5833984130477</v>
          </cell>
          <cell r="AV415">
            <v>2761.4</v>
          </cell>
          <cell r="AW415">
            <v>3245.4</v>
          </cell>
          <cell r="AX415">
            <v>2009.7</v>
          </cell>
          <cell r="AY415">
            <v>1622</v>
          </cell>
          <cell r="AZ415">
            <v>2737</v>
          </cell>
          <cell r="BA415">
            <v>4874</v>
          </cell>
          <cell r="BB415">
            <v>4689</v>
          </cell>
          <cell r="BC415">
            <v>5010.26</v>
          </cell>
          <cell r="BD415">
            <v>5036.4400000000005</v>
          </cell>
          <cell r="BE415">
            <v>5692.45</v>
          </cell>
          <cell r="BF415">
            <v>6200.2999999999993</v>
          </cell>
          <cell r="BG415">
            <v>7133.6900000000005</v>
          </cell>
        </row>
        <row r="419">
          <cell r="BI419">
            <v>200</v>
          </cell>
          <cell r="BJ419">
            <v>125</v>
          </cell>
          <cell r="BK419">
            <v>175</v>
          </cell>
          <cell r="BL419">
            <v>75</v>
          </cell>
          <cell r="BM419">
            <v>275</v>
          </cell>
          <cell r="BN419">
            <v>425</v>
          </cell>
          <cell r="BO419">
            <v>309.41243144877882</v>
          </cell>
          <cell r="BP419">
            <v>292.85486310826377</v>
          </cell>
          <cell r="BQ419">
            <v>556.98891122218572</v>
          </cell>
          <cell r="BR419">
            <v>610.67372506573668</v>
          </cell>
          <cell r="BS419">
            <v>480.74363735916131</v>
          </cell>
          <cell r="BT419">
            <v>525.96336720418321</v>
          </cell>
          <cell r="BU419">
            <v>417.31794104137305</v>
          </cell>
          <cell r="BV419">
            <v>461.5889373706724</v>
          </cell>
          <cell r="BW419">
            <v>615.91564491093584</v>
          </cell>
          <cell r="BX419">
            <v>595.33288173385881</v>
          </cell>
          <cell r="BY419">
            <v>511.48425145320971</v>
          </cell>
          <cell r="BZ419">
            <v>607.64064352116122</v>
          </cell>
          <cell r="CA419">
            <v>718.84225159418816</v>
          </cell>
          <cell r="CB419">
            <v>776.20925150111316</v>
          </cell>
          <cell r="CC419">
            <v>759.0767420421613</v>
          </cell>
          <cell r="CD419">
            <v>680.9310087869344</v>
          </cell>
          <cell r="CE419">
            <v>522.52523011762241</v>
          </cell>
          <cell r="CF419">
            <v>506.33286398961502</v>
          </cell>
          <cell r="CG419">
            <v>497.19886431826615</v>
          </cell>
          <cell r="CH419">
            <v>431.12639504221249</v>
          </cell>
          <cell r="CI419">
            <v>824.88148142459704</v>
          </cell>
          <cell r="CJ419">
            <v>551.65319878659955</v>
          </cell>
          <cell r="CK419">
            <v>829.56017847678083</v>
          </cell>
          <cell r="CL419">
            <v>435.64942208810965</v>
          </cell>
          <cell r="CM419">
            <v>709.17224111676057</v>
          </cell>
          <cell r="CN419">
            <v>495.73352529932606</v>
          </cell>
        </row>
        <row r="420">
          <cell r="BA420">
            <v>20</v>
          </cell>
          <cell r="BB420">
            <v>20</v>
          </cell>
          <cell r="BC420">
            <v>60</v>
          </cell>
          <cell r="BD420">
            <v>30</v>
          </cell>
          <cell r="BE420">
            <v>30</v>
          </cell>
          <cell r="BF420">
            <v>65</v>
          </cell>
          <cell r="BG420">
            <v>65</v>
          </cell>
          <cell r="BH420">
            <v>150</v>
          </cell>
          <cell r="BI420">
            <v>200</v>
          </cell>
          <cell r="BJ420">
            <v>225</v>
          </cell>
          <cell r="BK420">
            <v>325</v>
          </cell>
          <cell r="BL420">
            <v>125</v>
          </cell>
          <cell r="BM420">
            <v>275</v>
          </cell>
          <cell r="BN420">
            <v>475</v>
          </cell>
          <cell r="BO420">
            <v>510.71567916177924</v>
          </cell>
          <cell r="BP420">
            <v>638.98206060246173</v>
          </cell>
          <cell r="BQ420">
            <v>797.38005404805142</v>
          </cell>
          <cell r="BR420">
            <v>902.08927639478281</v>
          </cell>
          <cell r="BS420">
            <v>795.06849915463977</v>
          </cell>
          <cell r="BT420">
            <v>851.50128238984917</v>
          </cell>
          <cell r="BU420">
            <v>947.66050138665025</v>
          </cell>
          <cell r="BV420">
            <v>777.93525765518098</v>
          </cell>
          <cell r="BW420">
            <v>1061.1978516232098</v>
          </cell>
          <cell r="BX420">
            <v>1033.2016106254164</v>
          </cell>
          <cell r="BY420">
            <v>983.95322210426139</v>
          </cell>
          <cell r="BZ420">
            <v>1072.3559739131363</v>
          </cell>
          <cell r="CA420">
            <v>1280.6136726425857</v>
          </cell>
          <cell r="CB420">
            <v>1395.2800738443018</v>
          </cell>
          <cell r="CC420">
            <v>1376.568563101667</v>
          </cell>
          <cell r="CD420">
            <v>1217.1478891771039</v>
          </cell>
          <cell r="CE420">
            <v>1096.253891590901</v>
          </cell>
          <cell r="CF420">
            <v>1311.9672263504071</v>
          </cell>
          <cell r="CG420">
            <v>1108.6968270050581</v>
          </cell>
          <cell r="CH420">
            <v>1144.5940482094948</v>
          </cell>
          <cell r="CI420">
            <v>1246.2728928780907</v>
          </cell>
          <cell r="CJ420">
            <v>1179.9341997761589</v>
          </cell>
          <cell r="CK420">
            <v>1377.514455389605</v>
          </cell>
          <cell r="CL420">
            <v>1287.6157949987364</v>
          </cell>
          <cell r="CM420">
            <v>1164.7301112679245</v>
          </cell>
          <cell r="CN420">
            <v>1181.682975449829</v>
          </cell>
        </row>
        <row r="421">
          <cell r="BA421">
            <v>20</v>
          </cell>
          <cell r="BB421">
            <v>20</v>
          </cell>
          <cell r="BC421">
            <v>35</v>
          </cell>
          <cell r="BD421">
            <v>40</v>
          </cell>
          <cell r="BE421">
            <v>30</v>
          </cell>
          <cell r="BF421">
            <v>70</v>
          </cell>
          <cell r="BG421">
            <v>60</v>
          </cell>
          <cell r="BH421">
            <v>150</v>
          </cell>
          <cell r="BI421">
            <v>200</v>
          </cell>
          <cell r="BJ421">
            <v>275</v>
          </cell>
          <cell r="BK421">
            <v>275</v>
          </cell>
          <cell r="BL421">
            <v>150</v>
          </cell>
          <cell r="BM421">
            <v>325</v>
          </cell>
          <cell r="BN421">
            <v>475</v>
          </cell>
          <cell r="BO421">
            <v>526.69280840198542</v>
          </cell>
          <cell r="BP421">
            <v>652.2062679095003</v>
          </cell>
          <cell r="BQ421">
            <v>783.94982478377301</v>
          </cell>
          <cell r="BR421">
            <v>886.3570050747843</v>
          </cell>
          <cell r="BS421">
            <v>787.19332797890183</v>
          </cell>
          <cell r="BT421">
            <v>843.70428308189764</v>
          </cell>
          <cell r="BU421">
            <v>934.45720902679113</v>
          </cell>
          <cell r="BV421">
            <v>1463.4114311526941</v>
          </cell>
          <cell r="BW421">
            <v>1223.1867831992552</v>
          </cell>
          <cell r="BX421">
            <v>1232.588353303893</v>
          </cell>
          <cell r="BY421">
            <v>1249.3691880566275</v>
          </cell>
          <cell r="BZ421">
            <v>1436.174635829859</v>
          </cell>
          <cell r="CA421">
            <v>1582.5010914825871</v>
          </cell>
          <cell r="CB421">
            <v>1755.0209533249072</v>
          </cell>
          <cell r="CC421">
            <v>1755.0667684066336</v>
          </cell>
          <cell r="CD421">
            <v>1552.654945673439</v>
          </cell>
          <cell r="CE421">
            <v>1634.0798159662984</v>
          </cell>
          <cell r="CF421">
            <v>1529.3947379931478</v>
          </cell>
          <cell r="CG421">
            <v>1625.2947621912788</v>
          </cell>
          <cell r="CH421">
            <v>1598.1646831301257</v>
          </cell>
          <cell r="CI421">
            <v>1706.480926877291</v>
          </cell>
          <cell r="CJ421">
            <v>1578.5797376344299</v>
          </cell>
          <cell r="CK421">
            <v>1837.3603037677435</v>
          </cell>
          <cell r="CL421">
            <v>1748.4240600022631</v>
          </cell>
          <cell r="CM421">
            <v>1841.4913435770834</v>
          </cell>
          <cell r="CN421">
            <v>1928.012219702558</v>
          </cell>
        </row>
        <row r="422">
          <cell r="BA422">
            <v>10</v>
          </cell>
          <cell r="BB422">
            <v>5</v>
          </cell>
          <cell r="BC422">
            <v>25</v>
          </cell>
          <cell r="BD422">
            <v>40</v>
          </cell>
          <cell r="BE422">
            <v>25</v>
          </cell>
          <cell r="BF422">
            <v>50</v>
          </cell>
          <cell r="BG422">
            <v>50</v>
          </cell>
          <cell r="BH422">
            <v>150</v>
          </cell>
          <cell r="BI422">
            <v>175</v>
          </cell>
          <cell r="BJ422">
            <v>175</v>
          </cell>
          <cell r="BK422">
            <v>125</v>
          </cell>
          <cell r="BL422">
            <v>225</v>
          </cell>
          <cell r="BM422">
            <v>300</v>
          </cell>
          <cell r="BN422">
            <v>200</v>
          </cell>
          <cell r="BO422">
            <v>212.51039886700161</v>
          </cell>
          <cell r="BP422">
            <v>437.97925679131339</v>
          </cell>
          <cell r="BQ422">
            <v>480.5925093998332</v>
          </cell>
          <cell r="BR422">
            <v>539.37906718510385</v>
          </cell>
          <cell r="BS422">
            <v>449.79399133673451</v>
          </cell>
          <cell r="BT422">
            <v>536.98696752165654</v>
          </cell>
          <cell r="BU422">
            <v>649.42776780199802</v>
          </cell>
          <cell r="BV422">
            <v>644.96515124606799</v>
          </cell>
          <cell r="BW422">
            <v>658.13560992176997</v>
          </cell>
          <cell r="BX422">
            <v>720.26578276797329</v>
          </cell>
          <cell r="BY422">
            <v>691.34501586648958</v>
          </cell>
          <cell r="BZ422">
            <v>836.3772253089212</v>
          </cell>
          <cell r="CA422">
            <v>927.8606574092853</v>
          </cell>
          <cell r="CB422">
            <v>927.01104907957892</v>
          </cell>
          <cell r="CC422">
            <v>804.10293636311815</v>
          </cell>
          <cell r="CD422">
            <v>860.29799227214096</v>
          </cell>
          <cell r="CE422">
            <v>909.0608907112811</v>
          </cell>
          <cell r="CF422">
            <v>985.83249920041726</v>
          </cell>
          <cell r="CG422">
            <v>804.2256204233172</v>
          </cell>
          <cell r="CH422">
            <v>750.83535253195032</v>
          </cell>
          <cell r="CI422">
            <v>846.49531653231338</v>
          </cell>
          <cell r="CJ422">
            <v>852.70943751592404</v>
          </cell>
          <cell r="CK422">
            <v>1047.2930229676963</v>
          </cell>
          <cell r="CL422">
            <v>936.35437339995951</v>
          </cell>
          <cell r="CM422">
            <v>1012.328076202367</v>
          </cell>
        </row>
        <row r="423">
          <cell r="AI423">
            <v>5.82</v>
          </cell>
          <cell r="BA423">
            <v>15</v>
          </cell>
          <cell r="BB423">
            <v>6</v>
          </cell>
          <cell r="BC423">
            <v>25</v>
          </cell>
          <cell r="BD423">
            <v>30</v>
          </cell>
          <cell r="BE423">
            <v>15</v>
          </cell>
          <cell r="BF423">
            <v>55</v>
          </cell>
          <cell r="BG423">
            <v>75</v>
          </cell>
          <cell r="BH423">
            <v>150</v>
          </cell>
          <cell r="BI423">
            <v>150</v>
          </cell>
          <cell r="BJ423">
            <v>225</v>
          </cell>
          <cell r="BK423">
            <v>100</v>
          </cell>
          <cell r="BL423">
            <v>250</v>
          </cell>
          <cell r="BM423">
            <v>225</v>
          </cell>
          <cell r="BN423">
            <v>125</v>
          </cell>
          <cell r="BO423">
            <v>209.19093927155413</v>
          </cell>
          <cell r="BP423">
            <v>242.15023941716387</v>
          </cell>
          <cell r="BQ423">
            <v>413.42091519561336</v>
          </cell>
          <cell r="BR423">
            <v>267.51047738473335</v>
          </cell>
          <cell r="BS423">
            <v>306.36106112888257</v>
          </cell>
          <cell r="BT423">
            <v>347.41587361895671</v>
          </cell>
          <cell r="BU423">
            <v>432.53767724181262</v>
          </cell>
          <cell r="BV423">
            <v>397.73484933408974</v>
          </cell>
          <cell r="BW423">
            <v>446.12939281263181</v>
          </cell>
          <cell r="BX423">
            <v>486.80283500857416</v>
          </cell>
          <cell r="BY423">
            <v>439.65204217449661</v>
          </cell>
          <cell r="BZ423">
            <v>546.31052060267314</v>
          </cell>
          <cell r="CA423">
            <v>614.22034675415534</v>
          </cell>
          <cell r="CB423">
            <v>409.16417629381056</v>
          </cell>
          <cell r="CC423">
            <v>479.54552545892273</v>
          </cell>
          <cell r="CD423">
            <v>505.62338156898772</v>
          </cell>
          <cell r="CE423">
            <v>519.61472844189348</v>
          </cell>
          <cell r="CF423">
            <v>541.33857680983772</v>
          </cell>
          <cell r="CG423">
            <v>578.71583290243075</v>
          </cell>
          <cell r="CH423">
            <v>571.4913952801968</v>
          </cell>
          <cell r="CI423">
            <v>540.31270894627903</v>
          </cell>
          <cell r="CJ423">
            <v>761.30593903415763</v>
          </cell>
          <cell r="CK423">
            <v>637.54841628252098</v>
          </cell>
          <cell r="CL423">
            <v>672.56294160376194</v>
          </cell>
          <cell r="CM423">
            <v>718.44981175616465</v>
          </cell>
        </row>
        <row r="424">
          <cell r="AI424">
            <v>5.96</v>
          </cell>
          <cell r="BA424">
            <v>15</v>
          </cell>
          <cell r="BB424">
            <v>8</v>
          </cell>
          <cell r="BC424">
            <v>30</v>
          </cell>
          <cell r="BD424">
            <v>30</v>
          </cell>
          <cell r="BE424">
            <v>25</v>
          </cell>
          <cell r="BF424">
            <v>40</v>
          </cell>
          <cell r="BG424">
            <v>85</v>
          </cell>
          <cell r="BH424">
            <v>150</v>
          </cell>
          <cell r="BI424">
            <v>165</v>
          </cell>
          <cell r="BJ424">
            <v>225</v>
          </cell>
          <cell r="BK424">
            <v>200</v>
          </cell>
          <cell r="BL424">
            <v>150</v>
          </cell>
          <cell r="BM424">
            <v>325</v>
          </cell>
          <cell r="BN424">
            <v>250</v>
          </cell>
          <cell r="BO424">
            <v>259.52671421335242</v>
          </cell>
          <cell r="BP424">
            <v>271.37997925941426</v>
          </cell>
          <cell r="BQ424">
            <v>498.00874030310496</v>
          </cell>
          <cell r="BR424">
            <v>338.03805656868059</v>
          </cell>
          <cell r="BS424">
            <v>369.44677040603085</v>
          </cell>
          <cell r="BT424">
            <v>416.49262523015341</v>
          </cell>
          <cell r="BU424">
            <v>525.90339749785926</v>
          </cell>
          <cell r="BV424">
            <v>485.52068102795386</v>
          </cell>
          <cell r="BW424">
            <v>529.74563349733126</v>
          </cell>
          <cell r="BX424">
            <v>576.6826247120008</v>
          </cell>
          <cell r="BY424">
            <v>537.62169210078207</v>
          </cell>
          <cell r="BZ424">
            <v>656.03469312851155</v>
          </cell>
          <cell r="CA424">
            <v>734.86562659490824</v>
          </cell>
          <cell r="CB424">
            <v>531.4452061841007</v>
          </cell>
          <cell r="CC424">
            <v>588.37659793474722</v>
          </cell>
          <cell r="CD424">
            <v>620.00929053536447</v>
          </cell>
          <cell r="CE424">
            <v>640.45743923111752</v>
          </cell>
          <cell r="CF424">
            <v>672.62469592571949</v>
          </cell>
          <cell r="CG424">
            <v>712.69695490142772</v>
          </cell>
          <cell r="CH424">
            <v>704.71004915524043</v>
          </cell>
          <cell r="CI424">
            <v>667.72518603175911</v>
          </cell>
          <cell r="CJ424">
            <v>893.34423654335239</v>
          </cell>
          <cell r="CK424">
            <v>774.34732336793274</v>
          </cell>
          <cell r="CL424">
            <v>814.30207722077887</v>
          </cell>
          <cell r="CM424">
            <v>865.8958246032737</v>
          </cell>
        </row>
        <row r="425">
          <cell r="AI425">
            <v>5.79</v>
          </cell>
          <cell r="BA425">
            <v>10</v>
          </cell>
          <cell r="BB425">
            <v>7</v>
          </cell>
          <cell r="BC425">
            <v>35</v>
          </cell>
          <cell r="BD425">
            <v>30</v>
          </cell>
          <cell r="BE425">
            <v>35</v>
          </cell>
          <cell r="BF425">
            <v>50</v>
          </cell>
          <cell r="BG425">
            <v>80</v>
          </cell>
          <cell r="BH425">
            <v>150</v>
          </cell>
          <cell r="BI425">
            <v>145</v>
          </cell>
          <cell r="BJ425">
            <v>150</v>
          </cell>
          <cell r="BK425">
            <v>150</v>
          </cell>
          <cell r="BL425">
            <v>225</v>
          </cell>
          <cell r="BM425">
            <v>400</v>
          </cell>
          <cell r="BN425">
            <v>168.62754024146955</v>
          </cell>
          <cell r="BO425">
            <v>231.56323449267114</v>
          </cell>
          <cell r="BP425">
            <v>253.38922867269548</v>
          </cell>
          <cell r="BQ425">
            <v>453.09264621138038</v>
          </cell>
          <cell r="BR425">
            <v>291.08874573969621</v>
          </cell>
          <cell r="BS425">
            <v>331.42236032056303</v>
          </cell>
          <cell r="BT425">
            <v>374.73024311009783</v>
          </cell>
          <cell r="BU425">
            <v>470.21371439112653</v>
          </cell>
          <cell r="BV425">
            <v>431.59453273385822</v>
          </cell>
          <cell r="BW425">
            <v>479.08552240164238</v>
          </cell>
          <cell r="BX425">
            <v>521.95052881646848</v>
          </cell>
          <cell r="BY425">
            <v>478.3551105462551</v>
          </cell>
          <cell r="BZ425">
            <v>589.6721101262043</v>
          </cell>
          <cell r="CA425">
            <v>662.12176611494192</v>
          </cell>
          <cell r="CB425">
            <v>457.29288505771558</v>
          </cell>
          <cell r="CC425">
            <v>521.99368048836595</v>
          </cell>
          <cell r="CD425">
            <v>550.42398203380708</v>
          </cell>
          <cell r="CE425">
            <v>567.00380484436596</v>
          </cell>
          <cell r="CF425">
            <v>592.81977466735043</v>
          </cell>
          <cell r="CG425">
            <v>631.22254437658091</v>
          </cell>
          <cell r="CH425">
            <v>623.69421676111335</v>
          </cell>
          <cell r="CI425">
            <v>590.09884360768183</v>
          </cell>
          <cell r="CJ425">
            <v>813.09844215136809</v>
          </cell>
          <cell r="CK425">
            <v>691.19655631255409</v>
          </cell>
          <cell r="CL425">
            <v>728.150023802693</v>
          </cell>
          <cell r="CM425">
            <v>776.41868688622526</v>
          </cell>
        </row>
        <row r="426">
          <cell r="AI426">
            <v>5.87</v>
          </cell>
          <cell r="BA426">
            <v>10</v>
          </cell>
          <cell r="BB426">
            <v>15</v>
          </cell>
          <cell r="BC426">
            <v>30</v>
          </cell>
          <cell r="BD426">
            <v>30</v>
          </cell>
          <cell r="BE426">
            <v>40</v>
          </cell>
          <cell r="BF426">
            <v>60</v>
          </cell>
          <cell r="BG426">
            <v>70</v>
          </cell>
          <cell r="BH426">
            <v>150</v>
          </cell>
          <cell r="BI426">
            <v>175</v>
          </cell>
          <cell r="BJ426">
            <v>175</v>
          </cell>
          <cell r="BK426">
            <v>125</v>
          </cell>
          <cell r="BL426">
            <v>300</v>
          </cell>
          <cell r="BM426">
            <v>325</v>
          </cell>
          <cell r="BN426">
            <v>144.33762357398166</v>
          </cell>
          <cell r="BO426">
            <v>231.30474745549836</v>
          </cell>
          <cell r="BP426">
            <v>276.00376321148809</v>
          </cell>
          <cell r="BQ426">
            <v>267.91413524901452</v>
          </cell>
          <cell r="BR426">
            <v>248.6446150015008</v>
          </cell>
          <cell r="BS426">
            <v>277.90066682685762</v>
          </cell>
          <cell r="BT426">
            <v>301.96456287595208</v>
          </cell>
          <cell r="BU426">
            <v>354.68304999883526</v>
          </cell>
          <cell r="BV426">
            <v>449.72630710401194</v>
          </cell>
          <cell r="BW426">
            <v>418.00782280893253</v>
          </cell>
          <cell r="BX426">
            <v>458.84719201760362</v>
          </cell>
          <cell r="BY426">
            <v>416.96059389411965</v>
          </cell>
          <cell r="BZ426">
            <v>538.67392843764321</v>
          </cell>
          <cell r="CA426">
            <v>585.36795193023477</v>
          </cell>
          <cell r="CB426">
            <v>383.13785235615183</v>
          </cell>
          <cell r="CC426">
            <v>459.38819541811915</v>
          </cell>
          <cell r="CD426">
            <v>485.59772383051694</v>
          </cell>
          <cell r="CE426">
            <v>495.21684160423274</v>
          </cell>
          <cell r="CF426">
            <v>515.87172374494116</v>
          </cell>
          <cell r="CG426">
            <v>553.33211217293103</v>
          </cell>
          <cell r="CH426">
            <v>546.17098876936575</v>
          </cell>
          <cell r="CI426">
            <v>515.74303496352547</v>
          </cell>
          <cell r="CJ426">
            <v>535.95380829287876</v>
          </cell>
          <cell r="CK426">
            <v>559.56113682293972</v>
          </cell>
          <cell r="CL426">
            <v>778.27474876479369</v>
          </cell>
          <cell r="CM426">
            <v>654.65977316747853</v>
          </cell>
        </row>
        <row r="427">
          <cell r="AI427">
            <v>5.69</v>
          </cell>
          <cell r="BA427">
            <v>10</v>
          </cell>
          <cell r="BB427">
            <v>45</v>
          </cell>
          <cell r="BC427">
            <v>35</v>
          </cell>
          <cell r="BD427">
            <v>30</v>
          </cell>
          <cell r="BE427">
            <v>55</v>
          </cell>
          <cell r="BF427">
            <v>50</v>
          </cell>
          <cell r="BG427">
            <v>40</v>
          </cell>
          <cell r="BH427">
            <v>150</v>
          </cell>
          <cell r="BI427">
            <v>180</v>
          </cell>
          <cell r="BJ427">
            <v>225</v>
          </cell>
          <cell r="BK427">
            <v>100</v>
          </cell>
          <cell r="BL427">
            <v>300</v>
          </cell>
          <cell r="BM427">
            <v>475</v>
          </cell>
          <cell r="BN427">
            <v>167.89066616330553</v>
          </cell>
          <cell r="BO427">
            <v>256.52979331067041</v>
          </cell>
          <cell r="BP427">
            <v>311.82139775343506</v>
          </cell>
          <cell r="BQ427">
            <v>305.94659928476472</v>
          </cell>
          <cell r="BR427">
            <v>283.7368674315228</v>
          </cell>
          <cell r="BS427">
            <v>314.26986361769826</v>
          </cell>
          <cell r="BT427">
            <v>343.18638859176792</v>
          </cell>
          <cell r="BU427">
            <v>402.67969909100918</v>
          </cell>
          <cell r="BV427">
            <v>497.34688018308128</v>
          </cell>
          <cell r="BW427">
            <v>464.75472523878244</v>
          </cell>
          <cell r="BX427">
            <v>508.48190951109513</v>
          </cell>
          <cell r="BY427">
            <v>469.95178967081904</v>
          </cell>
          <cell r="BZ427">
            <v>598.62742511665647</v>
          </cell>
          <cell r="CA427">
            <v>651.65728527628323</v>
          </cell>
          <cell r="CB427">
            <v>650.13848669756305</v>
          </cell>
          <cell r="CC427">
            <v>562.9182335217622</v>
          </cell>
          <cell r="CD427">
            <v>606.44940538590549</v>
          </cell>
          <cell r="CE427">
            <v>638.30196979734922</v>
          </cell>
          <cell r="CF427">
            <v>692.16942248346299</v>
          </cell>
          <cell r="CG427">
            <v>705.28490027969349</v>
          </cell>
          <cell r="CH427">
            <v>703.26802860421697</v>
          </cell>
          <cell r="CI427">
            <v>669.64269039151031</v>
          </cell>
          <cell r="CJ427">
            <v>696.63921025761204</v>
          </cell>
          <cell r="CK427">
            <v>721.71660331892065</v>
          </cell>
          <cell r="CL427">
            <v>948.08905015948108</v>
          </cell>
          <cell r="CM427">
            <v>832.23110787097824</v>
          </cell>
        </row>
        <row r="428">
          <cell r="AI428">
            <v>5.54</v>
          </cell>
          <cell r="BA428">
            <v>15</v>
          </cell>
          <cell r="BB428">
            <v>55</v>
          </cell>
          <cell r="BC428">
            <v>35</v>
          </cell>
          <cell r="BD428">
            <v>30</v>
          </cell>
          <cell r="BE428">
            <v>60</v>
          </cell>
          <cell r="BF428">
            <v>50</v>
          </cell>
          <cell r="BG428">
            <v>45</v>
          </cell>
          <cell r="BH428">
            <v>200</v>
          </cell>
          <cell r="BI428">
            <v>190</v>
          </cell>
          <cell r="BJ428">
            <v>175</v>
          </cell>
          <cell r="BK428">
            <v>175</v>
          </cell>
          <cell r="BL428">
            <v>325</v>
          </cell>
          <cell r="BM428">
            <v>325</v>
          </cell>
          <cell r="BN428">
            <v>149.15477157656301</v>
          </cell>
          <cell r="BO428">
            <v>267.01565649059143</v>
          </cell>
          <cell r="BP428">
            <v>284.05412074786</v>
          </cell>
          <cell r="BQ428">
            <v>261.17990209486322</v>
          </cell>
          <cell r="BR428">
            <v>263.49624227516688</v>
          </cell>
          <cell r="BS428">
            <v>292.8529077350189</v>
          </cell>
          <cell r="BT428">
            <v>310.25760208993273</v>
          </cell>
          <cell r="BU428">
            <v>363.85166962614227</v>
          </cell>
          <cell r="BV428">
            <v>464.69631549538798</v>
          </cell>
          <cell r="BW428">
            <v>431.35119316222159</v>
          </cell>
          <cell r="BX428">
            <v>470.98005456736109</v>
          </cell>
          <cell r="BY428">
            <v>430.45441598792667</v>
          </cell>
          <cell r="BZ428">
            <v>554.99521361265488</v>
          </cell>
          <cell r="CA428">
            <v>602.94109253404122</v>
          </cell>
          <cell r="CB428">
            <v>600.55914145390352</v>
          </cell>
          <cell r="CC428">
            <v>519.10594565396082</v>
          </cell>
          <cell r="CD428">
            <v>560.4324772425025</v>
          </cell>
          <cell r="CE428">
            <v>589.56851107770751</v>
          </cell>
          <cell r="CF428">
            <v>639.20591696563099</v>
          </cell>
          <cell r="CG428">
            <v>651.29049407264154</v>
          </cell>
          <cell r="CH428">
            <v>649.57190080182852</v>
          </cell>
          <cell r="CI428">
            <v>618.27531941544601</v>
          </cell>
          <cell r="CJ428">
            <v>643.40986871727148</v>
          </cell>
          <cell r="CK428">
            <v>666.57417214850875</v>
          </cell>
          <cell r="CL428">
            <v>890.94927124911362</v>
          </cell>
          <cell r="CM428">
            <v>772.77967083959174</v>
          </cell>
        </row>
        <row r="429">
          <cell r="AI429">
            <v>5.42</v>
          </cell>
          <cell r="BA429">
            <v>20</v>
          </cell>
          <cell r="BB429">
            <v>65</v>
          </cell>
          <cell r="BC429">
            <v>7</v>
          </cell>
          <cell r="BD429">
            <v>30</v>
          </cell>
          <cell r="BE429">
            <v>60</v>
          </cell>
          <cell r="BF429">
            <v>65</v>
          </cell>
          <cell r="BG429">
            <v>60</v>
          </cell>
          <cell r="BH429">
            <v>125</v>
          </cell>
          <cell r="BI429">
            <v>200</v>
          </cell>
          <cell r="BJ429">
            <v>300</v>
          </cell>
          <cell r="BK429">
            <v>125</v>
          </cell>
          <cell r="BL429">
            <v>350</v>
          </cell>
          <cell r="BM429">
            <v>375</v>
          </cell>
          <cell r="BN429">
            <v>192.16330349190071</v>
          </cell>
          <cell r="BO429">
            <v>257.88624380678311</v>
          </cell>
          <cell r="BP429">
            <v>304.28926348811211</v>
          </cell>
          <cell r="BQ429">
            <v>299.72189964824338</v>
          </cell>
          <cell r="BR429">
            <v>287.54653614907147</v>
          </cell>
          <cell r="BS429">
            <v>312.60522459203611</v>
          </cell>
          <cell r="BT429">
            <v>339.79351647974727</v>
          </cell>
          <cell r="BU429">
            <v>400.1487297604192</v>
          </cell>
          <cell r="BV429">
            <v>496.52683739996939</v>
          </cell>
          <cell r="BW429">
            <v>462.5166941906445</v>
          </cell>
          <cell r="BX429">
            <v>506.29967816316713</v>
          </cell>
          <cell r="BY429">
            <v>467.52222185432834</v>
          </cell>
          <cell r="BZ429">
            <v>595.74427218220092</v>
          </cell>
          <cell r="CA429">
            <v>648.07090734013696</v>
          </cell>
          <cell r="CB429">
            <v>647.06617616965218</v>
          </cell>
          <cell r="CC429">
            <v>560.98971371616062</v>
          </cell>
          <cell r="CD429">
            <v>604.09349519344107</v>
          </cell>
          <cell r="CE429">
            <v>635.71809381827222</v>
          </cell>
          <cell r="CF429">
            <v>689.34615228102734</v>
          </cell>
          <cell r="CG429">
            <v>702.45138341806785</v>
          </cell>
          <cell r="CH429">
            <v>700.47058641471256</v>
          </cell>
          <cell r="CI429">
            <v>667.24302798267604</v>
          </cell>
          <cell r="CJ429">
            <v>693.772070303227</v>
          </cell>
          <cell r="CK429">
            <v>718.76250272502057</v>
          </cell>
          <cell r="CL429">
            <v>745.02579587277205</v>
          </cell>
          <cell r="CM429">
            <v>776.6506093688364</v>
          </cell>
        </row>
        <row r="430">
          <cell r="AI430">
            <v>5.55</v>
          </cell>
          <cell r="BA430">
            <v>15</v>
          </cell>
          <cell r="BB430">
            <v>75</v>
          </cell>
          <cell r="BC430">
            <v>15</v>
          </cell>
          <cell r="BD430">
            <v>30</v>
          </cell>
          <cell r="BE430">
            <v>50</v>
          </cell>
          <cell r="BF430">
            <v>60</v>
          </cell>
          <cell r="BG430">
            <v>125</v>
          </cell>
          <cell r="BH430">
            <v>175</v>
          </cell>
          <cell r="BI430">
            <v>225</v>
          </cell>
          <cell r="BJ430">
            <v>200</v>
          </cell>
          <cell r="BK430">
            <v>125</v>
          </cell>
          <cell r="BL430">
            <v>425</v>
          </cell>
          <cell r="BM430">
            <v>300</v>
          </cell>
          <cell r="BN430">
            <v>196.38181534867169</v>
          </cell>
          <cell r="BO430">
            <v>260.13365014266645</v>
          </cell>
          <cell r="BP430">
            <v>309.40089136336582</v>
          </cell>
          <cell r="BQ430">
            <v>288.47572897488169</v>
          </cell>
          <cell r="BR430">
            <v>287.26053508629985</v>
          </cell>
          <cell r="BS430">
            <v>311.21725948726458</v>
          </cell>
          <cell r="BT430">
            <v>337.36489679513346</v>
          </cell>
          <cell r="BU430">
            <v>395.30496132921064</v>
          </cell>
          <cell r="BV430">
            <v>494.44401402304493</v>
          </cell>
          <cell r="BW430">
            <v>459.38968362156783</v>
          </cell>
          <cell r="BX430">
            <v>502.74225914795784</v>
          </cell>
          <cell r="BY430">
            <v>463.90287083971396</v>
          </cell>
          <cell r="BZ430">
            <v>592.34877261930637</v>
          </cell>
          <cell r="CA430">
            <v>644.03780182635637</v>
          </cell>
          <cell r="CB430">
            <v>642.60799885126551</v>
          </cell>
          <cell r="CC430">
            <v>556.71436499021695</v>
          </cell>
          <cell r="CD430">
            <v>599.83366346955631</v>
          </cell>
          <cell r="CE430">
            <v>631.18247611879281</v>
          </cell>
          <cell r="CF430">
            <v>684.42679023007167</v>
          </cell>
          <cell r="CG430">
            <v>697.42590651860428</v>
          </cell>
          <cell r="CH430">
            <v>695.47256662665973</v>
          </cell>
          <cell r="CI430">
            <v>662.29608253427966</v>
          </cell>
          <cell r="CJ430">
            <v>688.85837496504382</v>
          </cell>
          <cell r="CK430">
            <v>713.66454828571909</v>
          </cell>
          <cell r="CL430">
            <v>739.74452007014179</v>
          </cell>
          <cell r="CM430">
            <v>771.28793955189428</v>
          </cell>
        </row>
        <row r="431">
          <cell r="AI431">
            <v>5.73</v>
          </cell>
          <cell r="BA431">
            <v>180</v>
          </cell>
          <cell r="BB431">
            <v>336</v>
          </cell>
          <cell r="BC431">
            <v>407</v>
          </cell>
          <cell r="BD431">
            <v>380</v>
          </cell>
          <cell r="BE431">
            <v>455</v>
          </cell>
          <cell r="BF431">
            <v>665</v>
          </cell>
          <cell r="BG431">
            <v>820</v>
          </cell>
        </row>
        <row r="435">
          <cell r="BI435">
            <v>4.3819459896915562</v>
          </cell>
          <cell r="BJ435">
            <v>9.8870605631340283</v>
          </cell>
          <cell r="BK435">
            <v>8.0334035905984749</v>
          </cell>
          <cell r="BL435">
            <v>190.18698472330507</v>
          </cell>
          <cell r="BM435">
            <v>137.5166249180578</v>
          </cell>
          <cell r="BN435">
            <v>270.28127791352449</v>
          </cell>
          <cell r="BO435">
            <v>139.41317881660419</v>
          </cell>
          <cell r="BP435">
            <v>150.4771444306995</v>
          </cell>
          <cell r="BQ435">
            <v>65.701978646029985</v>
          </cell>
          <cell r="BR435">
            <v>72.437863652338081</v>
          </cell>
          <cell r="BS435">
            <v>79.695757200184303</v>
          </cell>
          <cell r="BT435">
            <v>75.138323400886947</v>
          </cell>
          <cell r="BU435">
            <v>78.73148131271455</v>
          </cell>
          <cell r="BV435">
            <v>89.143638289971122</v>
          </cell>
          <cell r="BW435">
            <v>90.845635921098619</v>
          </cell>
          <cell r="BX435">
            <v>93.801457735832372</v>
          </cell>
          <cell r="BY435">
            <v>57.840086021561191</v>
          </cell>
          <cell r="BZ435">
            <v>45.252777249343403</v>
          </cell>
          <cell r="CA435">
            <v>54.290317867580328</v>
          </cell>
          <cell r="CB435">
            <v>110.60665656524229</v>
          </cell>
          <cell r="CC435">
            <v>110.45710081413922</v>
          </cell>
          <cell r="CD435">
            <v>110.3765205733575</v>
          </cell>
          <cell r="CE435">
            <v>110.48829863721048</v>
          </cell>
          <cell r="CF435">
            <v>110.51077527033205</v>
          </cell>
          <cell r="CG435">
            <v>110.48787037205629</v>
          </cell>
          <cell r="CH435">
            <v>110.46411313341909</v>
          </cell>
          <cell r="CI435">
            <v>110.46551559727507</v>
          </cell>
          <cell r="CJ435">
            <v>110.48331460205858</v>
          </cell>
          <cell r="CK435">
            <v>110.48231779502819</v>
          </cell>
          <cell r="CL435">
            <v>110.47662629996742</v>
          </cell>
          <cell r="CM435">
            <v>110.47437748554965</v>
          </cell>
          <cell r="CN435">
            <v>110.47643035597576</v>
          </cell>
        </row>
        <row r="436">
          <cell r="BI436">
            <v>5.3084549261084213</v>
          </cell>
          <cell r="BJ436">
            <v>13.488540937931004</v>
          </cell>
          <cell r="BK436">
            <v>1.2082949902226623</v>
          </cell>
          <cell r="BL436">
            <v>224.42080909814027</v>
          </cell>
          <cell r="BM436">
            <v>174.21600000000012</v>
          </cell>
          <cell r="BN436">
            <v>242.70424451429622</v>
          </cell>
          <cell r="BO436">
            <v>148.49737439569955</v>
          </cell>
          <cell r="BP436">
            <v>159.68530547027919</v>
          </cell>
          <cell r="BQ436">
            <v>70.263914682934356</v>
          </cell>
          <cell r="BR436">
            <v>75.472116730149921</v>
          </cell>
          <cell r="BS436">
            <v>79.503056215097388</v>
          </cell>
          <cell r="BT436">
            <v>78.941049647983675</v>
          </cell>
          <cell r="BU436">
            <v>82.355903791335052</v>
          </cell>
          <cell r="BV436">
            <v>92.700371424494904</v>
          </cell>
          <cell r="BW436">
            <v>94.024149578990176</v>
          </cell>
          <cell r="BX436">
            <v>96.97002837474119</v>
          </cell>
          <cell r="BY436">
            <v>60.184058605956594</v>
          </cell>
          <cell r="BZ436">
            <v>47.003088371292904</v>
          </cell>
          <cell r="CA436">
            <v>56.30675310103058</v>
          </cell>
          <cell r="CB436">
            <v>114.63529398621822</v>
          </cell>
          <cell r="CC436">
            <v>114.52009252444262</v>
          </cell>
          <cell r="CD436">
            <v>114.51872811821498</v>
          </cell>
          <cell r="CE436">
            <v>114.59026012070404</v>
          </cell>
          <cell r="CF436">
            <v>114.59792221871373</v>
          </cell>
          <cell r="CG436">
            <v>114.5724593936587</v>
          </cell>
          <cell r="CH436">
            <v>114.5598924751468</v>
          </cell>
          <cell r="CI436">
            <v>114.56785246528766</v>
          </cell>
          <cell r="CJ436">
            <v>114.57767733470217</v>
          </cell>
          <cell r="CK436">
            <v>114.57516077750179</v>
          </cell>
          <cell r="CL436">
            <v>114.5706084892594</v>
          </cell>
          <cell r="CM436">
            <v>114.57023830837956</v>
          </cell>
          <cell r="CN436">
            <v>114.57230747502609</v>
          </cell>
        </row>
        <row r="437">
          <cell r="BI437">
            <v>6.7003559113300142</v>
          </cell>
          <cell r="BJ437">
            <v>18.426394380295438</v>
          </cell>
          <cell r="BK437">
            <v>17.41979821362693</v>
          </cell>
          <cell r="BL437">
            <v>200.50973254377087</v>
          </cell>
          <cell r="BM437">
            <v>210.42485678655873</v>
          </cell>
          <cell r="BN437">
            <v>213.97157792776085</v>
          </cell>
          <cell r="BO437">
            <v>149.56451773311105</v>
          </cell>
          <cell r="BP437">
            <v>159.85563182698675</v>
          </cell>
          <cell r="BQ437">
            <v>69.139319320053445</v>
          </cell>
          <cell r="BR437">
            <v>76.192240748459</v>
          </cell>
          <cell r="BS437">
            <v>76.318968074186628</v>
          </cell>
          <cell r="BT437">
            <v>78.593112036028373</v>
          </cell>
          <cell r="BU437">
            <v>81.687247826473993</v>
          </cell>
          <cell r="BV437">
            <v>91.595948152184278</v>
          </cell>
          <cell r="BW437">
            <v>92.970047068400561</v>
          </cell>
          <cell r="BX437">
            <v>95.527649078218104</v>
          </cell>
          <cell r="BY437">
            <v>59.559552726674653</v>
          </cell>
          <cell r="BZ437">
            <v>46.463394250455131</v>
          </cell>
          <cell r="CA437">
            <v>55.62033673076828</v>
          </cell>
          <cell r="CB437">
            <v>113.22951785876531</v>
          </cell>
          <cell r="CC437">
            <v>113.08552868519529</v>
          </cell>
          <cell r="CD437">
            <v>113.15058007432685</v>
          </cell>
          <cell r="CE437">
            <v>113.19702878105599</v>
          </cell>
          <cell r="CF437">
            <v>113.19751856371572</v>
          </cell>
          <cell r="CG437">
            <v>113.17203479261181</v>
          </cell>
          <cell r="CH437">
            <v>113.16053817938113</v>
          </cell>
          <cell r="CI437">
            <v>113.17554007821829</v>
          </cell>
          <cell r="CJ437">
            <v>113.18053207899659</v>
          </cell>
          <cell r="CK437">
            <v>113.17723273858471</v>
          </cell>
          <cell r="CL437">
            <v>113.17317557355848</v>
          </cell>
          <cell r="CM437">
            <v>113.17340372974783</v>
          </cell>
          <cell r="CN437">
            <v>113.17597683982116</v>
          </cell>
        </row>
        <row r="438">
          <cell r="BH438">
            <v>6.6093472906404109</v>
          </cell>
          <cell r="BI438">
            <v>9.1530777694581786</v>
          </cell>
          <cell r="BJ438">
            <v>42.52199645077345</v>
          </cell>
          <cell r="BK438">
            <v>122.85166164242624</v>
          </cell>
          <cell r="BL438">
            <v>158.88928734457255</v>
          </cell>
          <cell r="BM438">
            <v>102.91219906035897</v>
          </cell>
          <cell r="BN438">
            <v>53.987938772546983</v>
          </cell>
          <cell r="BO438">
            <v>108.91360950488856</v>
          </cell>
          <cell r="BP438">
            <v>110.53258474151085</v>
          </cell>
          <cell r="BQ438">
            <v>39.606961440234272</v>
          </cell>
          <cell r="BR438">
            <v>39.469681134521302</v>
          </cell>
          <cell r="BS438">
            <v>40.230778752526476</v>
          </cell>
          <cell r="BT438">
            <v>50.132123612163454</v>
          </cell>
          <cell r="BU438">
            <v>49.706996149017947</v>
          </cell>
          <cell r="BV438">
            <v>52.55645941628071</v>
          </cell>
          <cell r="BW438">
            <v>53.359658193644769</v>
          </cell>
          <cell r="BX438">
            <v>55.793923512626009</v>
          </cell>
          <cell r="BY438">
            <v>35.373911473135465</v>
          </cell>
          <cell r="BZ438">
            <v>27.214916794893053</v>
          </cell>
          <cell r="CA438">
            <v>32.310392574970138</v>
          </cell>
          <cell r="CB438">
            <v>65.987135981579868</v>
          </cell>
          <cell r="CC438">
            <v>66.153818157963158</v>
          </cell>
          <cell r="CD438">
            <v>66.217749423691316</v>
          </cell>
          <cell r="CE438">
            <v>66.111983930546643</v>
          </cell>
          <cell r="CF438">
            <v>66.094837601495726</v>
          </cell>
          <cell r="CG438">
            <v>66.11310501905534</v>
          </cell>
          <cell r="CH438">
            <v>66.138298826550439</v>
          </cell>
          <cell r="CI438">
            <v>66.135194960267881</v>
          </cell>
          <cell r="CJ438">
            <v>66.118684067583203</v>
          </cell>
          <cell r="CK438">
            <v>66.120024094990526</v>
          </cell>
          <cell r="CL438">
            <v>66.125061393689464</v>
          </cell>
          <cell r="CM438">
            <v>66.1274526686163</v>
          </cell>
        </row>
        <row r="439">
          <cell r="BH439">
            <v>5.2051300492611192</v>
          </cell>
          <cell r="BI439">
            <v>7.6239243073891885</v>
          </cell>
          <cell r="BJ439">
            <v>8.6217043434298652</v>
          </cell>
          <cell r="BK439">
            <v>119.23431537097149</v>
          </cell>
          <cell r="BL439">
            <v>118.45998080010193</v>
          </cell>
          <cell r="BM439">
            <v>140.70922884810801</v>
          </cell>
          <cell r="BN439">
            <v>161.21514053768684</v>
          </cell>
          <cell r="BO439">
            <v>124.09688032642855</v>
          </cell>
          <cell r="BP439">
            <v>133.98149136883185</v>
          </cell>
          <cell r="BQ439">
            <v>50.205640075127953</v>
          </cell>
          <cell r="BR439">
            <v>57.902487142382974</v>
          </cell>
          <cell r="BS439">
            <v>60.190439950994246</v>
          </cell>
          <cell r="BT439">
            <v>63.099493029159696</v>
          </cell>
          <cell r="BU439">
            <v>64.870456867768453</v>
          </cell>
          <cell r="BV439">
            <v>71.052110684172746</v>
          </cell>
          <cell r="BW439">
            <v>72.905799765453466</v>
          </cell>
          <cell r="BX439">
            <v>75.330229481953353</v>
          </cell>
          <cell r="BY439">
            <v>46.965843386453606</v>
          </cell>
          <cell r="BZ439">
            <v>36.5148079143461</v>
          </cell>
          <cell r="CA439">
            <v>43.614033948305732</v>
          </cell>
          <cell r="CB439">
            <v>89.037176017222748</v>
          </cell>
          <cell r="CC439">
            <v>88.985163399712121</v>
          </cell>
          <cell r="CD439">
            <v>88.989372413017676</v>
          </cell>
          <cell r="CE439">
            <v>88.994080890622911</v>
          </cell>
          <cell r="CF439">
            <v>88.99761244853913</v>
          </cell>
          <cell r="CG439">
            <v>89.000681033822929</v>
          </cell>
          <cell r="CH439">
            <v>88.993382037142965</v>
          </cell>
          <cell r="CI439">
            <v>88.995025764629119</v>
          </cell>
          <cell r="CJ439">
            <v>88.996156434951402</v>
          </cell>
          <cell r="CK439">
            <v>88.996571543817097</v>
          </cell>
          <cell r="CL439">
            <v>88.996363362872685</v>
          </cell>
          <cell r="CM439">
            <v>88.995499828682654</v>
          </cell>
        </row>
        <row r="440">
          <cell r="BH440">
            <v>6.3736714285714804</v>
          </cell>
          <cell r="BI440">
            <v>8.101159586206947</v>
          </cell>
          <cell r="BJ440">
            <v>7.7790454362031518</v>
          </cell>
          <cell r="BK440">
            <v>57.208187935345038</v>
          </cell>
          <cell r="BL440">
            <v>208.40753714242226</v>
          </cell>
          <cell r="BM440">
            <v>142.09426792453169</v>
          </cell>
          <cell r="BN440">
            <v>173.03762764950056</v>
          </cell>
          <cell r="BO440">
            <v>133.21587985889605</v>
          </cell>
          <cell r="BP440">
            <v>144.12483657291733</v>
          </cell>
          <cell r="BQ440">
            <v>59.264421190256485</v>
          </cell>
          <cell r="BR440">
            <v>61.843128266036153</v>
          </cell>
          <cell r="BS440">
            <v>65.221616287840135</v>
          </cell>
          <cell r="BT440">
            <v>68.618473072580059</v>
          </cell>
          <cell r="BU440">
            <v>70.852388128691274</v>
          </cell>
          <cell r="BV440">
            <v>78.134456555566842</v>
          </cell>
          <cell r="BW440">
            <v>79.240803887093264</v>
          </cell>
          <cell r="BX440">
            <v>82.123284871614814</v>
          </cell>
          <cell r="BY440">
            <v>51.254724701895945</v>
          </cell>
          <cell r="BZ440">
            <v>39.876129773118805</v>
          </cell>
          <cell r="CA440">
            <v>47.627372055168046</v>
          </cell>
          <cell r="CB440">
            <v>97.054349573526778</v>
          </cell>
          <cell r="CC440">
            <v>97.067767773446548</v>
          </cell>
          <cell r="CD440">
            <v>97.086725733120574</v>
          </cell>
          <cell r="CE440">
            <v>97.08792792586928</v>
          </cell>
          <cell r="CF440">
            <v>97.082790572505857</v>
          </cell>
          <cell r="CG440">
            <v>97.075912315693799</v>
          </cell>
          <cell r="CH440">
            <v>97.080224864127203</v>
          </cell>
          <cell r="CI440">
            <v>97.082716282263334</v>
          </cell>
          <cell r="CJ440">
            <v>97.081914392091903</v>
          </cell>
          <cell r="CK440">
            <v>97.080711685336411</v>
          </cell>
          <cell r="CL440">
            <v>97.08029590790251</v>
          </cell>
          <cell r="CM440">
            <v>97.081172626344269</v>
          </cell>
        </row>
        <row r="441">
          <cell r="BH441">
            <v>6.6406566502463189</v>
          </cell>
          <cell r="BI441">
            <v>7.0086683546797746</v>
          </cell>
          <cell r="BJ441">
            <v>5.8334329323723608</v>
          </cell>
          <cell r="BK441">
            <v>113.3934941198729</v>
          </cell>
          <cell r="BL441">
            <v>119.88928931481001</v>
          </cell>
          <cell r="BM441">
            <v>153.69926743072759</v>
          </cell>
          <cell r="BN441">
            <v>163.32914002273341</v>
          </cell>
          <cell r="BO441">
            <v>125.88604673346531</v>
          </cell>
          <cell r="BP441">
            <v>136.50111846552664</v>
          </cell>
          <cell r="BQ441">
            <v>51.747939968417768</v>
          </cell>
          <cell r="BR441">
            <v>59.890913174654152</v>
          </cell>
          <cell r="BS441">
            <v>61.326399033599429</v>
          </cell>
          <cell r="BT441">
            <v>64.42777345939146</v>
          </cell>
          <cell r="BU441">
            <v>66.382160260654786</v>
          </cell>
          <cell r="BV441">
            <v>72.852385211999291</v>
          </cell>
          <cell r="BW441">
            <v>74.690917352990454</v>
          </cell>
          <cell r="BX441">
            <v>77.04527228994705</v>
          </cell>
          <cell r="BY441">
            <v>48.066815957419252</v>
          </cell>
          <cell r="BZ441">
            <v>37.387427657815444</v>
          </cell>
          <cell r="CA441">
            <v>44.661862126364142</v>
          </cell>
          <cell r="CB441">
            <v>91.146142125487827</v>
          </cell>
          <cell r="CC441">
            <v>91.075114970824288</v>
          </cell>
          <cell r="CD441">
            <v>91.09523118385421</v>
          </cell>
          <cell r="CE441">
            <v>91.102726150578562</v>
          </cell>
          <cell r="CF441">
            <v>91.104686709218839</v>
          </cell>
          <cell r="CG441">
            <v>91.104780227992748</v>
          </cell>
          <cell r="CH441">
            <v>91.096507848493744</v>
          </cell>
          <cell r="CI441">
            <v>91.100786424027618</v>
          </cell>
          <cell r="CJ441">
            <v>91.101897472062291</v>
          </cell>
          <cell r="CK441">
            <v>91.101731736359028</v>
          </cell>
          <cell r="CL441">
            <v>91.101140741787091</v>
          </cell>
          <cell r="CM441">
            <v>91.100412844545943</v>
          </cell>
        </row>
        <row r="442">
          <cell r="BH442">
            <v>7.688207881773498</v>
          </cell>
          <cell r="BI442">
            <v>9.6779578995074189</v>
          </cell>
          <cell r="BJ442">
            <v>4.1996923954338063</v>
          </cell>
          <cell r="BK442">
            <v>136.81611113897668</v>
          </cell>
          <cell r="BL442">
            <v>175.95021634258273</v>
          </cell>
          <cell r="BM442">
            <v>127.10151533446206</v>
          </cell>
          <cell r="BN442">
            <v>185.35613914275186</v>
          </cell>
          <cell r="BO442">
            <v>142.47311704747284</v>
          </cell>
          <cell r="BP442">
            <v>154.97181417906449</v>
          </cell>
          <cell r="BQ442">
            <v>58.152410823950959</v>
          </cell>
          <cell r="BR442">
            <v>63.391534828737917</v>
          </cell>
          <cell r="BS442">
            <v>68.971708989104329</v>
          </cell>
          <cell r="BT442">
            <v>72.213252594182492</v>
          </cell>
          <cell r="BU442">
            <v>74.159696447212809</v>
          </cell>
          <cell r="BV442">
            <v>80.793756266203985</v>
          </cell>
          <cell r="BW442">
            <v>82.657141729074709</v>
          </cell>
          <cell r="BX442">
            <v>85.917446092556133</v>
          </cell>
          <cell r="BY442">
            <v>53.523083087391413</v>
          </cell>
          <cell r="BZ442">
            <v>41.57938129011621</v>
          </cell>
          <cell r="CA442">
            <v>49.621235641413314</v>
          </cell>
          <cell r="CB442">
            <v>101.31523049059275</v>
          </cell>
          <cell r="CC442">
            <v>101.34831716081662</v>
          </cell>
          <cell r="CD442">
            <v>101.31775894283277</v>
          </cell>
          <cell r="CE442">
            <v>101.31012264244633</v>
          </cell>
          <cell r="CF442">
            <v>101.3116425784841</v>
          </cell>
          <cell r="CG442">
            <v>101.32061436303452</v>
          </cell>
          <cell r="CH442">
            <v>101.32169113752286</v>
          </cell>
          <cell r="CI442">
            <v>101.31636593286412</v>
          </cell>
          <cell r="CJ442">
            <v>101.31608733087037</v>
          </cell>
          <cell r="CK442">
            <v>101.31728026855518</v>
          </cell>
          <cell r="CL442">
            <v>101.3184078065694</v>
          </cell>
          <cell r="CM442">
            <v>101.31796649527639</v>
          </cell>
        </row>
        <row r="443">
          <cell r="BH443">
            <v>5.4873110837438617</v>
          </cell>
          <cell r="BI443">
            <v>7.6244859586206086</v>
          </cell>
          <cell r="BJ443">
            <v>8.0614387772615572</v>
          </cell>
          <cell r="BK443">
            <v>148.01528984217975</v>
          </cell>
          <cell r="BL443">
            <v>275.93945823839488</v>
          </cell>
          <cell r="BM443">
            <v>203.63210208364256</v>
          </cell>
          <cell r="BN443">
            <v>262.77849539316156</v>
          </cell>
          <cell r="BO443">
            <v>203.36328234622636</v>
          </cell>
          <cell r="BP443">
            <v>220.78644025776322</v>
          </cell>
          <cell r="BQ443">
            <v>86.319949688065904</v>
          </cell>
          <cell r="BR443">
            <v>92.695870798702543</v>
          </cell>
          <cell r="BS443">
            <v>98.827058451311245</v>
          </cell>
          <cell r="BT443">
            <v>103.88783545743918</v>
          </cell>
          <cell r="BU443">
            <v>106.97249729891628</v>
          </cell>
          <cell r="BV443">
            <v>117.20244537948918</v>
          </cell>
          <cell r="BW443">
            <v>119.4544976302096</v>
          </cell>
          <cell r="BX443">
            <v>123.92043448339585</v>
          </cell>
          <cell r="BY443">
            <v>77.285612029782257</v>
          </cell>
          <cell r="BZ443">
            <v>60.081832482838522</v>
          </cell>
          <cell r="CA443">
            <v>71.729263385907998</v>
          </cell>
          <cell r="CB443">
            <v>146.32147789335059</v>
          </cell>
          <cell r="CC443">
            <v>146.34501982566803</v>
          </cell>
          <cell r="CD443">
            <v>146.34251502918264</v>
          </cell>
          <cell r="CE443">
            <v>146.33729876813601</v>
          </cell>
          <cell r="CF443">
            <v>146.33447457301753</v>
          </cell>
          <cell r="CG443">
            <v>146.33615721787095</v>
          </cell>
          <cell r="CH443">
            <v>146.33909308277501</v>
          </cell>
          <cell r="CI443">
            <v>146.33790773419639</v>
          </cell>
          <cell r="CJ443">
            <v>146.33698627519917</v>
          </cell>
          <cell r="CK443">
            <v>146.3369237766118</v>
          </cell>
          <cell r="CL443">
            <v>146.33741361733064</v>
          </cell>
          <cell r="CM443">
            <v>146.3376648972226</v>
          </cell>
        </row>
        <row r="444">
          <cell r="BH444">
            <v>6.8786512315271056</v>
          </cell>
          <cell r="BI444">
            <v>8.2420385418718922</v>
          </cell>
          <cell r="BJ444">
            <v>9.6312554288245167</v>
          </cell>
          <cell r="BK444">
            <v>153.61979259108753</v>
          </cell>
          <cell r="BL444">
            <v>265.97659429102595</v>
          </cell>
          <cell r="BM444">
            <v>161.51645215222604</v>
          </cell>
          <cell r="BN444">
            <v>244.68729430819749</v>
          </cell>
          <cell r="BO444">
            <v>189.10396746623326</v>
          </cell>
          <cell r="BP444">
            <v>204.8744614558295</v>
          </cell>
          <cell r="BQ444">
            <v>78.894803983859376</v>
          </cell>
          <cell r="BR444">
            <v>83.415346407535836</v>
          </cell>
          <cell r="BS444">
            <v>91.412476976094311</v>
          </cell>
          <cell r="BT444">
            <v>95.853233515006067</v>
          </cell>
          <cell r="BU444">
            <v>98.438584114422696</v>
          </cell>
          <cell r="BV444">
            <v>107.44432871008978</v>
          </cell>
          <cell r="BW444">
            <v>109.56365577943251</v>
          </cell>
          <cell r="BX444">
            <v>114.02392254114841</v>
          </cell>
          <cell r="BY444">
            <v>71.048803475706009</v>
          </cell>
          <cell r="BZ444">
            <v>55.194856321228343</v>
          </cell>
          <cell r="CA444">
            <v>65.870831713440694</v>
          </cell>
          <cell r="CB444">
            <v>134.43083685722067</v>
          </cell>
          <cell r="CC444">
            <v>134.50849364441581</v>
          </cell>
          <cell r="CD444">
            <v>134.46935750104214</v>
          </cell>
          <cell r="CE444">
            <v>134.45595609511489</v>
          </cell>
          <cell r="CF444">
            <v>134.45533057148157</v>
          </cell>
          <cell r="CG444">
            <v>134.46399493385502</v>
          </cell>
          <cell r="CH444">
            <v>134.47062654918187</v>
          </cell>
          <cell r="CI444">
            <v>134.46305313013508</v>
          </cell>
          <cell r="CJ444">
            <v>134.46179225595367</v>
          </cell>
          <cell r="CK444">
            <v>134.46295948812141</v>
          </cell>
          <cell r="CL444">
            <v>134.4644852714494</v>
          </cell>
          <cell r="CM444">
            <v>134.46458333896828</v>
          </cell>
        </row>
        <row r="445">
          <cell r="BH445">
            <v>8.0097495073891629</v>
          </cell>
          <cell r="BI445">
            <v>8.3557945182265847</v>
          </cell>
          <cell r="BJ445">
            <v>14.786949403838843</v>
          </cell>
          <cell r="BK445">
            <v>154.78106388788191</v>
          </cell>
          <cell r="BL445">
            <v>224.66609261019704</v>
          </cell>
          <cell r="BM445">
            <v>189.92326348035019</v>
          </cell>
          <cell r="BN445">
            <v>242.04307066251002</v>
          </cell>
          <cell r="BO445">
            <v>187.01449722231351</v>
          </cell>
          <cell r="BP445">
            <v>201.54849719584828</v>
          </cell>
          <cell r="BQ445">
            <v>77.343534775202755</v>
          </cell>
          <cell r="BR445">
            <v>85.198882103708286</v>
          </cell>
          <cell r="BS445">
            <v>90.519165100348516</v>
          </cell>
          <cell r="BT445">
            <v>94.953975685496999</v>
          </cell>
          <cell r="BU445">
            <v>97.571063197341118</v>
          </cell>
          <cell r="BV445">
            <v>106.86207977301866</v>
          </cell>
          <cell r="BW445">
            <v>109.22827187616755</v>
          </cell>
          <cell r="BX445">
            <v>113.21243239072723</v>
          </cell>
          <cell r="BY445">
            <v>70.575990952974578</v>
          </cell>
          <cell r="BZ445">
            <v>54.85637145463005</v>
          </cell>
          <cell r="CA445">
            <v>65.504882567067014</v>
          </cell>
          <cell r="CB445">
            <v>133.67925658263658</v>
          </cell>
          <cell r="CC445">
            <v>133.67185807411013</v>
          </cell>
          <cell r="CD445">
            <v>133.6627923414934</v>
          </cell>
          <cell r="CE445">
            <v>133.66143125777452</v>
          </cell>
          <cell r="CF445">
            <v>133.66355502763821</v>
          </cell>
          <cell r="CG445">
            <v>133.66777865673058</v>
          </cell>
          <cell r="CH445">
            <v>133.66548307154937</v>
          </cell>
          <cell r="CI445">
            <v>133.66420807103722</v>
          </cell>
          <cell r="CJ445">
            <v>133.66449121694598</v>
          </cell>
          <cell r="CK445">
            <v>133.66510320878027</v>
          </cell>
          <cell r="CL445">
            <v>133.66541284500866</v>
          </cell>
          <cell r="CM445">
            <v>133.66493968266428</v>
          </cell>
        </row>
        <row r="446">
          <cell r="BH446">
            <v>6.7371672413793693</v>
          </cell>
          <cell r="BI446">
            <v>7.4618549556649807</v>
          </cell>
          <cell r="BJ446">
            <v>11.279304236846539</v>
          </cell>
          <cell r="BK446">
            <v>211.38045932286491</v>
          </cell>
          <cell r="BL446">
            <v>158.78469798864427</v>
          </cell>
          <cell r="BM446">
            <v>77.895998006718244</v>
          </cell>
          <cell r="BN446">
            <v>87.228763448691097</v>
          </cell>
          <cell r="BO446">
            <v>123.71860807977737</v>
          </cell>
          <cell r="BP446">
            <v>133.03130505130935</v>
          </cell>
          <cell r="BQ446">
            <v>42.968278912844426</v>
          </cell>
          <cell r="BR446">
            <v>44.108806056096796</v>
          </cell>
          <cell r="BS446">
            <v>49.194833671853758</v>
          </cell>
          <cell r="BT446">
            <v>58.163273089498034</v>
          </cell>
          <cell r="BU446">
            <v>58.139272337587499</v>
          </cell>
          <cell r="BV446">
            <v>60.57325616202138</v>
          </cell>
          <cell r="BW446">
            <v>62.115160162733446</v>
          </cell>
          <cell r="BX446">
            <v>65.365570290034384</v>
          </cell>
          <cell r="BY446">
            <v>41.163508169333227</v>
          </cell>
          <cell r="BZ446">
            <v>31.688319800401871</v>
          </cell>
          <cell r="CA446">
            <v>37.583645950702135</v>
          </cell>
          <cell r="CB446">
            <v>76.937972593664426</v>
          </cell>
          <cell r="CC446">
            <v>77.162771494774006</v>
          </cell>
          <cell r="CD446">
            <v>77.153715191373976</v>
          </cell>
          <cell r="CE446">
            <v>77.043931325448057</v>
          </cell>
          <cell r="CF446">
            <v>77.029900390365128</v>
          </cell>
          <cell r="CG446">
            <v>77.065658199124982</v>
          </cell>
          <cell r="CH446">
            <v>77.091195320217594</v>
          </cell>
          <cell r="CI446">
            <v>77.076880085306129</v>
          </cell>
          <cell r="CJ446">
            <v>77.061513064092651</v>
          </cell>
          <cell r="CK446">
            <v>77.06502941182157</v>
          </cell>
          <cell r="CL446">
            <v>77.072055216112631</v>
          </cell>
          <cell r="CM446">
            <v>77.073334619510206</v>
          </cell>
        </row>
        <row r="451">
          <cell r="BI451">
            <v>0.90045438996478144</v>
          </cell>
          <cell r="BJ451">
            <v>0.87240629599601516</v>
          </cell>
          <cell r="BK451">
            <v>1.0001555173555585</v>
          </cell>
          <cell r="BL451">
            <v>1.1280152766948717</v>
          </cell>
          <cell r="BM451">
            <v>3.9573750819421325</v>
          </cell>
          <cell r="BN451">
            <v>13.746722086475621</v>
          </cell>
          <cell r="BO451">
            <v>28.760571615865203</v>
          </cell>
          <cell r="BP451">
            <v>70.548701400557093</v>
          </cell>
          <cell r="BQ451">
            <v>329.69147268552274</v>
          </cell>
          <cell r="BR451">
            <v>468.25580072561218</v>
          </cell>
          <cell r="BS451">
            <v>470.61448336175238</v>
          </cell>
          <cell r="BT451">
            <v>665.15780543099538</v>
          </cell>
          <cell r="BU451">
            <v>565.29277133572225</v>
          </cell>
          <cell r="BV451">
            <v>660.43839058583364</v>
          </cell>
          <cell r="BW451">
            <v>925.21294814003716</v>
          </cell>
          <cell r="BX451">
            <v>998.54239604536826</v>
          </cell>
          <cell r="BY451">
            <v>846.31417144497925</v>
          </cell>
          <cell r="BZ451">
            <v>719.43323230485373</v>
          </cell>
          <cell r="CA451">
            <v>814.42431004524315</v>
          </cell>
          <cell r="CB451">
            <v>895.54097037965926</v>
          </cell>
          <cell r="CC451">
            <v>870.56170817808618</v>
          </cell>
          <cell r="CD451">
            <v>882.78594907198931</v>
          </cell>
          <cell r="CE451">
            <v>667.88078239002903</v>
          </cell>
          <cell r="CF451">
            <v>632.08771020152756</v>
          </cell>
          <cell r="CG451">
            <v>584.29410114346513</v>
          </cell>
          <cell r="CH451">
            <v>502.42534214250026</v>
          </cell>
          <cell r="CI451">
            <v>995.54819885410041</v>
          </cell>
          <cell r="CJ451">
            <v>736.97003843470839</v>
          </cell>
          <cell r="CK451">
            <v>1102.8513825697382</v>
          </cell>
          <cell r="CL451">
            <v>559.74487050815014</v>
          </cell>
          <cell r="CM451">
            <v>877.91358616553191</v>
          </cell>
          <cell r="CN451">
            <v>602.05311194445937</v>
          </cell>
        </row>
        <row r="452">
          <cell r="BE452">
            <v>1.1000000000000001</v>
          </cell>
          <cell r="BF452">
            <v>0.47374004613455029</v>
          </cell>
          <cell r="BG452">
            <v>0.19010980815464307</v>
          </cell>
          <cell r="BH452">
            <v>0.5412410220709305</v>
          </cell>
          <cell r="BI452">
            <v>0.42324496060541966</v>
          </cell>
          <cell r="BJ452">
            <v>0.79669486627871555</v>
          </cell>
          <cell r="BK452">
            <v>1.2912547554520366</v>
          </cell>
          <cell r="BL452">
            <v>0.11019090185969335</v>
          </cell>
          <cell r="BM452">
            <v>0</v>
          </cell>
          <cell r="BN452">
            <v>6.3417554857037244</v>
          </cell>
          <cell r="BO452">
            <v>42.974052537805868</v>
          </cell>
          <cell r="BP452">
            <v>105.93931549989975</v>
          </cell>
          <cell r="BQ452">
            <v>328.55609884843091</v>
          </cell>
          <cell r="BR452">
            <v>478.71186195117866</v>
          </cell>
          <cell r="BS452">
            <v>537.7428479147037</v>
          </cell>
          <cell r="BT452">
            <v>753.11274422730639</v>
          </cell>
          <cell r="BU452">
            <v>893.82557873704661</v>
          </cell>
          <cell r="BV452">
            <v>774.45398439070789</v>
          </cell>
          <cell r="BW452">
            <v>1108.7761096312747</v>
          </cell>
          <cell r="BX452">
            <v>1206.7718826929563</v>
          </cell>
          <cell r="BY452">
            <v>1134.8373332144267</v>
          </cell>
          <cell r="BZ452">
            <v>883.56481365519346</v>
          </cell>
          <cell r="CA452">
            <v>1009.4414764778969</v>
          </cell>
          <cell r="CB452">
            <v>1120.2383367666287</v>
          </cell>
          <cell r="CC452">
            <v>1099.4787977120259</v>
          </cell>
          <cell r="CD452">
            <v>1099.8371608758455</v>
          </cell>
          <cell r="CE452">
            <v>976.25042875671329</v>
          </cell>
          <cell r="CF452">
            <v>1141.0526512183505</v>
          </cell>
          <cell r="CG452">
            <v>907.72167176080245</v>
          </cell>
          <cell r="CH452">
            <v>929.34910327187333</v>
          </cell>
          <cell r="CI452">
            <v>1047.9734823726801</v>
          </cell>
          <cell r="CJ452">
            <v>1098.5199967992771</v>
          </cell>
          <cell r="CK452">
            <v>1275.8282141228433</v>
          </cell>
          <cell r="CL452">
            <v>1152.5885339097752</v>
          </cell>
          <cell r="CM452">
            <v>1004.5253148062259</v>
          </cell>
          <cell r="CN452">
            <v>999.63924580516334</v>
          </cell>
        </row>
        <row r="453">
          <cell r="BE453">
            <v>2</v>
          </cell>
          <cell r="BF453">
            <v>0.46230447089802534</v>
          </cell>
          <cell r="BG453">
            <v>0.49723861251368601</v>
          </cell>
          <cell r="BH453">
            <v>0.8844766741009642</v>
          </cell>
          <cell r="BI453">
            <v>0.53099552398202154</v>
          </cell>
          <cell r="BJ453">
            <v>0.90699171261332956</v>
          </cell>
          <cell r="BK453">
            <v>0.72501212606661969</v>
          </cell>
          <cell r="BL453">
            <v>1.5562674562291678</v>
          </cell>
          <cell r="BM453">
            <v>2.8953376327414064</v>
          </cell>
          <cell r="BN453">
            <v>7.9794220722391795</v>
          </cell>
          <cell r="BO453">
            <v>31.506751454496705</v>
          </cell>
          <cell r="BP453">
            <v>86.451224565306958</v>
          </cell>
          <cell r="BQ453">
            <v>258.16160265462037</v>
          </cell>
          <cell r="BR453">
            <v>375.62075153086039</v>
          </cell>
          <cell r="BS453">
            <v>426.52159460018368</v>
          </cell>
          <cell r="BT453">
            <v>597.32482615416268</v>
          </cell>
          <cell r="BU453">
            <v>704.51621158005639</v>
          </cell>
          <cell r="BV453">
            <v>1165.1866384412449</v>
          </cell>
          <cell r="BW453">
            <v>1021.9891174149899</v>
          </cell>
          <cell r="BX453">
            <v>1151.844547399759</v>
          </cell>
          <cell r="BY453">
            <v>1152.8193954913909</v>
          </cell>
          <cell r="BZ453">
            <v>946.3166051102404</v>
          </cell>
          <cell r="CA453">
            <v>997.52407078701265</v>
          </cell>
          <cell r="CB453">
            <v>1126.7958776423839</v>
          </cell>
          <cell r="CC453">
            <v>1121.2392667988256</v>
          </cell>
          <cell r="CD453">
            <v>1122.5439237034095</v>
          </cell>
          <cell r="CE453">
            <v>1164.1254305502325</v>
          </cell>
          <cell r="CF453">
            <v>1064.0899546554613</v>
          </cell>
          <cell r="CG453">
            <v>1064.4905461156416</v>
          </cell>
          <cell r="CH453">
            <v>1038.0670805526422</v>
          </cell>
          <cell r="CI453">
            <v>1147.9344327617455</v>
          </cell>
          <cell r="CJ453">
            <v>1175.8254989942986</v>
          </cell>
          <cell r="CK453">
            <v>1361.3014926249375</v>
          </cell>
          <cell r="CL453">
            <v>1251.9912718235526</v>
          </cell>
          <cell r="CM453">
            <v>1270.4913270980132</v>
          </cell>
          <cell r="CN453">
            <v>1304.6170679496875</v>
          </cell>
        </row>
        <row r="454">
          <cell r="BD454">
            <v>0</v>
          </cell>
          <cell r="BE454">
            <v>1.5</v>
          </cell>
          <cell r="BF454">
            <v>0.56828105634869963</v>
          </cell>
          <cell r="BG454">
            <v>0.46517739294065014</v>
          </cell>
          <cell r="BH454">
            <v>0.82384575827001427</v>
          </cell>
          <cell r="BI454">
            <v>0.16443604958075672</v>
          </cell>
          <cell r="BJ454">
            <v>1.3342358753585957</v>
          </cell>
          <cell r="BK454">
            <v>0.59733835757383436</v>
          </cell>
          <cell r="BL454">
            <v>0.15571265542750762</v>
          </cell>
          <cell r="BM454">
            <v>12.782800939640961</v>
          </cell>
          <cell r="BN454">
            <v>15.990061227453026</v>
          </cell>
          <cell r="BO454">
            <v>34.603400860337594</v>
          </cell>
          <cell r="BP454">
            <v>172.03631482924459</v>
          </cell>
          <cell r="BQ454">
            <v>241.89556901910282</v>
          </cell>
          <cell r="BR454">
            <v>361.56348038539232</v>
          </cell>
          <cell r="BS454">
            <v>390.12169546465526</v>
          </cell>
          <cell r="BT454">
            <v>490.95931862586195</v>
          </cell>
          <cell r="BU454">
            <v>623.45568822752034</v>
          </cell>
          <cell r="BV454">
            <v>650.90608728436348</v>
          </cell>
          <cell r="BW454">
            <v>744.01790291207055</v>
          </cell>
          <cell r="BX454">
            <v>802.85205307928084</v>
          </cell>
          <cell r="BY454">
            <v>551.8199959866181</v>
          </cell>
          <cell r="BZ454">
            <v>638.47289287383762</v>
          </cell>
          <cell r="CA454">
            <v>721.08734183689148</v>
          </cell>
          <cell r="CB454">
            <v>715.33454986166805</v>
          </cell>
          <cell r="CC454">
            <v>700.24680911214034</v>
          </cell>
          <cell r="CD454">
            <v>738.65790383793751</v>
          </cell>
          <cell r="CE454">
            <v>762.40759605778658</v>
          </cell>
          <cell r="CF454">
            <v>778.44384740331884</v>
          </cell>
          <cell r="CG454">
            <v>629.73428672921193</v>
          </cell>
          <cell r="CH454">
            <v>608.82041023070155</v>
          </cell>
          <cell r="CI454">
            <v>759.47641333561523</v>
          </cell>
          <cell r="CJ454">
            <v>761.71765062948907</v>
          </cell>
          <cell r="CK454">
            <v>904.15514282454888</v>
          </cell>
          <cell r="CL454">
            <v>778.86144514851583</v>
          </cell>
          <cell r="CM454">
            <v>826.30365384699769</v>
          </cell>
        </row>
        <row r="455">
          <cell r="AI455">
            <v>5.66</v>
          </cell>
          <cell r="BD455">
            <v>0</v>
          </cell>
          <cell r="BE455">
            <v>1.4</v>
          </cell>
          <cell r="BF455">
            <v>0.49787455695443322</v>
          </cell>
          <cell r="BG455">
            <v>0.81074790763674198</v>
          </cell>
          <cell r="BH455">
            <v>0.72698177558585098</v>
          </cell>
          <cell r="BI455">
            <v>0</v>
          </cell>
          <cell r="BJ455">
            <v>1.4358813688750331</v>
          </cell>
          <cell r="BK455">
            <v>2.2946846290285139</v>
          </cell>
          <cell r="BL455">
            <v>5.2510191998980815</v>
          </cell>
          <cell r="BM455">
            <v>1.221193499191993</v>
          </cell>
          <cell r="BN455">
            <v>12.071845930658828</v>
          </cell>
          <cell r="BO455">
            <v>54.814614767382537</v>
          </cell>
          <cell r="BP455">
            <v>154.60060944189129</v>
          </cell>
          <cell r="BQ455">
            <v>343.04478743015528</v>
          </cell>
          <cell r="BR455">
            <v>282.28907980411833</v>
          </cell>
          <cell r="BS455">
            <v>420.40261059044292</v>
          </cell>
          <cell r="BT455">
            <v>510.31244636068715</v>
          </cell>
          <cell r="BU455">
            <v>670.60148284370507</v>
          </cell>
          <cell r="BV455">
            <v>648.22573415593763</v>
          </cell>
          <cell r="BW455">
            <v>812.5866800314343</v>
          </cell>
          <cell r="BX455">
            <v>874.76177759494419</v>
          </cell>
          <cell r="BY455">
            <v>564.38843383381277</v>
          </cell>
          <cell r="BZ455">
            <v>671.15392604258045</v>
          </cell>
          <cell r="CA455">
            <v>768.92597802171713</v>
          </cell>
          <cell r="CB455">
            <v>509.55818018994432</v>
          </cell>
          <cell r="CC455">
            <v>675.4690395062778</v>
          </cell>
          <cell r="CD455">
            <v>702.03608904421469</v>
          </cell>
          <cell r="CE455">
            <v>704.63032327372628</v>
          </cell>
          <cell r="CF455">
            <v>691.0637975978708</v>
          </cell>
          <cell r="CG455">
            <v>732.63419279157881</v>
          </cell>
          <cell r="CH455">
            <v>749.26224594634959</v>
          </cell>
          <cell r="CI455">
            <v>784.23798270003635</v>
          </cell>
          <cell r="CJ455">
            <v>1099.4126664320336</v>
          </cell>
          <cell r="CK455">
            <v>889.82447112853208</v>
          </cell>
          <cell r="CL455">
            <v>904.41959074065949</v>
          </cell>
          <cell r="CM455">
            <v>947.69543541760754</v>
          </cell>
        </row>
        <row r="456">
          <cell r="AI456">
            <v>5.71</v>
          </cell>
          <cell r="BD456">
            <v>0</v>
          </cell>
          <cell r="BE456">
            <v>1.4</v>
          </cell>
          <cell r="BF456">
            <v>0.47287667462649607</v>
          </cell>
          <cell r="BG456">
            <v>0.34927227855445886</v>
          </cell>
          <cell r="BH456">
            <v>0.77567844486837922</v>
          </cell>
          <cell r="BI456">
            <v>1.0216804813760094</v>
          </cell>
          <cell r="BJ456">
            <v>1.3534018538448966</v>
          </cell>
          <cell r="BK456">
            <v>4.8478120646550034</v>
          </cell>
          <cell r="BL456">
            <v>1.7534628575776887</v>
          </cell>
          <cell r="BM456">
            <v>11.413171075468401</v>
          </cell>
          <cell r="BN456">
            <v>10.724810603875145</v>
          </cell>
          <cell r="BO456">
            <v>26.310735821457062</v>
          </cell>
          <cell r="BP456">
            <v>65.539141711908101</v>
          </cell>
          <cell r="BQ456">
            <v>154.81739463492949</v>
          </cell>
          <cell r="BR456">
            <v>138.77578564970278</v>
          </cell>
          <cell r="BS456">
            <v>194.77570576652064</v>
          </cell>
          <cell r="BT456">
            <v>233.28071031886614</v>
          </cell>
          <cell r="BU456">
            <v>309.32815006618722</v>
          </cell>
          <cell r="BV456">
            <v>300.36116431051158</v>
          </cell>
          <cell r="BW456">
            <v>366.65656743329635</v>
          </cell>
          <cell r="BX456">
            <v>393.36371741039881</v>
          </cell>
          <cell r="BY456">
            <v>262.80278484464202</v>
          </cell>
          <cell r="BZ456">
            <v>306.79170023914804</v>
          </cell>
          <cell r="CA456">
            <v>349.9092455160561</v>
          </cell>
          <cell r="CB456">
            <v>251.1835865000065</v>
          </cell>
          <cell r="CC456">
            <v>313.68670730053151</v>
          </cell>
          <cell r="CD456">
            <v>326.02837393239139</v>
          </cell>
          <cell r="CE456">
            <v>328.96621146964532</v>
          </cell>
          <cell r="CF456">
            <v>325.28893380806392</v>
          </cell>
          <cell r="CG456">
            <v>341.77468181543514</v>
          </cell>
          <cell r="CH456">
            <v>349.95130209998604</v>
          </cell>
          <cell r="CI456">
            <v>366.82697117819436</v>
          </cell>
          <cell r="CJ456">
            <v>488.75734423244739</v>
          </cell>
          <cell r="CK456">
            <v>409.43642348560479</v>
          </cell>
          <cell r="CL456">
            <v>414.84051679934203</v>
          </cell>
          <cell r="CM456">
            <v>432.93417249497861</v>
          </cell>
        </row>
        <row r="457">
          <cell r="AI457">
            <v>5.76</v>
          </cell>
          <cell r="BD457">
            <v>0</v>
          </cell>
          <cell r="BE457">
            <v>1.75</v>
          </cell>
          <cell r="BF457">
            <v>0</v>
          </cell>
          <cell r="BG457">
            <v>0.58045377520295838</v>
          </cell>
          <cell r="BH457">
            <v>0.93479995195834864</v>
          </cell>
          <cell r="BI457">
            <v>4.6018143289966487</v>
          </cell>
          <cell r="BJ457">
            <v>1.0498810973969201</v>
          </cell>
          <cell r="BK457">
            <v>0.53350588012712663</v>
          </cell>
          <cell r="BL457">
            <v>2.9647106851899085</v>
          </cell>
          <cell r="BM457">
            <v>11.390732569272336</v>
          </cell>
          <cell r="BN457">
            <v>11.260296632755036</v>
          </cell>
          <cell r="BO457">
            <v>38.623585948913124</v>
          </cell>
          <cell r="BP457">
            <v>101.85690023038848</v>
          </cell>
          <cell r="BQ457">
            <v>236.96961602101743</v>
          </cell>
          <cell r="BR457">
            <v>197.62866812271054</v>
          </cell>
          <cell r="BS457">
            <v>291.532346885013</v>
          </cell>
          <cell r="BT457">
            <v>350.24385740965391</v>
          </cell>
          <cell r="BU457">
            <v>462.23720459891177</v>
          </cell>
          <cell r="BV457">
            <v>446.42458001987819</v>
          </cell>
          <cell r="BW457">
            <v>554.40001612282992</v>
          </cell>
          <cell r="BX457">
            <v>595.77202804939611</v>
          </cell>
          <cell r="BY457">
            <v>390.3748142886069</v>
          </cell>
          <cell r="BZ457">
            <v>460.25851854255313</v>
          </cell>
          <cell r="CA457">
            <v>526.40033885250114</v>
          </cell>
          <cell r="CB457">
            <v>361.41321003043572</v>
          </cell>
          <cell r="CC457">
            <v>466.35762126417086</v>
          </cell>
          <cell r="CD457">
            <v>484.6729762473966</v>
          </cell>
          <cell r="CE457">
            <v>487.64037028460683</v>
          </cell>
          <cell r="CF457">
            <v>479.98374448981633</v>
          </cell>
          <cell r="CG457">
            <v>506.82302849595976</v>
          </cell>
          <cell r="CH457">
            <v>518.60627231147384</v>
          </cell>
          <cell r="CI457">
            <v>543.17429115373125</v>
          </cell>
          <cell r="CJ457">
            <v>744.72426783515459</v>
          </cell>
          <cell r="CK457">
            <v>611.84896792455538</v>
          </cell>
          <cell r="CL457">
            <v>621.0242254168835</v>
          </cell>
          <cell r="CM457">
            <v>649.58756483899731</v>
          </cell>
        </row>
        <row r="458">
          <cell r="AI458">
            <v>5.84</v>
          </cell>
          <cell r="BD458">
            <v>0</v>
          </cell>
          <cell r="BE458">
            <v>1.9</v>
          </cell>
          <cell r="BF458">
            <v>0.34320703778954376</v>
          </cell>
          <cell r="BG458">
            <v>0.2195439584543909</v>
          </cell>
          <cell r="BH458">
            <v>0.99726636252780576</v>
          </cell>
          <cell r="BI458">
            <v>0</v>
          </cell>
          <cell r="BJ458">
            <v>0.98257860782242612</v>
          </cell>
          <cell r="BK458">
            <v>0.18588886102328089</v>
          </cell>
          <cell r="BL458">
            <v>2.1637836574174023</v>
          </cell>
          <cell r="BM458">
            <v>27.053484665537908</v>
          </cell>
          <cell r="BN458">
            <v>11.913017290655773</v>
          </cell>
          <cell r="BO458">
            <v>46.716538600520607</v>
          </cell>
          <cell r="BP458">
            <v>136.28905119163673</v>
          </cell>
          <cell r="BQ458">
            <v>171.51502515915507</v>
          </cell>
          <cell r="BR458">
            <v>209.13570990337612</v>
          </cell>
          <cell r="BS458">
            <v>298.59685019988535</v>
          </cell>
          <cell r="BT458">
            <v>345.71602493150118</v>
          </cell>
          <cell r="BU458">
            <v>427.63810379636254</v>
          </cell>
          <cell r="BV458">
            <v>570.31769635700141</v>
          </cell>
          <cell r="BW458">
            <v>593.26068718000613</v>
          </cell>
          <cell r="BX458">
            <v>641.59735053149166</v>
          </cell>
          <cell r="BY458">
            <v>417.15343004432066</v>
          </cell>
          <cell r="BZ458">
            <v>515.48245769472101</v>
          </cell>
          <cell r="CA458">
            <v>570.43788600855805</v>
          </cell>
          <cell r="CB458">
            <v>371.12207604347373</v>
          </cell>
          <cell r="CC458">
            <v>502.9766350645441</v>
          </cell>
          <cell r="CD458">
            <v>524.04165693582092</v>
          </cell>
          <cell r="CE458">
            <v>521.97605504134788</v>
          </cell>
          <cell r="CF458">
            <v>511.88874689420049</v>
          </cell>
          <cell r="CG458">
            <v>544.48661420733754</v>
          </cell>
          <cell r="CH458">
            <v>556.5721739997656</v>
          </cell>
          <cell r="CI458">
            <v>581.82115322236632</v>
          </cell>
          <cell r="CJ458">
            <v>601.60215857860658</v>
          </cell>
          <cell r="CK458">
            <v>607.04155901540821</v>
          </cell>
          <cell r="CL458">
            <v>813.48320486072259</v>
          </cell>
          <cell r="CM458">
            <v>671.24257782571317</v>
          </cell>
        </row>
        <row r="459">
          <cell r="AI459">
            <v>5.9</v>
          </cell>
          <cell r="BD459">
            <v>0</v>
          </cell>
          <cell r="BE459">
            <v>1.75</v>
          </cell>
          <cell r="BF459">
            <v>0.35677750552692217</v>
          </cell>
          <cell r="BG459">
            <v>0.49598663378265639</v>
          </cell>
          <cell r="BH459">
            <v>0.914564214029156</v>
          </cell>
          <cell r="BI459">
            <v>1.8867774436397888</v>
          </cell>
          <cell r="BJ459">
            <v>1.2992657022627576</v>
          </cell>
          <cell r="BK459">
            <v>1.8967101578202876</v>
          </cell>
          <cell r="BL459">
            <v>3.5975417616051852</v>
          </cell>
          <cell r="BM459">
            <v>10.314314891357469</v>
          </cell>
          <cell r="BN459">
            <v>13.945728190839812</v>
          </cell>
          <cell r="BO459">
            <v>48.09156559421357</v>
          </cell>
          <cell r="BP459">
            <v>142.41116377646932</v>
          </cell>
          <cell r="BQ459">
            <v>180.71292873428487</v>
          </cell>
          <cell r="BR459">
            <v>216.39508009282147</v>
          </cell>
          <cell r="BS459">
            <v>311.4810069358652</v>
          </cell>
          <cell r="BT459">
            <v>361.45940608728387</v>
          </cell>
          <cell r="BU459">
            <v>447.32062168071633</v>
          </cell>
          <cell r="BV459">
            <v>580.67771743257083</v>
          </cell>
          <cell r="BW459">
            <v>606.58408290577381</v>
          </cell>
          <cell r="BX459">
            <v>654.6557585983594</v>
          </cell>
          <cell r="BY459">
            <v>432.81693307657036</v>
          </cell>
          <cell r="BZ459">
            <v>527.75256585463035</v>
          </cell>
          <cell r="CA459">
            <v>585.21251740065304</v>
          </cell>
          <cell r="CB459">
            <v>580.07053095883907</v>
          </cell>
          <cell r="CC459">
            <v>567.06722461419076</v>
          </cell>
          <cell r="CD459">
            <v>602.48352692525532</v>
          </cell>
          <cell r="CE459">
            <v>619.40221327663176</v>
          </cell>
          <cell r="CF459">
            <v>632.36708522352524</v>
          </cell>
          <cell r="CG459">
            <v>638.95514201275023</v>
          </cell>
          <cell r="CH459">
            <v>659.78587215976529</v>
          </cell>
          <cell r="CI459">
            <v>695.14183808835537</v>
          </cell>
          <cell r="CJ459">
            <v>720.01097480244505</v>
          </cell>
          <cell r="CK459">
            <v>720.9029895445799</v>
          </cell>
          <cell r="CL459">
            <v>912.44119646973832</v>
          </cell>
          <cell r="CM459">
            <v>785.9594263982857</v>
          </cell>
        </row>
        <row r="460">
          <cell r="AI460">
            <v>6.01</v>
          </cell>
          <cell r="BD460">
            <v>0</v>
          </cell>
          <cell r="BE460">
            <v>1.1000000000000001</v>
          </cell>
          <cell r="BF460">
            <v>0.32015191793045383</v>
          </cell>
          <cell r="BG460">
            <v>0.33685250390084681</v>
          </cell>
          <cell r="BH460">
            <v>0.61405669027066823</v>
          </cell>
          <cell r="BI460">
            <v>6.6533250672613633</v>
          </cell>
          <cell r="BJ460">
            <v>3.4265520354232128</v>
          </cell>
          <cell r="BK460">
            <v>1.8832074089125255</v>
          </cell>
          <cell r="BL460">
            <v>3.0884057089740855</v>
          </cell>
          <cell r="BM460">
            <v>10.748547847774065</v>
          </cell>
          <cell r="BN460">
            <v>15.146100062294126</v>
          </cell>
          <cell r="BO460">
            <v>58.31259978127904</v>
          </cell>
          <cell r="BP460">
            <v>147.82449184660794</v>
          </cell>
          <cell r="BQ460">
            <v>173.68448224571</v>
          </cell>
          <cell r="BR460">
            <v>228.06957593349168</v>
          </cell>
          <cell r="BS460">
            <v>331.5901715643692</v>
          </cell>
          <cell r="BT460">
            <v>372.40806274332033</v>
          </cell>
          <cell r="BU460">
            <v>458.62892286499891</v>
          </cell>
          <cell r="BV460">
            <v>615.17685620038776</v>
          </cell>
          <cell r="BW460">
            <v>639.51517988622425</v>
          </cell>
          <cell r="BX460">
            <v>689.39912138097532</v>
          </cell>
          <cell r="BY460">
            <v>450.45513707084547</v>
          </cell>
          <cell r="BZ460">
            <v>555.40673568901468</v>
          </cell>
          <cell r="CA460">
            <v>614.51505670039762</v>
          </cell>
          <cell r="CB460">
            <v>608.39829951550053</v>
          </cell>
          <cell r="CC460">
            <v>594.1548882896235</v>
          </cell>
          <cell r="CD460">
            <v>632.28090463276021</v>
          </cell>
          <cell r="CE460">
            <v>649.65496642533242</v>
          </cell>
          <cell r="CF460">
            <v>663.13346476808954</v>
          </cell>
          <cell r="CG460">
            <v>670.05724574464307</v>
          </cell>
          <cell r="CH460">
            <v>692.06337706400507</v>
          </cell>
          <cell r="CI460">
            <v>729.04572168291065</v>
          </cell>
          <cell r="CJ460">
            <v>755.11160593738509</v>
          </cell>
          <cell r="CK460">
            <v>756.06765417545921</v>
          </cell>
          <cell r="CL460">
            <v>973.67008331265492</v>
          </cell>
          <cell r="CM460">
            <v>828.57072577478277</v>
          </cell>
        </row>
        <row r="461">
          <cell r="AI461">
            <v>5.91</v>
          </cell>
          <cell r="BD461">
            <v>0</v>
          </cell>
          <cell r="BE461">
            <v>2</v>
          </cell>
          <cell r="BF461">
            <v>0.463875120710184</v>
          </cell>
          <cell r="BG461">
            <v>0.25799320529497627</v>
          </cell>
          <cell r="BH461">
            <v>1.1208475630462786</v>
          </cell>
          <cell r="BI461">
            <v>0.30619441967704558</v>
          </cell>
          <cell r="BJ461">
            <v>3.0256708543844768</v>
          </cell>
          <cell r="BK461">
            <v>2.0379361121180506</v>
          </cell>
          <cell r="BL461">
            <v>4.8989073898030133</v>
          </cell>
          <cell r="BM461">
            <v>16.08873651964976</v>
          </cell>
          <cell r="BN461">
            <v>18.151738696889993</v>
          </cell>
          <cell r="BO461">
            <v>57.455713423884653</v>
          </cell>
          <cell r="BP461">
            <v>165.97411030397205</v>
          </cell>
          <cell r="BQ461">
            <v>210.39895181729941</v>
          </cell>
          <cell r="BR461">
            <v>262.99174762353846</v>
          </cell>
          <cell r="BS461">
            <v>368.64360303787089</v>
          </cell>
          <cell r="BT461">
            <v>426.68401332597034</v>
          </cell>
          <cell r="BU461">
            <v>529.9011453366312</v>
          </cell>
          <cell r="BV461">
            <v>690.79165512955569</v>
          </cell>
          <cell r="BW461">
            <v>719.3708977897877</v>
          </cell>
          <cell r="BX461">
            <v>776.18642517412604</v>
          </cell>
          <cell r="BY461">
            <v>513.40493497909756</v>
          </cell>
          <cell r="BZ461">
            <v>626.42778480625134</v>
          </cell>
          <cell r="CA461">
            <v>694.09004775672315</v>
          </cell>
          <cell r="CB461">
            <v>688.00209464170337</v>
          </cell>
          <cell r="CC461">
            <v>672.57042877871606</v>
          </cell>
          <cell r="CD461">
            <v>714.62227387666951</v>
          </cell>
          <cell r="CE461">
            <v>734.60998347032819</v>
          </cell>
          <cell r="CF461">
            <v>750.00956343521148</v>
          </cell>
          <cell r="CG461">
            <v>757.83516722257252</v>
          </cell>
          <cell r="CH461">
            <v>782.53759580167787</v>
          </cell>
          <cell r="CI461">
            <v>824.46192873464668</v>
          </cell>
          <cell r="CJ461">
            <v>853.96412072324222</v>
          </cell>
          <cell r="CK461">
            <v>855.02344669429078</v>
          </cell>
          <cell r="CL461">
            <v>853.90491331999738</v>
          </cell>
          <cell r="CM461">
            <v>873.76575839157908</v>
          </cell>
        </row>
        <row r="462">
          <cell r="AI462">
            <v>5.77</v>
          </cell>
          <cell r="BD462">
            <v>0</v>
          </cell>
          <cell r="BE462">
            <v>2</v>
          </cell>
          <cell r="BF462">
            <v>0.36883020010362039</v>
          </cell>
          <cell r="BG462">
            <v>0.59067095983437978</v>
          </cell>
          <cell r="BH462">
            <v>1.1162251789937285</v>
          </cell>
          <cell r="BI462">
            <v>1.7384808401592493</v>
          </cell>
          <cell r="BJ462">
            <v>1.2164538330686159</v>
          </cell>
          <cell r="BK462">
            <v>0.39754067713512048</v>
          </cell>
          <cell r="BL462">
            <v>3.7043020113556548</v>
          </cell>
          <cell r="BM462">
            <v>25.386001993281681</v>
          </cell>
          <cell r="BN462">
            <v>19.783195270198846</v>
          </cell>
          <cell r="BO462">
            <v>70.115351749252667</v>
          </cell>
          <cell r="BP462">
            <v>205.84219014577377</v>
          </cell>
          <cell r="BQ462">
            <v>246.34334200839905</v>
          </cell>
          <cell r="BR462">
            <v>323.57505518534975</v>
          </cell>
          <cell r="BS462">
            <v>445.68794106226437</v>
          </cell>
          <cell r="BT462">
            <v>516.58579346846636</v>
          </cell>
          <cell r="BU462">
            <v>638.51427181487918</v>
          </cell>
          <cell r="BV462">
            <v>838.92721821475891</v>
          </cell>
          <cell r="BW462">
            <v>872.14271792132422</v>
          </cell>
          <cell r="BX462">
            <v>939.66043218225491</v>
          </cell>
          <cell r="BY462">
            <v>621.22234971482408</v>
          </cell>
          <cell r="BZ462">
            <v>759.34371929018448</v>
          </cell>
          <cell r="CA462">
            <v>840.82183917256202</v>
          </cell>
          <cell r="CB462">
            <v>833.20704770307123</v>
          </cell>
          <cell r="CC462">
            <v>814.41462221480651</v>
          </cell>
          <cell r="CD462">
            <v>865.64849494459827</v>
          </cell>
          <cell r="CE462">
            <v>889.74903818207963</v>
          </cell>
          <cell r="CF462">
            <v>908.35158340730243</v>
          </cell>
          <cell r="CG462">
            <v>917.83362272233433</v>
          </cell>
          <cell r="CH462">
            <v>947.78570188848585</v>
          </cell>
          <cell r="CI462">
            <v>998.55492650740223</v>
          </cell>
          <cell r="CJ462">
            <v>1034.2792734684458</v>
          </cell>
          <cell r="CK462">
            <v>1035.5623449097968</v>
          </cell>
          <cell r="CL462">
            <v>1034.2110117070035</v>
          </cell>
          <cell r="CM462">
            <v>1058.2632405336053</v>
          </cell>
        </row>
        <row r="463">
          <cell r="AI463">
            <v>5.84</v>
          </cell>
          <cell r="BD463">
            <v>0</v>
          </cell>
          <cell r="BE463">
            <v>17.899999999999999</v>
          </cell>
          <cell r="BF463">
            <v>4.7927470258735383</v>
          </cell>
          <cell r="BG463">
            <v>5.2108814774773826</v>
          </cell>
        </row>
        <row r="468">
          <cell r="AJ468">
            <v>1062.0102484416002</v>
          </cell>
          <cell r="AK468">
            <v>1220.7910902028002</v>
          </cell>
          <cell r="AL468">
            <v>1221.5036357024003</v>
          </cell>
          <cell r="AM468">
            <v>1161.1694398352001</v>
          </cell>
          <cell r="AN468">
            <v>1264.5292423525018</v>
          </cell>
          <cell r="AO468">
            <v>1440.9516748020078</v>
          </cell>
          <cell r="AP468">
            <v>1378.3724426370929</v>
          </cell>
          <cell r="AQ468">
            <v>1411.2717252722384</v>
          </cell>
          <cell r="AR468">
            <v>1388.5624533724585</v>
          </cell>
          <cell r="AS468">
            <v>1405.3455765219376</v>
          </cell>
          <cell r="AT468">
            <v>1557.1130944754893</v>
          </cell>
          <cell r="AU468">
            <v>1547.7188005869841</v>
          </cell>
          <cell r="AV468">
            <v>1354.2911616917995</v>
          </cell>
          <cell r="AW468">
            <v>1380.9819731720004</v>
          </cell>
          <cell r="AX468">
            <v>1146.8578069708001</v>
          </cell>
          <cell r="AY468">
            <v>1204.4343111357994</v>
          </cell>
          <cell r="AZ468">
            <v>1218.663494634</v>
          </cell>
          <cell r="BA468">
            <v>1047.9430624748902</v>
          </cell>
          <cell r="BB468">
            <v>1147.564017936204</v>
          </cell>
          <cell r="BC468">
            <v>1071.1466603854226</v>
          </cell>
          <cell r="BD468">
            <v>1125.7037180273435</v>
          </cell>
          <cell r="BE468">
            <v>1166.655721672638</v>
          </cell>
          <cell r="BF468">
            <v>1115.6837006353273</v>
          </cell>
          <cell r="BG468">
            <v>1144.8036485690973</v>
          </cell>
          <cell r="BH468">
            <v>1166.1913615395051</v>
          </cell>
        </row>
        <row r="469">
          <cell r="AJ469">
            <v>1075.3878699288</v>
          </cell>
          <cell r="AK469">
            <v>1015.3526228194003</v>
          </cell>
          <cell r="AL469">
            <v>1133.1309921707998</v>
          </cell>
          <cell r="AM469">
            <v>1342.4177110588003</v>
          </cell>
          <cell r="AN469">
            <v>1258.9968785933022</v>
          </cell>
          <cell r="AO469">
            <v>1319.5895770164086</v>
          </cell>
          <cell r="AP469">
            <v>1214.8256251728942</v>
          </cell>
          <cell r="AQ469">
            <v>1491.0093887606383</v>
          </cell>
          <cell r="AR469">
            <v>1412.1617168394578</v>
          </cell>
          <cell r="AS469">
            <v>1396.8907259811383</v>
          </cell>
          <cell r="AT469">
            <v>1297.6181698138903</v>
          </cell>
          <cell r="AU469">
            <v>1184.3556356217841</v>
          </cell>
          <cell r="AV469">
            <v>1295.8183774883994</v>
          </cell>
          <cell r="AW469">
            <v>1230.1888494259999</v>
          </cell>
          <cell r="AX469">
            <v>1162.7596229216001</v>
          </cell>
          <cell r="AY469">
            <v>1117.1257229076</v>
          </cell>
          <cell r="AZ469">
            <v>1109.7879977565999</v>
          </cell>
          <cell r="BA469">
            <v>973.4873607397011</v>
          </cell>
          <cell r="BB469">
            <v>1040.6800987235181</v>
          </cell>
          <cell r="BC469">
            <v>836.63343139979509</v>
          </cell>
          <cell r="BD469">
            <v>1048.9383208817665</v>
          </cell>
          <cell r="BE469">
            <v>1157.5585998511729</v>
          </cell>
          <cell r="BF469">
            <v>989.0680307855605</v>
          </cell>
          <cell r="BG469">
            <v>957.25468090620018</v>
          </cell>
          <cell r="BH469">
            <v>1053.428853370234</v>
          </cell>
        </row>
        <row r="470">
          <cell r="AJ470">
            <v>1112.8803965686</v>
          </cell>
          <cell r="AK470">
            <v>1081.7651711359997</v>
          </cell>
          <cell r="AL470">
            <v>1145.6893795031997</v>
          </cell>
          <cell r="AM470">
            <v>1130.8581581139993</v>
          </cell>
          <cell r="AN470">
            <v>1092.3790286957931</v>
          </cell>
          <cell r="AO470">
            <v>1281.7982028851704</v>
          </cell>
          <cell r="AP470">
            <v>1349.3512534274178</v>
          </cell>
          <cell r="AQ470">
            <v>1254.4331878828652</v>
          </cell>
          <cell r="AR470">
            <v>1336.9955454826843</v>
          </cell>
          <cell r="AS470">
            <v>1166.1903164715341</v>
          </cell>
          <cell r="AT470">
            <v>1337.9154946840063</v>
          </cell>
          <cell r="AU470">
            <v>1322.4626678781997</v>
          </cell>
          <cell r="AV470">
            <v>1290.3511277292005</v>
          </cell>
          <cell r="AW470">
            <v>1273.5907007676005</v>
          </cell>
          <cell r="AX470">
            <v>1013.0927800181998</v>
          </cell>
          <cell r="AY470">
            <v>1183.4149619800005</v>
          </cell>
          <cell r="AZ470">
            <v>1237.6617283697992</v>
          </cell>
          <cell r="BA470">
            <v>1076.7155080700138</v>
          </cell>
          <cell r="BB470">
            <v>1054.1304561162501</v>
          </cell>
          <cell r="BC470">
            <v>1197.5094301695306</v>
          </cell>
          <cell r="BD470">
            <v>1109.8200605416794</v>
          </cell>
          <cell r="BE470">
            <v>1159.4684634920834</v>
          </cell>
          <cell r="BF470">
            <v>1047.0987133301287</v>
          </cell>
          <cell r="BG470">
            <v>1034.6221616887087</v>
          </cell>
          <cell r="BH470">
            <v>1086.9788549510893</v>
          </cell>
        </row>
        <row r="471">
          <cell r="AI471">
            <v>5.61</v>
          </cell>
          <cell r="AJ471">
            <v>923.83931562880002</v>
          </cell>
          <cell r="AK471">
            <v>1140.4011250668</v>
          </cell>
          <cell r="AL471">
            <v>1080.7366044698006</v>
          </cell>
          <cell r="AM471">
            <v>1253.3441844086001</v>
          </cell>
          <cell r="AN471">
            <v>1191.0033813893931</v>
          </cell>
          <cell r="AO471">
            <v>1210.3752735081712</v>
          </cell>
          <cell r="AP471">
            <v>1167.0099991888173</v>
          </cell>
          <cell r="AQ471">
            <v>1216.4035481950659</v>
          </cell>
          <cell r="AR471">
            <v>1275.9478923876834</v>
          </cell>
          <cell r="AS471">
            <v>1341.9374072337334</v>
          </cell>
          <cell r="AT471">
            <v>1244.198898207206</v>
          </cell>
          <cell r="AU471">
            <v>1151.5616900476002</v>
          </cell>
          <cell r="AV471">
            <v>1154.8621981382003</v>
          </cell>
          <cell r="AW471">
            <v>1066.8892556981991</v>
          </cell>
          <cell r="AX471">
            <v>1122.4309098375993</v>
          </cell>
          <cell r="AY471">
            <v>1128.3276992046008</v>
          </cell>
          <cell r="AZ471">
            <v>1104.9052255684005</v>
          </cell>
          <cell r="BA471">
            <v>1040.5353849779669</v>
          </cell>
          <cell r="BB471">
            <v>1162.2377019880289</v>
          </cell>
          <cell r="BC471">
            <v>1071.9293285058004</v>
          </cell>
          <cell r="BD471">
            <v>1087.5856667181306</v>
          </cell>
          <cell r="BE471">
            <v>1108.1137090223672</v>
          </cell>
          <cell r="BF471">
            <v>1026.1541706064222</v>
          </cell>
          <cell r="BG471">
            <v>989.647247754369</v>
          </cell>
        </row>
        <row r="472">
          <cell r="AI472">
            <v>5.55</v>
          </cell>
          <cell r="AJ472">
            <v>926.15784783219988</v>
          </cell>
          <cell r="AK472">
            <v>1102.2074265596002</v>
          </cell>
          <cell r="AL472">
            <v>1147.7666972879997</v>
          </cell>
          <cell r="AM472">
            <v>1338.7081018881995</v>
          </cell>
          <cell r="AN472">
            <v>1354.1457554235926</v>
          </cell>
          <cell r="AO472">
            <v>1309.6312763595711</v>
          </cell>
          <cell r="AP472">
            <v>1438.5156509450185</v>
          </cell>
          <cell r="AQ472">
            <v>1310.6998778272659</v>
          </cell>
          <cell r="AR472">
            <v>1371.3866950430836</v>
          </cell>
          <cell r="AS472">
            <v>1520.241651085734</v>
          </cell>
          <cell r="AT472">
            <v>1429.7059255340059</v>
          </cell>
          <cell r="AU472">
            <v>1471.2156204952</v>
          </cell>
          <cell r="AV472">
            <v>1390.0049314521998</v>
          </cell>
          <cell r="AW472">
            <v>1382.9360846310001</v>
          </cell>
          <cell r="AX472">
            <v>1315.4635514020006</v>
          </cell>
          <cell r="AY472">
            <v>1189.9984573821994</v>
          </cell>
          <cell r="AZ472">
            <v>1082.4033101799996</v>
          </cell>
          <cell r="BA472">
            <v>1064.8326147139537</v>
          </cell>
          <cell r="BB472">
            <v>1149.5067683278637</v>
          </cell>
          <cell r="BC472">
            <v>1100.7139218707011</v>
          </cell>
          <cell r="BD472">
            <v>1139.1300771133858</v>
          </cell>
          <cell r="BE472">
            <v>1193.097884697137</v>
          </cell>
          <cell r="BF472">
            <v>1055.2657650436279</v>
          </cell>
          <cell r="BG472">
            <v>1160.6644564415774</v>
          </cell>
        </row>
        <row r="473">
          <cell r="AI473">
            <v>5.45</v>
          </cell>
          <cell r="AJ473">
            <v>1065.3611000194005</v>
          </cell>
          <cell r="AK473">
            <v>1103.1956185823999</v>
          </cell>
          <cell r="AL473">
            <v>1180.0673546923999</v>
          </cell>
          <cell r="AM473">
            <v>1242.2554354671997</v>
          </cell>
          <cell r="AN473">
            <v>1302.0146964231035</v>
          </cell>
          <cell r="AO473">
            <v>1264.8504074310144</v>
          </cell>
          <cell r="AP473">
            <v>1386.735893093605</v>
          </cell>
          <cell r="AQ473">
            <v>1436.2565032105604</v>
          </cell>
          <cell r="AR473">
            <v>1364.6835866970946</v>
          </cell>
          <cell r="AS473">
            <v>1425.3448941732345</v>
          </cell>
          <cell r="AT473">
            <v>1481.3870587963149</v>
          </cell>
          <cell r="AU473">
            <v>1264.8175320868006</v>
          </cell>
          <cell r="AV473">
            <v>1369.0345541844003</v>
          </cell>
          <cell r="AW473">
            <v>1179.0870277569993</v>
          </cell>
          <cell r="AX473">
            <v>1066.4274052174001</v>
          </cell>
          <cell r="AY473">
            <v>1154.2226500334</v>
          </cell>
          <cell r="AZ473">
            <v>1161.6644517561999</v>
          </cell>
          <cell r="BA473">
            <v>1071.7052087329855</v>
          </cell>
          <cell r="BB473">
            <v>1082.5316250914386</v>
          </cell>
          <cell r="BC473">
            <v>1086.0763166127097</v>
          </cell>
          <cell r="BD473">
            <v>1227.4544783173146</v>
          </cell>
          <cell r="BE473">
            <v>1197.9790406886855</v>
          </cell>
          <cell r="BF473">
            <v>1138.886664280521</v>
          </cell>
          <cell r="BG473">
            <v>936.43764526630855</v>
          </cell>
        </row>
        <row r="474">
          <cell r="AI474">
            <v>5.41</v>
          </cell>
          <cell r="AJ474">
            <v>1148.1480427307997</v>
          </cell>
          <cell r="AK474">
            <v>1133.9510874715997</v>
          </cell>
          <cell r="AL474">
            <v>1215.9417201724</v>
          </cell>
          <cell r="AM474">
            <v>1274.3799813792002</v>
          </cell>
          <cell r="AN474">
            <v>1242.7838130845039</v>
          </cell>
          <cell r="AO474">
            <v>1468.291839093615</v>
          </cell>
          <cell r="AP474">
            <v>1277.449192116005</v>
          </cell>
          <cell r="AQ474">
            <v>1389.0362597117605</v>
          </cell>
          <cell r="AR474">
            <v>1434.2946229466947</v>
          </cell>
          <cell r="AS474">
            <v>1341.5909138120337</v>
          </cell>
          <cell r="AT474">
            <v>1417.2384678369144</v>
          </cell>
          <cell r="AU474">
            <v>1356.3682874249987</v>
          </cell>
          <cell r="AV474">
            <v>1373.8771960919998</v>
          </cell>
          <cell r="AW474">
            <v>1265.2527636032012</v>
          </cell>
          <cell r="AX474">
            <v>1254.9021554248002</v>
          </cell>
          <cell r="AY474">
            <v>1209.9377659833999</v>
          </cell>
          <cell r="AZ474">
            <v>1312.5606007301999</v>
          </cell>
          <cell r="BA474">
            <v>1147.5195198629044</v>
          </cell>
          <cell r="BB474">
            <v>1245.7390886776486</v>
          </cell>
          <cell r="BC474">
            <v>1278.5404147722115</v>
          </cell>
          <cell r="BD474">
            <v>809.54384837734312</v>
          </cell>
          <cell r="BE474">
            <v>1174.8473696195376</v>
          </cell>
          <cell r="BF474">
            <v>1073.8085662112017</v>
          </cell>
          <cell r="BG474">
            <v>1232.5465218988854</v>
          </cell>
        </row>
        <row r="475">
          <cell r="AI475">
            <v>5.31</v>
          </cell>
          <cell r="AJ475">
            <v>1043.1068093572001</v>
          </cell>
          <cell r="AK475">
            <v>1084.9661209940004</v>
          </cell>
          <cell r="AL475">
            <v>1162.7129012738001</v>
          </cell>
          <cell r="AM475">
            <v>1282.4731600283999</v>
          </cell>
          <cell r="AN475">
            <v>1378.2273982619035</v>
          </cell>
          <cell r="AO475">
            <v>1205.6442145698143</v>
          </cell>
          <cell r="AP475">
            <v>1256.0869042738038</v>
          </cell>
          <cell r="AQ475">
            <v>1387.9517053097607</v>
          </cell>
          <cell r="AR475">
            <v>1410.3968221160949</v>
          </cell>
          <cell r="AS475">
            <v>1436.3503395522339</v>
          </cell>
          <cell r="AT475">
            <v>1439.0595837173146</v>
          </cell>
          <cell r="AU475">
            <v>1298.0062704542013</v>
          </cell>
          <cell r="AV475">
            <v>1242.6523533667992</v>
          </cell>
          <cell r="AW475">
            <v>1248.1279389597996</v>
          </cell>
          <cell r="AX475">
            <v>1218.8616959748006</v>
          </cell>
          <cell r="AY475">
            <v>1154.0927114789993</v>
          </cell>
          <cell r="AZ475">
            <v>1033.7657411405994</v>
          </cell>
          <cell r="BA475">
            <v>1136.4596133796701</v>
          </cell>
          <cell r="BB475">
            <v>1086.8014402412743</v>
          </cell>
          <cell r="BC475">
            <v>1050.5641048107639</v>
          </cell>
          <cell r="BD475">
            <v>1131.7388452247956</v>
          </cell>
          <cell r="BE475">
            <v>1110.9647167493233</v>
          </cell>
          <cell r="BF475">
            <v>1148.5005587655664</v>
          </cell>
          <cell r="BG475">
            <v>1145.6065279101567</v>
          </cell>
        </row>
        <row r="476">
          <cell r="AI476">
            <v>5.32</v>
          </cell>
          <cell r="AJ476">
            <v>1085.8101309386002</v>
          </cell>
          <cell r="AK476">
            <v>974.2061849736001</v>
          </cell>
          <cell r="AL476">
            <v>1197.8251447420002</v>
          </cell>
          <cell r="AM476">
            <v>1187.2207480934001</v>
          </cell>
          <cell r="AN476">
            <v>1323.1741902118665</v>
          </cell>
          <cell r="AO476">
            <v>1293.0751889546673</v>
          </cell>
          <cell r="AP476">
            <v>1463.046196877387</v>
          </cell>
          <cell r="AQ476">
            <v>1400.0503137720914</v>
          </cell>
          <cell r="AR476">
            <v>1369.3971893289051</v>
          </cell>
          <cell r="AS476">
            <v>1339.4444041249419</v>
          </cell>
          <cell r="AT476">
            <v>1306.2537092690561</v>
          </cell>
          <cell r="AU476">
            <v>1293.3148752245988</v>
          </cell>
          <cell r="AV476">
            <v>1315.9859317562</v>
          </cell>
          <cell r="AW476">
            <v>1289.8215556972004</v>
          </cell>
          <cell r="AX476">
            <v>1146.9580295244</v>
          </cell>
          <cell r="AY476">
            <v>1174.8562062390001</v>
          </cell>
          <cell r="AZ476">
            <v>1052.8069331461988</v>
          </cell>
          <cell r="BA476">
            <v>1008.4435934494195</v>
          </cell>
          <cell r="BB476">
            <v>1100.620972412587</v>
          </cell>
          <cell r="BC476">
            <v>1102.8841653326583</v>
          </cell>
          <cell r="BD476">
            <v>1218.0782846906866</v>
          </cell>
          <cell r="BE476">
            <v>1140.5583583758741</v>
          </cell>
          <cell r="BF476">
            <v>1109.7650109174162</v>
          </cell>
          <cell r="BG476">
            <v>1097.5061622649123</v>
          </cell>
        </row>
        <row r="477">
          <cell r="AI477">
            <v>5.33</v>
          </cell>
          <cell r="AJ477">
            <v>1162.9483160096001</v>
          </cell>
          <cell r="AK477">
            <v>1212.631243238</v>
          </cell>
          <cell r="AL477">
            <v>1209.8294246899998</v>
          </cell>
          <cell r="AM477">
            <v>1299.1193028041998</v>
          </cell>
          <cell r="AN477">
            <v>1407.9999965026673</v>
          </cell>
          <cell r="AO477">
            <v>1438.6186301492671</v>
          </cell>
          <cell r="AP477">
            <v>1472.7032369037884</v>
          </cell>
          <cell r="AQ477">
            <v>1377.6710927320908</v>
          </cell>
          <cell r="AR477">
            <v>1450.2546974289053</v>
          </cell>
          <cell r="AS477">
            <v>1433.3331614789424</v>
          </cell>
          <cell r="AT477">
            <v>1534.2805231620562</v>
          </cell>
          <cell r="AU477">
            <v>1426.9657184573998</v>
          </cell>
          <cell r="AV477">
            <v>1355.0615336018004</v>
          </cell>
          <cell r="AW477">
            <v>1226.8422188217992</v>
          </cell>
          <cell r="AX477">
            <v>1221.1661505490001</v>
          </cell>
          <cell r="AY477">
            <v>1233.1985473219993</v>
          </cell>
          <cell r="AZ477">
            <v>1231.165996657855</v>
          </cell>
          <cell r="BA477">
            <v>1163.497430328302</v>
          </cell>
          <cell r="BB477">
            <v>1186.9704121097416</v>
          </cell>
          <cell r="BC477">
            <v>1277.0608417428327</v>
          </cell>
          <cell r="BD477">
            <v>1162.5538548344916</v>
          </cell>
          <cell r="BE477">
            <v>1172.7795713579419</v>
          </cell>
          <cell r="BF477">
            <v>1133.7916110338219</v>
          </cell>
          <cell r="BG477">
            <v>1170.226133594296</v>
          </cell>
        </row>
        <row r="478">
          <cell r="AI478">
            <v>5.27</v>
          </cell>
          <cell r="AJ478">
            <v>1094.1246429128003</v>
          </cell>
          <cell r="AK478">
            <v>1168.0824013736003</v>
          </cell>
          <cell r="AL478">
            <v>1262.8810665875999</v>
          </cell>
          <cell r="AM478">
            <v>1378.0176971359997</v>
          </cell>
          <cell r="AN478">
            <v>1451.3200206144663</v>
          </cell>
          <cell r="AO478">
            <v>1425.723526554867</v>
          </cell>
          <cell r="AP478">
            <v>1282.969419351587</v>
          </cell>
          <cell r="AQ478">
            <v>1457.2317516702908</v>
          </cell>
          <cell r="AR478">
            <v>1496.8392590589053</v>
          </cell>
          <cell r="AS478">
            <v>1397.5312186863423</v>
          </cell>
          <cell r="AT478">
            <v>1421.623112387256</v>
          </cell>
          <cell r="AU478">
            <v>1454.3603011396015</v>
          </cell>
          <cell r="AV478">
            <v>1317.9672505871999</v>
          </cell>
          <cell r="AW478">
            <v>1191.1910875480003</v>
          </cell>
          <cell r="AX478">
            <v>1202.1767372225995</v>
          </cell>
          <cell r="AY478">
            <v>1134.7508479348003</v>
          </cell>
          <cell r="AZ478">
            <v>1124.4774927529947</v>
          </cell>
          <cell r="BA478">
            <v>1190.5195949684744</v>
          </cell>
          <cell r="BB478">
            <v>1010.5090569559031</v>
          </cell>
          <cell r="BC478">
            <v>1076.893003820179</v>
          </cell>
          <cell r="BD478">
            <v>1167.3491358822284</v>
          </cell>
          <cell r="BE478">
            <v>1118.8680499934962</v>
          </cell>
          <cell r="BF478">
            <v>1023.6615843851558</v>
          </cell>
          <cell r="BG478">
            <v>1233.4523823309719</v>
          </cell>
        </row>
        <row r="479">
          <cell r="AI479">
            <v>5.25</v>
          </cell>
          <cell r="AJ479">
            <v>11815.728562677001</v>
          </cell>
          <cell r="AK479">
            <v>13464.993640009601</v>
          </cell>
          <cell r="AL479">
            <v>14267.024082577402</v>
          </cell>
          <cell r="AM479">
            <v>15261.420175134797</v>
          </cell>
          <cell r="AN479">
            <v>15649.540372543197</v>
          </cell>
          <cell r="AO479">
            <v>16045.181526701181</v>
          </cell>
          <cell r="AP479">
            <v>16255.118291345309</v>
          </cell>
          <cell r="AQ479">
            <v>16738.665484681267</v>
          </cell>
          <cell r="AR479">
            <v>16965.626460231022</v>
          </cell>
          <cell r="AS479">
            <v>16759.458212774945</v>
          </cell>
          <cell r="AT479">
            <v>16947.306937813202</v>
          </cell>
          <cell r="AU479">
            <v>16253.688230047952</v>
          </cell>
          <cell r="AV479">
            <v>15948.152838133799</v>
          </cell>
          <cell r="AW479">
            <v>15088.166198669802</v>
          </cell>
          <cell r="AX479">
            <v>14254.933977459998</v>
          </cell>
          <cell r="AY479">
            <v>14191.560589464598</v>
          </cell>
          <cell r="AZ479">
            <v>14043.615017339047</v>
          </cell>
          <cell r="BA479">
            <v>13097.136586424809</v>
          </cell>
          <cell r="BB479">
            <v>13406.527993398007</v>
          </cell>
          <cell r="BC479">
            <v>13334.194991137818</v>
          </cell>
          <cell r="BD479">
            <v>13431.605131832881</v>
          </cell>
          <cell r="BE479">
            <v>14003.168109108132</v>
          </cell>
          <cell r="BF479">
            <v>12977.978089067752</v>
          </cell>
          <cell r="BG479">
            <v>13380.512275179966</v>
          </cell>
        </row>
        <row r="485">
          <cell r="BH485">
            <v>1945.848</v>
          </cell>
          <cell r="BI485">
            <v>2134.0639999999999</v>
          </cell>
          <cell r="BJ485">
            <v>2110.7860000000001</v>
          </cell>
          <cell r="BK485">
            <v>2465.8910000000001</v>
          </cell>
          <cell r="BL485">
            <v>2306.1469999999999</v>
          </cell>
          <cell r="BM485">
            <v>1823.8340000000001</v>
          </cell>
          <cell r="BN485">
            <v>1690.57</v>
          </cell>
          <cell r="BO485">
            <v>1235.2194983444124</v>
          </cell>
          <cell r="BP485">
            <v>1798.445198359168</v>
          </cell>
          <cell r="BQ485">
            <v>1789.8727482357099</v>
          </cell>
          <cell r="BR485">
            <v>1553.7204330678724</v>
          </cell>
          <cell r="BS485">
            <v>1637.6404157145039</v>
          </cell>
          <cell r="BT485">
            <v>1605.9143661464532</v>
          </cell>
          <cell r="BU485">
            <v>1647.9395710025319</v>
          </cell>
          <cell r="BV485">
            <v>1918.3526594052482</v>
          </cell>
          <cell r="BW485">
            <v>2573.7799468901617</v>
          </cell>
          <cell r="BX485">
            <v>2561.1533650089655</v>
          </cell>
          <cell r="BY485">
            <v>1878.3709125891228</v>
          </cell>
          <cell r="BZ485">
            <v>1568.685449068128</v>
          </cell>
          <cell r="CA485">
            <v>1401.6507009346824</v>
          </cell>
          <cell r="CB485">
            <v>396.99184369783325</v>
          </cell>
          <cell r="CC485">
            <v>376.05017231920738</v>
          </cell>
          <cell r="CD485">
            <v>1257.034424295568</v>
          </cell>
          <cell r="CE485">
            <v>1793.1097202150577</v>
          </cell>
          <cell r="CF485">
            <v>1536.6197894509273</v>
          </cell>
          <cell r="CG485">
            <v>1695.2169147630962</v>
          </cell>
          <cell r="CH485">
            <v>1901.1899310555482</v>
          </cell>
          <cell r="CI485">
            <v>1294.8065411780535</v>
          </cell>
          <cell r="CJ485">
            <v>2146.6913985639994</v>
          </cell>
          <cell r="CK485">
            <v>995.88801183756095</v>
          </cell>
          <cell r="CL485">
            <v>2529.5517597215812</v>
          </cell>
          <cell r="CM485">
            <v>2253.4324652758924</v>
          </cell>
          <cell r="CN485">
            <v>2521.1909599018527</v>
          </cell>
        </row>
        <row r="486">
          <cell r="AI486">
            <v>5.44</v>
          </cell>
          <cell r="AJ486">
            <v>1116.8</v>
          </cell>
          <cell r="AK486">
            <v>1512.6000000000001</v>
          </cell>
          <cell r="AL486">
            <v>2172.3000000000002</v>
          </cell>
          <cell r="AM486">
            <v>1787.9</v>
          </cell>
          <cell r="AN486">
            <v>1505.6</v>
          </cell>
          <cell r="AO486">
            <v>1993.2</v>
          </cell>
          <cell r="AP486">
            <v>2436.7999999999997</v>
          </cell>
          <cell r="AQ486">
            <v>2923.7</v>
          </cell>
          <cell r="AR486">
            <v>2394.7999999999997</v>
          </cell>
          <cell r="AS486">
            <v>1950.8</v>
          </cell>
          <cell r="AT486">
            <v>1560</v>
          </cell>
          <cell r="AU486">
            <v>2470.556</v>
          </cell>
          <cell r="AV486">
            <v>3359.7</v>
          </cell>
          <cell r="AW486">
            <v>3408</v>
          </cell>
          <cell r="AX486">
            <v>2992.3</v>
          </cell>
          <cell r="AY486">
            <v>3221.69</v>
          </cell>
          <cell r="AZ486">
            <v>3415.395</v>
          </cell>
          <cell r="BA486">
            <v>2612.8404445890633</v>
          </cell>
          <cell r="BB486">
            <v>3515.3513224728517</v>
          </cell>
          <cell r="BC486">
            <v>2234.1364419474753</v>
          </cell>
          <cell r="BD486">
            <v>1529.2622913757946</v>
          </cell>
          <cell r="BE486">
            <v>2110.797</v>
          </cell>
          <cell r="BF486">
            <v>2125.6970000000001</v>
          </cell>
          <cell r="BG486">
            <v>2239.7840000000001</v>
          </cell>
          <cell r="BH486">
            <v>2004.7280000000001</v>
          </cell>
        </row>
        <row r="513">
          <cell r="BI513">
            <v>28.813000000000006</v>
          </cell>
          <cell r="BJ513">
            <v>34.067619047619047</v>
          </cell>
          <cell r="BK513">
            <v>64.157142857142844</v>
          </cell>
          <cell r="BL513">
            <v>73.754285714285714</v>
          </cell>
          <cell r="BM513">
            <v>65.898499999999984</v>
          </cell>
          <cell r="BN513">
            <v>42.550499999999992</v>
          </cell>
          <cell r="BO513">
            <v>45.071475094208552</v>
          </cell>
          <cell r="BP513">
            <v>47.537867383901364</v>
          </cell>
          <cell r="BQ513">
            <v>41.020568322326675</v>
          </cell>
          <cell r="BR513">
            <v>41.89002624645984</v>
          </cell>
          <cell r="BS513">
            <v>40.222302778653038</v>
          </cell>
          <cell r="BT513">
            <v>43.939622087496318</v>
          </cell>
          <cell r="BU513">
            <v>45.280672113204339</v>
          </cell>
          <cell r="BV513">
            <v>49.483880155600374</v>
          </cell>
          <cell r="BW513">
            <v>43.337463118719135</v>
          </cell>
          <cell r="BX513">
            <v>33.829984790649782</v>
          </cell>
          <cell r="BY513">
            <v>18.56197860242251</v>
          </cell>
          <cell r="BZ513">
            <v>29.354498656092481</v>
          </cell>
          <cell r="CA513">
            <v>23.728976079829749</v>
          </cell>
          <cell r="CB513">
            <v>14.992367554333667</v>
          </cell>
          <cell r="CC513">
            <v>12.695136472153326</v>
          </cell>
          <cell r="CD513">
            <v>24.485233467094837</v>
          </cell>
          <cell r="CE513">
            <v>37.60696185504856</v>
          </cell>
          <cell r="CF513">
            <v>35.386943853974188</v>
          </cell>
          <cell r="CG513">
            <v>27.235189389945475</v>
          </cell>
          <cell r="CH513">
            <v>32.884039507686445</v>
          </cell>
          <cell r="CI513">
            <v>19.636330834304573</v>
          </cell>
          <cell r="CJ513">
            <v>30.251286222881461</v>
          </cell>
          <cell r="CK513">
            <v>20.47262820044433</v>
          </cell>
          <cell r="CL513">
            <v>43.874548394522172</v>
          </cell>
          <cell r="CM513">
            <v>34.408634153922868</v>
          </cell>
          <cell r="CN513">
            <v>43.493145502055739</v>
          </cell>
        </row>
        <row r="514">
          <cell r="AJ514" t="e">
            <v>#REF!</v>
          </cell>
          <cell r="AK514" t="e">
            <v>#REF!</v>
          </cell>
          <cell r="AL514" t="e">
            <v>#REF!</v>
          </cell>
          <cell r="AM514" t="e">
            <v>#REF!</v>
          </cell>
          <cell r="AN514" t="e">
            <v>#REF!</v>
          </cell>
          <cell r="AO514" t="e">
            <v>#REF!</v>
          </cell>
          <cell r="AP514" t="e">
            <v>#REF!</v>
          </cell>
          <cell r="AQ514" t="e">
            <v>#REF!</v>
          </cell>
          <cell r="AR514" t="e">
            <v>#REF!</v>
          </cell>
          <cell r="AS514" t="e">
            <v>#REF!</v>
          </cell>
          <cell r="AT514" t="e">
            <v>#REF!</v>
          </cell>
          <cell r="AU514" t="e">
            <v>#REF!</v>
          </cell>
          <cell r="AV514" t="e">
            <v>#REF!</v>
          </cell>
          <cell r="AW514" t="e">
            <v>#REF!</v>
          </cell>
          <cell r="AX514" t="e">
            <v>#REF!</v>
          </cell>
          <cell r="AY514" t="e">
            <v>#REF!</v>
          </cell>
          <cell r="AZ514" t="e">
            <v>#REF!</v>
          </cell>
          <cell r="BA514" t="e">
            <v>#REF!</v>
          </cell>
          <cell r="BB514" t="e">
            <v>#REF!</v>
          </cell>
          <cell r="BC514" t="e">
            <v>#REF!</v>
          </cell>
          <cell r="BD514" t="e">
            <v>#REF!</v>
          </cell>
          <cell r="BE514" t="e">
            <v>#REF!</v>
          </cell>
          <cell r="BF514" t="e">
            <v>#REF!</v>
          </cell>
          <cell r="BG514">
            <v>32.137727272727275</v>
          </cell>
          <cell r="BH514">
            <v>28.938695652173916</v>
          </cell>
          <cell r="BI514">
            <v>30.119130434782615</v>
          </cell>
          <cell r="BJ514">
            <v>33.876818181818187</v>
          </cell>
          <cell r="BK514">
            <v>66.222380952380959</v>
          </cell>
          <cell r="BL514">
            <v>75.04190476190476</v>
          </cell>
          <cell r="BM514">
            <v>58.311363636363652</v>
          </cell>
          <cell r="BN514">
            <v>43.916086956521731</v>
          </cell>
          <cell r="BO514">
            <v>38.413531619579381</v>
          </cell>
          <cell r="BP514">
            <v>43.685486541932661</v>
          </cell>
          <cell r="BQ514">
            <v>35.927149902766509</v>
          </cell>
          <cell r="BR514">
            <v>35.66517018006116</v>
          </cell>
          <cell r="BS514">
            <v>34.748211202156583</v>
          </cell>
          <cell r="BT514">
            <v>35.838920656386883</v>
          </cell>
          <cell r="BU514">
            <v>34.203311984054636</v>
          </cell>
          <cell r="BV514">
            <v>43.472635895176545</v>
          </cell>
          <cell r="BW514">
            <v>33.95001829962645</v>
          </cell>
          <cell r="BX514">
            <v>23.580103141995281</v>
          </cell>
          <cell r="BY514">
            <v>10.512647701469001</v>
          </cell>
          <cell r="BZ514">
            <v>23.499139493491796</v>
          </cell>
          <cell r="CA514">
            <v>14.216102081993002</v>
          </cell>
          <cell r="CB514">
            <v>-0.42341237601682175</v>
          </cell>
          <cell r="CC514">
            <v>-1.59759325194219</v>
          </cell>
          <cell r="CD514">
            <v>16.054230701946253</v>
          </cell>
          <cell r="CE514">
            <v>32.951631193625943</v>
          </cell>
          <cell r="CF514">
            <v>22.323349888327613</v>
          </cell>
          <cell r="CG514">
            <v>24.675629268494571</v>
          </cell>
          <cell r="CH514">
            <v>29.375098498593985</v>
          </cell>
          <cell r="CI514">
            <v>13.438935695098957</v>
          </cell>
          <cell r="CJ514">
            <v>27.024069012767036</v>
          </cell>
          <cell r="CK514">
            <v>10.523101713851849</v>
          </cell>
          <cell r="CL514">
            <v>39.16977521507836</v>
          </cell>
          <cell r="CM514">
            <v>35.780948971068781</v>
          </cell>
          <cell r="CN514">
            <v>44.484763955271966</v>
          </cell>
        </row>
        <row r="515">
          <cell r="AJ515" t="e">
            <v>#REF!</v>
          </cell>
          <cell r="AK515" t="e">
            <v>#REF!</v>
          </cell>
          <cell r="AL515" t="e">
            <v>#REF!</v>
          </cell>
          <cell r="AM515" t="e">
            <v>#REF!</v>
          </cell>
          <cell r="AN515" t="e">
            <v>#REF!</v>
          </cell>
          <cell r="AO515" t="e">
            <v>#REF!</v>
          </cell>
          <cell r="AP515" t="e">
            <v>#REF!</v>
          </cell>
          <cell r="AQ515" t="e">
            <v>#REF!</v>
          </cell>
          <cell r="AR515" t="e">
            <v>#REF!</v>
          </cell>
          <cell r="AS515" t="e">
            <v>#REF!</v>
          </cell>
          <cell r="AT515" t="e">
            <v>#REF!</v>
          </cell>
          <cell r="AU515" t="e">
            <v>#REF!</v>
          </cell>
          <cell r="AV515" t="e">
            <v>#REF!</v>
          </cell>
          <cell r="AW515" t="e">
            <v>#REF!</v>
          </cell>
          <cell r="AX515" t="e">
            <v>#REF!</v>
          </cell>
          <cell r="AY515" t="e">
            <v>#REF!</v>
          </cell>
          <cell r="AZ515" t="e">
            <v>#REF!</v>
          </cell>
          <cell r="BA515" t="e">
            <v>#REF!</v>
          </cell>
          <cell r="BB515" t="e">
            <v>#REF!</v>
          </cell>
          <cell r="BC515" t="e">
            <v>#REF!</v>
          </cell>
          <cell r="BD515" t="e">
            <v>#REF!</v>
          </cell>
          <cell r="BE515" t="e">
            <v>#REF!</v>
          </cell>
          <cell r="BF515" t="e">
            <v>#REF!</v>
          </cell>
          <cell r="BG515">
            <v>33.315238095238094</v>
          </cell>
          <cell r="BH515">
            <v>27.490952380952379</v>
          </cell>
          <cell r="BI515">
            <v>30.616499999999995</v>
          </cell>
          <cell r="BJ515">
            <v>37.952500000000001</v>
          </cell>
          <cell r="BK515">
            <v>63.877619047619042</v>
          </cell>
          <cell r="BL515">
            <v>81.820000000000007</v>
          </cell>
          <cell r="BM515">
            <v>55.421904761904756</v>
          </cell>
          <cell r="BN515">
            <v>45.169499999999999</v>
          </cell>
          <cell r="BO515">
            <v>29.043372849035006</v>
          </cell>
          <cell r="BP515">
            <v>41.929319395964278</v>
          </cell>
          <cell r="BQ515">
            <v>41.65608146583353</v>
          </cell>
          <cell r="BR515">
            <v>36.295223945186365</v>
          </cell>
          <cell r="BS515">
            <v>38.221021260794998</v>
          </cell>
          <cell r="BT515">
            <v>37.749428184608689</v>
          </cell>
          <cell r="BU515">
            <v>38.775087014860652</v>
          </cell>
          <cell r="BV515">
            <v>45.273439133855348</v>
          </cell>
          <cell r="BW515">
            <v>60.024018290580408</v>
          </cell>
          <cell r="BX515">
            <v>59.840370501911856</v>
          </cell>
          <cell r="BY515">
            <v>44.137886062776751</v>
          </cell>
          <cell r="BZ515">
            <v>37.030581776535946</v>
          </cell>
          <cell r="CA515">
            <v>33.263132314427992</v>
          </cell>
          <cell r="CB515">
            <v>10.258825111348179</v>
          </cell>
          <cell r="CC515">
            <v>9.744024980877068</v>
          </cell>
          <cell r="CD515">
            <v>29.90428576393942</v>
          </cell>
          <cell r="CE515">
            <v>42.258630802869455</v>
          </cell>
          <cell r="CF515">
            <v>36.311758346759959</v>
          </cell>
          <cell r="CG515">
            <v>39.971504131728381</v>
          </cell>
          <cell r="CH515">
            <v>44.682829100625646</v>
          </cell>
          <cell r="CI515">
            <v>30.813262026791467</v>
          </cell>
          <cell r="CJ515">
            <v>50.357713334390581</v>
          </cell>
          <cell r="CK515">
            <v>24.044647469924328</v>
          </cell>
          <cell r="CL515">
            <v>59.225780401359273</v>
          </cell>
          <cell r="CM515">
            <v>52.913210980294892</v>
          </cell>
          <cell r="CN515">
            <v>59.103637178935926</v>
          </cell>
        </row>
        <row r="516">
          <cell r="AJ516" t="e">
            <v>#REF!</v>
          </cell>
          <cell r="AK516" t="e">
            <v>#REF!</v>
          </cell>
          <cell r="AL516" t="e">
            <v>#REF!</v>
          </cell>
          <cell r="AM516" t="e">
            <v>#REF!</v>
          </cell>
          <cell r="AN516" t="e">
            <v>#REF!</v>
          </cell>
          <cell r="AO516" t="e">
            <v>#REF!</v>
          </cell>
          <cell r="AP516" t="e">
            <v>#REF!</v>
          </cell>
          <cell r="AQ516" t="e">
            <v>#REF!</v>
          </cell>
          <cell r="AR516" t="e">
            <v>#REF!</v>
          </cell>
          <cell r="AS516" t="e">
            <v>#REF!</v>
          </cell>
          <cell r="AT516" t="e">
            <v>#REF!</v>
          </cell>
          <cell r="AU516" t="e">
            <v>#REF!</v>
          </cell>
          <cell r="AV516" t="e">
            <v>#REF!</v>
          </cell>
          <cell r="AW516" t="e">
            <v>#REF!</v>
          </cell>
          <cell r="AX516" t="e">
            <v>#REF!</v>
          </cell>
          <cell r="AY516" t="e">
            <v>#REF!</v>
          </cell>
          <cell r="AZ516" t="e">
            <v>#REF!</v>
          </cell>
          <cell r="BA516" t="e">
            <v>#REF!</v>
          </cell>
          <cell r="BB516" t="e">
            <v>#REF!</v>
          </cell>
          <cell r="BC516" t="e">
            <v>#REF!</v>
          </cell>
          <cell r="BD516" t="e">
            <v>#REF!</v>
          </cell>
          <cell r="BE516" t="e">
            <v>#REF!</v>
          </cell>
          <cell r="BF516" t="e">
            <v>#REF!</v>
          </cell>
          <cell r="BG516">
            <v>32.183500000000009</v>
          </cell>
          <cell r="BH516">
            <v>28.122500000000009</v>
          </cell>
          <cell r="BI516">
            <v>32.23238095238095</v>
          </cell>
          <cell r="BJ516">
            <v>42.207727272727283</v>
          </cell>
          <cell r="BK516">
            <v>60.348095238095247</v>
          </cell>
          <cell r="BL516">
            <v>70.179999999999993</v>
          </cell>
          <cell r="BM516">
            <v>52.085500000000003</v>
          </cell>
          <cell r="BN516">
            <v>40.866190476190482</v>
          </cell>
          <cell r="BO516">
            <v>33.706461843511669</v>
          </cell>
          <cell r="BP516">
            <v>41.516350946949359</v>
          </cell>
          <cell r="BQ516">
            <v>42.238835095270225</v>
          </cell>
          <cell r="BR516">
            <v>33.937774542089585</v>
          </cell>
          <cell r="BS516">
            <v>41.919793505783375</v>
          </cell>
          <cell r="BT516">
            <v>36.705862556362241</v>
          </cell>
          <cell r="BU516">
            <v>32.990930676683732</v>
          </cell>
          <cell r="BV516">
            <v>48.208911337699959</v>
          </cell>
          <cell r="BW516">
            <v>56.93057945212918</v>
          </cell>
          <cell r="BX516">
            <v>56.034092729540362</v>
          </cell>
          <cell r="BY516">
            <v>44.94323216108571</v>
          </cell>
          <cell r="BZ516">
            <v>32.44803589645737</v>
          </cell>
          <cell r="CA516">
            <v>30.014179132117601</v>
          </cell>
          <cell r="CB516">
            <v>6.2007317007254645</v>
          </cell>
          <cell r="CC516">
            <v>8.1683171658845293</v>
          </cell>
          <cell r="CD516">
            <v>26.604387839348544</v>
          </cell>
          <cell r="CE516">
            <v>35.812211481272037</v>
          </cell>
          <cell r="CF516">
            <v>28.513907033601399</v>
          </cell>
          <cell r="CG516">
            <v>39.943579605079655</v>
          </cell>
          <cell r="CH516">
            <v>46.278457167178892</v>
          </cell>
          <cell r="CI516">
            <v>28.893297082334069</v>
          </cell>
          <cell r="CJ516">
            <v>51.109440441927006</v>
          </cell>
          <cell r="CK516">
            <v>19.149991341410615</v>
          </cell>
          <cell r="CL516">
            <v>59.635380846118331</v>
          </cell>
          <cell r="CM516">
            <v>50.487056648911242</v>
          </cell>
        </row>
        <row r="517">
          <cell r="AI517">
            <v>5.68</v>
          </cell>
          <cell r="AJ517" t="e">
            <v>#REF!</v>
          </cell>
          <cell r="AK517" t="e">
            <v>#REF!</v>
          </cell>
          <cell r="AL517" t="e">
            <v>#REF!</v>
          </cell>
          <cell r="AM517" t="e">
            <v>#REF!</v>
          </cell>
          <cell r="AN517" t="e">
            <v>#REF!</v>
          </cell>
          <cell r="AO517" t="e">
            <v>#REF!</v>
          </cell>
          <cell r="AP517" t="e">
            <v>#REF!</v>
          </cell>
          <cell r="AQ517" t="e">
            <v>#REF!</v>
          </cell>
          <cell r="AR517" t="e">
            <v>#REF!</v>
          </cell>
          <cell r="AS517" t="e">
            <v>#REF!</v>
          </cell>
          <cell r="AT517" t="e">
            <v>#REF!</v>
          </cell>
          <cell r="AU517" t="e">
            <v>#REF!</v>
          </cell>
          <cell r="AV517" t="e">
            <v>#REF!</v>
          </cell>
          <cell r="AW517" t="e">
            <v>#REF!</v>
          </cell>
          <cell r="AX517" t="e">
            <v>#REF!</v>
          </cell>
          <cell r="AY517" t="e">
            <v>#REF!</v>
          </cell>
          <cell r="AZ517" t="e">
            <v>#REF!</v>
          </cell>
          <cell r="BA517" t="e">
            <v>#REF!</v>
          </cell>
          <cell r="BB517" t="e">
            <v>#REF!</v>
          </cell>
          <cell r="BC517" t="e">
            <v>#REF!</v>
          </cell>
          <cell r="BD517" t="e">
            <v>#REF!</v>
          </cell>
          <cell r="BE517" t="e">
            <v>#REF!</v>
          </cell>
          <cell r="BF517" t="e">
            <v>#REF!</v>
          </cell>
          <cell r="BG517">
            <v>31.826666666666668</v>
          </cell>
          <cell r="BH517">
            <v>28.567619047619047</v>
          </cell>
          <cell r="BI517">
            <v>32.94285714285715</v>
          </cell>
          <cell r="BJ517">
            <v>46.417368421052629</v>
          </cell>
          <cell r="BK517">
            <v>64.41749999999999</v>
          </cell>
          <cell r="BL517">
            <v>65.034000000000006</v>
          </cell>
          <cell r="BM517">
            <v>48.421428571428564</v>
          </cell>
          <cell r="BN517">
            <v>42.931904761904761</v>
          </cell>
          <cell r="BO517">
            <v>35.77380382525795</v>
          </cell>
          <cell r="BP517">
            <v>44.069121293955028</v>
          </cell>
          <cell r="BQ517">
            <v>39.697713516344116</v>
          </cell>
          <cell r="BR517">
            <v>37.519234509761311</v>
          </cell>
          <cell r="BS517">
            <v>42.92118696840943</v>
          </cell>
          <cell r="BT517">
            <v>31.961190272131397</v>
          </cell>
          <cell r="BU517">
            <v>29.358039525560784</v>
          </cell>
          <cell r="BV517">
            <v>51.05808138930086</v>
          </cell>
          <cell r="BW517">
            <v>57.306385908835367</v>
          </cell>
          <cell r="BX517">
            <v>54.837909324793671</v>
          </cell>
          <cell r="BY517">
            <v>45.811175425093218</v>
          </cell>
          <cell r="BZ517">
            <v>30.232021807671575</v>
          </cell>
          <cell r="CA517">
            <v>29.452068905932673</v>
          </cell>
          <cell r="CB517">
            <v>14.560440903852143</v>
          </cell>
          <cell r="CC517">
            <v>11.324509391573095</v>
          </cell>
          <cell r="CD517">
            <v>27.873691949450759</v>
          </cell>
          <cell r="CE517">
            <v>35.542489677711892</v>
          </cell>
          <cell r="CF517">
            <v>28.829230348187387</v>
          </cell>
          <cell r="CG517">
            <v>38.793183672356946</v>
          </cell>
          <cell r="CH517">
            <v>44.794332114548887</v>
          </cell>
          <cell r="CI517">
            <v>29.436538973372588</v>
          </cell>
          <cell r="CJ517">
            <v>41.664262979153094</v>
          </cell>
          <cell r="CK517">
            <v>19.13338020303636</v>
          </cell>
          <cell r="CL517">
            <v>58.352224380986065</v>
          </cell>
          <cell r="CM517">
            <v>47.040839574776371</v>
          </cell>
        </row>
        <row r="518">
          <cell r="AI518">
            <v>5.67</v>
          </cell>
          <cell r="AJ518" t="e">
            <v>#REF!</v>
          </cell>
          <cell r="AK518" t="e">
            <v>#REF!</v>
          </cell>
          <cell r="AL518" t="e">
            <v>#REF!</v>
          </cell>
          <cell r="AM518" t="e">
            <v>#REF!</v>
          </cell>
          <cell r="AN518" t="e">
            <v>#REF!</v>
          </cell>
          <cell r="AO518" t="e">
            <v>#REF!</v>
          </cell>
          <cell r="AP518" t="e">
            <v>#REF!</v>
          </cell>
          <cell r="AQ518" t="e">
            <v>#REF!</v>
          </cell>
          <cell r="AR518" t="e">
            <v>#REF!</v>
          </cell>
          <cell r="AS518" t="e">
            <v>#REF!</v>
          </cell>
          <cell r="AT518" t="e">
            <v>#REF!</v>
          </cell>
          <cell r="AU518" t="e">
            <v>#REF!</v>
          </cell>
          <cell r="AV518" t="e">
            <v>#REF!</v>
          </cell>
          <cell r="AW518" t="e">
            <v>#REF!</v>
          </cell>
          <cell r="AX518" t="e">
            <v>#REF!</v>
          </cell>
          <cell r="AY518" t="e">
            <v>#REF!</v>
          </cell>
          <cell r="AZ518" t="e">
            <v>#REF!</v>
          </cell>
          <cell r="BA518" t="e">
            <v>#REF!</v>
          </cell>
          <cell r="BB518" t="e">
            <v>#REF!</v>
          </cell>
          <cell r="BC518" t="e">
            <v>#REF!</v>
          </cell>
          <cell r="BD518" t="e">
            <v>#REF!</v>
          </cell>
          <cell r="BE518" t="e">
            <v>#REF!</v>
          </cell>
          <cell r="BF518" t="e">
            <v>#REF!</v>
          </cell>
          <cell r="BG518">
            <v>30.642631578947363</v>
          </cell>
          <cell r="BH518">
            <v>29.575789473684207</v>
          </cell>
          <cell r="BI518">
            <v>30.282631578947363</v>
          </cell>
          <cell r="BJ518">
            <v>50.472631578947365</v>
          </cell>
          <cell r="BK518">
            <v>69.420526315789488</v>
          </cell>
          <cell r="BL518">
            <v>63.309473684210523</v>
          </cell>
          <cell r="BM518">
            <v>44.077499999999993</v>
          </cell>
          <cell r="BN518">
            <v>44.87</v>
          </cell>
          <cell r="BO518">
            <v>41.19980029815715</v>
          </cell>
          <cell r="BP518">
            <v>48.154071486134981</v>
          </cell>
          <cell r="BQ518">
            <v>40.614288594234424</v>
          </cell>
          <cell r="BR518">
            <v>44.820603975261221</v>
          </cell>
          <cell r="BS518">
            <v>50.250853857628208</v>
          </cell>
          <cell r="BT518">
            <v>40.060322105495537</v>
          </cell>
          <cell r="BU518">
            <v>38.822963770908487</v>
          </cell>
          <cell r="BV518">
            <v>64.13215879204509</v>
          </cell>
          <cell r="BW518">
            <v>70.356946904115588</v>
          </cell>
          <cell r="BX518">
            <v>67.806135789007129</v>
          </cell>
          <cell r="BY518">
            <v>56.483395034744397</v>
          </cell>
          <cell r="BZ518">
            <v>40.778276618764878</v>
          </cell>
          <cell r="CA518">
            <v>41.242800338555455</v>
          </cell>
          <cell r="CB518">
            <v>31.593365982177986</v>
          </cell>
          <cell r="CC518">
            <v>26.127217564886351</v>
          </cell>
          <cell r="CD518">
            <v>41.143304984943235</v>
          </cell>
          <cell r="CE518">
            <v>47.097880619101723</v>
          </cell>
          <cell r="CF518">
            <v>40.303012681762468</v>
          </cell>
          <cell r="CG518">
            <v>49.353885108626372</v>
          </cell>
          <cell r="CH518">
            <v>55.213094081234225</v>
          </cell>
          <cell r="CI518">
            <v>42.540395145953937</v>
          </cell>
          <cell r="CJ518">
            <v>49.173206964771786</v>
          </cell>
          <cell r="CK518">
            <v>33.842326507694075</v>
          </cell>
          <cell r="CL518">
            <v>71.753760233302089</v>
          </cell>
          <cell r="CM518">
            <v>58.455145773010621</v>
          </cell>
        </row>
        <row r="519">
          <cell r="AI519">
            <v>5.6</v>
          </cell>
          <cell r="AJ519" t="e">
            <v>#REF!</v>
          </cell>
          <cell r="AK519" t="e">
            <v>#REF!</v>
          </cell>
          <cell r="AL519" t="e">
            <v>#REF!</v>
          </cell>
          <cell r="AM519" t="e">
            <v>#REF!</v>
          </cell>
          <cell r="AN519" t="e">
            <v>#REF!</v>
          </cell>
          <cell r="AO519" t="e">
            <v>#REF!</v>
          </cell>
          <cell r="AP519" t="e">
            <v>#REF!</v>
          </cell>
          <cell r="AQ519" t="e">
            <v>#REF!</v>
          </cell>
          <cell r="AR519" t="e">
            <v>#REF!</v>
          </cell>
          <cell r="AS519" t="e">
            <v>#REF!</v>
          </cell>
          <cell r="AT519" t="e">
            <v>#REF!</v>
          </cell>
          <cell r="AU519" t="e">
            <v>#REF!</v>
          </cell>
          <cell r="AV519" t="e">
            <v>#REF!</v>
          </cell>
          <cell r="AW519" t="e">
            <v>#REF!</v>
          </cell>
          <cell r="AX519" t="e">
            <v>#REF!</v>
          </cell>
          <cell r="AY519" t="e">
            <v>#REF!</v>
          </cell>
          <cell r="AZ519" t="e">
            <v>#REF!</v>
          </cell>
          <cell r="BA519" t="e">
            <v>#REF!</v>
          </cell>
          <cell r="BB519" t="e">
            <v>#REF!</v>
          </cell>
          <cell r="BC519" t="e">
            <v>#REF!</v>
          </cell>
          <cell r="BD519" t="e">
            <v>#REF!</v>
          </cell>
          <cell r="BE519" t="e">
            <v>#REF!</v>
          </cell>
          <cell r="BF519" t="e">
            <v>#REF!</v>
          </cell>
          <cell r="BG519">
            <v>30.284761904761901</v>
          </cell>
          <cell r="BH519">
            <v>28.640000000000008</v>
          </cell>
          <cell r="BI519">
            <v>27.026818181818182</v>
          </cell>
          <cell r="BJ519">
            <v>60.130869565217402</v>
          </cell>
          <cell r="BK519">
            <v>78.745652173913044</v>
          </cell>
          <cell r="BL519">
            <v>58.771739130434781</v>
          </cell>
          <cell r="BM519">
            <v>44.856499999999997</v>
          </cell>
          <cell r="BN519">
            <v>41.51</v>
          </cell>
          <cell r="BO519">
            <v>44.572281175454776</v>
          </cell>
          <cell r="BP519">
            <v>51.84709363851308</v>
          </cell>
          <cell r="BQ519">
            <v>39.699830659458399</v>
          </cell>
          <cell r="BR519">
            <v>50.25288150891889</v>
          </cell>
          <cell r="BS519">
            <v>55.449453802553855</v>
          </cell>
          <cell r="BT519">
            <v>45.313287768384249</v>
          </cell>
          <cell r="BU519">
            <v>39.926714854450481</v>
          </cell>
          <cell r="BV519">
            <v>71.329710130344424</v>
          </cell>
          <cell r="BW519">
            <v>76.919416375574116</v>
          </cell>
          <cell r="BX519">
            <v>71.445918715015509</v>
          </cell>
          <cell r="BY519">
            <v>63.031658035723979</v>
          </cell>
          <cell r="BZ519">
            <v>44.753779578563282</v>
          </cell>
          <cell r="CA519">
            <v>46.18751945625803</v>
          </cell>
          <cell r="CB519">
            <v>43.315821996642747</v>
          </cell>
          <cell r="CC519">
            <v>35.59911928031962</v>
          </cell>
          <cell r="CD519">
            <v>49.071683955666465</v>
          </cell>
          <cell r="CE519">
            <v>53.278247194010412</v>
          </cell>
          <cell r="CF519">
            <v>46.856668233089877</v>
          </cell>
          <cell r="CG519">
            <v>54.545853920595391</v>
          </cell>
          <cell r="CH519">
            <v>60.518421981120703</v>
          </cell>
          <cell r="CI519">
            <v>49.986349413936352</v>
          </cell>
          <cell r="CJ519">
            <v>49.319274008788391</v>
          </cell>
          <cell r="CK519">
            <v>41.887153429435813</v>
          </cell>
          <cell r="CL519">
            <v>78.734886222670099</v>
          </cell>
          <cell r="CM519">
            <v>63.256222281190155</v>
          </cell>
        </row>
        <row r="520">
          <cell r="AI520">
            <v>5.61</v>
          </cell>
          <cell r="AJ520" t="e">
            <v>#REF!</v>
          </cell>
          <cell r="AK520" t="e">
            <v>#REF!</v>
          </cell>
          <cell r="AL520" t="e">
            <v>#REF!</v>
          </cell>
          <cell r="AM520" t="e">
            <v>#REF!</v>
          </cell>
          <cell r="AN520" t="e">
            <v>#REF!</v>
          </cell>
          <cell r="AO520" t="e">
            <v>#REF!</v>
          </cell>
          <cell r="AP520" t="e">
            <v>#REF!</v>
          </cell>
          <cell r="AQ520" t="e">
            <v>#REF!</v>
          </cell>
          <cell r="AR520" t="e">
            <v>#REF!</v>
          </cell>
          <cell r="AS520" t="e">
            <v>#REF!</v>
          </cell>
          <cell r="AT520" t="e">
            <v>#REF!</v>
          </cell>
          <cell r="AU520" t="e">
            <v>#REF!</v>
          </cell>
          <cell r="AV520" t="e">
            <v>#REF!</v>
          </cell>
          <cell r="AW520" t="e">
            <v>#REF!</v>
          </cell>
          <cell r="AX520" t="e">
            <v>#REF!</v>
          </cell>
          <cell r="AY520" t="e">
            <v>#REF!</v>
          </cell>
          <cell r="AZ520" t="e">
            <v>#REF!</v>
          </cell>
          <cell r="BA520" t="e">
            <v>#REF!</v>
          </cell>
          <cell r="BB520" t="e">
            <v>#REF!</v>
          </cell>
          <cell r="BC520" t="e">
            <v>#REF!</v>
          </cell>
          <cell r="BD520" t="e">
            <v>#REF!</v>
          </cell>
          <cell r="BE520" t="e">
            <v>#REF!</v>
          </cell>
          <cell r="BF520" t="e">
            <v>#REF!</v>
          </cell>
          <cell r="BG520">
            <v>29.698571428571427</v>
          </cell>
          <cell r="BH520">
            <v>27.878095238095241</v>
          </cell>
          <cell r="BI520">
            <v>25.652857142857144</v>
          </cell>
          <cell r="BJ520">
            <v>65.338095238095264</v>
          </cell>
          <cell r="BK520">
            <v>84.326999999999998</v>
          </cell>
          <cell r="BL520">
            <v>56.049473684210533</v>
          </cell>
          <cell r="BM520">
            <v>43.149090909090894</v>
          </cell>
          <cell r="BN520">
            <v>46.98</v>
          </cell>
          <cell r="BO520">
            <v>44.616354801206889</v>
          </cell>
          <cell r="BP520">
            <v>51.721231523699544</v>
          </cell>
          <cell r="BQ520">
            <v>44.505025618401525</v>
          </cell>
          <cell r="BR520">
            <v>54.010352267505226</v>
          </cell>
          <cell r="BS520">
            <v>52.88448132092909</v>
          </cell>
          <cell r="BT520">
            <v>50.214232885659115</v>
          </cell>
          <cell r="BU520">
            <v>41.204450592003148</v>
          </cell>
          <cell r="BV520">
            <v>72.895002739001029</v>
          </cell>
          <cell r="BW520">
            <v>80.696605336334514</v>
          </cell>
          <cell r="BX520">
            <v>72.508146496185319</v>
          </cell>
          <cell r="BY520">
            <v>66.650922552106366</v>
          </cell>
          <cell r="BZ520">
            <v>46.181789751084835</v>
          </cell>
          <cell r="CA520">
            <v>48.996697026640305</v>
          </cell>
          <cell r="CB520">
            <v>53.813895902850525</v>
          </cell>
          <cell r="CC520">
            <v>43.286936005225897</v>
          </cell>
          <cell r="CD520">
            <v>54.834970276168377</v>
          </cell>
          <cell r="CE520">
            <v>57.880194016053721</v>
          </cell>
          <cell r="CF520">
            <v>52.139955691411004</v>
          </cell>
          <cell r="CG520">
            <v>58.246107525032031</v>
          </cell>
          <cell r="CH520">
            <v>64.035407496472274</v>
          </cell>
          <cell r="CI520">
            <v>55.792572480922509</v>
          </cell>
          <cell r="CJ520">
            <v>56.510379889448522</v>
          </cell>
          <cell r="CK520">
            <v>50.53175179205283</v>
          </cell>
          <cell r="CL520">
            <v>77.688529681123185</v>
          </cell>
          <cell r="CM520">
            <v>67.781802723660277</v>
          </cell>
        </row>
        <row r="521">
          <cell r="AI521">
            <v>5.6</v>
          </cell>
          <cell r="AJ521" t="e">
            <v>#REF!</v>
          </cell>
          <cell r="AK521" t="e">
            <v>#REF!</v>
          </cell>
          <cell r="AL521" t="e">
            <v>#REF!</v>
          </cell>
          <cell r="AM521" t="e">
            <v>#REF!</v>
          </cell>
          <cell r="AN521" t="e">
            <v>#REF!</v>
          </cell>
          <cell r="AO521" t="e">
            <v>#REF!</v>
          </cell>
          <cell r="AP521" t="e">
            <v>#REF!</v>
          </cell>
          <cell r="AQ521" t="e">
            <v>#REF!</v>
          </cell>
          <cell r="AR521" t="e">
            <v>#REF!</v>
          </cell>
          <cell r="AS521" t="e">
            <v>#REF!</v>
          </cell>
          <cell r="AT521" t="e">
            <v>#REF!</v>
          </cell>
          <cell r="AU521" t="e">
            <v>#REF!</v>
          </cell>
          <cell r="AV521" t="e">
            <v>#REF!</v>
          </cell>
          <cell r="AW521" t="e">
            <v>#REF!</v>
          </cell>
          <cell r="AX521" t="e">
            <v>#REF!</v>
          </cell>
          <cell r="AY521" t="e">
            <v>#REF!</v>
          </cell>
          <cell r="AZ521" t="e">
            <v>#REF!</v>
          </cell>
          <cell r="BA521" t="e">
            <v>#REF!</v>
          </cell>
          <cell r="BB521" t="e">
            <v>#REF!</v>
          </cell>
          <cell r="BC521" t="e">
            <v>#REF!</v>
          </cell>
          <cell r="BD521" t="e">
            <v>#REF!</v>
          </cell>
          <cell r="BE521" t="e">
            <v>#REF!</v>
          </cell>
          <cell r="BF521" t="e">
            <v>#REF!</v>
          </cell>
          <cell r="BG521">
            <v>29.436818181818182</v>
          </cell>
          <cell r="BH521">
            <v>26.981363636363639</v>
          </cell>
          <cell r="BI521">
            <v>25.268499999999996</v>
          </cell>
          <cell r="BJ521">
            <v>77.164500000000004</v>
          </cell>
          <cell r="BK521">
            <v>85.790476190476198</v>
          </cell>
          <cell r="BL521">
            <v>52.481363636363646</v>
          </cell>
          <cell r="BM521">
            <v>41.839545454545451</v>
          </cell>
          <cell r="BN521">
            <v>48.585573661426288</v>
          </cell>
          <cell r="BO521">
            <v>44.320555556066786</v>
          </cell>
          <cell r="BP521">
            <v>50.521217410576213</v>
          </cell>
          <cell r="BQ521">
            <v>48.590822186159215</v>
          </cell>
          <cell r="BR521">
            <v>56.278082848668916</v>
          </cell>
          <cell r="BS521">
            <v>56.003366452602229</v>
          </cell>
          <cell r="BT521">
            <v>54.108224213223849</v>
          </cell>
          <cell r="BU521">
            <v>46.334875966713454</v>
          </cell>
          <cell r="BV521">
            <v>72.574299471045038</v>
          </cell>
          <cell r="BW521">
            <v>82.324314847287297</v>
          </cell>
          <cell r="BX521">
            <v>73.715849320694076</v>
          </cell>
          <cell r="BY521">
            <v>70.985305785762435</v>
          </cell>
          <cell r="BZ521">
            <v>47.130750204347891</v>
          </cell>
          <cell r="CA521">
            <v>51.547954044857285</v>
          </cell>
          <cell r="CB521">
            <v>53.468502317204894</v>
          </cell>
          <cell r="CC521">
            <v>47.832262545651183</v>
          </cell>
          <cell r="CD521">
            <v>56.761043925738569</v>
          </cell>
          <cell r="CE521">
            <v>57.899397589099671</v>
          </cell>
          <cell r="CF521">
            <v>51.17072300599434</v>
          </cell>
          <cell r="CG521">
            <v>57.187043935818394</v>
          </cell>
          <cell r="CH521">
            <v>62.416791760201932</v>
          </cell>
          <cell r="CI521">
            <v>56.441400491660197</v>
          </cell>
          <cell r="CJ521">
            <v>58.151052427680689</v>
          </cell>
          <cell r="CK521">
            <v>53.346091633055622</v>
          </cell>
          <cell r="CL521">
            <v>71.161760229971676</v>
          </cell>
          <cell r="CM521">
            <v>66.145967259486852</v>
          </cell>
        </row>
        <row r="522">
          <cell r="AI522">
            <v>5.62</v>
          </cell>
          <cell r="AJ522" t="e">
            <v>#REF!</v>
          </cell>
          <cell r="AK522" t="e">
            <v>#REF!</v>
          </cell>
          <cell r="AL522" t="e">
            <v>#REF!</v>
          </cell>
          <cell r="AM522" t="e">
            <v>#REF!</v>
          </cell>
          <cell r="AN522" t="e">
            <v>#REF!</v>
          </cell>
          <cell r="AO522" t="e">
            <v>#REF!</v>
          </cell>
          <cell r="AP522" t="e">
            <v>#REF!</v>
          </cell>
          <cell r="AQ522" t="e">
            <v>#REF!</v>
          </cell>
          <cell r="AR522" t="e">
            <v>#REF!</v>
          </cell>
          <cell r="AS522" t="e">
            <v>#REF!</v>
          </cell>
          <cell r="AT522" t="e">
            <v>#REF!</v>
          </cell>
          <cell r="AU522" t="e">
            <v>#REF!</v>
          </cell>
          <cell r="AV522" t="e">
            <v>#REF!</v>
          </cell>
          <cell r="AW522" t="e">
            <v>#REF!</v>
          </cell>
          <cell r="AX522" t="e">
            <v>#REF!</v>
          </cell>
          <cell r="AY522" t="e">
            <v>#REF!</v>
          </cell>
          <cell r="AZ522" t="e">
            <v>#REF!</v>
          </cell>
          <cell r="BA522" t="e">
            <v>#REF!</v>
          </cell>
          <cell r="BB522" t="e">
            <v>#REF!</v>
          </cell>
          <cell r="BC522" t="e">
            <v>#REF!</v>
          </cell>
          <cell r="BD522" t="e">
            <v>#REF!</v>
          </cell>
          <cell r="BE522" t="e">
            <v>#REF!</v>
          </cell>
          <cell r="BF522" t="e">
            <v>#REF!</v>
          </cell>
          <cell r="BG522">
            <v>28.220952380952379</v>
          </cell>
          <cell r="BH522">
            <v>28.240499999999997</v>
          </cell>
          <cell r="BI522">
            <v>26.614090909090908</v>
          </cell>
          <cell r="BJ522">
            <v>76.834090909090932</v>
          </cell>
          <cell r="BK522">
            <v>80.496666666666655</v>
          </cell>
          <cell r="BL522">
            <v>59.599047619047603</v>
          </cell>
          <cell r="BM522">
            <v>42.102631578947374</v>
          </cell>
          <cell r="BN522">
            <v>49.206002141717924</v>
          </cell>
          <cell r="BO522">
            <v>43.940982783604149</v>
          </cell>
          <cell r="BP522">
            <v>51.096512136086695</v>
          </cell>
          <cell r="BQ522">
            <v>55.756664183955529</v>
          </cell>
          <cell r="BR522">
            <v>58.719045990050866</v>
          </cell>
          <cell r="BS522">
            <v>60.898634353836442</v>
          </cell>
          <cell r="BT522">
            <v>59.911505387568468</v>
          </cell>
          <cell r="BU522">
            <v>53.379579993653998</v>
          </cell>
          <cell r="BV522">
            <v>74.341014504322388</v>
          </cell>
          <cell r="BW522">
            <v>85.316014892064246</v>
          </cell>
          <cell r="BX522">
            <v>76.543035412916936</v>
          </cell>
          <cell r="BY522">
            <v>77.678933340362931</v>
          </cell>
          <cell r="BZ522">
            <v>50.457729868423364</v>
          </cell>
          <cell r="CA522">
            <v>56.762736856374879</v>
          </cell>
          <cell r="CB522">
            <v>55.839829883988351</v>
          </cell>
          <cell r="CC522">
            <v>55.331430929691017</v>
          </cell>
          <cell r="CD522">
            <v>61.631136156008509</v>
          </cell>
          <cell r="CE522">
            <v>60.675490675910972</v>
          </cell>
          <cell r="CF522">
            <v>53.32126840597595</v>
          </cell>
          <cell r="CG522">
            <v>58.993227486010603</v>
          </cell>
          <cell r="CH522">
            <v>63.630827027160187</v>
          </cell>
          <cell r="CI522">
            <v>60.097456181816618</v>
          </cell>
          <cell r="CJ522">
            <v>62.807289869728237</v>
          </cell>
          <cell r="CK522">
            <v>59.490735317471028</v>
          </cell>
          <cell r="CL522">
            <v>67.14238972081202</v>
          </cell>
          <cell r="CM522">
            <v>67.794395998250565</v>
          </cell>
        </row>
        <row r="523">
          <cell r="AI523">
            <v>5.66</v>
          </cell>
          <cell r="AJ523" t="e">
            <v>#REF!</v>
          </cell>
          <cell r="AK523" t="e">
            <v>#REF!</v>
          </cell>
          <cell r="AL523" t="e">
            <v>#REF!</v>
          </cell>
          <cell r="AM523" t="e">
            <v>#REF!</v>
          </cell>
          <cell r="AN523" t="e">
            <v>#REF!</v>
          </cell>
          <cell r="AO523" t="e">
            <v>#REF!</v>
          </cell>
          <cell r="AP523" t="e">
            <v>#REF!</v>
          </cell>
          <cell r="AQ523" t="e">
            <v>#REF!</v>
          </cell>
          <cell r="AR523" t="e">
            <v>#REF!</v>
          </cell>
          <cell r="AS523" t="e">
            <v>#REF!</v>
          </cell>
          <cell r="AT523" t="e">
            <v>#REF!</v>
          </cell>
          <cell r="AU523" t="e">
            <v>#REF!</v>
          </cell>
          <cell r="AV523" t="e">
            <v>#REF!</v>
          </cell>
          <cell r="AW523" t="e">
            <v>#REF!</v>
          </cell>
          <cell r="AX523" t="e">
            <v>#REF!</v>
          </cell>
          <cell r="AY523" t="e">
            <v>#REF!</v>
          </cell>
          <cell r="AZ523" t="e">
            <v>#REF!</v>
          </cell>
          <cell r="BA523" t="e">
            <v>#REF!</v>
          </cell>
          <cell r="BB523" t="e">
            <v>#REF!</v>
          </cell>
          <cell r="BC523" t="e">
            <v>#REF!</v>
          </cell>
          <cell r="BD523" t="e">
            <v>#REF!</v>
          </cell>
          <cell r="BE523" t="e">
            <v>#REF!</v>
          </cell>
          <cell r="BF523" t="e">
            <v>#REF!</v>
          </cell>
          <cell r="BG523">
            <v>27.199545454545447</v>
          </cell>
          <cell r="BH523">
            <v>28.273181818181818</v>
          </cell>
          <cell r="BI523">
            <v>28.636086956521734</v>
          </cell>
          <cell r="BJ523">
            <v>72.721904761904781</v>
          </cell>
          <cell r="BK523">
            <v>65.847999999999999</v>
          </cell>
          <cell r="BL523">
            <v>70.764999999999972</v>
          </cell>
          <cell r="BM523">
            <v>47.479545454545452</v>
          </cell>
          <cell r="BN523">
            <v>49.166804039743617</v>
          </cell>
          <cell r="BO523">
            <v>47.481089847489677</v>
          </cell>
          <cell r="BP523">
            <v>42.019968564266371</v>
          </cell>
          <cell r="BQ523">
            <v>53.343749344439395</v>
          </cell>
          <cell r="BR523">
            <v>50.925662499573967</v>
          </cell>
          <cell r="BS523">
            <v>56.339101862290192</v>
          </cell>
          <cell r="BT523">
            <v>39.226303112376385</v>
          </cell>
          <cell r="BU523">
            <v>30.603045675390046</v>
          </cell>
          <cell r="BV523">
            <v>34.5045949740799</v>
          </cell>
          <cell r="BW523">
            <v>48.915894575566533</v>
          </cell>
          <cell r="BX523">
            <v>16.496199511932076</v>
          </cell>
          <cell r="BY523">
            <v>21.850878310791639</v>
          </cell>
          <cell r="BZ523">
            <v>16.63606652765683</v>
          </cell>
          <cell r="CA523">
            <v>13.974451998673691</v>
          </cell>
          <cell r="CB523">
            <v>14.123716525375407</v>
          </cell>
          <cell r="CC523">
            <v>17.418281216190483</v>
          </cell>
          <cell r="CD523">
            <v>24.021065895313214</v>
          </cell>
          <cell r="CE523">
            <v>23.551974903200108</v>
          </cell>
          <cell r="CF523">
            <v>13.568049938203995</v>
          </cell>
          <cell r="CG523">
            <v>16.780954770150949</v>
          </cell>
          <cell r="CH523">
            <v>22.112846690847277</v>
          </cell>
          <cell r="CI523">
            <v>16.186698285450881</v>
          </cell>
          <cell r="CJ523">
            <v>17.357558879899166</v>
          </cell>
          <cell r="CK523">
            <v>18.618840939862096</v>
          </cell>
          <cell r="CL523">
            <v>23.102767986662471</v>
          </cell>
          <cell r="CM523">
            <v>23.095381021153745</v>
          </cell>
        </row>
        <row r="524">
          <cell r="AI524">
            <v>5.74</v>
          </cell>
          <cell r="AJ524" t="e">
            <v>#REF!</v>
          </cell>
          <cell r="AK524" t="e">
            <v>#REF!</v>
          </cell>
          <cell r="AL524" t="e">
            <v>#REF!</v>
          </cell>
          <cell r="AM524" t="e">
            <v>#REF!</v>
          </cell>
          <cell r="AN524" t="e">
            <v>#REF!</v>
          </cell>
          <cell r="AO524" t="e">
            <v>#REF!</v>
          </cell>
          <cell r="AP524" t="e">
            <v>#REF!</v>
          </cell>
          <cell r="AQ524" t="e">
            <v>#REF!</v>
          </cell>
          <cell r="AR524" t="e">
            <v>#REF!</v>
          </cell>
          <cell r="AS524" t="e">
            <v>#REF!</v>
          </cell>
          <cell r="AT524" t="e">
            <v>#REF!</v>
          </cell>
          <cell r="AU524" t="e">
            <v>#REF!</v>
          </cell>
          <cell r="AV524" t="e">
            <v>#REF!</v>
          </cell>
          <cell r="AW524" t="e">
            <v>#REF!</v>
          </cell>
          <cell r="AX524" t="e">
            <v>#REF!</v>
          </cell>
          <cell r="AY524" t="e">
            <v>#REF!</v>
          </cell>
          <cell r="AZ524" t="e">
            <v>#REF!</v>
          </cell>
          <cell r="BA524" t="e">
            <v>#REF!</v>
          </cell>
          <cell r="BB524" t="e">
            <v>#REF!</v>
          </cell>
          <cell r="BC524" t="e">
            <v>#REF!</v>
          </cell>
          <cell r="BD524" t="e">
            <v>#REF!</v>
          </cell>
          <cell r="BE524" t="e">
            <v>#REF!</v>
          </cell>
          <cell r="BF524" t="e">
            <v>#REF!</v>
          </cell>
          <cell r="BG524">
            <v>27.669999999999987</v>
          </cell>
          <cell r="BH524">
            <v>28.370909090909095</v>
          </cell>
          <cell r="BI524">
            <v>31.99285714285714</v>
          </cell>
          <cell r="BJ524">
            <v>68.714090909090885</v>
          </cell>
          <cell r="BK524">
            <v>72.561304347826066</v>
          </cell>
          <cell r="BL524">
            <v>70.042173913043484</v>
          </cell>
          <cell r="BM524">
            <v>42.649090909090901</v>
          </cell>
          <cell r="BN524">
            <v>49.268600049530924</v>
          </cell>
          <cell r="BO524">
            <v>41.97020509842622</v>
          </cell>
          <cell r="BP524">
            <v>40.291947686763621</v>
          </cell>
          <cell r="BQ524">
            <v>42.235875944197659</v>
          </cell>
          <cell r="BR524">
            <v>39.012938285734798</v>
          </cell>
          <cell r="BS524">
            <v>43.207853236292614</v>
          </cell>
          <cell r="BT524">
            <v>40.986268475229444</v>
          </cell>
          <cell r="BU524">
            <v>40.856233843224395</v>
          </cell>
          <cell r="BV524">
            <v>40.262244688983927</v>
          </cell>
          <cell r="BW524">
            <v>30.718223558428498</v>
          </cell>
          <cell r="BX524">
            <v>9.4743608940188295</v>
          </cell>
          <cell r="BY524">
            <v>15.855140379176127</v>
          </cell>
          <cell r="BZ524">
            <v>16.427535113279372</v>
          </cell>
          <cell r="CA524">
            <v>9.5763221759723649</v>
          </cell>
          <cell r="CB524">
            <v>6.5841886717120328</v>
          </cell>
          <cell r="CC524">
            <v>13.675440065076611</v>
          </cell>
          <cell r="CD524">
            <v>20.130321133947042</v>
          </cell>
          <cell r="CE524">
            <v>16.252021058963702</v>
          </cell>
          <cell r="CF524">
            <v>6.8683069946591067</v>
          </cell>
          <cell r="CG524">
            <v>8.561913961316213</v>
          </cell>
          <cell r="CH524">
            <v>13.006732649692994</v>
          </cell>
          <cell r="CI524">
            <v>8.9527326775130103</v>
          </cell>
          <cell r="CJ524">
            <v>11.275531677296618</v>
          </cell>
          <cell r="CK524">
            <v>13.577238085400925</v>
          </cell>
          <cell r="CL524">
            <v>17.539864874781021</v>
          </cell>
          <cell r="CM524">
            <v>15.746689367448344</v>
          </cell>
        </row>
        <row r="525">
          <cell r="AI525">
            <v>5.68</v>
          </cell>
          <cell r="AJ525" t="e">
            <v>#REF!</v>
          </cell>
          <cell r="AK525" t="e">
            <v>#REF!</v>
          </cell>
          <cell r="AL525" t="e">
            <v>#REF!</v>
          </cell>
          <cell r="AM525" t="e">
            <v>#REF!</v>
          </cell>
          <cell r="AN525" t="e">
            <v>#REF!</v>
          </cell>
          <cell r="AO525" t="e">
            <v>#REF!</v>
          </cell>
          <cell r="AP525" t="e">
            <v>#REF!</v>
          </cell>
          <cell r="AQ525" t="e">
            <v>#REF!</v>
          </cell>
          <cell r="AR525" t="e">
            <v>#REF!</v>
          </cell>
          <cell r="AS525" t="e">
            <v>#REF!</v>
          </cell>
          <cell r="AT525" t="e">
            <v>#REF!</v>
          </cell>
          <cell r="AU525" t="e">
            <v>#REF!</v>
          </cell>
          <cell r="AV525" t="e">
            <v>#REF!</v>
          </cell>
          <cell r="AW525" t="e">
            <v>#REF!</v>
          </cell>
          <cell r="AX525" t="e">
            <v>#REF!</v>
          </cell>
          <cell r="AY525" t="e">
            <v>#REF!</v>
          </cell>
          <cell r="AZ525" t="e">
            <v>#REF!</v>
          </cell>
          <cell r="BA525" t="e">
            <v>#REF!</v>
          </cell>
          <cell r="BB525" t="e">
            <v>#REF!</v>
          </cell>
          <cell r="BC525" t="e">
            <v>#REF!</v>
          </cell>
          <cell r="BD525" t="e">
            <v>#REF!</v>
          </cell>
          <cell r="BE525" t="e">
            <v>#REF!</v>
          </cell>
          <cell r="BF525" t="e">
            <v>#REF!</v>
          </cell>
          <cell r="BG525">
            <v>30.492409413685731</v>
          </cell>
          <cell r="BJ525">
            <v>55.491517990463649</v>
          </cell>
          <cell r="BK525">
            <v>71.351030315825795</v>
          </cell>
          <cell r="BL525">
            <v>66.404038511958419</v>
          </cell>
          <cell r="BM525">
            <v>48.857716772993079</v>
          </cell>
          <cell r="BN525">
            <v>45.418430173919653</v>
          </cell>
          <cell r="BO525">
            <v>40.842492899333187</v>
          </cell>
          <cell r="BP525">
            <v>46.199182334061923</v>
          </cell>
          <cell r="BQ525">
            <v>43.773883736115607</v>
          </cell>
          <cell r="BR525">
            <v>44.943916399939347</v>
          </cell>
          <cell r="BS525">
            <v>47.755521716827502</v>
          </cell>
          <cell r="BT525">
            <v>43.001263975410211</v>
          </cell>
          <cell r="BU525">
            <v>39.311325500892345</v>
          </cell>
          <cell r="BV525">
            <v>55.627997767621245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11">
          <cell r="AJ211">
            <v>26.34878874193549</v>
          </cell>
          <cell r="AK211">
            <v>25.569238779156336</v>
          </cell>
          <cell r="AL211">
            <v>29.155168607940453</v>
          </cell>
          <cell r="AM211">
            <v>40.224778079404466</v>
          </cell>
          <cell r="AN211">
            <v>45.213897841191056</v>
          </cell>
          <cell r="AO211">
            <v>49.735287625310178</v>
          </cell>
          <cell r="AP211">
            <v>53.788947431761798</v>
          </cell>
          <cell r="AQ211">
            <v>44.746167863523588</v>
          </cell>
          <cell r="AR211">
            <v>37.886128191067009</v>
          </cell>
          <cell r="AS211">
            <v>45.369807833746911</v>
          </cell>
          <cell r="AT211">
            <v>58.933977186104222</v>
          </cell>
          <cell r="AU211">
            <v>65.638106866004975</v>
          </cell>
          <cell r="AV211">
            <v>65.949926851116615</v>
          </cell>
          <cell r="AW211">
            <v>71.718596575682383</v>
          </cell>
          <cell r="AX211">
            <v>78.110906270471489</v>
          </cell>
          <cell r="AY211">
            <v>75.928166374689852</v>
          </cell>
          <cell r="AZ211">
            <v>80.449556158808932</v>
          </cell>
          <cell r="BA211">
            <v>77.799086285359834</v>
          </cell>
          <cell r="BB211">
            <v>90.115975697270471</v>
          </cell>
          <cell r="BC211">
            <v>110.69609471464024</v>
          </cell>
          <cell r="BD211">
            <v>126.90390819580428</v>
          </cell>
          <cell r="BE211">
            <v>108.22199999999999</v>
          </cell>
          <cell r="BF211">
            <v>178.18899999999999</v>
          </cell>
          <cell r="BG211">
            <v>129.76599999999999</v>
          </cell>
          <cell r="BH211">
            <v>133.96899999999999</v>
          </cell>
          <cell r="BI211">
            <v>126.68</v>
          </cell>
          <cell r="BJ211">
            <v>173.51300000000001</v>
          </cell>
          <cell r="BK211">
            <v>125.126</v>
          </cell>
          <cell r="BL211">
            <v>144.96899999999999</v>
          </cell>
          <cell r="BM211">
            <v>176.09100000000001</v>
          </cell>
          <cell r="BN211">
            <v>167.654</v>
          </cell>
          <cell r="BO211">
            <v>172.34958836903826</v>
          </cell>
          <cell r="BP211">
            <v>174.38167610859344</v>
          </cell>
          <cell r="BQ211">
            <v>178.96575132573111</v>
          </cell>
          <cell r="BR211">
            <v>186.98136101315498</v>
          </cell>
          <cell r="BS211">
            <v>187.85190883986112</v>
          </cell>
          <cell r="BT211">
            <v>190.78980909934342</v>
          </cell>
          <cell r="BU211">
            <v>190.86369596750097</v>
          </cell>
          <cell r="BV211">
            <v>193.31174672806026</v>
          </cell>
          <cell r="BW211">
            <v>192.88781114513668</v>
          </cell>
          <cell r="BX211">
            <v>197.42094463328075</v>
          </cell>
          <cell r="BY211">
            <v>196.42215195612806</v>
          </cell>
          <cell r="BZ211">
            <v>196.58894251102703</v>
          </cell>
          <cell r="CA211">
            <v>202.28756811877639</v>
          </cell>
          <cell r="CB211">
            <v>202.62547540543525</v>
          </cell>
          <cell r="CC211">
            <v>202.76229387751658</v>
          </cell>
          <cell r="CD211">
            <v>209.31545762647522</v>
          </cell>
          <cell r="CE211">
            <v>209.90267468935099</v>
          </cell>
          <cell r="CF211">
            <v>211.06377677192319</v>
          </cell>
          <cell r="CG211">
            <v>212.03161366500791</v>
          </cell>
          <cell r="CH211">
            <v>213.13090288599551</v>
          </cell>
          <cell r="CI211">
            <v>222.45143265321269</v>
          </cell>
          <cell r="CJ211">
            <v>222.65991762165788</v>
          </cell>
          <cell r="CK211">
            <v>223.0495312538948</v>
          </cell>
          <cell r="CL211">
            <v>223.38694809569645</v>
          </cell>
          <cell r="CM211">
            <v>224.54127334107625</v>
          </cell>
          <cell r="CN211">
            <v>225.72176532000393</v>
          </cell>
        </row>
        <row r="212">
          <cell r="AJ212">
            <v>28.660085999999996</v>
          </cell>
          <cell r="AK212">
            <v>27.812154461538459</v>
          </cell>
          <cell r="AL212">
            <v>31.712639538461534</v>
          </cell>
          <cell r="AM212">
            <v>43.75326738461537</v>
          </cell>
          <cell r="AN212">
            <v>49.180029230769215</v>
          </cell>
          <cell r="AO212">
            <v>54.098032153846141</v>
          </cell>
          <cell r="AP212">
            <v>58.507276153846149</v>
          </cell>
          <cell r="AQ212">
            <v>48.671270307692303</v>
          </cell>
          <cell r="AR212">
            <v>41.209472769230764</v>
          </cell>
          <cell r="AS212">
            <v>49.349615538461549</v>
          </cell>
          <cell r="AT212">
            <v>64.103624307692314</v>
          </cell>
          <cell r="AU212">
            <v>71.395835538461526</v>
          </cell>
          <cell r="AV212">
            <v>71.735008153846138</v>
          </cell>
          <cell r="AW212">
            <v>78.009701538461542</v>
          </cell>
          <cell r="AX212">
            <v>84.962740153846156</v>
          </cell>
          <cell r="AY212">
            <v>82.588531846153842</v>
          </cell>
          <cell r="AZ212">
            <v>87.506534769230754</v>
          </cell>
          <cell r="BA212">
            <v>84.623567538461558</v>
          </cell>
          <cell r="BB212">
            <v>98.020885846153831</v>
          </cell>
          <cell r="BC212">
            <v>120.40627846153845</v>
          </cell>
          <cell r="BD212">
            <v>138.035829967366</v>
          </cell>
          <cell r="BE212">
            <v>135.68899999999999</v>
          </cell>
          <cell r="BF212">
            <v>149.916</v>
          </cell>
          <cell r="BG212">
            <v>147.697</v>
          </cell>
          <cell r="BH212">
            <v>134.38499999999999</v>
          </cell>
          <cell r="BI212">
            <v>146.68</v>
          </cell>
          <cell r="BJ212">
            <v>176.69200000000001</v>
          </cell>
          <cell r="BK212">
            <v>140.696</v>
          </cell>
          <cell r="BL212">
            <v>145.91399999999999</v>
          </cell>
          <cell r="BM212">
            <v>154.91999999999999</v>
          </cell>
          <cell r="BN212">
            <v>178.34800000000001</v>
          </cell>
          <cell r="BO212">
            <v>177.75614561155436</v>
          </cell>
          <cell r="BP212">
            <v>177.25383720504837</v>
          </cell>
          <cell r="BQ212">
            <v>179.91936634050688</v>
          </cell>
          <cell r="BR212">
            <v>186.05430689872318</v>
          </cell>
          <cell r="BS212">
            <v>188.94990157362085</v>
          </cell>
          <cell r="BT212">
            <v>193.84955877854668</v>
          </cell>
          <cell r="BU212">
            <v>193.95701622371669</v>
          </cell>
          <cell r="BV212">
            <v>196.43772612988167</v>
          </cell>
          <cell r="BW212">
            <v>193.97839390731181</v>
          </cell>
          <cell r="BX212">
            <v>198.52768382486866</v>
          </cell>
          <cell r="BY212">
            <v>197.53076466027241</v>
          </cell>
          <cell r="BZ212">
            <v>197.6996046229294</v>
          </cell>
          <cell r="CA212">
            <v>203.42814344272495</v>
          </cell>
          <cell r="CB212">
            <v>203.767167357972</v>
          </cell>
          <cell r="CC212">
            <v>203.90620150560926</v>
          </cell>
          <cell r="CD212">
            <v>210.496210521911</v>
          </cell>
          <cell r="CE212">
            <v>211.08629112181566</v>
          </cell>
          <cell r="CF212">
            <v>212.25396661178203</v>
          </cell>
          <cell r="CG212">
            <v>213.22749908883702</v>
          </cell>
          <cell r="CH212">
            <v>214.33290964187228</v>
          </cell>
          <cell r="CI212">
            <v>223.70593545003416</v>
          </cell>
          <cell r="CJ212">
            <v>223.91562714028106</v>
          </cell>
          <cell r="CK212">
            <v>224.30746997683326</v>
          </cell>
          <cell r="CL212">
            <v>224.64676764626086</v>
          </cell>
          <cell r="CM212">
            <v>225.80759566372643</v>
          </cell>
          <cell r="CN212">
            <v>226.99475364552069</v>
          </cell>
        </row>
        <row r="213">
          <cell r="AJ213">
            <v>31.895902161290319</v>
          </cell>
          <cell r="AK213">
            <v>30.952236416873454</v>
          </cell>
          <cell r="AL213">
            <v>35.293098841191075</v>
          </cell>
          <cell r="AM213">
            <v>48.693152411910653</v>
          </cell>
          <cell r="AN213">
            <v>54.732613176178646</v>
          </cell>
          <cell r="AO213">
            <v>60.205874493796529</v>
          </cell>
          <cell r="AP213">
            <v>65.11293636476428</v>
          </cell>
          <cell r="AQ213">
            <v>54.166413729528543</v>
          </cell>
          <cell r="AR213">
            <v>45.862155178660053</v>
          </cell>
          <cell r="AS213">
            <v>54.921346325062039</v>
          </cell>
          <cell r="AT213">
            <v>71.341130277915639</v>
          </cell>
          <cell r="AU213">
            <v>79.456655679900749</v>
          </cell>
          <cell r="AV213">
            <v>79.834121977667479</v>
          </cell>
          <cell r="AW213">
            <v>86.817248486352355</v>
          </cell>
          <cell r="AX213">
            <v>94.555307590570749</v>
          </cell>
          <cell r="AY213">
            <v>91.913043506203479</v>
          </cell>
          <cell r="AZ213">
            <v>97.38630482382132</v>
          </cell>
          <cell r="BA213">
            <v>94.177841292804004</v>
          </cell>
          <cell r="BB213">
            <v>109.08776005459056</v>
          </cell>
          <cell r="BC213">
            <v>134.00053570719604</v>
          </cell>
          <cell r="BD213">
            <v>153.62052044755248</v>
          </cell>
          <cell r="BE213">
            <v>126.10899999999999</v>
          </cell>
          <cell r="BF213">
            <v>150.87299999999999</v>
          </cell>
          <cell r="BG213">
            <v>136.161</v>
          </cell>
          <cell r="BH213">
            <v>135.572</v>
          </cell>
          <cell r="BI213">
            <v>139.25899999999999</v>
          </cell>
          <cell r="BJ213">
            <v>156.81800000000001</v>
          </cell>
          <cell r="BK213">
            <v>113.003</v>
          </cell>
          <cell r="BL213">
            <v>165.78100000000001</v>
          </cell>
          <cell r="BM213">
            <v>166.01400000000001</v>
          </cell>
          <cell r="BN213">
            <v>162.04500000000002</v>
          </cell>
          <cell r="BO213">
            <v>171.448154372717</v>
          </cell>
          <cell r="BP213">
            <v>167.82765437475652</v>
          </cell>
          <cell r="BQ213">
            <v>174.45861084771846</v>
          </cell>
          <cell r="BR213">
            <v>184.24636030571975</v>
          </cell>
          <cell r="BS213">
            <v>181.76741293771533</v>
          </cell>
          <cell r="BT213">
            <v>186.44267113240448</v>
          </cell>
          <cell r="BU213">
            <v>186.50174420204388</v>
          </cell>
          <cell r="BV213">
            <v>188.96684859839937</v>
          </cell>
          <cell r="BW213">
            <v>188.64705252451787</v>
          </cell>
          <cell r="BX213">
            <v>193.13383147274558</v>
          </cell>
          <cell r="BY213">
            <v>192.16133079080527</v>
          </cell>
          <cell r="BZ213">
            <v>192.33364737548308</v>
          </cell>
          <cell r="CA213">
            <v>198.04340182049083</v>
          </cell>
          <cell r="CB213">
            <v>198.36120867379941</v>
          </cell>
          <cell r="CC213">
            <v>198.49781685172547</v>
          </cell>
          <cell r="CD213">
            <v>203.04894530440509</v>
          </cell>
          <cell r="CE213">
            <v>203.61890870423994</v>
          </cell>
          <cell r="CF213">
            <v>204.74322201030719</v>
          </cell>
          <cell r="CG213">
            <v>205.68288788167646</v>
          </cell>
          <cell r="CH213">
            <v>206.74958856140242</v>
          </cell>
          <cell r="CI213">
            <v>216.11684298045685</v>
          </cell>
          <cell r="CJ213">
            <v>216.31912029755838</v>
          </cell>
          <cell r="CK213">
            <v>216.69783099957974</v>
          </cell>
          <cell r="CL213">
            <v>217.02566774299268</v>
          </cell>
          <cell r="CM213">
            <v>218.14707193045027</v>
          </cell>
          <cell r="CN213">
            <v>219.29392212172206</v>
          </cell>
        </row>
        <row r="214">
          <cell r="AI214">
            <v>29.064904928039702</v>
          </cell>
          <cell r="AJ214">
            <v>30.509123806451605</v>
          </cell>
          <cell r="AK214">
            <v>29.606487007444166</v>
          </cell>
          <cell r="AL214">
            <v>33.758616282878414</v>
          </cell>
          <cell r="AM214">
            <v>46.576058828784106</v>
          </cell>
          <cell r="AN214">
            <v>52.352934342431752</v>
          </cell>
          <cell r="AO214">
            <v>57.588227776674934</v>
          </cell>
          <cell r="AP214">
            <v>62.281939131513646</v>
          </cell>
          <cell r="AQ214">
            <v>51.811352263027295</v>
          </cell>
          <cell r="AR214">
            <v>43.868148431761789</v>
          </cell>
          <cell r="AS214">
            <v>52.533461702233261</v>
          </cell>
          <cell r="AT214">
            <v>68.239342004962793</v>
          </cell>
          <cell r="AU214">
            <v>76.002018476426798</v>
          </cell>
          <cell r="AV214">
            <v>76.363073196029774</v>
          </cell>
          <cell r="AW214">
            <v>83.04258550868488</v>
          </cell>
          <cell r="AX214">
            <v>90.444207260545909</v>
          </cell>
          <cell r="AY214">
            <v>87.916824223325079</v>
          </cell>
          <cell r="AZ214">
            <v>93.152117657568226</v>
          </cell>
          <cell r="BA214">
            <v>90.083152540942947</v>
          </cell>
          <cell r="BB214">
            <v>104.34481396526053</v>
          </cell>
          <cell r="BC214">
            <v>128.17442545905706</v>
          </cell>
          <cell r="BD214">
            <v>146.94136738461543</v>
          </cell>
          <cell r="BE214">
            <v>114.443</v>
          </cell>
          <cell r="BF214">
            <v>139.94300000000001</v>
          </cell>
          <cell r="BG214">
            <v>128.363</v>
          </cell>
          <cell r="BH214">
            <v>115.595</v>
          </cell>
          <cell r="BI214">
            <v>146.78899999999999</v>
          </cell>
          <cell r="BJ214">
            <v>136.767</v>
          </cell>
          <cell r="BK214">
            <v>101.075</v>
          </cell>
          <cell r="BL214">
            <v>142.42400000000001</v>
          </cell>
          <cell r="BM214">
            <v>167.315</v>
          </cell>
          <cell r="BN214">
            <v>172.63495051890794</v>
          </cell>
          <cell r="BO214">
            <v>160.59759001107756</v>
          </cell>
          <cell r="BP214">
            <v>159.62698630033043</v>
          </cell>
          <cell r="BQ214">
            <v>169.57357342169709</v>
          </cell>
          <cell r="BR214">
            <v>180.44954598434234</v>
          </cell>
          <cell r="BS214">
            <v>180.07072312631385</v>
          </cell>
          <cell r="BT214">
            <v>181.4614381649514</v>
          </cell>
          <cell r="BU214">
            <v>181.72681307212073</v>
          </cell>
          <cell r="BV214">
            <v>184.18603535459141</v>
          </cell>
          <cell r="BW214">
            <v>183.60831443000086</v>
          </cell>
          <cell r="BX214">
            <v>188.32046623239208</v>
          </cell>
          <cell r="BY214">
            <v>187.39127672276751</v>
          </cell>
          <cell r="BZ214">
            <v>187.52956846834667</v>
          </cell>
          <cell r="CA214">
            <v>191.16402185174147</v>
          </cell>
          <cell r="CB214">
            <v>193.58475367483948</v>
          </cell>
          <cell r="CC214">
            <v>191.63307649214829</v>
          </cell>
          <cell r="CD214">
            <v>198.32213656422977</v>
          </cell>
          <cell r="CE214">
            <v>198.87717139468995</v>
          </cell>
          <cell r="CF214">
            <v>199.98088957597955</v>
          </cell>
          <cell r="CG214">
            <v>200.89724474608849</v>
          </cell>
          <cell r="CH214">
            <v>201.9378310470513</v>
          </cell>
          <cell r="CI214">
            <v>211.43254883499964</v>
          </cell>
          <cell r="CJ214">
            <v>211.63126485690438</v>
          </cell>
          <cell r="CK214">
            <v>212.00133373424336</v>
          </cell>
          <cell r="CL214">
            <v>212.32190189289025</v>
          </cell>
          <cell r="CM214">
            <v>213.41913551287669</v>
          </cell>
        </row>
        <row r="215">
          <cell r="AI215">
            <v>13.211320421836231</v>
          </cell>
          <cell r="AJ215">
            <v>13.867783548387099</v>
          </cell>
          <cell r="AK215">
            <v>13.457494094292809</v>
          </cell>
          <cell r="AL215">
            <v>15.344825583126553</v>
          </cell>
          <cell r="AM215">
            <v>21.17093583126551</v>
          </cell>
          <cell r="AN215">
            <v>23.796788337468982</v>
          </cell>
          <cell r="AO215">
            <v>26.176467171215883</v>
          </cell>
          <cell r="AP215">
            <v>28.309972332506213</v>
          </cell>
          <cell r="AQ215">
            <v>23.550614665012411</v>
          </cell>
          <cell r="AR215">
            <v>19.940067468982633</v>
          </cell>
          <cell r="AS215">
            <v>23.878846228287852</v>
          </cell>
          <cell r="AT215">
            <v>31.017882729528541</v>
          </cell>
          <cell r="AU215">
            <v>34.546372034739463</v>
          </cell>
          <cell r="AV215">
            <v>34.710487816377167</v>
          </cell>
          <cell r="AW215">
            <v>37.746629776674951</v>
          </cell>
          <cell r="AX215">
            <v>41.111003300248157</v>
          </cell>
          <cell r="AY215">
            <v>39.962192828784133</v>
          </cell>
          <cell r="AZ215">
            <v>42.34187166253102</v>
          </cell>
          <cell r="BA215">
            <v>40.946887518610438</v>
          </cell>
          <cell r="BB215">
            <v>47.429460893300245</v>
          </cell>
          <cell r="BC215">
            <v>58.261102481389592</v>
          </cell>
          <cell r="BD215">
            <v>66.791530629370655</v>
          </cell>
          <cell r="BE215">
            <v>123.498</v>
          </cell>
          <cell r="BF215">
            <v>156.376</v>
          </cell>
          <cell r="BG215">
            <v>139.99799999999999</v>
          </cell>
          <cell r="BH215">
            <v>122.64100000000001</v>
          </cell>
          <cell r="BI215">
            <v>160.87200000000001</v>
          </cell>
          <cell r="BJ215">
            <v>172.196</v>
          </cell>
          <cell r="BK215">
            <v>124.42700000000001</v>
          </cell>
          <cell r="BL215">
            <v>154.876</v>
          </cell>
          <cell r="BM215">
            <v>150.16499999999999</v>
          </cell>
          <cell r="BN215">
            <v>157.92726126444509</v>
          </cell>
          <cell r="BO215">
            <v>176.95008055510749</v>
          </cell>
          <cell r="BP215">
            <v>170.0390317593795</v>
          </cell>
          <cell r="BQ215">
            <v>174.75907888777232</v>
          </cell>
          <cell r="BR215">
            <v>182.03355417878475</v>
          </cell>
          <cell r="BS215">
            <v>179.56801066312866</v>
          </cell>
          <cell r="BT215">
            <v>184.96714763921827</v>
          </cell>
          <cell r="BU215">
            <v>187.15386116351954</v>
          </cell>
          <cell r="BV215">
            <v>187.67143223268522</v>
          </cell>
          <cell r="BW215">
            <v>187.06318400133671</v>
          </cell>
          <cell r="BX215">
            <v>191.71274680180414</v>
          </cell>
          <cell r="BY215">
            <v>190.75755787382363</v>
          </cell>
          <cell r="BZ215">
            <v>190.91715186766055</v>
          </cell>
          <cell r="CA215">
            <v>196.59140352562486</v>
          </cell>
          <cell r="CB215">
            <v>196.93758320639259</v>
          </cell>
          <cell r="CC215">
            <v>197.07139334081921</v>
          </cell>
          <cell r="CD215">
            <v>201.62727085981794</v>
          </cell>
          <cell r="CE215">
            <v>202.19004418949962</v>
          </cell>
          <cell r="CF215">
            <v>203.31184536644975</v>
          </cell>
          <cell r="CG215">
            <v>204.24376156535635</v>
          </cell>
          <cell r="CH215">
            <v>205.30199120386757</v>
          </cell>
          <cell r="CI215">
            <v>214.68869784376986</v>
          </cell>
          <cell r="CJ215">
            <v>214.89047381782919</v>
          </cell>
          <cell r="CK215">
            <v>215.26632068403052</v>
          </cell>
          <cell r="CL215">
            <v>215.59184653118709</v>
          </cell>
          <cell r="CM215">
            <v>216.7059234309267</v>
          </cell>
        </row>
        <row r="216">
          <cell r="AI216">
            <v>29.064904928039702</v>
          </cell>
          <cell r="AJ216">
            <v>30.509123806451605</v>
          </cell>
          <cell r="AK216">
            <v>29.606487007444166</v>
          </cell>
          <cell r="AL216">
            <v>33.758616282878414</v>
          </cell>
          <cell r="AM216">
            <v>46.576058828784106</v>
          </cell>
          <cell r="AN216">
            <v>52.352934342431752</v>
          </cell>
          <cell r="AO216">
            <v>57.588227776674934</v>
          </cell>
          <cell r="AP216">
            <v>62.281939131513646</v>
          </cell>
          <cell r="AQ216">
            <v>51.811352263027295</v>
          </cell>
          <cell r="AR216">
            <v>43.868148431761789</v>
          </cell>
          <cell r="AS216">
            <v>52.533461702233261</v>
          </cell>
          <cell r="AT216">
            <v>68.239342004962793</v>
          </cell>
          <cell r="AU216">
            <v>76.002018476426798</v>
          </cell>
          <cell r="AV216">
            <v>76.363073196029774</v>
          </cell>
          <cell r="AW216">
            <v>83.04258550868488</v>
          </cell>
          <cell r="AX216">
            <v>90.444207260545909</v>
          </cell>
          <cell r="AY216">
            <v>87.916824223325079</v>
          </cell>
          <cell r="AZ216">
            <v>93.152117657568226</v>
          </cell>
          <cell r="BA216">
            <v>90.083152540942947</v>
          </cell>
          <cell r="BB216">
            <v>104.34481396526053</v>
          </cell>
          <cell r="BC216">
            <v>128.17442545905706</v>
          </cell>
          <cell r="BD216">
            <v>146.94136738461543</v>
          </cell>
          <cell r="BE216">
            <v>119.82599999999999</v>
          </cell>
          <cell r="BF216">
            <v>141.28200000000001</v>
          </cell>
          <cell r="BG216">
            <v>131.21600000000001</v>
          </cell>
          <cell r="BH216">
            <v>138.93299999999999</v>
          </cell>
          <cell r="BI216">
            <v>146.98699999999999</v>
          </cell>
          <cell r="BJ216">
            <v>160.03</v>
          </cell>
          <cell r="BK216">
            <v>113.295</v>
          </cell>
          <cell r="BL216">
            <v>136.571</v>
          </cell>
          <cell r="BM216">
            <v>152.9</v>
          </cell>
          <cell r="BN216">
            <v>154.86336757348141</v>
          </cell>
          <cell r="BO216">
            <v>166.23025029644924</v>
          </cell>
          <cell r="BP216">
            <v>160.6992009756398</v>
          </cell>
          <cell r="BQ216">
            <v>166.72116817937155</v>
          </cell>
          <cell r="BR216">
            <v>173.33057020030307</v>
          </cell>
          <cell r="BS216">
            <v>173.00276198364031</v>
          </cell>
          <cell r="BT216">
            <v>176.40810874547859</v>
          </cell>
          <cell r="BU216">
            <v>178.76310858396039</v>
          </cell>
          <cell r="BV216">
            <v>179.13212083779848</v>
          </cell>
          <cell r="BW216">
            <v>178.57315963926078</v>
          </cell>
          <cell r="BX216">
            <v>183.24277894391258</v>
          </cell>
          <cell r="BY216">
            <v>182.34516889558259</v>
          </cell>
          <cell r="BZ216">
            <v>182.47700260377005</v>
          </cell>
          <cell r="CA216">
            <v>188.12653546080318</v>
          </cell>
          <cell r="CB216">
            <v>186.38887275029441</v>
          </cell>
          <cell r="CC216">
            <v>188.58860202729164</v>
          </cell>
          <cell r="CD216">
            <v>193.1615722336438</v>
          </cell>
          <cell r="CE216">
            <v>193.70221143141936</v>
          </cell>
          <cell r="CF216">
            <v>194.77720626903545</v>
          </cell>
          <cell r="CG216">
            <v>195.66983162786485</v>
          </cell>
          <cell r="CH216">
            <v>196.6832453088667</v>
          </cell>
          <cell r="CI216">
            <v>206.10985339923107</v>
          </cell>
          <cell r="CJ216">
            <v>206.30357485383635</v>
          </cell>
          <cell r="CK216">
            <v>206.66433842410453</v>
          </cell>
          <cell r="CL216">
            <v>206.97682018200391</v>
          </cell>
          <cell r="CM216">
            <v>208.04643634287731</v>
          </cell>
        </row>
        <row r="217">
          <cell r="AI217">
            <v>30.826414317617868</v>
          </cell>
          <cell r="AJ217">
            <v>32.358161612903224</v>
          </cell>
          <cell r="AK217">
            <v>31.40081955334988</v>
          </cell>
          <cell r="AL217">
            <v>35.80459302729529</v>
          </cell>
          <cell r="AM217">
            <v>49.398850272952849</v>
          </cell>
          <cell r="AN217">
            <v>55.525839454094275</v>
          </cell>
          <cell r="AO217">
            <v>61.078423399503713</v>
          </cell>
          <cell r="AP217">
            <v>66.056602109181142</v>
          </cell>
          <cell r="AQ217">
            <v>54.951434218362287</v>
          </cell>
          <cell r="AR217">
            <v>46.526824094292806</v>
          </cell>
          <cell r="AS217">
            <v>55.71730786600498</v>
          </cell>
          <cell r="AT217">
            <v>72.375059702233258</v>
          </cell>
          <cell r="AU217">
            <v>80.608201414392056</v>
          </cell>
          <cell r="AV217">
            <v>80.991138238213381</v>
          </cell>
          <cell r="AW217">
            <v>88.07546947890819</v>
          </cell>
          <cell r="AX217">
            <v>95.925674367245662</v>
          </cell>
          <cell r="AY217">
            <v>93.245116600496303</v>
          </cell>
          <cell r="AZ217">
            <v>98.797700545905684</v>
          </cell>
          <cell r="BA217">
            <v>95.542737543424323</v>
          </cell>
          <cell r="BB217">
            <v>110.66874208436722</v>
          </cell>
          <cell r="BC217">
            <v>135.94257245657568</v>
          </cell>
          <cell r="BD217">
            <v>96.025999999999996</v>
          </cell>
          <cell r="BE217">
            <v>112.422</v>
          </cell>
          <cell r="BF217">
            <v>93.072000000000003</v>
          </cell>
          <cell r="BG217">
            <v>115.066</v>
          </cell>
          <cell r="BH217">
            <v>113.16500000000001</v>
          </cell>
          <cell r="BI217">
            <v>161.642</v>
          </cell>
          <cell r="BJ217">
            <v>133.761</v>
          </cell>
          <cell r="BK217">
            <v>76.861000000000004</v>
          </cell>
          <cell r="BL217">
            <v>114.408</v>
          </cell>
          <cell r="BM217">
            <v>116.521</v>
          </cell>
          <cell r="BN217">
            <v>111.53509795688068</v>
          </cell>
          <cell r="BO217">
            <v>138.8828435647944</v>
          </cell>
          <cell r="BP217">
            <v>123.25664498158481</v>
          </cell>
          <cell r="BQ217">
            <v>128.93318487299857</v>
          </cell>
          <cell r="BR217">
            <v>133.71732537252416</v>
          </cell>
          <cell r="BS217">
            <v>133.4459331122498</v>
          </cell>
          <cell r="BT217">
            <v>141.20402987669763</v>
          </cell>
          <cell r="BU217">
            <v>141.38553833227991</v>
          </cell>
          <cell r="BV217">
            <v>139.64773811410723</v>
          </cell>
          <cell r="BW217">
            <v>145.43636926934784</v>
          </cell>
          <cell r="BX217">
            <v>143.79559025877657</v>
          </cell>
          <cell r="BY217">
            <v>143.08640644564318</v>
          </cell>
          <cell r="BZ217">
            <v>145.27406796347893</v>
          </cell>
          <cell r="CA217">
            <v>148.56984612294343</v>
          </cell>
          <cell r="CB217">
            <v>146.73562962980233</v>
          </cell>
          <cell r="CC217">
            <v>148.93356263889822</v>
          </cell>
          <cell r="CD217">
            <v>149.26571645428879</v>
          </cell>
          <cell r="CE217">
            <v>149.68281460987072</v>
          </cell>
          <cell r="CF217">
            <v>150.51336722003148</v>
          </cell>
          <cell r="CG217">
            <v>151.20326760517491</v>
          </cell>
          <cell r="CH217">
            <v>151.98652957604767</v>
          </cell>
          <cell r="CI217">
            <v>165.60737790370126</v>
          </cell>
          <cell r="CJ217">
            <v>163.61026223853102</v>
          </cell>
          <cell r="CK217">
            <v>163.89640429897975</v>
          </cell>
          <cell r="CL217">
            <v>164.14423111691121</v>
          </cell>
          <cell r="CM217">
            <v>164.99247057915136</v>
          </cell>
        </row>
        <row r="218">
          <cell r="AI218">
            <v>22.018867369727044</v>
          </cell>
          <cell r="AJ218">
            <v>23.112972580645156</v>
          </cell>
          <cell r="AK218">
            <v>22.429156823821341</v>
          </cell>
          <cell r="AL218">
            <v>25.574709305210913</v>
          </cell>
          <cell r="AM218">
            <v>35.284893052109169</v>
          </cell>
          <cell r="AN218">
            <v>39.661313895781618</v>
          </cell>
          <cell r="AO218">
            <v>43.627445285359784</v>
          </cell>
          <cell r="AP218">
            <v>47.183287220843667</v>
          </cell>
          <cell r="AQ218">
            <v>39.251024441687335</v>
          </cell>
          <cell r="AR218">
            <v>33.233445781637712</v>
          </cell>
          <cell r="AS218">
            <v>39.798077047146407</v>
          </cell>
          <cell r="AT218">
            <v>51.696471215880891</v>
          </cell>
          <cell r="AU218">
            <v>57.577286724565752</v>
          </cell>
          <cell r="AV218">
            <v>57.85081302729526</v>
          </cell>
          <cell r="AW218">
            <v>62.911049627791556</v>
          </cell>
          <cell r="AX218">
            <v>68.518338833746895</v>
          </cell>
          <cell r="AY218">
            <v>66.603654714640186</v>
          </cell>
          <cell r="AZ218">
            <v>70.569786104218338</v>
          </cell>
          <cell r="BA218">
            <v>68.244812531017374</v>
          </cell>
          <cell r="BB218">
            <v>79.049101488833728</v>
          </cell>
          <cell r="BC218">
            <v>97.101837468982609</v>
          </cell>
          <cell r="BD218">
            <v>88.703999999999994</v>
          </cell>
          <cell r="BE218">
            <v>174.761</v>
          </cell>
          <cell r="BF218">
            <v>137.52799999999999</v>
          </cell>
          <cell r="BG218">
            <v>129.66300000000001</v>
          </cell>
          <cell r="BH218">
            <v>108.33199999999999</v>
          </cell>
          <cell r="BI218">
            <v>105.607</v>
          </cell>
          <cell r="BJ218">
            <v>134.53100000000001</v>
          </cell>
          <cell r="BK218">
            <v>119.992</v>
          </cell>
          <cell r="BL218">
            <v>127.999</v>
          </cell>
          <cell r="BM218">
            <v>158.67400000000001</v>
          </cell>
          <cell r="BN218">
            <v>137.79559402055281</v>
          </cell>
          <cell r="BO218">
            <v>145.97857155541632</v>
          </cell>
          <cell r="BP218">
            <v>156.48175242908485</v>
          </cell>
          <cell r="BQ218">
            <v>155.9629276629671</v>
          </cell>
          <cell r="BR218">
            <v>158.94815216738243</v>
          </cell>
          <cell r="BS218">
            <v>164.93312848137353</v>
          </cell>
          <cell r="BT218">
            <v>159.93159082766223</v>
          </cell>
          <cell r="BU218">
            <v>164.3592642802007</v>
          </cell>
          <cell r="BV218">
            <v>164.78894214325831</v>
          </cell>
          <cell r="BW218">
            <v>166.3350112905963</v>
          </cell>
          <cell r="BX218">
            <v>166.81910983768216</v>
          </cell>
          <cell r="BY218">
            <v>166.01105413840463</v>
          </cell>
          <cell r="BZ218">
            <v>168.22071980462346</v>
          </cell>
          <cell r="CA218">
            <v>171.70430811462469</v>
          </cell>
          <cell r="CB218">
            <v>169.90715280103899</v>
          </cell>
          <cell r="CC218">
            <v>176.32344372885223</v>
          </cell>
          <cell r="CD218">
            <v>176.71656270254041</v>
          </cell>
          <cell r="CE218">
            <v>177.20954372987882</v>
          </cell>
          <cell r="CF218">
            <v>178.19275504026621</v>
          </cell>
          <cell r="CG218">
            <v>179.01003341665202</v>
          </cell>
          <cell r="CH218">
            <v>186.3635367234958</v>
          </cell>
          <cell r="CI218">
            <v>189.39401282409432</v>
          </cell>
          <cell r="CJ218">
            <v>189.57206222957728</v>
          </cell>
          <cell r="CK218">
            <v>189.9036830944348</v>
          </cell>
          <cell r="CL218">
            <v>190.19079443727418</v>
          </cell>
          <cell r="CM218">
            <v>191.17361666652849</v>
          </cell>
        </row>
        <row r="219">
          <cell r="AI219">
            <v>30.826414317617868</v>
          </cell>
          <cell r="AJ219">
            <v>32.358161612903224</v>
          </cell>
          <cell r="AK219">
            <v>31.40081955334988</v>
          </cell>
          <cell r="AL219">
            <v>35.80459302729529</v>
          </cell>
          <cell r="AM219">
            <v>49.398850272952849</v>
          </cell>
          <cell r="AN219">
            <v>55.525839454094275</v>
          </cell>
          <cell r="AO219">
            <v>61.078423399503713</v>
          </cell>
          <cell r="AP219">
            <v>66.056602109181142</v>
          </cell>
          <cell r="AQ219">
            <v>54.951434218362287</v>
          </cell>
          <cell r="AR219">
            <v>46.526824094292806</v>
          </cell>
          <cell r="AS219">
            <v>55.71730786600498</v>
          </cell>
          <cell r="AT219">
            <v>72.375059702233258</v>
          </cell>
          <cell r="AU219">
            <v>80.608201414392056</v>
          </cell>
          <cell r="AV219">
            <v>80.991138238213381</v>
          </cell>
          <cell r="AW219">
            <v>88.07546947890819</v>
          </cell>
          <cell r="AX219">
            <v>95.925674367245662</v>
          </cell>
          <cell r="AY219">
            <v>93.245116600496303</v>
          </cell>
          <cell r="AZ219">
            <v>98.797700545905684</v>
          </cell>
          <cell r="BA219">
            <v>95.542737543424323</v>
          </cell>
          <cell r="BB219">
            <v>110.66874208436722</v>
          </cell>
          <cell r="BC219">
            <v>135.94257245657568</v>
          </cell>
          <cell r="BD219">
            <v>134.93199999999999</v>
          </cell>
          <cell r="BE219">
            <v>162.239</v>
          </cell>
          <cell r="BF219">
            <v>135.46299999999999</v>
          </cell>
          <cell r="BG219">
            <v>149.71600000000001</v>
          </cell>
          <cell r="BH219">
            <v>121.974</v>
          </cell>
          <cell r="BI219">
            <v>173.23400000000001</v>
          </cell>
          <cell r="BJ219">
            <v>124.634</v>
          </cell>
          <cell r="BK219">
            <v>119.152</v>
          </cell>
          <cell r="BL219">
            <v>163.41499999999999</v>
          </cell>
          <cell r="BM219">
            <v>183.16200000000001</v>
          </cell>
          <cell r="BN219">
            <v>163.49160517516736</v>
          </cell>
          <cell r="BO219">
            <v>169.3841585223027</v>
          </cell>
          <cell r="BP219">
            <v>171.48877188899084</v>
          </cell>
          <cell r="BQ219">
            <v>181.65941286730236</v>
          </cell>
          <cell r="BR219">
            <v>186.75988560964154</v>
          </cell>
          <cell r="BS219">
            <v>188.11997683391152</v>
          </cell>
          <cell r="BT219">
            <v>185.26446434267814</v>
          </cell>
          <cell r="BU219">
            <v>189.73418066010075</v>
          </cell>
          <cell r="BV219">
            <v>188.14012962259827</v>
          </cell>
          <cell r="BW219">
            <v>193.60096865965065</v>
          </cell>
          <cell r="BX219">
            <v>194.20073965744646</v>
          </cell>
          <cell r="BY219">
            <v>191.23278761348806</v>
          </cell>
          <cell r="BZ219">
            <v>195.44572619096189</v>
          </cell>
          <cell r="CA219">
            <v>197.05659886634993</v>
          </cell>
          <cell r="CB219">
            <v>197.40847888266157</v>
          </cell>
          <cell r="CC219">
            <v>203.7196914337606</v>
          </cell>
          <cell r="CD219">
            <v>204.17150803655414</v>
          </cell>
          <cell r="CE219">
            <v>204.74125374115374</v>
          </cell>
          <cell r="CF219">
            <v>205.87839145978919</v>
          </cell>
          <cell r="CG219">
            <v>206.82228119453063</v>
          </cell>
          <cell r="CH219">
            <v>216.29287517289868</v>
          </cell>
          <cell r="CI219">
            <v>217.31235799953774</v>
          </cell>
          <cell r="CJ219">
            <v>217.51681211603443</v>
          </cell>
          <cell r="CK219">
            <v>217.89720882627319</v>
          </cell>
          <cell r="CL219">
            <v>218.2266037974386</v>
          </cell>
          <cell r="CM219">
            <v>219.35434675093441</v>
          </cell>
        </row>
        <row r="220">
          <cell r="AI220">
            <v>41.395470655086847</v>
          </cell>
          <cell r="AJ220">
            <v>43.452388451612897</v>
          </cell>
          <cell r="AK220">
            <v>42.166814828784119</v>
          </cell>
          <cell r="AL220">
            <v>48.080453493796526</v>
          </cell>
          <cell r="AM220">
            <v>66.33559893796523</v>
          </cell>
          <cell r="AN220">
            <v>74.563270124069462</v>
          </cell>
          <cell r="AO220">
            <v>82.01959713647642</v>
          </cell>
          <cell r="AP220">
            <v>88.704579975186107</v>
          </cell>
          <cell r="AQ220">
            <v>73.791925950372203</v>
          </cell>
          <cell r="AR220">
            <v>62.47887806947891</v>
          </cell>
          <cell r="AS220">
            <v>74.820384848635257</v>
          </cell>
          <cell r="AT220">
            <v>97.189365885856091</v>
          </cell>
          <cell r="AU220">
            <v>108.24529904218362</v>
          </cell>
          <cell r="AV220">
            <v>108.75952849131511</v>
          </cell>
          <cell r="AW220">
            <v>118.27277330024813</v>
          </cell>
          <cell r="AX220">
            <v>128.8144770074442</v>
          </cell>
          <cell r="AY220">
            <v>125.2148708635236</v>
          </cell>
          <cell r="AZ220">
            <v>132.67119787593052</v>
          </cell>
          <cell r="BA220">
            <v>128.30024755831269</v>
          </cell>
          <cell r="BB220">
            <v>148.61231079900745</v>
          </cell>
          <cell r="BC220">
            <v>182.55145444168738</v>
          </cell>
          <cell r="BD220">
            <v>120.026</v>
          </cell>
          <cell r="BE220">
            <v>146.06</v>
          </cell>
          <cell r="BF220">
            <v>126.81</v>
          </cell>
          <cell r="BG220">
            <v>139.345</v>
          </cell>
          <cell r="BH220">
            <v>126.47499999999999</v>
          </cell>
          <cell r="BI220">
            <v>171.51900000000001</v>
          </cell>
          <cell r="BJ220">
            <v>103.99</v>
          </cell>
          <cell r="BK220">
            <v>136.548</v>
          </cell>
          <cell r="BL220">
            <v>154.31800000000001</v>
          </cell>
          <cell r="BM220">
            <v>163.47</v>
          </cell>
          <cell r="BN220">
            <v>161.79499896695606</v>
          </cell>
          <cell r="BO220">
            <v>164.69499633955795</v>
          </cell>
          <cell r="BP220">
            <v>167.27921388699346</v>
          </cell>
          <cell r="BQ220">
            <v>177.1406737219128</v>
          </cell>
          <cell r="BR220">
            <v>175.39125189791497</v>
          </cell>
          <cell r="BS220">
            <v>181.66732117117073</v>
          </cell>
          <cell r="BT220">
            <v>178.75345215825587</v>
          </cell>
          <cell r="BU220">
            <v>181.06695275177628</v>
          </cell>
          <cell r="BV220">
            <v>181.45823684219499</v>
          </cell>
          <cell r="BW220">
            <v>185.10072039185491</v>
          </cell>
          <cell r="BX220">
            <v>185.64454485129002</v>
          </cell>
          <cell r="BY220">
            <v>184.72662193325613</v>
          </cell>
          <cell r="BZ220">
            <v>186.94521293881425</v>
          </cell>
          <cell r="CA220">
            <v>188.50268575299037</v>
          </cell>
          <cell r="CB220">
            <v>188.83073014310352</v>
          </cell>
          <cell r="CC220">
            <v>195.25808702838674</v>
          </cell>
          <cell r="CD220">
            <v>195.69373954464859</v>
          </cell>
          <cell r="CE220">
            <v>196.2417447247133</v>
          </cell>
          <cell r="CF220">
            <v>197.32975287463952</v>
          </cell>
          <cell r="CG220">
            <v>198.23427461222897</v>
          </cell>
          <cell r="CH220">
            <v>207.83167157467113</v>
          </cell>
          <cell r="CI220">
            <v>208.81138789029592</v>
          </cell>
          <cell r="CJ220">
            <v>209.00748315841864</v>
          </cell>
          <cell r="CK220">
            <v>209.37305163284486</v>
          </cell>
          <cell r="CL220">
            <v>209.68967281501327</v>
          </cell>
          <cell r="CM220">
            <v>210.77327861104808</v>
          </cell>
        </row>
        <row r="221">
          <cell r="AI221">
            <v>40.955093307692323</v>
          </cell>
          <cell r="AJ221">
            <v>42.99012900000001</v>
          </cell>
          <cell r="AK221">
            <v>41.718231692307711</v>
          </cell>
          <cell r="AL221">
            <v>47.568959307692325</v>
          </cell>
          <cell r="AM221">
            <v>65.62990107692309</v>
          </cell>
          <cell r="AN221">
            <v>73.770043846153854</v>
          </cell>
          <cell r="AO221">
            <v>81.147048230769244</v>
          </cell>
          <cell r="AP221">
            <v>87.760914230769274</v>
          </cell>
          <cell r="AQ221">
            <v>73.006905461538494</v>
          </cell>
          <cell r="AR221">
            <v>61.814209153846186</v>
          </cell>
          <cell r="AS221">
            <v>74.024423307692359</v>
          </cell>
          <cell r="AT221">
            <v>96.1554364615385</v>
          </cell>
          <cell r="AU221">
            <v>107.09375330769235</v>
          </cell>
          <cell r="AV221">
            <v>107.60251223076925</v>
          </cell>
          <cell r="AW221">
            <v>117.01455230769236</v>
          </cell>
          <cell r="AX221">
            <v>127.4441102307693</v>
          </cell>
          <cell r="AY221">
            <v>123.88279776923083</v>
          </cell>
          <cell r="AZ221">
            <v>131.25980215384618</v>
          </cell>
          <cell r="BA221">
            <v>126.93535130769237</v>
          </cell>
          <cell r="BB221">
            <v>147.03132876923081</v>
          </cell>
          <cell r="BC221">
            <v>180.60941769230777</v>
          </cell>
          <cell r="BD221">
            <v>157.24700000000001</v>
          </cell>
          <cell r="BE221">
            <v>183.01900000000001</v>
          </cell>
          <cell r="BF221">
            <v>165.119</v>
          </cell>
          <cell r="BG221">
            <v>151.517</v>
          </cell>
          <cell r="BH221">
            <v>134.20699999999999</v>
          </cell>
          <cell r="BI221">
            <v>174.43600000000001</v>
          </cell>
          <cell r="BJ221">
            <v>135.81200000000001</v>
          </cell>
          <cell r="BK221">
            <v>148.45699999999999</v>
          </cell>
          <cell r="BL221">
            <v>170.45</v>
          </cell>
          <cell r="BM221">
            <v>161.45099999999999</v>
          </cell>
          <cell r="BN221">
            <v>177.33254803303504</v>
          </cell>
          <cell r="BO221">
            <v>178.69239008538943</v>
          </cell>
          <cell r="BP221">
            <v>182.54755016204135</v>
          </cell>
          <cell r="BQ221">
            <v>188.0711686557693</v>
          </cell>
          <cell r="BR221">
            <v>189.06247541360406</v>
          </cell>
          <cell r="BS221">
            <v>192.75785386181747</v>
          </cell>
          <cell r="BT221">
            <v>193.83812545762274</v>
          </cell>
          <cell r="BU221">
            <v>196.1831074828402</v>
          </cell>
          <cell r="BV221">
            <v>196.67831103503482</v>
          </cell>
          <cell r="BW221">
            <v>198.0634505205955</v>
          </cell>
          <cell r="BX221">
            <v>198.64871440041773</v>
          </cell>
          <cell r="BY221">
            <v>197.68414518098476</v>
          </cell>
          <cell r="BZ221">
            <v>201.877168546196</v>
          </cell>
          <cell r="CA221">
            <v>203.5458852911261</v>
          </cell>
          <cell r="CB221">
            <v>203.90328795721774</v>
          </cell>
          <cell r="CC221">
            <v>210.16675203580371</v>
          </cell>
          <cell r="CD221">
            <v>210.6349975977077</v>
          </cell>
          <cell r="CE221">
            <v>211.2229128766769</v>
          </cell>
          <cell r="CF221">
            <v>212.39496145722802</v>
          </cell>
          <cell r="CG221">
            <v>213.36894196498056</v>
          </cell>
          <cell r="CH221">
            <v>222.80315153892275</v>
          </cell>
          <cell r="CI221">
            <v>223.85321781112469</v>
          </cell>
          <cell r="CJ221">
            <v>224.06366344730142</v>
          </cell>
          <cell r="CK221">
            <v>224.45559070305157</v>
          </cell>
          <cell r="CL221">
            <v>224.79494578949001</v>
          </cell>
          <cell r="CM221">
            <v>225.95659782693085</v>
          </cell>
        </row>
        <row r="222">
          <cell r="AI222">
            <v>354.94414200000006</v>
          </cell>
          <cell r="AJ222">
            <v>372.581118</v>
          </cell>
          <cell r="AK222">
            <v>361.55800800000009</v>
          </cell>
          <cell r="AL222">
            <v>412.26431400000001</v>
          </cell>
          <cell r="AM222">
            <v>568.79247599999997</v>
          </cell>
          <cell r="AN222">
            <v>639.34037999999987</v>
          </cell>
          <cell r="AO222">
            <v>703.27441799999986</v>
          </cell>
          <cell r="AP222">
            <v>760.59458999999993</v>
          </cell>
          <cell r="AQ222">
            <v>632.72651400000007</v>
          </cell>
          <cell r="AR222">
            <v>535.72314600000004</v>
          </cell>
          <cell r="AS222">
            <v>641.54500200000018</v>
          </cell>
          <cell r="AT222">
            <v>833.34711600000014</v>
          </cell>
          <cell r="AU222">
            <v>928.14586200000008</v>
          </cell>
          <cell r="AV222">
            <v>932.55510599999968</v>
          </cell>
          <cell r="AW222">
            <v>1014.12612</v>
          </cell>
          <cell r="AX222">
            <v>1104.5156220000001</v>
          </cell>
          <cell r="AY222">
            <v>1073.6509140000003</v>
          </cell>
          <cell r="AZ222">
            <v>1137.5849519999997</v>
          </cell>
          <cell r="BA222">
            <v>1100.1063780000002</v>
          </cell>
          <cell r="BB222">
            <v>1274.2715159999998</v>
          </cell>
          <cell r="BC222">
            <v>1565.28162</v>
          </cell>
          <cell r="BD222">
            <v>1552.0538880000004</v>
          </cell>
          <cell r="BE222">
            <v>1587.894</v>
          </cell>
          <cell r="BF222">
            <v>1751.6469999999997</v>
          </cell>
          <cell r="BG222">
            <v>1654.4920000000002</v>
          </cell>
          <cell r="BH222">
            <v>1531.4369999999999</v>
          </cell>
          <cell r="BI222">
            <v>1811.1989999999998</v>
          </cell>
          <cell r="BJ222">
            <v>1787.7820000000002</v>
          </cell>
          <cell r="BK222">
            <v>1475.2470000000003</v>
          </cell>
          <cell r="BL222">
            <v>1792.4069999999997</v>
          </cell>
          <cell r="BM222">
            <v>1916.02</v>
          </cell>
          <cell r="BN222">
            <v>1916.7104235094266</v>
          </cell>
          <cell r="BO222">
            <v>2014.9295898037765</v>
          </cell>
          <cell r="BP222">
            <v>1997.9362569240832</v>
          </cell>
          <cell r="BQ222">
            <v>2068.6871273331421</v>
          </cell>
          <cell r="BR222">
            <v>2133.7355247684081</v>
          </cell>
          <cell r="BS222">
            <v>2150.3223828306691</v>
          </cell>
          <cell r="BT222">
            <v>2175.7427445400567</v>
          </cell>
          <cell r="BU222">
            <v>2196.4732857307536</v>
          </cell>
          <cell r="BV222">
            <v>2207.7772195262423</v>
          </cell>
          <cell r="BW222">
            <v>2218.2476915931165</v>
          </cell>
          <cell r="BX222">
            <v>2250.925083737407</v>
          </cell>
          <cell r="BY222">
            <v>2237.7369739316864</v>
          </cell>
          <cell r="BZ222">
            <v>2253.8963780792719</v>
          </cell>
          <cell r="CA222">
            <v>2303.4099129823371</v>
          </cell>
          <cell r="CB222">
            <v>2303.1865427983143</v>
          </cell>
          <cell r="CC222">
            <v>2331.7432362920313</v>
          </cell>
          <cell r="CD222">
            <v>2373.9197962595099</v>
          </cell>
          <cell r="CE222">
            <v>2380.5617682495558</v>
          </cell>
          <cell r="CF222">
            <v>2393.7530152686591</v>
          </cell>
          <cell r="CG222">
            <v>2404.7292221749904</v>
          </cell>
          <cell r="CH222">
            <v>2448.9154919916582</v>
          </cell>
          <cell r="CI222">
            <v>2536.4403224019247</v>
          </cell>
          <cell r="CJ222">
            <v>2536.6687704714022</v>
          </cell>
          <cell r="CK222">
            <v>2541.1064830053974</v>
          </cell>
          <cell r="CL222">
            <v>2544.9493948036315</v>
          </cell>
          <cell r="CM222">
            <v>2558.1004537930144</v>
          </cell>
        </row>
        <row r="274">
          <cell r="BI274">
            <v>349.25235600000002</v>
          </cell>
          <cell r="BJ274">
            <v>310.38128499999999</v>
          </cell>
          <cell r="BK274">
            <v>391.08513199999999</v>
          </cell>
          <cell r="BL274">
            <v>438.81678136799997</v>
          </cell>
          <cell r="BM274">
            <v>596.04420499999992</v>
          </cell>
          <cell r="BN274">
            <v>680.33473300000003</v>
          </cell>
          <cell r="BO274">
            <v>475.144127820194</v>
          </cell>
          <cell r="BP274">
            <v>560.91145481219849</v>
          </cell>
          <cell r="BQ274">
            <v>601.07750325260668</v>
          </cell>
          <cell r="BR274">
            <v>622.0492611260147</v>
          </cell>
          <cell r="BS274">
            <v>689.57733848922999</v>
          </cell>
          <cell r="BT274">
            <v>706.97246228112999</v>
          </cell>
          <cell r="BU274">
            <v>771.18138749033756</v>
          </cell>
          <cell r="BV274">
            <v>813.98935108011233</v>
          </cell>
          <cell r="BW274">
            <v>824.04733239902225</v>
          </cell>
          <cell r="BX274">
            <v>850.8601740492503</v>
          </cell>
          <cell r="BY274">
            <v>790.0800005994206</v>
          </cell>
          <cell r="BZ274">
            <v>792.54867550833103</v>
          </cell>
          <cell r="CA274">
            <v>844.40965014744302</v>
          </cell>
          <cell r="CB274">
            <v>876.77824983592984</v>
          </cell>
          <cell r="CC274">
            <v>850.53470021935402</v>
          </cell>
          <cell r="CD274">
            <v>863.67308284411126</v>
          </cell>
          <cell r="CE274">
            <v>900.21712467484713</v>
          </cell>
          <cell r="CF274">
            <v>938.58642582996617</v>
          </cell>
          <cell r="CG274">
            <v>960.12081044879437</v>
          </cell>
          <cell r="CH274">
            <v>975.54432731264296</v>
          </cell>
          <cell r="CI274">
            <v>979.71141485103442</v>
          </cell>
          <cell r="CJ274">
            <v>1001.7008133335842</v>
          </cell>
          <cell r="CK274">
            <v>1026.1966653739576</v>
          </cell>
          <cell r="CL274">
            <v>1045.5437820532263</v>
          </cell>
          <cell r="CM274">
            <v>1072.2843747701745</v>
          </cell>
          <cell r="CN274">
            <v>1086.5292916312731</v>
          </cell>
        </row>
        <row r="275">
          <cell r="AJ275">
            <v>85.665217516200002</v>
          </cell>
          <cell r="AK275">
            <v>75.735820490400002</v>
          </cell>
          <cell r="AL275">
            <v>96.601244947200001</v>
          </cell>
          <cell r="AM275">
            <v>93.324735730800001</v>
          </cell>
          <cell r="AN275">
            <v>94.429030890600018</v>
          </cell>
          <cell r="AO275">
            <v>108.5745470292</v>
          </cell>
          <cell r="AP275">
            <v>89.454301347600008</v>
          </cell>
          <cell r="AQ275">
            <v>105.69729485700002</v>
          </cell>
          <cell r="AR275">
            <v>81.898841291400004</v>
          </cell>
          <cell r="AS275">
            <v>102.08810818080001</v>
          </cell>
          <cell r="AT275">
            <v>85.95263988696</v>
          </cell>
          <cell r="AU275">
            <v>110.65701856418001</v>
          </cell>
          <cell r="AV275">
            <v>123.16255575843999</v>
          </cell>
          <cell r="AW275">
            <v>196.87659604536</v>
          </cell>
          <cell r="AX275">
            <v>269.51531529032002</v>
          </cell>
          <cell r="AY275">
            <v>182.18775973112</v>
          </cell>
          <cell r="AZ275">
            <v>197.59444236356001</v>
          </cell>
          <cell r="BA275">
            <v>269.66138459304</v>
          </cell>
          <cell r="BB275">
            <v>232.72795232037998</v>
          </cell>
          <cell r="BC275">
            <v>265.40134225153997</v>
          </cell>
          <cell r="BD275">
            <v>258.03210227784001</v>
          </cell>
          <cell r="BE275">
            <v>271.42354617752</v>
          </cell>
          <cell r="BF275">
            <v>372.62756203640004</v>
          </cell>
          <cell r="BG275">
            <v>373.66438600392001</v>
          </cell>
          <cell r="BH275">
            <v>272.95119199999999</v>
          </cell>
          <cell r="BI275">
            <v>321.55026400000003</v>
          </cell>
          <cell r="BJ275">
            <v>281.97506199999998</v>
          </cell>
          <cell r="BK275">
            <v>358.18934558400002</v>
          </cell>
          <cell r="BL275">
            <v>419.99812797599998</v>
          </cell>
          <cell r="BM275">
            <v>524.90603199999998</v>
          </cell>
          <cell r="BN275">
            <v>653.16236174991991</v>
          </cell>
          <cell r="BO275">
            <v>434.37261880679978</v>
          </cell>
          <cell r="BP275">
            <v>519.4972635486813</v>
          </cell>
          <cell r="BQ275">
            <v>556.65107962637342</v>
          </cell>
          <cell r="BR275">
            <v>576.98478995547157</v>
          </cell>
          <cell r="BS275">
            <v>636.34207685328249</v>
          </cell>
          <cell r="BT275">
            <v>659.14802734250225</v>
          </cell>
          <cell r="BU275">
            <v>712.36077943154953</v>
          </cell>
          <cell r="BV275">
            <v>754.62395647213646</v>
          </cell>
          <cell r="BW275">
            <v>763.44506756289059</v>
          </cell>
          <cell r="BX275">
            <v>788.45580028194979</v>
          </cell>
          <cell r="BY275">
            <v>731.98337277619055</v>
          </cell>
          <cell r="BZ275">
            <v>734.80802184663332</v>
          </cell>
          <cell r="CA275">
            <v>782.01140995979506</v>
          </cell>
          <cell r="CB275">
            <v>812.56068841719525</v>
          </cell>
          <cell r="CC275">
            <v>788.07241501776718</v>
          </cell>
          <cell r="CD275">
            <v>800.29939689268394</v>
          </cell>
          <cell r="CE275">
            <v>834.1442247544577</v>
          </cell>
          <cell r="CF275">
            <v>869.72497067742188</v>
          </cell>
          <cell r="CG275">
            <v>889.58356913043042</v>
          </cell>
          <cell r="CH275">
            <v>903.97431608121803</v>
          </cell>
          <cell r="CI275">
            <v>907.7911175072071</v>
          </cell>
          <cell r="CJ275">
            <v>928.18122439640013</v>
          </cell>
          <cell r="CK275">
            <v>950.8727324450366</v>
          </cell>
          <cell r="CL275">
            <v>968.80025011002317</v>
          </cell>
          <cell r="CM275">
            <v>993.57116206160185</v>
          </cell>
          <cell r="CN275">
            <v>1006.7843070208213</v>
          </cell>
        </row>
        <row r="276">
          <cell r="AJ276">
            <v>82.077195211200021</v>
          </cell>
          <cell r="AK276">
            <v>75.698341916400011</v>
          </cell>
          <cell r="AL276">
            <v>96.614693141399997</v>
          </cell>
          <cell r="AM276">
            <v>87.796425603600014</v>
          </cell>
          <cell r="AN276">
            <v>94.438951689600017</v>
          </cell>
          <cell r="AO276">
            <v>107.87237492220002</v>
          </cell>
          <cell r="AP276">
            <v>104.3873084646</v>
          </cell>
          <cell r="AQ276">
            <v>88.69238398440001</v>
          </cell>
          <cell r="AR276">
            <v>79.843913125200004</v>
          </cell>
          <cell r="AS276">
            <v>84.063559633200001</v>
          </cell>
          <cell r="AT276">
            <v>75.189801891819997</v>
          </cell>
          <cell r="AU276">
            <v>120.44275574759999</v>
          </cell>
          <cell r="AV276">
            <v>124.18326615838001</v>
          </cell>
          <cell r="AW276">
            <v>142.07784702847999</v>
          </cell>
          <cell r="AX276">
            <v>176.57970689986001</v>
          </cell>
          <cell r="AY276">
            <v>178.64039166930002</v>
          </cell>
          <cell r="AZ276">
            <v>239.00696361167999</v>
          </cell>
          <cell r="BA276">
            <v>310.02739918260005</v>
          </cell>
          <cell r="BB276">
            <v>248.26414094547999</v>
          </cell>
          <cell r="BC276">
            <v>233.82540554252</v>
          </cell>
          <cell r="BD276">
            <v>266.13316806515996</v>
          </cell>
          <cell r="BE276">
            <v>257.98250935094001</v>
          </cell>
          <cell r="BF276">
            <v>361.28457608363999</v>
          </cell>
          <cell r="BG276">
            <v>318.55706293950004</v>
          </cell>
          <cell r="BH276">
            <v>309.966544</v>
          </cell>
          <cell r="BI276">
            <v>348.621377</v>
          </cell>
          <cell r="BJ276">
            <v>305.96795400000002</v>
          </cell>
          <cell r="BK276">
            <v>362.15105131799993</v>
          </cell>
          <cell r="BL276">
            <v>521.57167738199996</v>
          </cell>
          <cell r="BM276">
            <v>597.61665099999993</v>
          </cell>
          <cell r="BN276">
            <v>720.92494657127997</v>
          </cell>
          <cell r="BO276">
            <v>486.61480328098486</v>
          </cell>
          <cell r="BP276">
            <v>582.16504333051091</v>
          </cell>
          <cell r="BQ276">
            <v>626.09789816459727</v>
          </cell>
          <cell r="BR276">
            <v>657.69158042679476</v>
          </cell>
          <cell r="BS276">
            <v>713.22365338207669</v>
          </cell>
          <cell r="BT276">
            <v>739.19482485707829</v>
          </cell>
          <cell r="BU276">
            <v>801.78879771350307</v>
          </cell>
          <cell r="BV276">
            <v>849.25185786112377</v>
          </cell>
          <cell r="BW276">
            <v>859.80504885175844</v>
          </cell>
          <cell r="BX276">
            <v>888.01824992530055</v>
          </cell>
          <cell r="BY276">
            <v>822.77634194871689</v>
          </cell>
          <cell r="BZ276">
            <v>826.71315458676725</v>
          </cell>
          <cell r="CA276">
            <v>880.16161084671501</v>
          </cell>
          <cell r="CB276">
            <v>914.47185917549325</v>
          </cell>
          <cell r="CC276">
            <v>886.93038867869132</v>
          </cell>
          <cell r="CD276">
            <v>900.56434826836721</v>
          </cell>
          <cell r="CE276">
            <v>938.50715525599196</v>
          </cell>
          <cell r="CF276">
            <v>978.74482364482219</v>
          </cell>
          <cell r="CG276">
            <v>1001.0940275831508</v>
          </cell>
          <cell r="CH276">
            <v>1017.2610668379118</v>
          </cell>
          <cell r="CI276">
            <v>1021.544627032975</v>
          </cell>
          <cell r="CJ276">
            <v>1044.4693339479022</v>
          </cell>
          <cell r="CK276">
            <v>1070.0083787994213</v>
          </cell>
          <cell r="CL276">
            <v>1090.2128856265997</v>
          </cell>
          <cell r="CM276">
            <v>1118.0764710481217</v>
          </cell>
          <cell r="CN276">
            <v>1132.9400655419763</v>
          </cell>
        </row>
        <row r="277">
          <cell r="AJ277">
            <v>74.855514925800009</v>
          </cell>
          <cell r="AK277">
            <v>81.648175769999995</v>
          </cell>
          <cell r="AL277">
            <v>74.973241740600002</v>
          </cell>
          <cell r="AM277">
            <v>89.282120369400005</v>
          </cell>
          <cell r="AN277">
            <v>92.7577069524</v>
          </cell>
          <cell r="AO277">
            <v>92.916880660800004</v>
          </cell>
          <cell r="AP277">
            <v>91.983884630400013</v>
          </cell>
          <cell r="AQ277">
            <v>78.014958714000002</v>
          </cell>
          <cell r="AR277">
            <v>74.973021278399997</v>
          </cell>
          <cell r="AS277">
            <v>65.094097341020003</v>
          </cell>
          <cell r="AT277">
            <v>66.971031442699996</v>
          </cell>
          <cell r="AU277">
            <v>119.3000901785</v>
          </cell>
          <cell r="AV277">
            <v>117.07745622848</v>
          </cell>
          <cell r="AW277">
            <v>206.44639510901999</v>
          </cell>
          <cell r="AX277">
            <v>193.69755384694</v>
          </cell>
          <cell r="AY277">
            <v>191.958908944</v>
          </cell>
          <cell r="AZ277">
            <v>247.72799499844001</v>
          </cell>
          <cell r="BA277">
            <v>301.94741838096002</v>
          </cell>
          <cell r="BB277">
            <v>234.42331832809998</v>
          </cell>
          <cell r="BC277">
            <v>254.0287614799</v>
          </cell>
          <cell r="BD277">
            <v>252.62424437492001</v>
          </cell>
          <cell r="BE277">
            <v>310.41908079028002</v>
          </cell>
          <cell r="BF277">
            <v>355.56053598956004</v>
          </cell>
          <cell r="BG277">
            <v>384.48739028348001</v>
          </cell>
          <cell r="BH277">
            <v>330.79328499999997</v>
          </cell>
          <cell r="BI277">
            <v>373.47015299999998</v>
          </cell>
          <cell r="BJ277">
            <v>325.62479100000002</v>
          </cell>
          <cell r="BK277">
            <v>311.39624363400003</v>
          </cell>
          <cell r="BL277">
            <v>485.22407446799997</v>
          </cell>
          <cell r="BM277">
            <v>518.24798099999998</v>
          </cell>
          <cell r="BN277">
            <v>444.68889791722</v>
          </cell>
          <cell r="BO277">
            <v>458.82820079516341</v>
          </cell>
          <cell r="BP277">
            <v>483.97433999849397</v>
          </cell>
          <cell r="BQ277">
            <v>516.54476381089501</v>
          </cell>
          <cell r="BR277">
            <v>540.58932161226198</v>
          </cell>
          <cell r="BS277">
            <v>573.31230029048709</v>
          </cell>
          <cell r="BT277">
            <v>587.94791086767907</v>
          </cell>
          <cell r="BU277">
            <v>672.97504345976256</v>
          </cell>
          <cell r="BV277">
            <v>691.60145201568776</v>
          </cell>
          <cell r="BW277">
            <v>702.66145763688826</v>
          </cell>
          <cell r="BX277">
            <v>723.99179985482488</v>
          </cell>
          <cell r="BY277">
            <v>670.23841640556145</v>
          </cell>
          <cell r="BZ277">
            <v>675.10172654246583</v>
          </cell>
          <cell r="CA277">
            <v>721.67479605489712</v>
          </cell>
          <cell r="CB277">
            <v>745.86407669278276</v>
          </cell>
          <cell r="CC277">
            <v>724.40889113668334</v>
          </cell>
          <cell r="CD277">
            <v>735.24375170335054</v>
          </cell>
          <cell r="CE277">
            <v>766.50406690302714</v>
          </cell>
          <cell r="CF277">
            <v>799.69442646067125</v>
          </cell>
          <cell r="CG277">
            <v>817.96833653965757</v>
          </cell>
          <cell r="CH277">
            <v>830.62080284011745</v>
          </cell>
          <cell r="CI277">
            <v>834.4169179858028</v>
          </cell>
          <cell r="CJ277">
            <v>853.08941506251745</v>
          </cell>
          <cell r="CK277">
            <v>874.02667068730659</v>
          </cell>
          <cell r="CL277">
            <v>890.53723612113561</v>
          </cell>
          <cell r="CM277">
            <v>913.25064346697025</v>
          </cell>
        </row>
        <row r="278">
          <cell r="AI278">
            <v>71.689457271600006</v>
          </cell>
          <cell r="AJ278">
            <v>72.496348923599996</v>
          </cell>
          <cell r="AK278">
            <v>78.932742852600001</v>
          </cell>
          <cell r="AL278">
            <v>83.672239228200013</v>
          </cell>
          <cell r="AM278">
            <v>77.1454557972</v>
          </cell>
          <cell r="AN278">
            <v>92.856694480200005</v>
          </cell>
          <cell r="AO278">
            <v>85.379498505000001</v>
          </cell>
          <cell r="AP278">
            <v>86.948087058000013</v>
          </cell>
          <cell r="AQ278">
            <v>85.2198838722</v>
          </cell>
          <cell r="AR278">
            <v>62.966208941999994</v>
          </cell>
          <cell r="AS278">
            <v>67.525632263760002</v>
          </cell>
          <cell r="AT278">
            <v>81.597816522420004</v>
          </cell>
          <cell r="AU278">
            <v>97.706734558840012</v>
          </cell>
          <cell r="AV278">
            <v>98.874001482520001</v>
          </cell>
          <cell r="AW278">
            <v>144.75047478518002</v>
          </cell>
          <cell r="AX278">
            <v>166.65656677493999</v>
          </cell>
          <cell r="AY278">
            <v>176.71692244866</v>
          </cell>
          <cell r="AZ278">
            <v>249.0737126834</v>
          </cell>
          <cell r="BA278">
            <v>291.32393662063998</v>
          </cell>
          <cell r="BB278">
            <v>225.66477753665998</v>
          </cell>
          <cell r="BC278">
            <v>218.69486479280002</v>
          </cell>
          <cell r="BD278">
            <v>232.90485764304</v>
          </cell>
          <cell r="BE278">
            <v>287.57182990865999</v>
          </cell>
          <cell r="BF278">
            <v>340.78215462477999</v>
          </cell>
          <cell r="BG278">
            <v>324.75892355389999</v>
          </cell>
          <cell r="BH278">
            <v>266.06931600000001</v>
          </cell>
          <cell r="BI278">
            <v>283.67313299999995</v>
          </cell>
          <cell r="BJ278">
            <v>272.43859999999995</v>
          </cell>
          <cell r="BK278">
            <v>327.91768090199992</v>
          </cell>
          <cell r="BL278">
            <v>462.76118091000001</v>
          </cell>
          <cell r="BM278">
            <v>600.49886500000002</v>
          </cell>
          <cell r="BN278">
            <v>486.77719810396462</v>
          </cell>
          <cell r="BO278">
            <v>443.63834460889137</v>
          </cell>
          <cell r="BP278">
            <v>499.11005031597551</v>
          </cell>
          <cell r="BQ278">
            <v>540.57642475161117</v>
          </cell>
          <cell r="BR278">
            <v>563.6109881056658</v>
          </cell>
          <cell r="BS278">
            <v>608.41626893377509</v>
          </cell>
          <cell r="BT278">
            <v>609.37401407387415</v>
          </cell>
          <cell r="BU278">
            <v>694.44726502008541</v>
          </cell>
          <cell r="BV278">
            <v>721.98454167662885</v>
          </cell>
          <cell r="BW278">
            <v>733.05251270238546</v>
          </cell>
          <cell r="BX278">
            <v>755.0173734219735</v>
          </cell>
          <cell r="BY278">
            <v>699.04849942193425</v>
          </cell>
          <cell r="BZ278">
            <v>702.01208476511431</v>
          </cell>
          <cell r="CA278">
            <v>751.29720188408601</v>
          </cell>
          <cell r="CB278">
            <v>777.63164543869357</v>
          </cell>
          <cell r="CC278">
            <v>754.83933360483979</v>
          </cell>
          <cell r="CD278">
            <v>766.03822124295095</v>
          </cell>
          <cell r="CE278">
            <v>798.47507714770938</v>
          </cell>
          <cell r="CF278">
            <v>832.88842174335969</v>
          </cell>
          <cell r="CG278">
            <v>852.20136036541828</v>
          </cell>
          <cell r="CH278">
            <v>865.45081804931044</v>
          </cell>
          <cell r="CI278">
            <v>869.28497061901066</v>
          </cell>
          <cell r="CJ278">
            <v>888.72937493262668</v>
          </cell>
          <cell r="CK278">
            <v>910.52630833376963</v>
          </cell>
          <cell r="CL278">
            <v>927.73779781688654</v>
          </cell>
          <cell r="CM278">
            <v>951.44351881064006</v>
          </cell>
        </row>
        <row r="279">
          <cell r="AI279">
            <v>87.955599312000004</v>
          </cell>
          <cell r="AJ279">
            <v>78.103364056199993</v>
          </cell>
          <cell r="AK279">
            <v>90.271995647400004</v>
          </cell>
          <cell r="AL279">
            <v>96.117330418199998</v>
          </cell>
          <cell r="AM279">
            <v>108.88495780680002</v>
          </cell>
          <cell r="AN279">
            <v>100.6279870302</v>
          </cell>
          <cell r="AO279">
            <v>102.1516012944</v>
          </cell>
          <cell r="AP279">
            <v>100.56978500940001</v>
          </cell>
          <cell r="AQ279">
            <v>82.260178837200002</v>
          </cell>
          <cell r="AR279">
            <v>61.7666741118</v>
          </cell>
          <cell r="AS279">
            <v>82.122732135180001</v>
          </cell>
          <cell r="AT279">
            <v>96.27996622420001</v>
          </cell>
          <cell r="AU279">
            <v>115.39997409819999</v>
          </cell>
          <cell r="AV279">
            <v>116.37471596652</v>
          </cell>
          <cell r="AW279">
            <v>175.62502707354</v>
          </cell>
          <cell r="AX279">
            <v>183.20882948412</v>
          </cell>
          <cell r="AY279">
            <v>223.32190802107999</v>
          </cell>
          <cell r="AZ279">
            <v>283.5138343763</v>
          </cell>
          <cell r="BA279">
            <v>296.64165422561996</v>
          </cell>
          <cell r="BB279">
            <v>221.61877072786001</v>
          </cell>
          <cell r="BC279">
            <v>249.86400501942001</v>
          </cell>
          <cell r="BD279">
            <v>301.99060909138001</v>
          </cell>
          <cell r="BE279">
            <v>325.7880732392</v>
          </cell>
          <cell r="BF279">
            <v>350.32214943066003</v>
          </cell>
          <cell r="BG279">
            <v>317.43009646941999</v>
          </cell>
          <cell r="BH279">
            <v>335.66555599999998</v>
          </cell>
          <cell r="BI279">
            <v>392.03006400000004</v>
          </cell>
          <cell r="BJ279">
            <v>346.74756400000001</v>
          </cell>
          <cell r="BK279">
            <v>400.24912409999996</v>
          </cell>
          <cell r="BL279">
            <v>550.04437051199989</v>
          </cell>
          <cell r="BM279">
            <v>739.48652099999993</v>
          </cell>
          <cell r="BN279">
            <v>611.08571222213311</v>
          </cell>
          <cell r="BO279">
            <v>553.28255764467326</v>
          </cell>
          <cell r="BP279">
            <v>614.515616789825</v>
          </cell>
          <cell r="BQ279">
            <v>664.58035355643744</v>
          </cell>
          <cell r="BR279">
            <v>693.75892496630581</v>
          </cell>
          <cell r="BS279">
            <v>753.34877510916101</v>
          </cell>
          <cell r="BT279">
            <v>754.52202706845719</v>
          </cell>
          <cell r="BU279">
            <v>857.67543284445537</v>
          </cell>
          <cell r="BV279">
            <v>890.80183727236999</v>
          </cell>
          <cell r="BW279">
            <v>904.9797916799904</v>
          </cell>
          <cell r="BX279">
            <v>932.63135918589114</v>
          </cell>
          <cell r="BY279">
            <v>863.89449700206626</v>
          </cell>
          <cell r="BZ279">
            <v>867.17950319371789</v>
          </cell>
          <cell r="CA279">
            <v>927.76832189284653</v>
          </cell>
          <cell r="CB279">
            <v>960.32338849309645</v>
          </cell>
          <cell r="CC279">
            <v>932.33549701681488</v>
          </cell>
          <cell r="CD279">
            <v>946.22634783660703</v>
          </cell>
          <cell r="CE279">
            <v>986.27657064602931</v>
          </cell>
          <cell r="CF279">
            <v>1028.6920638884033</v>
          </cell>
          <cell r="CG279">
            <v>1052.535668393687</v>
          </cell>
          <cell r="CH279">
            <v>1068.9333019689211</v>
          </cell>
          <cell r="CI279">
            <v>1073.6927944850197</v>
          </cell>
          <cell r="CJ279">
            <v>1097.7043968485109</v>
          </cell>
          <cell r="CK279">
            <v>1124.61419762024</v>
          </cell>
          <cell r="CL279">
            <v>1145.8623068215029</v>
          </cell>
          <cell r="CM279">
            <v>1175.1481918893442</v>
          </cell>
        </row>
        <row r="280">
          <cell r="AI280">
            <v>90.789861355200003</v>
          </cell>
          <cell r="AJ280">
            <v>69.414066905400006</v>
          </cell>
          <cell r="AK280">
            <v>97.551877953600012</v>
          </cell>
          <cell r="AL280">
            <v>82.914069722400015</v>
          </cell>
          <cell r="AM280">
            <v>97.831644485400005</v>
          </cell>
          <cell r="AN280">
            <v>81.059982620399992</v>
          </cell>
          <cell r="AO280">
            <v>87.185304385199998</v>
          </cell>
          <cell r="AP280">
            <v>93.454587966600016</v>
          </cell>
          <cell r="AQ280">
            <v>98.907720483600016</v>
          </cell>
          <cell r="AR280">
            <v>95.143328418600007</v>
          </cell>
          <cell r="AS280">
            <v>98.636713822680008</v>
          </cell>
          <cell r="AT280">
            <v>96.365082193159992</v>
          </cell>
          <cell r="AU280">
            <v>129.68041117129999</v>
          </cell>
          <cell r="AV280">
            <v>125.3152194789</v>
          </cell>
          <cell r="AW280">
            <v>253.76651311242</v>
          </cell>
          <cell r="AX280">
            <v>161.50844176807999</v>
          </cell>
          <cell r="AY280">
            <v>207.79931969676002</v>
          </cell>
          <cell r="AZ280">
            <v>302.81973580869999</v>
          </cell>
          <cell r="BA280">
            <v>305.69595360853998</v>
          </cell>
          <cell r="BB280">
            <v>236.31423633444001</v>
          </cell>
          <cell r="BC280">
            <v>282.24089340216005</v>
          </cell>
          <cell r="BD280">
            <v>287.32080526160001</v>
          </cell>
          <cell r="BE280">
            <v>367.31984017849999</v>
          </cell>
          <cell r="BF280">
            <v>372.91798765210001</v>
          </cell>
          <cell r="BG280">
            <v>322.76452068475999</v>
          </cell>
          <cell r="BH280">
            <v>345.71900400000004</v>
          </cell>
          <cell r="BI280">
            <v>337.07996500000002</v>
          </cell>
          <cell r="BJ280">
            <v>326.00541200000004</v>
          </cell>
          <cell r="BK280">
            <v>365.64317256599998</v>
          </cell>
          <cell r="BL280">
            <v>521.30712274199993</v>
          </cell>
          <cell r="BM280">
            <v>657.37141500000007</v>
          </cell>
          <cell r="BN280">
            <v>572.15765823152287</v>
          </cell>
          <cell r="BO280">
            <v>502.89925884249419</v>
          </cell>
          <cell r="BP280">
            <v>566.90493511355135</v>
          </cell>
          <cell r="BQ280">
            <v>609.91490285925533</v>
          </cell>
          <cell r="BR280">
            <v>637.737915537616</v>
          </cell>
          <cell r="BS280">
            <v>688.56815886088748</v>
          </cell>
          <cell r="BT280">
            <v>694.97061697600452</v>
          </cell>
          <cell r="BU280">
            <v>786.1578797915065</v>
          </cell>
          <cell r="BV280">
            <v>818.47020182348331</v>
          </cell>
          <cell r="BW280">
            <v>830.48530999471984</v>
          </cell>
          <cell r="BX280">
            <v>856.08630324617559</v>
          </cell>
          <cell r="BY280">
            <v>792.75478915794451</v>
          </cell>
          <cell r="BZ280">
            <v>796.36844449193018</v>
          </cell>
          <cell r="CA280">
            <v>851.4557624495676</v>
          </cell>
          <cell r="CB280">
            <v>881.65353165433919</v>
          </cell>
          <cell r="CC280">
            <v>855.76088750101496</v>
          </cell>
          <cell r="CD280">
            <v>868.58779224001182</v>
          </cell>
          <cell r="CE280">
            <v>905.34020092094613</v>
          </cell>
          <cell r="CF280">
            <v>944.33213767559698</v>
          </cell>
          <cell r="CG280">
            <v>966.14100593127228</v>
          </cell>
          <cell r="CH280">
            <v>981.24480853006071</v>
          </cell>
          <cell r="CI280">
            <v>985.5790653827878</v>
          </cell>
          <cell r="CJ280">
            <v>1007.6408977495719</v>
          </cell>
          <cell r="CK280">
            <v>1032.3391749587049</v>
          </cell>
          <cell r="CL280">
            <v>1051.8472204925361</v>
          </cell>
          <cell r="CM280">
            <v>1078.720527211035</v>
          </cell>
        </row>
        <row r="281">
          <cell r="AI281">
            <v>68.903255987999984</v>
          </cell>
          <cell r="AJ281">
            <v>73.034276691600013</v>
          </cell>
          <cell r="AK281">
            <v>84.088471861800002</v>
          </cell>
          <cell r="AL281">
            <v>91.401864422399996</v>
          </cell>
          <cell r="AM281">
            <v>103.22326804860002</v>
          </cell>
          <cell r="AN281">
            <v>96.733522267200016</v>
          </cell>
          <cell r="AO281">
            <v>99.863865044999997</v>
          </cell>
          <cell r="AP281">
            <v>91.488506067000003</v>
          </cell>
          <cell r="AQ281">
            <v>81.990553566599999</v>
          </cell>
          <cell r="AR281">
            <v>75.353098111200012</v>
          </cell>
          <cell r="AS281">
            <v>98.87806459718</v>
          </cell>
          <cell r="AT281">
            <v>67.447478484759998</v>
          </cell>
          <cell r="AU281">
            <v>148.9508953834</v>
          </cell>
          <cell r="AV281">
            <v>118.84381540944</v>
          </cell>
          <cell r="AW281">
            <v>180.29072390427999</v>
          </cell>
          <cell r="AX281">
            <v>181.42991719688001</v>
          </cell>
          <cell r="AY281">
            <v>208.07582313716</v>
          </cell>
          <cell r="AZ281">
            <v>297.78111207262003</v>
          </cell>
          <cell r="BA281">
            <v>250.76190044840001</v>
          </cell>
          <cell r="BB281">
            <v>204.44874042538001</v>
          </cell>
          <cell r="BC281">
            <v>304.83310281908001</v>
          </cell>
          <cell r="BD281">
            <v>260.91461426778</v>
          </cell>
          <cell r="BE281">
            <v>355.33719255122003</v>
          </cell>
          <cell r="BF281">
            <v>362.7631551929</v>
          </cell>
          <cell r="BG281">
            <v>302.03900270499997</v>
          </cell>
          <cell r="BH281">
            <v>321.90140100000002</v>
          </cell>
          <cell r="BI281">
            <v>354.85981300000003</v>
          </cell>
          <cell r="BJ281">
            <v>372.69590799999997</v>
          </cell>
          <cell r="BK281">
            <v>372.96472222799997</v>
          </cell>
          <cell r="BL281">
            <v>542.68313765400001</v>
          </cell>
          <cell r="BM281">
            <v>637.69752599999993</v>
          </cell>
          <cell r="BN281">
            <v>593.08827173903455</v>
          </cell>
          <cell r="BO281">
            <v>519.64292528518661</v>
          </cell>
          <cell r="BP281">
            <v>584.69432207703062</v>
          </cell>
          <cell r="BQ281">
            <v>620.78838968912146</v>
          </cell>
          <cell r="BR281">
            <v>650.66292139333109</v>
          </cell>
          <cell r="BS281">
            <v>699.61253748135641</v>
          </cell>
          <cell r="BT281">
            <v>714.03366801886568</v>
          </cell>
          <cell r="BU281">
            <v>804.30158344463075</v>
          </cell>
          <cell r="BV281">
            <v>836.81876439632265</v>
          </cell>
          <cell r="BW281">
            <v>847.99483204978299</v>
          </cell>
          <cell r="BX281">
            <v>874.86230873887041</v>
          </cell>
          <cell r="BY281">
            <v>810.21592005280252</v>
          </cell>
          <cell r="BZ281">
            <v>814.71666973215963</v>
          </cell>
          <cell r="CA281">
            <v>870.26950112052361</v>
          </cell>
          <cell r="CB281">
            <v>901.12997748823557</v>
          </cell>
          <cell r="CC281">
            <v>874.61070683421792</v>
          </cell>
          <cell r="CD281">
            <v>887.89473573362852</v>
          </cell>
          <cell r="CE281">
            <v>925.48163817795671</v>
          </cell>
          <cell r="CF281">
            <v>965.37627985550989</v>
          </cell>
          <cell r="CG281">
            <v>987.5304893108912</v>
          </cell>
          <cell r="CH281">
            <v>1003.0070404251654</v>
          </cell>
          <cell r="CI281">
            <v>1007.4459454723535</v>
          </cell>
          <cell r="CJ281">
            <v>1030.0249737073659</v>
          </cell>
          <cell r="CK281">
            <v>1055.2635000086407</v>
          </cell>
          <cell r="CL281">
            <v>1075.1984854076516</v>
          </cell>
          <cell r="CM281">
            <v>1102.6524220595693</v>
          </cell>
        </row>
        <row r="282">
          <cell r="AI282">
            <v>73.381945580999997</v>
          </cell>
          <cell r="AJ282">
            <v>91.868362437599998</v>
          </cell>
          <cell r="AK282">
            <v>94.743409987800007</v>
          </cell>
          <cell r="AL282">
            <v>91.936044332999998</v>
          </cell>
          <cell r="AM282">
            <v>86.971456051200022</v>
          </cell>
          <cell r="AN282">
            <v>85.081213148399996</v>
          </cell>
          <cell r="AO282">
            <v>93.679459410600018</v>
          </cell>
          <cell r="AP282">
            <v>84.482217351000003</v>
          </cell>
          <cell r="AQ282">
            <v>88.221917649600002</v>
          </cell>
          <cell r="AR282">
            <v>74.147831263800001</v>
          </cell>
          <cell r="AS282">
            <v>101.07279246723999</v>
          </cell>
          <cell r="AT282">
            <v>59.851389726920004</v>
          </cell>
          <cell r="AU282">
            <v>141.91834938534001</v>
          </cell>
          <cell r="AV282">
            <v>128.93749391446002</v>
          </cell>
          <cell r="AW282">
            <v>140.46927691016</v>
          </cell>
          <cell r="AX282">
            <v>176.41791645192001</v>
          </cell>
          <cell r="AY282">
            <v>163.22506472184</v>
          </cell>
          <cell r="AZ282">
            <v>254.16735271158001</v>
          </cell>
          <cell r="BA282">
            <v>250.84622275416001</v>
          </cell>
          <cell r="BB282">
            <v>207.68693037378</v>
          </cell>
          <cell r="BC282">
            <v>306.81409057552003</v>
          </cell>
          <cell r="BD282">
            <v>367.79377615837996</v>
          </cell>
          <cell r="BE282">
            <v>363.91301443705999</v>
          </cell>
          <cell r="BF282">
            <v>376.76004065545999</v>
          </cell>
          <cell r="BG282">
            <v>338.13719705369999</v>
          </cell>
          <cell r="BH282">
            <v>329.70274599999999</v>
          </cell>
          <cell r="BI282">
            <v>324.916743</v>
          </cell>
          <cell r="BJ282">
            <v>359.88540999999998</v>
          </cell>
          <cell r="BK282">
            <v>360.42262766999994</v>
          </cell>
          <cell r="BL282">
            <v>407.16061407000001</v>
          </cell>
          <cell r="BM282">
            <v>485.52932400000003</v>
          </cell>
          <cell r="BN282">
            <v>537.85196476672627</v>
          </cell>
          <cell r="BO282">
            <v>441.50255807270764</v>
          </cell>
          <cell r="BP282">
            <v>499.21598516270507</v>
          </cell>
          <cell r="BQ282">
            <v>519.82364566679678</v>
          </cell>
          <cell r="BR282">
            <v>536.13452444131099</v>
          </cell>
          <cell r="BS282">
            <v>587.90124313880858</v>
          </cell>
          <cell r="BT282">
            <v>609.57018840626188</v>
          </cell>
          <cell r="BU282">
            <v>675.93789495899534</v>
          </cell>
          <cell r="BV282">
            <v>704.46853880596063</v>
          </cell>
          <cell r="BW282">
            <v>711.89578121983664</v>
          </cell>
          <cell r="BX282">
            <v>735.22707349179814</v>
          </cell>
          <cell r="BY282">
            <v>682.95924823024961</v>
          </cell>
          <cell r="BZ282">
            <v>686.67351112534743</v>
          </cell>
          <cell r="CA282">
            <v>731.89495752031212</v>
          </cell>
          <cell r="CB282">
            <v>758.27419588327484</v>
          </cell>
          <cell r="CC282">
            <v>735.80943610345389</v>
          </cell>
          <cell r="CD282">
            <v>747.33365655087823</v>
          </cell>
          <cell r="CE282">
            <v>779.14232442954005</v>
          </cell>
          <cell r="CF282">
            <v>812.50192980239513</v>
          </cell>
          <cell r="CG282">
            <v>830.98050567895075</v>
          </cell>
          <cell r="CH282">
            <v>844.13071408585438</v>
          </cell>
          <cell r="CI282">
            <v>847.86468173529306</v>
          </cell>
          <cell r="CJ282">
            <v>866.9239849260689</v>
          </cell>
          <cell r="CK282">
            <v>888.14672383237632</v>
          </cell>
          <cell r="CL282">
            <v>904.88041945751593</v>
          </cell>
          <cell r="CM282">
            <v>927.9846728411685</v>
          </cell>
        </row>
        <row r="283">
          <cell r="AI283">
            <v>79.630064791199999</v>
          </cell>
          <cell r="AJ283">
            <v>88.544233386000002</v>
          </cell>
          <cell r="AK283">
            <v>106.6161813066</v>
          </cell>
          <cell r="AL283">
            <v>93.328924512600011</v>
          </cell>
          <cell r="AM283">
            <v>97.308046760400003</v>
          </cell>
          <cell r="AN283">
            <v>96.480652123799999</v>
          </cell>
          <cell r="AO283">
            <v>94.272282266399998</v>
          </cell>
          <cell r="AP283">
            <v>122.63099643900001</v>
          </cell>
          <cell r="AQ283">
            <v>88.246388953800007</v>
          </cell>
          <cell r="AR283">
            <v>85.939252030800006</v>
          </cell>
          <cell r="AS283">
            <v>111.8043491092</v>
          </cell>
          <cell r="AT283">
            <v>94.339080505560005</v>
          </cell>
          <cell r="AU283">
            <v>147.56154606401998</v>
          </cell>
          <cell r="AV283">
            <v>191.60408858272001</v>
          </cell>
          <cell r="AW283">
            <v>176.07431540182</v>
          </cell>
          <cell r="AX283">
            <v>194.97033608844001</v>
          </cell>
          <cell r="AY283">
            <v>187.53960044446001</v>
          </cell>
          <cell r="AZ283">
            <v>313.98982664258</v>
          </cell>
          <cell r="BA283">
            <v>251.55144321361999</v>
          </cell>
          <cell r="BB283">
            <v>246.03835438886</v>
          </cell>
          <cell r="BC283">
            <v>330.73309983318001</v>
          </cell>
          <cell r="BD283">
            <v>351.67851543021999</v>
          </cell>
          <cell r="BE283">
            <v>401.87160382820002</v>
          </cell>
          <cell r="BF283">
            <v>360.69577278790001</v>
          </cell>
          <cell r="BG283">
            <v>316.93045241571997</v>
          </cell>
          <cell r="BH283">
            <v>389.86420600000002</v>
          </cell>
          <cell r="BI283">
            <v>335.64407799999998</v>
          </cell>
          <cell r="BJ283">
            <v>481.33253999999999</v>
          </cell>
          <cell r="BK283">
            <v>364.41740273399995</v>
          </cell>
          <cell r="BL283">
            <v>557.33285084399995</v>
          </cell>
          <cell r="BM283">
            <v>687.39418500000011</v>
          </cell>
          <cell r="BN283">
            <v>642.43000505286579</v>
          </cell>
          <cell r="BO283">
            <v>552.72744580302469</v>
          </cell>
          <cell r="BP283">
            <v>634.31242993637045</v>
          </cell>
          <cell r="BQ283">
            <v>652.97376125862797</v>
          </cell>
          <cell r="BR283">
            <v>695.06624827730332</v>
          </cell>
          <cell r="BS283">
            <v>750.24517293926749</v>
          </cell>
          <cell r="BT283">
            <v>764.21123944602084</v>
          </cell>
          <cell r="BU283">
            <v>859.20244678090603</v>
          </cell>
          <cell r="BV283">
            <v>894.91790521473877</v>
          </cell>
          <cell r="BW283">
            <v>904.44839258433649</v>
          </cell>
          <cell r="BX283">
            <v>935.82725044829851</v>
          </cell>
          <cell r="BY283">
            <v>866.32286298881957</v>
          </cell>
          <cell r="BZ283">
            <v>870.77495238140204</v>
          </cell>
          <cell r="CA283">
            <v>930.00663724176138</v>
          </cell>
          <cell r="CB283">
            <v>963.08073280019119</v>
          </cell>
          <cell r="CC283">
            <v>934.60112219402822</v>
          </cell>
          <cell r="CD283">
            <v>949.18143430795726</v>
          </cell>
          <cell r="CE283">
            <v>989.15535333301841</v>
          </cell>
          <cell r="CF283">
            <v>1031.7582317777233</v>
          </cell>
          <cell r="CG283">
            <v>1055.4355882944997</v>
          </cell>
          <cell r="CH283">
            <v>1071.9994769611337</v>
          </cell>
          <cell r="CI283">
            <v>1076.7461532002806</v>
          </cell>
          <cell r="CJ283">
            <v>1100.9150396427574</v>
          </cell>
          <cell r="CK283">
            <v>1127.8442859510274</v>
          </cell>
          <cell r="CL283">
            <v>1149.1559685544419</v>
          </cell>
          <cell r="CM283">
            <v>1178.5017819220971</v>
          </cell>
        </row>
        <row r="284">
          <cell r="AI284">
            <v>78.747113680200002</v>
          </cell>
          <cell r="AJ284">
            <v>85.792203743399995</v>
          </cell>
          <cell r="AK284">
            <v>119.73368220660001</v>
          </cell>
          <cell r="AL284">
            <v>101.26335909060002</v>
          </cell>
          <cell r="AM284">
            <v>89.349361340399994</v>
          </cell>
          <cell r="AN284">
            <v>90.880691781600007</v>
          </cell>
          <cell r="AO284">
            <v>102.3927869412</v>
          </cell>
          <cell r="AP284">
            <v>105.6417383826</v>
          </cell>
          <cell r="AQ284">
            <v>94.720702381199999</v>
          </cell>
          <cell r="AR284">
            <v>90.023975672399999</v>
          </cell>
          <cell r="AS284">
            <v>114.32042459508</v>
          </cell>
          <cell r="AT284">
            <v>87.424962284659998</v>
          </cell>
          <cell r="AU284">
            <v>134.26930124585999</v>
          </cell>
          <cell r="AV284">
            <v>125.18633959832</v>
          </cell>
          <cell r="AW284">
            <v>183.65125703496</v>
          </cell>
          <cell r="AX284">
            <v>192.7642015145</v>
          </cell>
          <cell r="AY284">
            <v>216.75060821018002</v>
          </cell>
          <cell r="AZ284">
            <v>277.05332553888002</v>
          </cell>
          <cell r="BA284">
            <v>249.92231280918</v>
          </cell>
          <cell r="BB284">
            <v>208.14608437656</v>
          </cell>
          <cell r="BC284">
            <v>337.34685180679998</v>
          </cell>
          <cell r="BD284">
            <v>356.67760371584001</v>
          </cell>
          <cell r="BE284">
            <v>311.09080425346002</v>
          </cell>
          <cell r="BF284">
            <v>390.03541792600004</v>
          </cell>
          <cell r="BG284">
            <v>355.26052027686001</v>
          </cell>
          <cell r="BH284">
            <v>359.21143000000001</v>
          </cell>
          <cell r="BI284">
            <v>304.18861200000003</v>
          </cell>
          <cell r="BJ284">
            <v>373.471272</v>
          </cell>
          <cell r="BK284">
            <v>391.446068454</v>
          </cell>
          <cell r="BL284">
            <v>533.80953410399991</v>
          </cell>
          <cell r="BM284">
            <v>566.80027000000007</v>
          </cell>
          <cell r="BN284">
            <v>592.18946193883448</v>
          </cell>
          <cell r="BO284">
            <v>494.31228709272125</v>
          </cell>
          <cell r="BP284">
            <v>570.44026821973489</v>
          </cell>
          <cell r="BQ284">
            <v>600.40984714785179</v>
          </cell>
          <cell r="BR284">
            <v>623.473788724266</v>
          </cell>
          <cell r="BS284">
            <v>668.4274155597268</v>
          </cell>
          <cell r="BT284">
            <v>692.85680264993357</v>
          </cell>
          <cell r="BU284">
            <v>773.35309023644174</v>
          </cell>
          <cell r="BV284">
            <v>807.59639148948668</v>
          </cell>
          <cell r="BW284">
            <v>816.18878278799389</v>
          </cell>
          <cell r="BX284">
            <v>841.87355530223704</v>
          </cell>
          <cell r="BY284">
            <v>780.25106561363077</v>
          </cell>
          <cell r="BZ284">
            <v>785.51989851657004</v>
          </cell>
          <cell r="CA284">
            <v>837.9683363256803</v>
          </cell>
          <cell r="CB284">
            <v>868.14385467721513</v>
          </cell>
          <cell r="CC284">
            <v>842.21083843869519</v>
          </cell>
          <cell r="CD284">
            <v>855.16663602103085</v>
          </cell>
          <cell r="CE284">
            <v>891.49366993935143</v>
          </cell>
          <cell r="CF284">
            <v>929.94306002796714</v>
          </cell>
          <cell r="CG284">
            <v>951.12341985565035</v>
          </cell>
          <cell r="CH284">
            <v>966.11181369675717</v>
          </cell>
          <cell r="CI284">
            <v>970.33474191251241</v>
          </cell>
          <cell r="CJ284">
            <v>992.1326446176231</v>
          </cell>
          <cell r="CK284">
            <v>1016.4459220149477</v>
          </cell>
          <cell r="CL284">
            <v>1035.634951339865</v>
          </cell>
          <cell r="CM284">
            <v>1062.0620149684423</v>
          </cell>
        </row>
        <row r="285">
          <cell r="AI285">
            <v>73.686183417000024</v>
          </cell>
          <cell r="AJ285">
            <v>68.757750935999994</v>
          </cell>
          <cell r="AK285">
            <v>95.348137802400004</v>
          </cell>
          <cell r="AL285">
            <v>88.048193436000005</v>
          </cell>
          <cell r="AM285">
            <v>81.1062796824</v>
          </cell>
          <cell r="AN285">
            <v>101.35595321459999</v>
          </cell>
          <cell r="AO285">
            <v>103.44725764380001</v>
          </cell>
          <cell r="AP285">
            <v>108.4252941198</v>
          </cell>
          <cell r="AQ285">
            <v>107.35561152540001</v>
          </cell>
          <cell r="AR285">
            <v>95.996296670400014</v>
          </cell>
          <cell r="AS285">
            <v>73.794874883840009</v>
          </cell>
          <cell r="AT285">
            <v>93.782903381200001</v>
          </cell>
          <cell r="AU285">
            <v>96.38792426098</v>
          </cell>
          <cell r="AV285">
            <v>136.14798140657999</v>
          </cell>
          <cell r="AW285">
            <v>170.06374525557999</v>
          </cell>
          <cell r="AX285">
            <v>189.98224444738003</v>
          </cell>
          <cell r="AY285">
            <v>190.85315532755999</v>
          </cell>
          <cell r="AZ285">
            <v>251.48446906264002</v>
          </cell>
          <cell r="BA285">
            <v>207.83801298238001</v>
          </cell>
          <cell r="BB285">
            <v>222.32714379391999</v>
          </cell>
          <cell r="BC285">
            <v>291.99525222912001</v>
          </cell>
          <cell r="BD285">
            <v>323.00553194778001</v>
          </cell>
          <cell r="BE285">
            <v>379.29404852042001</v>
          </cell>
          <cell r="BF285">
            <v>376.91862338129999</v>
          </cell>
          <cell r="BG285">
            <v>303.54902190008005</v>
          </cell>
          <cell r="BH285">
            <v>334.36523299999999</v>
          </cell>
          <cell r="BI285">
            <v>291.67595599999999</v>
          </cell>
          <cell r="BJ285">
            <v>359.27793699999995</v>
          </cell>
          <cell r="BK285">
            <v>366.50077052400002</v>
          </cell>
          <cell r="BL285">
            <v>603.86360277599988</v>
          </cell>
          <cell r="BM285">
            <v>516.45427800000004</v>
          </cell>
          <cell r="BN285">
            <v>240.3087887064994</v>
          </cell>
          <cell r="BO285">
            <v>487.03487194715944</v>
          </cell>
          <cell r="BP285">
            <v>484.25829069492193</v>
          </cell>
          <cell r="BQ285">
            <v>515.56143021582648</v>
          </cell>
          <cell r="BR285">
            <v>527.2397354336581</v>
          </cell>
          <cell r="BS285">
            <v>531.02505896194089</v>
          </cell>
          <cell r="BT285">
            <v>542.19821801219223</v>
          </cell>
          <cell r="BU285">
            <v>665.61839882782624</v>
          </cell>
          <cell r="BV285">
            <v>665.47520189194802</v>
          </cell>
          <cell r="BW285">
            <v>675.9956905303934</v>
          </cell>
          <cell r="BX285">
            <v>692.14875205342832</v>
          </cell>
          <cell r="BY285">
            <v>639.47498580266256</v>
          </cell>
          <cell r="BZ285">
            <v>647.5833573095606</v>
          </cell>
          <cell r="CA285">
            <v>696.08181455637168</v>
          </cell>
          <cell r="CB285">
            <v>715.08779944355229</v>
          </cell>
          <cell r="CC285">
            <v>694.88578325443814</v>
          </cell>
          <cell r="CD285">
            <v>704.79059635842168</v>
          </cell>
          <cell r="CE285">
            <v>735.26259381712407</v>
          </cell>
          <cell r="CF285">
            <v>767.75722861616305</v>
          </cell>
          <cell r="CG285">
            <v>785.28521846759759</v>
          </cell>
          <cell r="CH285">
            <v>796.72151321090678</v>
          </cell>
          <cell r="CI285">
            <v>800.58756981572333</v>
          </cell>
          <cell r="CJ285">
            <v>818.48790083507083</v>
          </cell>
          <cell r="CK285">
            <v>838.71543997457047</v>
          </cell>
          <cell r="CL285">
            <v>854.58869619861616</v>
          </cell>
          <cell r="CM285">
            <v>876.30421895083418</v>
          </cell>
        </row>
        <row r="286">
          <cell r="AI286">
            <v>908.51282124119996</v>
          </cell>
          <cell r="AJ286">
            <v>948.41074742400008</v>
          </cell>
          <cell r="AK286">
            <v>1095.4852698258001</v>
          </cell>
          <cell r="AL286">
            <v>1105.9356190301999</v>
          </cell>
          <cell r="AM286">
            <v>1110.1003704504001</v>
          </cell>
          <cell r="AN286">
            <v>1108.1038647672001</v>
          </cell>
          <cell r="AO286">
            <v>1176.9539893649999</v>
          </cell>
          <cell r="AP286">
            <v>1200.4687080792</v>
          </cell>
          <cell r="AQ286">
            <v>1109.3587356096</v>
          </cell>
          <cell r="AR286">
            <v>981.88925526720004</v>
          </cell>
          <cell r="AS286">
            <v>1093.0916110875801</v>
          </cell>
          <cell r="AT286">
            <v>983.74316202425996</v>
          </cell>
          <cell r="AU286">
            <v>1489.6918623369202</v>
          </cell>
          <cell r="AV286">
            <v>1532.3600535661001</v>
          </cell>
          <cell r="AW286">
            <v>2118.1639307268001</v>
          </cell>
          <cell r="AX286">
            <v>2293.1224085803005</v>
          </cell>
          <cell r="AY286">
            <v>2327.5868251856</v>
          </cell>
          <cell r="AZ286">
            <v>3106.4823737063602</v>
          </cell>
          <cell r="BA286">
            <v>3268.9932032775596</v>
          </cell>
          <cell r="BB286">
            <v>2747.1801434250801</v>
          </cell>
          <cell r="BC286">
            <v>3373.4581409216598</v>
          </cell>
          <cell r="BD286">
            <v>3680.1073303304202</v>
          </cell>
          <cell r="BE286">
            <v>3949.6189771330605</v>
          </cell>
          <cell r="BF286">
            <v>4398.2734507076202</v>
          </cell>
          <cell r="BG286">
            <v>4070.5184772337798</v>
          </cell>
        </row>
        <row r="291">
          <cell r="AJ291">
            <v>0.86399136179999991</v>
          </cell>
          <cell r="AK291">
            <v>19.117820597400002</v>
          </cell>
          <cell r="AL291">
            <v>30.3671248146</v>
          </cell>
          <cell r="AM291">
            <v>35.367207510599997</v>
          </cell>
          <cell r="AN291">
            <v>44.503161078600002</v>
          </cell>
          <cell r="AO291">
            <v>17.364043796400001</v>
          </cell>
          <cell r="AP291">
            <v>26.0870716638</v>
          </cell>
          <cell r="AQ291">
            <v>57.33428158080001</v>
          </cell>
          <cell r="AR291">
            <v>3.6065411298000005</v>
          </cell>
          <cell r="AS291">
            <v>8.8235586306000009</v>
          </cell>
          <cell r="AT291">
            <v>25.6745868876</v>
          </cell>
          <cell r="AU291">
            <v>39.101616716400002</v>
          </cell>
          <cell r="AV291">
            <v>123.79702101480001</v>
          </cell>
          <cell r="AW291">
            <v>6.2820703890000003</v>
          </cell>
          <cell r="AX291">
            <v>23.337026181000002</v>
          </cell>
          <cell r="AY291">
            <v>24.809052290400004</v>
          </cell>
          <cell r="AZ291">
            <v>82.203079127399988</v>
          </cell>
          <cell r="BA291">
            <v>44.418283131599999</v>
          </cell>
          <cell r="BB291">
            <v>75.126462969599999</v>
          </cell>
          <cell r="BC291">
            <v>14.564835242999999</v>
          </cell>
          <cell r="BD291">
            <v>11.7625402188</v>
          </cell>
          <cell r="BE291">
            <v>30.7061956782</v>
          </cell>
          <cell r="BF291">
            <v>46.388112888599998</v>
          </cell>
          <cell r="BG291">
            <v>18.946244134840001</v>
          </cell>
          <cell r="BH291">
            <v>20.969240000000003</v>
          </cell>
          <cell r="BI291">
            <v>15.641303000000001</v>
          </cell>
          <cell r="BJ291">
            <v>27.558709</v>
          </cell>
          <cell r="BK291">
            <v>21.605295599999998</v>
          </cell>
          <cell r="BL291">
            <v>24.281706707999998</v>
          </cell>
          <cell r="BM291">
            <v>11.367031031999998</v>
          </cell>
          <cell r="BN291">
            <v>13.924509</v>
          </cell>
          <cell r="BO291">
            <v>10.400609485065379</v>
          </cell>
          <cell r="BP291">
            <v>11.420601040495617</v>
          </cell>
          <cell r="BQ291">
            <v>11.908396090655792</v>
          </cell>
          <cell r="BR291">
            <v>11.897475372838665</v>
          </cell>
          <cell r="BS291">
            <v>11.176038883307616</v>
          </cell>
          <cell r="BT291">
            <v>11.910318197811092</v>
          </cell>
          <cell r="BU291">
            <v>11.360624174472614</v>
          </cell>
          <cell r="BV291">
            <v>11.662565917021757</v>
          </cell>
          <cell r="BW291">
            <v>11.650570543817155</v>
          </cell>
          <cell r="BX291">
            <v>11.601404509090349</v>
          </cell>
          <cell r="BY291">
            <v>11.552023543286046</v>
          </cell>
          <cell r="BZ291">
            <v>11.637096668442593</v>
          </cell>
          <cell r="CA291">
            <v>11.565437737537584</v>
          </cell>
          <cell r="CB291">
            <v>11.62073223633158</v>
          </cell>
          <cell r="CC291">
            <v>11.601306600434746</v>
          </cell>
          <cell r="CD291">
            <v>11.59533893893763</v>
          </cell>
          <cell r="CE291">
            <v>11.688081912064163</v>
          </cell>
          <cell r="CF291">
            <v>11.789646155318216</v>
          </cell>
          <cell r="CG291">
            <v>11.87392151827337</v>
          </cell>
          <cell r="CH291">
            <v>11.974631614264551</v>
          </cell>
          <cell r="CI291">
            <v>12.062247807058093</v>
          </cell>
          <cell r="CJ291">
            <v>12.155483839669905</v>
          </cell>
          <cell r="CK291">
            <v>12.248884107689294</v>
          </cell>
          <cell r="CL291">
            <v>12.34238575860417</v>
          </cell>
          <cell r="CM291">
            <v>12.434204047464615</v>
          </cell>
          <cell r="CN291">
            <v>12.527924385013147</v>
          </cell>
        </row>
        <row r="292">
          <cell r="AJ292">
            <v>45.349295002200002</v>
          </cell>
          <cell r="AK292">
            <v>16.473156046200003</v>
          </cell>
          <cell r="AL292">
            <v>33.9315576642</v>
          </cell>
          <cell r="AM292">
            <v>36.908017826400005</v>
          </cell>
          <cell r="AN292">
            <v>10.833512508</v>
          </cell>
          <cell r="AO292">
            <v>28.038823520400001</v>
          </cell>
          <cell r="AP292">
            <v>13.9925153718</v>
          </cell>
          <cell r="AQ292">
            <v>26.5610653938</v>
          </cell>
          <cell r="AR292">
            <v>9.3381174054000002</v>
          </cell>
          <cell r="AS292">
            <v>19.2509797662</v>
          </cell>
          <cell r="AT292">
            <v>12.014748975600002</v>
          </cell>
          <cell r="AU292">
            <v>39.547391284800007</v>
          </cell>
          <cell r="AV292">
            <v>39.483236784599995</v>
          </cell>
          <cell r="AW292">
            <v>49.243980227400002</v>
          </cell>
          <cell r="AX292">
            <v>45.341137900800007</v>
          </cell>
          <cell r="AY292">
            <v>20.072421923399993</v>
          </cell>
          <cell r="AZ292">
            <v>86.442567233399998</v>
          </cell>
          <cell r="BA292">
            <v>26.750221961399998</v>
          </cell>
          <cell r="BB292">
            <v>68.467402218599986</v>
          </cell>
          <cell r="BC292">
            <v>14.053583401199999</v>
          </cell>
          <cell r="BD292">
            <v>15.574331656799998</v>
          </cell>
          <cell r="BE292">
            <v>12.054211709400001</v>
          </cell>
          <cell r="BF292">
            <v>27.145731148199999</v>
          </cell>
          <cell r="BG292">
            <v>15.4009131419</v>
          </cell>
          <cell r="BH292">
            <v>16.907547999999998</v>
          </cell>
          <cell r="BI292">
            <v>23.575897000000001</v>
          </cell>
          <cell r="BJ292">
            <v>28.929144000000001</v>
          </cell>
          <cell r="BK292">
            <v>24.281706707999998</v>
          </cell>
          <cell r="BL292">
            <v>26.349642143999997</v>
          </cell>
          <cell r="BM292">
            <v>23.882670125999997</v>
          </cell>
          <cell r="BN292">
            <v>10.066216000000001</v>
          </cell>
          <cell r="BO292">
            <v>13.151044694316889</v>
          </cell>
          <cell r="BP292">
            <v>13.129242652281411</v>
          </cell>
          <cell r="BQ292">
            <v>14.266179075755225</v>
          </cell>
          <cell r="BR292">
            <v>14.427861294281444</v>
          </cell>
          <cell r="BS292">
            <v>14.106180648580509</v>
          </cell>
          <cell r="BT292">
            <v>13.008108743326995</v>
          </cell>
          <cell r="BU292">
            <v>13.816101673043097</v>
          </cell>
          <cell r="BV292">
            <v>13.787514482845117</v>
          </cell>
          <cell r="BW292">
            <v>13.924886286997454</v>
          </cell>
          <cell r="BX292">
            <v>13.82915336841543</v>
          </cell>
          <cell r="BY292">
            <v>13.728558366958634</v>
          </cell>
          <cell r="BZ292">
            <v>13.673152910925621</v>
          </cell>
          <cell r="CA292">
            <v>13.817242835651948</v>
          </cell>
          <cell r="CB292">
            <v>13.78865308322845</v>
          </cell>
          <cell r="CC292">
            <v>13.794598753789819</v>
          </cell>
          <cell r="CD292">
            <v>13.767352113036017</v>
          </cell>
          <cell r="CE292">
            <v>13.870524719631781</v>
          </cell>
          <cell r="CF292">
            <v>13.988491138355592</v>
          </cell>
          <cell r="CG292">
            <v>14.116472128887008</v>
          </cell>
          <cell r="CH292">
            <v>14.216625724900275</v>
          </cell>
          <cell r="CI292">
            <v>14.326255231348696</v>
          </cell>
          <cell r="CJ292">
            <v>14.43258271346488</v>
          </cell>
          <cell r="CK292">
            <v>14.544413594519193</v>
          </cell>
          <cell r="CL292">
            <v>14.656894236612725</v>
          </cell>
          <cell r="CM292">
            <v>14.768108951812442</v>
          </cell>
          <cell r="CN292">
            <v>14.876128477273557</v>
          </cell>
        </row>
        <row r="293">
          <cell r="AJ293">
            <v>5.439463860600001</v>
          </cell>
          <cell r="AK293">
            <v>26.370145128600001</v>
          </cell>
          <cell r="AL293">
            <v>9.2382480287999993</v>
          </cell>
          <cell r="AM293">
            <v>17.3644847208</v>
          </cell>
          <cell r="AN293">
            <v>21.171866914800002</v>
          </cell>
          <cell r="AO293">
            <v>19.230035857200001</v>
          </cell>
          <cell r="AP293">
            <v>23.728126123799999</v>
          </cell>
          <cell r="AQ293">
            <v>17.226695845800002</v>
          </cell>
          <cell r="AR293">
            <v>13.936517973000001</v>
          </cell>
          <cell r="AS293">
            <v>9.6280251984000014</v>
          </cell>
          <cell r="AT293">
            <v>14.017207138200002</v>
          </cell>
          <cell r="AU293">
            <v>21.796656789599997</v>
          </cell>
          <cell r="AV293">
            <v>70.231761205200002</v>
          </cell>
          <cell r="AW293">
            <v>14.080920713999999</v>
          </cell>
          <cell r="AX293">
            <v>50.748193818000004</v>
          </cell>
          <cell r="AY293">
            <v>40.934539447199995</v>
          </cell>
          <cell r="AZ293">
            <v>28.794567942</v>
          </cell>
          <cell r="BA293">
            <v>70.150190191199997</v>
          </cell>
          <cell r="BB293">
            <v>66.199287104999996</v>
          </cell>
          <cell r="BC293">
            <v>32.385015331200002</v>
          </cell>
          <cell r="BD293">
            <v>13.0070493378</v>
          </cell>
          <cell r="BE293">
            <v>18.535139002799998</v>
          </cell>
          <cell r="BF293">
            <v>26.588671999999999</v>
          </cell>
          <cell r="BG293">
            <v>28.684912681260002</v>
          </cell>
          <cell r="BH293">
            <v>18.674519</v>
          </cell>
          <cell r="BI293">
            <v>15.756164</v>
          </cell>
          <cell r="BJ293">
            <v>16.388939999999998</v>
          </cell>
          <cell r="BK293">
            <v>26.349642143999997</v>
          </cell>
          <cell r="BL293">
            <v>22.700992733999996</v>
          </cell>
          <cell r="BM293">
            <v>7.5530349719999998</v>
          </cell>
          <cell r="BN293">
            <v>8.7957479999999997</v>
          </cell>
          <cell r="BO293">
            <v>9.1886925605442453</v>
          </cell>
          <cell r="BP293">
            <v>9.4601803482018809</v>
          </cell>
          <cell r="BQ293">
            <v>10.88788915490316</v>
          </cell>
          <cell r="BR293">
            <v>9.6151476911800824</v>
          </cell>
          <cell r="BS293">
            <v>8.6887270855093259</v>
          </cell>
          <cell r="BT293">
            <v>9.589531550965873</v>
          </cell>
          <cell r="BU293">
            <v>9.5681273680677386</v>
          </cell>
          <cell r="BV293">
            <v>9.6482951661520637</v>
          </cell>
          <cell r="BW293">
            <v>9.6698845701252374</v>
          </cell>
          <cell r="BX293">
            <v>9.4219657723750174</v>
          </cell>
          <cell r="BY293">
            <v>9.4329131481640474</v>
          </cell>
          <cell r="BZ293">
            <v>9.5795608855371857</v>
          </cell>
          <cell r="CA293">
            <v>9.5482372049768198</v>
          </cell>
          <cell r="CB293">
            <v>9.5505239084707103</v>
          </cell>
          <cell r="CC293">
            <v>9.5305123162356615</v>
          </cell>
          <cell r="CD293">
            <v>9.5066401839047554</v>
          </cell>
          <cell r="CE293">
            <v>9.6045762886182988</v>
          </cell>
          <cell r="CF293">
            <v>9.6957844182222264</v>
          </cell>
          <cell r="CG293">
            <v>9.7616337180230008</v>
          </cell>
          <cell r="CH293">
            <v>9.8368738660720751</v>
          </cell>
          <cell r="CI293">
            <v>9.9094914425523157</v>
          </cell>
          <cell r="CJ293">
            <v>9.9860182837859615</v>
          </cell>
          <cell r="CK293">
            <v>10.066724195031883</v>
          </cell>
          <cell r="CL293">
            <v>10.143013379707275</v>
          </cell>
          <cell r="CM293">
            <v>10.217137479588217</v>
          </cell>
          <cell r="CN293">
            <v>10.293414286359059</v>
          </cell>
        </row>
        <row r="294">
          <cell r="AI294">
            <v>2.8532217924000003</v>
          </cell>
          <cell r="AJ294">
            <v>24.911567213400001</v>
          </cell>
          <cell r="AK294">
            <v>13.289240953799998</v>
          </cell>
          <cell r="AL294">
            <v>14.817484924200002</v>
          </cell>
          <cell r="AM294">
            <v>12.1150592766</v>
          </cell>
          <cell r="AN294">
            <v>8.8131969072</v>
          </cell>
          <cell r="AO294">
            <v>28.7786946636</v>
          </cell>
          <cell r="AP294">
            <v>6.3270446778000009</v>
          </cell>
          <cell r="AQ294">
            <v>12.9528156366</v>
          </cell>
          <cell r="AR294">
            <v>21.173851074599998</v>
          </cell>
          <cell r="AS294">
            <v>14.6181870954</v>
          </cell>
          <cell r="AT294">
            <v>26.361547102799999</v>
          </cell>
          <cell r="AU294">
            <v>42.782674069800009</v>
          </cell>
          <cell r="AV294">
            <v>55.122825252600002</v>
          </cell>
          <cell r="AW294">
            <v>37.984534748999998</v>
          </cell>
          <cell r="AX294">
            <v>46.932434060400006</v>
          </cell>
          <cell r="AY294">
            <v>51.184708974000003</v>
          </cell>
          <cell r="AZ294">
            <v>48.359706343200003</v>
          </cell>
          <cell r="BA294">
            <v>88.994196736199996</v>
          </cell>
          <cell r="BB294">
            <v>38.739617784000004</v>
          </cell>
          <cell r="BC294">
            <v>27.188941739400001</v>
          </cell>
          <cell r="BD294">
            <v>9.2569873158</v>
          </cell>
          <cell r="BE294">
            <v>6.9849038825999994</v>
          </cell>
          <cell r="BF294">
            <v>17.971830999999998</v>
          </cell>
          <cell r="BG294">
            <v>20.75230631738</v>
          </cell>
          <cell r="BH294">
            <v>14.079032999999999</v>
          </cell>
          <cell r="BI294">
            <v>21.616637999999998</v>
          </cell>
          <cell r="BJ294">
            <v>30.732487000000003</v>
          </cell>
          <cell r="BK294">
            <v>22.700992733999996</v>
          </cell>
          <cell r="BL294">
            <v>29.815307927999999</v>
          </cell>
          <cell r="BM294">
            <v>6.6513445739999986</v>
          </cell>
          <cell r="BN294">
            <v>11.808426766418266</v>
          </cell>
          <cell r="BO294">
            <v>11.545999708968994</v>
          </cell>
          <cell r="BP294">
            <v>11.764282061797243</v>
          </cell>
          <cell r="BQ294">
            <v>12.046037427159945</v>
          </cell>
          <cell r="BR294">
            <v>11.929288387913761</v>
          </cell>
          <cell r="BS294">
            <v>10.190427576559326</v>
          </cell>
          <cell r="BT294">
            <v>11.81880687045164</v>
          </cell>
          <cell r="BU294">
            <v>11.495207032479854</v>
          </cell>
          <cell r="BV294">
            <v>11.549768464776383</v>
          </cell>
          <cell r="BW294">
            <v>11.495953458912906</v>
          </cell>
          <cell r="BX294">
            <v>11.396699666436193</v>
          </cell>
          <cell r="BY294">
            <v>11.310032680636022</v>
          </cell>
          <cell r="BZ294">
            <v>11.551287098611395</v>
          </cell>
          <cell r="CA294">
            <v>11.449532260648272</v>
          </cell>
          <cell r="CB294">
            <v>11.460748273874581</v>
          </cell>
          <cell r="CC294">
            <v>11.440701033048958</v>
          </cell>
          <cell r="CD294">
            <v>11.433659996041293</v>
          </cell>
          <cell r="CE294">
            <v>11.533999951518759</v>
          </cell>
          <cell r="CF294">
            <v>11.650660704164018</v>
          </cell>
          <cell r="CG294">
            <v>11.720105613317697</v>
          </cell>
          <cell r="CH294">
            <v>11.815366759021563</v>
          </cell>
          <cell r="CI294">
            <v>11.903782169178756</v>
          </cell>
          <cell r="CJ294">
            <v>11.997081710476056</v>
          </cell>
          <cell r="CK294">
            <v>12.091182509422664</v>
          </cell>
          <cell r="CL294">
            <v>12.183830380107016</v>
          </cell>
          <cell r="CM294">
            <v>12.271826944661298</v>
          </cell>
        </row>
        <row r="295">
          <cell r="AI295">
            <v>9.5449109490000001</v>
          </cell>
          <cell r="AJ295">
            <v>25.070961384</v>
          </cell>
          <cell r="AK295">
            <v>8.5795069751999993</v>
          </cell>
          <cell r="AL295">
            <v>15.574331656799998</v>
          </cell>
          <cell r="AM295">
            <v>14.9486599332</v>
          </cell>
          <cell r="AN295">
            <v>32.344229824200006</v>
          </cell>
          <cell r="AO295">
            <v>17.782921976400001</v>
          </cell>
          <cell r="AP295">
            <v>28.156329873000001</v>
          </cell>
          <cell r="AQ295">
            <v>15.750040030200001</v>
          </cell>
          <cell r="AR295">
            <v>15.48746955</v>
          </cell>
          <cell r="AS295">
            <v>27.160722577799998</v>
          </cell>
          <cell r="AT295">
            <v>20.573752966200001</v>
          </cell>
          <cell r="AU295">
            <v>60.1755984144</v>
          </cell>
          <cell r="AV295">
            <v>27.154329174000001</v>
          </cell>
          <cell r="AW295">
            <v>23.1057613332</v>
          </cell>
          <cell r="AX295">
            <v>52.520048519399992</v>
          </cell>
          <cell r="AY295">
            <v>41.104074879000002</v>
          </cell>
          <cell r="AZ295">
            <v>41.2381158966</v>
          </cell>
          <cell r="BA295">
            <v>20.759161676399998</v>
          </cell>
          <cell r="BB295">
            <v>32.353930161000001</v>
          </cell>
          <cell r="BC295">
            <v>34.432006858200005</v>
          </cell>
          <cell r="BD295">
            <v>34.499247829200002</v>
          </cell>
          <cell r="BE295">
            <v>9.7783804187999994</v>
          </cell>
          <cell r="BF295">
            <v>24.733725</v>
          </cell>
          <cell r="BG295">
            <v>12.92012480374</v>
          </cell>
          <cell r="BH295">
            <v>23.552298</v>
          </cell>
          <cell r="BI295">
            <v>13.981489999999999</v>
          </cell>
          <cell r="BJ295">
            <v>40.962249999999997</v>
          </cell>
          <cell r="BK295">
            <v>29.815307927999999</v>
          </cell>
          <cell r="BL295">
            <v>22.235817491999999</v>
          </cell>
          <cell r="BM295">
            <v>9.6584489819999977</v>
          </cell>
          <cell r="BN295">
            <v>12.960306315650158</v>
          </cell>
          <cell r="BO295">
            <v>12.077816917450136</v>
          </cell>
          <cell r="BP295">
            <v>13.374774104671976</v>
          </cell>
          <cell r="BQ295">
            <v>12.662866924706364</v>
          </cell>
          <cell r="BR295">
            <v>11.716284176981786</v>
          </cell>
          <cell r="BS295">
            <v>11.500419210982868</v>
          </cell>
          <cell r="BT295">
            <v>12.558409687892086</v>
          </cell>
          <cell r="BU295">
            <v>12.266432266958628</v>
          </cell>
          <cell r="BV295">
            <v>12.362550821047018</v>
          </cell>
          <cell r="BW295">
            <v>12.140882453504346</v>
          </cell>
          <cell r="BX295">
            <v>12.080819232772477</v>
          </cell>
          <cell r="BY295">
            <v>12.165738888076989</v>
          </cell>
          <cell r="BZ295">
            <v>12.281818892434911</v>
          </cell>
          <cell r="CA295">
            <v>12.203284732471893</v>
          </cell>
          <cell r="CB295">
            <v>12.206362057567148</v>
          </cell>
          <cell r="CC295">
            <v>12.174508839852123</v>
          </cell>
          <cell r="CD295">
            <v>12.187604760664684</v>
          </cell>
          <cell r="CE295">
            <v>12.303993423537257</v>
          </cell>
          <cell r="CF295">
            <v>12.406087310303723</v>
          </cell>
          <cell r="CG295">
            <v>12.48833304824907</v>
          </cell>
          <cell r="CH295">
            <v>12.587474163309421</v>
          </cell>
          <cell r="CI295">
            <v>12.68283448453073</v>
          </cell>
          <cell r="CJ295">
            <v>12.785082747235283</v>
          </cell>
          <cell r="CK295">
            <v>12.884174001173104</v>
          </cell>
          <cell r="CL295">
            <v>12.98034878020551</v>
          </cell>
          <cell r="CM295">
            <v>13.075905217788739</v>
          </cell>
        </row>
        <row r="296">
          <cell r="AI296">
            <v>0.82122169500000008</v>
          </cell>
          <cell r="AJ296">
            <v>6.2736928253999995</v>
          </cell>
          <cell r="AK296">
            <v>21.665261318400002</v>
          </cell>
          <cell r="AL296">
            <v>12.559951996200001</v>
          </cell>
          <cell r="AM296">
            <v>23.682931372800002</v>
          </cell>
          <cell r="AN296">
            <v>16.3834279308</v>
          </cell>
          <cell r="AO296">
            <v>51.538771267199998</v>
          </cell>
          <cell r="AP296">
            <v>2.7114645978000005</v>
          </cell>
          <cell r="AQ296">
            <v>6.0640332731999997</v>
          </cell>
          <cell r="AR296">
            <v>10.288529949600001</v>
          </cell>
          <cell r="AS296">
            <v>35.824446113400001</v>
          </cell>
          <cell r="AT296">
            <v>25.040537600400004</v>
          </cell>
          <cell r="AU296">
            <v>14.905008417600001</v>
          </cell>
          <cell r="AV296">
            <v>27.1000954728</v>
          </cell>
          <cell r="AW296">
            <v>15.6085032978</v>
          </cell>
          <cell r="AX296">
            <v>63.59783314500001</v>
          </cell>
          <cell r="AY296">
            <v>58.381036106400003</v>
          </cell>
          <cell r="AZ296">
            <v>64.477477323000002</v>
          </cell>
          <cell r="BA296">
            <v>71.286231907800001</v>
          </cell>
          <cell r="BB296">
            <v>11.4801281406</v>
          </cell>
          <cell r="BC296">
            <v>30.274089766199999</v>
          </cell>
          <cell r="BD296">
            <v>9.7003367999999988</v>
          </cell>
          <cell r="BE296">
            <v>16.7072869026</v>
          </cell>
          <cell r="BF296">
            <v>15.744352000000001</v>
          </cell>
          <cell r="BG296">
            <v>24.541360255939999</v>
          </cell>
          <cell r="BH296">
            <v>14.043835</v>
          </cell>
          <cell r="BI296">
            <v>25.577694999999999</v>
          </cell>
          <cell r="BJ296">
            <v>27.238015000000001</v>
          </cell>
          <cell r="BK296">
            <v>22.235817491999999</v>
          </cell>
          <cell r="BL296">
            <v>9.045564065999999</v>
          </cell>
          <cell r="BM296">
            <v>21.531624055039998</v>
          </cell>
          <cell r="BN296">
            <v>9.7431184023608068</v>
          </cell>
          <cell r="BO296">
            <v>10.936374117955031</v>
          </cell>
          <cell r="BP296">
            <v>10.38618174551358</v>
          </cell>
          <cell r="BQ296">
            <v>10.727958772364714</v>
          </cell>
          <cell r="BR296">
            <v>10.272428214295482</v>
          </cell>
          <cell r="BS296">
            <v>11.991050255049874</v>
          </cell>
          <cell r="BT296">
            <v>10.413212250497924</v>
          </cell>
          <cell r="BU296">
            <v>10.862798621035736</v>
          </cell>
          <cell r="BV296">
            <v>10.758166247544315</v>
          </cell>
          <cell r="BW296">
            <v>10.853489622648747</v>
          </cell>
          <cell r="BX296">
            <v>10.859531117684666</v>
          </cell>
          <cell r="BY296">
            <v>10.97574339935532</v>
          </cell>
          <cell r="BZ296">
            <v>10.749439571882277</v>
          </cell>
          <cell r="CA296">
            <v>10.861945801653759</v>
          </cell>
          <cell r="CB296">
            <v>10.839273991823067</v>
          </cell>
          <cell r="CC296">
            <v>10.860029902644953</v>
          </cell>
          <cell r="CD296">
            <v>10.85718677647982</v>
          </cell>
          <cell r="CE296">
            <v>10.944144825739651</v>
          </cell>
          <cell r="CF296">
            <v>11.006912412239123</v>
          </cell>
          <cell r="CG296">
            <v>11.115671575379681</v>
          </cell>
          <cell r="CH296">
            <v>11.196614140527918</v>
          </cell>
          <cell r="CI296">
            <v>11.286708263110651</v>
          </cell>
          <cell r="CJ296">
            <v>11.371321881382631</v>
          </cell>
          <cell r="CK296">
            <v>11.457198063505636</v>
          </cell>
          <cell r="CL296">
            <v>11.542591256218792</v>
          </cell>
          <cell r="CM296">
            <v>11.632749024313036</v>
          </cell>
        </row>
        <row r="297">
          <cell r="AI297">
            <v>0.86773921920000008</v>
          </cell>
          <cell r="AJ297">
            <v>0.77911341479999996</v>
          </cell>
          <cell r="AK297">
            <v>9.3436289604000002</v>
          </cell>
          <cell r="AL297">
            <v>22.292035352999999</v>
          </cell>
          <cell r="AM297">
            <v>5.0424114383999994</v>
          </cell>
          <cell r="AN297">
            <v>13.263887800799999</v>
          </cell>
          <cell r="AO297">
            <v>15.103865321999999</v>
          </cell>
          <cell r="AP297">
            <v>1.9590271092</v>
          </cell>
          <cell r="AQ297">
            <v>19.0613822742</v>
          </cell>
          <cell r="AR297">
            <v>21.026802787200001</v>
          </cell>
          <cell r="AS297">
            <v>30.109624965000002</v>
          </cell>
          <cell r="AT297">
            <v>20.095790916599999</v>
          </cell>
          <cell r="AU297">
            <v>48.160188052199999</v>
          </cell>
          <cell r="AV297">
            <v>44.174231476199992</v>
          </cell>
          <cell r="AW297">
            <v>32.811389226000003</v>
          </cell>
          <cell r="AX297">
            <v>49.567618736999997</v>
          </cell>
          <cell r="AY297">
            <v>79.9971343542</v>
          </cell>
          <cell r="AZ297">
            <v>13.059960265800001</v>
          </cell>
          <cell r="BA297">
            <v>37.576238754600006</v>
          </cell>
          <cell r="BB297">
            <v>13.4684767224</v>
          </cell>
          <cell r="BC297">
            <v>22.355528466599999</v>
          </cell>
          <cell r="BD297">
            <v>40.444892900999996</v>
          </cell>
          <cell r="BE297">
            <v>11.6648754642</v>
          </cell>
          <cell r="BF297">
            <v>20.437913999999999</v>
          </cell>
          <cell r="BG297">
            <v>14.367839233</v>
          </cell>
          <cell r="BH297">
            <v>16.330179999999999</v>
          </cell>
          <cell r="BI297">
            <v>19.530785999999999</v>
          </cell>
          <cell r="BJ297">
            <v>25.748887</v>
          </cell>
          <cell r="BK297">
            <v>9.045564065999999</v>
          </cell>
          <cell r="BL297">
            <v>8.8074648899999985</v>
          </cell>
          <cell r="BM297">
            <v>16.2491627331</v>
          </cell>
          <cell r="BN297">
            <v>7.8888216633310106</v>
          </cell>
          <cell r="BO297">
            <v>8.2188803052501331</v>
          </cell>
          <cell r="BP297">
            <v>7.8352431929065993</v>
          </cell>
          <cell r="BQ297">
            <v>7.3293150022878901</v>
          </cell>
          <cell r="BR297">
            <v>8.1654967740116149</v>
          </cell>
          <cell r="BS297">
            <v>8.9984912230035974</v>
          </cell>
          <cell r="BT297">
            <v>7.8875513875574494</v>
          </cell>
          <cell r="BU297">
            <v>8.1094852994919666</v>
          </cell>
          <cell r="BV297">
            <v>8.0432195159534299</v>
          </cell>
          <cell r="BW297">
            <v>8.0980679372705051</v>
          </cell>
          <cell r="BX297">
            <v>8.2408488400036113</v>
          </cell>
          <cell r="BY297">
            <v>8.2273630726553897</v>
          </cell>
          <cell r="BZ297">
            <v>8.0758345960553939</v>
          </cell>
          <cell r="CA297">
            <v>8.1437969330749809</v>
          </cell>
          <cell r="CB297">
            <v>8.1370667923876656</v>
          </cell>
          <cell r="CC297">
            <v>8.1571822758119765</v>
          </cell>
          <cell r="CD297">
            <v>8.1649820468354086</v>
          </cell>
          <cell r="CE297">
            <v>8.2134347238690584</v>
          </cell>
          <cell r="CF297">
            <v>8.2659448892944134</v>
          </cell>
          <cell r="CG297">
            <v>8.3458582025771939</v>
          </cell>
          <cell r="CH297">
            <v>8.4093643056331366</v>
          </cell>
          <cell r="CI297">
            <v>8.4772777781148108</v>
          </cell>
          <cell r="CJ297">
            <v>8.5407016158037923</v>
          </cell>
          <cell r="CK297">
            <v>8.6030752292695265</v>
          </cell>
          <cell r="CL297">
            <v>8.6685372453632628</v>
          </cell>
          <cell r="CM297">
            <v>8.7360325163190673</v>
          </cell>
        </row>
        <row r="298">
          <cell r="AI298">
            <v>3.7954772351999999</v>
          </cell>
          <cell r="AJ298">
            <v>1.2881606345999999</v>
          </cell>
          <cell r="AK298">
            <v>10.426318824600001</v>
          </cell>
          <cell r="AL298">
            <v>25.239835429199999</v>
          </cell>
          <cell r="AM298">
            <v>35.479863694799995</v>
          </cell>
          <cell r="AN298">
            <v>14.236126102799998</v>
          </cell>
          <cell r="AO298">
            <v>19.344455739000001</v>
          </cell>
          <cell r="AP298">
            <v>14.912504132399999</v>
          </cell>
          <cell r="AQ298">
            <v>17.859863284199999</v>
          </cell>
          <cell r="AR298">
            <v>16.517468948400001</v>
          </cell>
          <cell r="AS298">
            <v>17.429961994200003</v>
          </cell>
          <cell r="AT298">
            <v>28.909869672599999</v>
          </cell>
          <cell r="AU298">
            <v>25.810612065000001</v>
          </cell>
          <cell r="AV298">
            <v>70.160331452400001</v>
          </cell>
          <cell r="AW298">
            <v>10.148536452600002</v>
          </cell>
          <cell r="AX298">
            <v>43.063322450399987</v>
          </cell>
          <cell r="AY298">
            <v>33.9877755252</v>
          </cell>
          <cell r="AZ298">
            <v>10.868786459999999</v>
          </cell>
          <cell r="BA298">
            <v>15.162508267200002</v>
          </cell>
          <cell r="BB298">
            <v>16.286204100599999</v>
          </cell>
          <cell r="BC298">
            <v>14.978422330199999</v>
          </cell>
          <cell r="BD298">
            <v>13.264328725199999</v>
          </cell>
          <cell r="BE298">
            <v>19.8010329552</v>
          </cell>
          <cell r="BF298">
            <v>13.044090000000001</v>
          </cell>
          <cell r="BG298">
            <v>20.099855642240001</v>
          </cell>
          <cell r="BH298">
            <v>19.668140000000001</v>
          </cell>
          <cell r="BI298">
            <v>31.811738000000002</v>
          </cell>
          <cell r="BJ298">
            <v>23.313922999999999</v>
          </cell>
          <cell r="BK298">
            <v>8.8074648899999985</v>
          </cell>
          <cell r="BL298">
            <v>7.7294047319999999</v>
          </cell>
          <cell r="BM298">
            <v>16.195530942359998</v>
          </cell>
          <cell r="BN298">
            <v>9.0670178980965197</v>
          </cell>
          <cell r="BO298">
            <v>9.0964717782438758</v>
          </cell>
          <cell r="BP298">
            <v>7.5314380860733943</v>
          </cell>
          <cell r="BQ298">
            <v>7.4294523393975869</v>
          </cell>
          <cell r="BR298">
            <v>8.2688646409446882</v>
          </cell>
          <cell r="BS298">
            <v>9.3390466782397787</v>
          </cell>
          <cell r="BT298">
            <v>8.2786489485512131</v>
          </cell>
          <cell r="BU298">
            <v>8.3330547045798653</v>
          </cell>
          <cell r="BV298">
            <v>8.1694901386413328</v>
          </cell>
          <cell r="BW298">
            <v>8.3298134623426261</v>
          </cell>
          <cell r="BX298">
            <v>8.4778210221913746</v>
          </cell>
          <cell r="BY298">
            <v>8.4900107864709646</v>
          </cell>
          <cell r="BZ298">
            <v>8.3177656552612831</v>
          </cell>
          <cell r="CA298">
            <v>8.3600380228452309</v>
          </cell>
          <cell r="CB298">
            <v>8.3569802129815169</v>
          </cell>
          <cell r="CC298">
            <v>8.3950897898222951</v>
          </cell>
          <cell r="CD298">
            <v>8.4005231399500744</v>
          </cell>
          <cell r="CE298">
            <v>8.451048708624068</v>
          </cell>
          <cell r="CF298">
            <v>8.4999366339988338</v>
          </cell>
          <cell r="CG298">
            <v>8.5804329455280648</v>
          </cell>
          <cell r="CH298">
            <v>8.6486650073465068</v>
          </cell>
          <cell r="CI298">
            <v>8.7203075409350763</v>
          </cell>
          <cell r="CJ298">
            <v>8.7843455795962662</v>
          </cell>
          <cell r="CK298">
            <v>8.8482056100142135</v>
          </cell>
          <cell r="CL298">
            <v>8.9148534342400474</v>
          </cell>
          <cell r="CM298">
            <v>8.9845879931973798</v>
          </cell>
        </row>
        <row r="299">
          <cell r="AI299">
            <v>4.7560310406000008</v>
          </cell>
          <cell r="AJ299">
            <v>3.8089254294000003</v>
          </cell>
          <cell r="AK299">
            <v>5.6813108940000001</v>
          </cell>
          <cell r="AL299">
            <v>28.5368476302</v>
          </cell>
          <cell r="AM299">
            <v>47.983156905599998</v>
          </cell>
          <cell r="AN299">
            <v>12.235211175600002</v>
          </cell>
          <cell r="AO299">
            <v>19.250097917400002</v>
          </cell>
          <cell r="AP299">
            <v>30.847511948400001</v>
          </cell>
          <cell r="AQ299">
            <v>29.9193660864</v>
          </cell>
          <cell r="AR299">
            <v>20.026345323599998</v>
          </cell>
          <cell r="AS299">
            <v>50.735407010400003</v>
          </cell>
          <cell r="AT299">
            <v>27.7888193856</v>
          </cell>
          <cell r="AU299">
            <v>88.321346101800003</v>
          </cell>
          <cell r="AV299">
            <v>51.246879314400005</v>
          </cell>
          <cell r="AW299">
            <v>43.215661830599998</v>
          </cell>
          <cell r="AX299">
            <v>49.227004638000004</v>
          </cell>
          <cell r="AY299">
            <v>71.5494637746</v>
          </cell>
          <cell r="AZ299">
            <v>11.820080853</v>
          </cell>
          <cell r="BA299">
            <v>60.390108135000006</v>
          </cell>
          <cell r="BB299">
            <v>15.438526941599999</v>
          </cell>
          <cell r="BC299">
            <v>10.804191035399999</v>
          </cell>
          <cell r="BD299">
            <v>16.158776949</v>
          </cell>
          <cell r="BE299">
            <v>36.926757113400001</v>
          </cell>
          <cell r="BF299">
            <v>18.225290000000001</v>
          </cell>
          <cell r="BG299">
            <v>18.89276005364</v>
          </cell>
          <cell r="BH299">
            <v>18.113495999999998</v>
          </cell>
          <cell r="BI299">
            <v>22.391313999999998</v>
          </cell>
          <cell r="BJ299">
            <v>31.112955000000003</v>
          </cell>
          <cell r="BK299">
            <v>7.7294047319999999</v>
          </cell>
          <cell r="BL299">
            <v>5.870908386</v>
          </cell>
          <cell r="BM299">
            <v>8.1006402956599999</v>
          </cell>
          <cell r="BN299">
            <v>8.4601791958283208</v>
          </cell>
          <cell r="BO299">
            <v>7.7864474936232924</v>
          </cell>
          <cell r="BP299">
            <v>7.0873646897323264</v>
          </cell>
          <cell r="BQ299">
            <v>5.5393419083194759</v>
          </cell>
          <cell r="BR299">
            <v>6.2167535288266125</v>
          </cell>
          <cell r="BS299">
            <v>7.0012629354483673</v>
          </cell>
          <cell r="BT299">
            <v>7.0180173632660052</v>
          </cell>
          <cell r="BU299">
            <v>6.7262341111900144</v>
          </cell>
          <cell r="BV299">
            <v>6.5725480851185578</v>
          </cell>
          <cell r="BW299">
            <v>6.5003219694100949</v>
          </cell>
          <cell r="BX299">
            <v>6.7069632047699121</v>
          </cell>
          <cell r="BY299">
            <v>6.7636768928866076</v>
          </cell>
          <cell r="BZ299">
            <v>6.7048169467509169</v>
          </cell>
          <cell r="CA299">
            <v>6.653948852675037</v>
          </cell>
          <cell r="CB299">
            <v>6.649665419787218</v>
          </cell>
          <cell r="CC299">
            <v>6.6659455732985142</v>
          </cell>
          <cell r="CD299">
            <v>6.6958142633739381</v>
          </cell>
          <cell r="CE299">
            <v>6.7411116229762955</v>
          </cell>
          <cell r="CF299">
            <v>6.780822822555959</v>
          </cell>
          <cell r="CG299">
            <v>6.8307191273326024</v>
          </cell>
          <cell r="CH299">
            <v>6.8882219770015256</v>
          </cell>
          <cell r="CI299">
            <v>6.9459171842152925</v>
          </cell>
          <cell r="CJ299">
            <v>7.0011123866684759</v>
          </cell>
          <cell r="CK299">
            <v>7.0510260014043453</v>
          </cell>
          <cell r="CL299">
            <v>7.1029822251223607</v>
          </cell>
          <cell r="CM299">
            <v>7.1570423917959705</v>
          </cell>
        </row>
        <row r="300">
          <cell r="AI300">
            <v>2.2233612870000004</v>
          </cell>
          <cell r="AJ300">
            <v>11.751958033200001</v>
          </cell>
          <cell r="AK300">
            <v>0.47752112520000001</v>
          </cell>
          <cell r="AL300">
            <v>34.836334532999999</v>
          </cell>
          <cell r="AM300">
            <v>17.5986155772</v>
          </cell>
          <cell r="AN300">
            <v>21.270193056</v>
          </cell>
          <cell r="AO300">
            <v>26.635140693</v>
          </cell>
          <cell r="AP300">
            <v>19.716375470400003</v>
          </cell>
          <cell r="AQ300">
            <v>5.8413664511999999</v>
          </cell>
          <cell r="AR300">
            <v>8.3594856996000004</v>
          </cell>
          <cell r="AS300">
            <v>11.691110466</v>
          </cell>
          <cell r="AT300">
            <v>20.765334618000001</v>
          </cell>
          <cell r="AU300">
            <v>39.828039665399999</v>
          </cell>
          <cell r="AV300">
            <v>45.495240978600002</v>
          </cell>
          <cell r="AW300">
            <v>12.896597775600002</v>
          </cell>
          <cell r="AX300">
            <v>45.590039724600004</v>
          </cell>
          <cell r="AY300">
            <v>59.821977045599994</v>
          </cell>
          <cell r="AZ300">
            <v>25.807746056399999</v>
          </cell>
          <cell r="BA300">
            <v>53.485893417599996</v>
          </cell>
          <cell r="BB300">
            <v>13.388669406000002</v>
          </cell>
          <cell r="BC300">
            <v>16.055159714999998</v>
          </cell>
          <cell r="BD300">
            <v>10.517590175400001</v>
          </cell>
          <cell r="BE300">
            <v>27.509493778200003</v>
          </cell>
          <cell r="BF300">
            <v>13.02959520984</v>
          </cell>
          <cell r="BG300">
            <v>19.984179230839999</v>
          </cell>
          <cell r="BH300">
            <v>21.109805999999999</v>
          </cell>
          <cell r="BI300">
            <v>17.758067</v>
          </cell>
          <cell r="BJ300">
            <v>30.045612000000002</v>
          </cell>
          <cell r="BK300">
            <v>5.870908386</v>
          </cell>
          <cell r="BL300">
            <v>14.091943823999999</v>
          </cell>
          <cell r="BM300">
            <v>11.98903661604</v>
          </cell>
          <cell r="BN300">
            <v>8.8233594991934456</v>
          </cell>
          <cell r="BO300">
            <v>8.2575720311781602</v>
          </cell>
          <cell r="BP300">
            <v>8.1916073228938604</v>
          </cell>
          <cell r="BQ300">
            <v>7.1574934671815811</v>
          </cell>
          <cell r="BR300">
            <v>8.5577684109018115</v>
          </cell>
          <cell r="BS300">
            <v>8.4110402760109597</v>
          </cell>
          <cell r="BT300">
            <v>8.1975601462697725</v>
          </cell>
          <cell r="BU300">
            <v>8.1150963016332742</v>
          </cell>
          <cell r="BV300">
            <v>8.1030939246515974</v>
          </cell>
          <cell r="BW300">
            <v>8.0877917203994798</v>
          </cell>
          <cell r="BX300">
            <v>8.2769118118934824</v>
          </cell>
          <cell r="BY300">
            <v>8.182916473793016</v>
          </cell>
          <cell r="BZ300">
            <v>8.1560907809695209</v>
          </cell>
          <cell r="CA300">
            <v>8.1531620464741685</v>
          </cell>
          <cell r="CB300">
            <v>8.1613609423414193</v>
          </cell>
          <cell r="CC300">
            <v>8.1713745667059321</v>
          </cell>
          <cell r="CD300">
            <v>8.1860884110943211</v>
          </cell>
          <cell r="CE300">
            <v>8.2303008097532668</v>
          </cell>
          <cell r="CF300">
            <v>8.2962651951093438</v>
          </cell>
          <cell r="CG300">
            <v>8.3634068807911284</v>
          </cell>
          <cell r="CH300">
            <v>8.4312982489260389</v>
          </cell>
          <cell r="CI300">
            <v>8.4978869449271279</v>
          </cell>
          <cell r="CJ300">
            <v>8.5629355913122964</v>
          </cell>
          <cell r="CK300">
            <v>8.6252013538982997</v>
          </cell>
          <cell r="CL300">
            <v>8.6917650395686366</v>
          </cell>
          <cell r="CM300">
            <v>8.7575656748623913</v>
          </cell>
        </row>
        <row r="301">
          <cell r="AI301">
            <v>35.633525848200001</v>
          </cell>
          <cell r="AJ301">
            <v>5.5534428180000006</v>
          </cell>
          <cell r="AK301">
            <v>5.1145025778000006</v>
          </cell>
          <cell r="AL301">
            <v>20.222997606</v>
          </cell>
          <cell r="AM301">
            <v>48.029233505400008</v>
          </cell>
          <cell r="AN301">
            <v>10.5482344212</v>
          </cell>
          <cell r="AO301">
            <v>15.321461513399999</v>
          </cell>
          <cell r="AP301">
            <v>5.0712919866000004</v>
          </cell>
          <cell r="AQ301">
            <v>17.043491757600002</v>
          </cell>
          <cell r="AR301">
            <v>3.6568065114000001</v>
          </cell>
          <cell r="AS301">
            <v>36.139486597199998</v>
          </cell>
          <cell r="AT301">
            <v>14.0416784424</v>
          </cell>
          <cell r="AU301">
            <v>32.3768582298</v>
          </cell>
          <cell r="AV301">
            <v>34.743960871200002</v>
          </cell>
          <cell r="AW301">
            <v>80.150135121000005</v>
          </cell>
          <cell r="AX301">
            <v>69.666055200000002</v>
          </cell>
          <cell r="AY301">
            <v>54.756196614000004</v>
          </cell>
          <cell r="AZ301">
            <v>35.575985213999999</v>
          </cell>
          <cell r="BA301">
            <v>52.645932435600002</v>
          </cell>
          <cell r="BB301">
            <v>36.548443978199998</v>
          </cell>
          <cell r="BC301">
            <v>18.616710016799999</v>
          </cell>
          <cell r="BD301">
            <v>56.500052615999998</v>
          </cell>
          <cell r="BE301">
            <v>32.588061017400001</v>
          </cell>
          <cell r="BF301">
            <v>22.67092978326</v>
          </cell>
          <cell r="BG301">
            <v>21.75583170442</v>
          </cell>
          <cell r="BH301">
            <v>17.403170999999997</v>
          </cell>
          <cell r="BI301">
            <v>23.293936000000002</v>
          </cell>
          <cell r="BJ301">
            <v>42.898421999999997</v>
          </cell>
          <cell r="BK301">
            <v>14.091943823999999</v>
          </cell>
          <cell r="BL301">
            <v>22.436438093999996</v>
          </cell>
          <cell r="BM301">
            <v>14.561928</v>
          </cell>
          <cell r="BN301">
            <v>3.1380762591214619</v>
          </cell>
          <cell r="BO301">
            <v>12.142977659616477</v>
          </cell>
          <cell r="BP301">
            <v>11.234326573543967</v>
          </cell>
          <cell r="BQ301">
            <v>9.6884617204620014</v>
          </cell>
          <cell r="BR301">
            <v>10.584200297738136</v>
          </cell>
          <cell r="BS301">
            <v>9.6128295375268777</v>
          </cell>
          <cell r="BT301">
            <v>9.3576085020964115</v>
          </cell>
          <cell r="BU301">
            <v>10.652559157777503</v>
          </cell>
          <cell r="BV301">
            <v>10.095485326273476</v>
          </cell>
          <cell r="BW301">
            <v>9.9791318431201859</v>
          </cell>
          <cell r="BX301">
            <v>10.060536564282486</v>
          </cell>
          <cell r="BY301">
            <v>9.9395228733588823</v>
          </cell>
          <cell r="BZ301">
            <v>10.029064278710024</v>
          </cell>
          <cell r="CA301">
            <v>10.145447152962504</v>
          </cell>
          <cell r="CB301">
            <v>10.020748177149017</v>
          </cell>
          <cell r="CC301">
            <v>10.030740542486811</v>
          </cell>
          <cell r="CD301">
            <v>10.0390638092926</v>
          </cell>
          <cell r="CE301">
            <v>10.113369441772903</v>
          </cell>
          <cell r="CF301">
            <v>10.213860996794125</v>
          </cell>
          <cell r="CG301">
            <v>10.295078670653311</v>
          </cell>
          <cell r="CH301">
            <v>10.356519112749865</v>
          </cell>
          <cell r="CI301">
            <v>10.44370007912832</v>
          </cell>
          <cell r="CJ301">
            <v>10.524950954480971</v>
          </cell>
          <cell r="CK301">
            <v>10.605896462101569</v>
          </cell>
          <cell r="CL301">
            <v>10.68827380656785</v>
          </cell>
          <cell r="CM301">
            <v>10.766620719078887</v>
          </cell>
        </row>
        <row r="302">
          <cell r="AI302">
            <v>76.550428319399998</v>
          </cell>
          <cell r="AJ302">
            <v>153.39098489400001</v>
          </cell>
          <cell r="AK302">
            <v>147.05864912340004</v>
          </cell>
          <cell r="AL302">
            <v>295.02560251079996</v>
          </cell>
          <cell r="AM302">
            <v>348.93654705</v>
          </cell>
          <cell r="AN302">
            <v>271.67755321980002</v>
          </cell>
          <cell r="AO302">
            <v>284.31356467499995</v>
          </cell>
          <cell r="AP302">
            <v>187.07716812960001</v>
          </cell>
          <cell r="AQ302">
            <v>254.73944239380006</v>
          </cell>
          <cell r="AR302">
            <v>160.51191395399999</v>
          </cell>
          <cell r="AS302">
            <v>278.03237613479996</v>
          </cell>
          <cell r="AT302">
            <v>268.51039325459999</v>
          </cell>
          <cell r="AU302">
            <v>471.4213770504</v>
          </cell>
          <cell r="AV302">
            <v>629.67531715199993</v>
          </cell>
          <cell r="AW302">
            <v>348.8776836426</v>
          </cell>
          <cell r="AX302">
            <v>548.7235814718</v>
          </cell>
          <cell r="AY302">
            <v>553.0904967294</v>
          </cell>
          <cell r="AZ302">
            <v>510.63190209359999</v>
          </cell>
          <cell r="BA302">
            <v>663.93844996500002</v>
          </cell>
          <cell r="BB302">
            <v>475.19436714120002</v>
          </cell>
          <cell r="BC302">
            <v>262.20804034320003</v>
          </cell>
          <cell r="BD302">
            <v>241.401699756</v>
          </cell>
          <cell r="BE302">
            <v>245.79683417520002</v>
          </cell>
          <cell r="BF302">
            <v>274.25562249090001</v>
          </cell>
          <cell r="BG302">
            <v>237.47034347167997</v>
          </cell>
          <cell r="BH302">
            <v>211.92651899999998</v>
          </cell>
          <cell r="BI302">
            <v>251.61722799999998</v>
          </cell>
          <cell r="BJ302">
            <v>349.37268699999993</v>
          </cell>
          <cell r="BK302">
            <v>231.21876950399999</v>
          </cell>
          <cell r="BL302">
            <v>214.97048659799998</v>
          </cell>
          <cell r="BM302">
            <v>160.13042796819997</v>
          </cell>
          <cell r="BN302">
            <v>125</v>
          </cell>
          <cell r="BO302">
            <v>125</v>
          </cell>
          <cell r="BP302">
            <v>125</v>
          </cell>
          <cell r="BQ302">
            <v>125</v>
          </cell>
          <cell r="BR302">
            <v>125</v>
          </cell>
          <cell r="BS302">
            <v>125</v>
          </cell>
          <cell r="BT302">
            <v>125</v>
          </cell>
          <cell r="BU302">
            <v>125</v>
          </cell>
          <cell r="BV302">
            <v>125</v>
          </cell>
          <cell r="BW302">
            <v>125</v>
          </cell>
          <cell r="BX302">
            <v>125</v>
          </cell>
          <cell r="BY302">
            <v>125</v>
          </cell>
          <cell r="BZ302">
            <v>125</v>
          </cell>
          <cell r="CA302">
            <v>125</v>
          </cell>
          <cell r="CB302">
            <v>125</v>
          </cell>
          <cell r="CC302">
            <v>125</v>
          </cell>
          <cell r="CD302">
            <v>125</v>
          </cell>
          <cell r="CE302">
            <v>126</v>
          </cell>
          <cell r="CF302">
            <v>127</v>
          </cell>
          <cell r="CG302">
            <v>128</v>
          </cell>
          <cell r="CH302">
            <v>129</v>
          </cell>
          <cell r="CI302">
            <v>130</v>
          </cell>
          <cell r="CJ302">
            <v>131</v>
          </cell>
          <cell r="CK302">
            <v>132</v>
          </cell>
          <cell r="CL302">
            <v>133</v>
          </cell>
          <cell r="CM302">
            <v>134</v>
          </cell>
        </row>
        <row r="338">
          <cell r="BI338">
            <v>114.98</v>
          </cell>
          <cell r="BJ338">
            <v>80.385273001550331</v>
          </cell>
          <cell r="BK338">
            <v>115.738</v>
          </cell>
          <cell r="BL338">
            <v>167.27600000000001</v>
          </cell>
          <cell r="BM338">
            <v>165.429</v>
          </cell>
          <cell r="BN338">
            <v>138.16900000000001</v>
          </cell>
          <cell r="BO338">
            <v>141.09394477930249</v>
          </cell>
          <cell r="BP338">
            <v>142.08268873959068</v>
          </cell>
          <cell r="BQ338">
            <v>145.11391573078427</v>
          </cell>
          <cell r="BR338">
            <v>114.29963283206278</v>
          </cell>
          <cell r="BS338">
            <v>128.3707905194791</v>
          </cell>
          <cell r="BT338">
            <v>127.09860759628974</v>
          </cell>
          <cell r="BU338">
            <v>127.41415737078019</v>
          </cell>
          <cell r="BV338">
            <v>133.85427068372761</v>
          </cell>
          <cell r="BW338">
            <v>124.2312715108667</v>
          </cell>
          <cell r="BX338">
            <v>123.0386523183186</v>
          </cell>
          <cell r="BY338">
            <v>94.139761392450339</v>
          </cell>
          <cell r="BZ338">
            <v>75.687135117060009</v>
          </cell>
          <cell r="CA338">
            <v>58.228805987570844</v>
          </cell>
          <cell r="CB338">
            <v>53.660772847238519</v>
          </cell>
          <cell r="CC338">
            <v>53.660772847238519</v>
          </cell>
          <cell r="CD338">
            <v>123.0386523183186</v>
          </cell>
          <cell r="CE338">
            <v>123.0386523183186</v>
          </cell>
          <cell r="CF338">
            <v>123.0386523183186</v>
          </cell>
          <cell r="CG338">
            <v>123.0386523183186</v>
          </cell>
          <cell r="CH338">
            <v>123.0386523183186</v>
          </cell>
          <cell r="CI338">
            <v>123.0386523183186</v>
          </cell>
          <cell r="CJ338">
            <v>123.0386523183186</v>
          </cell>
          <cell r="CK338">
            <v>123.0386523183186</v>
          </cell>
          <cell r="CL338">
            <v>123.0386523183186</v>
          </cell>
          <cell r="CM338">
            <v>123.0386523183186</v>
          </cell>
          <cell r="CN338">
            <v>123.0386523183186</v>
          </cell>
        </row>
        <row r="339">
          <cell r="AT339">
            <v>0</v>
          </cell>
          <cell r="AU339">
            <v>0.33790205455243555</v>
          </cell>
          <cell r="AV339">
            <v>1</v>
          </cell>
          <cell r="AW339">
            <v>40</v>
          </cell>
          <cell r="AX339">
            <v>118.9</v>
          </cell>
          <cell r="AY339">
            <v>99</v>
          </cell>
          <cell r="AZ339">
            <v>4</v>
          </cell>
          <cell r="BA339">
            <v>84</v>
          </cell>
          <cell r="BB339">
            <v>18</v>
          </cell>
          <cell r="BC339">
            <v>80</v>
          </cell>
          <cell r="BD339">
            <v>121.03</v>
          </cell>
          <cell r="BE339">
            <v>40</v>
          </cell>
          <cell r="BF339">
            <v>98.44</v>
          </cell>
          <cell r="BG339">
            <v>140.78</v>
          </cell>
          <cell r="BH339">
            <v>75.10009765625</v>
          </cell>
          <cell r="BI339">
            <v>100.08</v>
          </cell>
          <cell r="BJ339">
            <v>87.207244968589521</v>
          </cell>
          <cell r="BK339">
            <v>132.672888</v>
          </cell>
          <cell r="BL339">
            <v>113.45</v>
          </cell>
          <cell r="BM339">
            <v>137.553</v>
          </cell>
          <cell r="BN339">
            <v>120.133</v>
          </cell>
          <cell r="BO339">
            <v>129.32537961295498</v>
          </cell>
          <cell r="BP339">
            <v>124.37660662091814</v>
          </cell>
          <cell r="BQ339">
            <v>121.10566676925646</v>
          </cell>
          <cell r="BR339">
            <v>98.969465517796166</v>
          </cell>
          <cell r="BS339">
            <v>112.16856514833678</v>
          </cell>
          <cell r="BT339">
            <v>110.92871441452972</v>
          </cell>
          <cell r="BU339">
            <v>110.14139350079377</v>
          </cell>
          <cell r="BV339">
            <v>115.43059305396469</v>
          </cell>
          <cell r="BW339">
            <v>107.82982521795449</v>
          </cell>
          <cell r="BX339">
            <v>106.82801283705609</v>
          </cell>
          <cell r="BY339">
            <v>81.632914481977195</v>
          </cell>
          <cell r="BZ339">
            <v>65.547936288372668</v>
          </cell>
          <cell r="CA339">
            <v>50.450232525742422</v>
          </cell>
          <cell r="CB339">
            <v>46.541927677138801</v>
          </cell>
          <cell r="CC339">
            <v>46.541927677138801</v>
          </cell>
          <cell r="CD339">
            <v>46.541927677138801</v>
          </cell>
          <cell r="CE339">
            <v>46.541927677138801</v>
          </cell>
          <cell r="CF339">
            <v>46.541927677138801</v>
          </cell>
          <cell r="CG339">
            <v>46.541927677138801</v>
          </cell>
          <cell r="CH339">
            <v>46.541927677138801</v>
          </cell>
          <cell r="CI339">
            <v>46.541927677138801</v>
          </cell>
          <cell r="CJ339">
            <v>46.541927677138801</v>
          </cell>
          <cell r="CK339">
            <v>46.541927677138801</v>
          </cell>
          <cell r="CL339">
            <v>46.541927677138801</v>
          </cell>
          <cell r="CM339">
            <v>46.541927677138801</v>
          </cell>
          <cell r="CN339">
            <v>46.541927677138801</v>
          </cell>
        </row>
        <row r="340">
          <cell r="AT340">
            <v>0</v>
          </cell>
          <cell r="AU340">
            <v>0.33790205455243555</v>
          </cell>
          <cell r="AV340">
            <v>1</v>
          </cell>
          <cell r="AW340">
            <v>44.2</v>
          </cell>
          <cell r="AX340">
            <v>24.1</v>
          </cell>
          <cell r="AY340">
            <v>85</v>
          </cell>
          <cell r="AZ340">
            <v>8</v>
          </cell>
          <cell r="BA340">
            <v>71</v>
          </cell>
          <cell r="BB340">
            <v>16</v>
          </cell>
          <cell r="BC340">
            <v>105</v>
          </cell>
          <cell r="BD340">
            <v>84.59</v>
          </cell>
          <cell r="BE340">
            <v>48</v>
          </cell>
          <cell r="BF340">
            <v>55.23</v>
          </cell>
          <cell r="BG340">
            <v>127.85</v>
          </cell>
          <cell r="BH340">
            <v>85.650146484375</v>
          </cell>
          <cell r="BI340">
            <v>99.18</v>
          </cell>
          <cell r="BJ340">
            <v>75.634753488699971</v>
          </cell>
          <cell r="BK340">
            <v>126.211</v>
          </cell>
          <cell r="BL340">
            <v>119.591805422766</v>
          </cell>
          <cell r="BM340">
            <v>150.333786</v>
          </cell>
          <cell r="BN340">
            <v>132.01599999999999</v>
          </cell>
          <cell r="BO340">
            <v>260.43414717679406</v>
          </cell>
          <cell r="BP340">
            <v>135.0325625794587</v>
          </cell>
          <cell r="BQ340">
            <v>153.45197000568245</v>
          </cell>
          <cell r="BR340">
            <v>129.95918917164906</v>
          </cell>
          <cell r="BS340">
            <v>152.75730804884768</v>
          </cell>
          <cell r="BT340">
            <v>158.24419160988973</v>
          </cell>
          <cell r="BU340">
            <v>141.70542830457447</v>
          </cell>
          <cell r="BV340">
            <v>153.60115468303619</v>
          </cell>
          <cell r="BW340">
            <v>126.00484081056524</v>
          </cell>
          <cell r="BX340">
            <v>133.79032377502884</v>
          </cell>
          <cell r="BY340">
            <v>101.02579044602314</v>
          </cell>
          <cell r="BZ340">
            <v>82.338307616858842</v>
          </cell>
          <cell r="CA340">
            <v>63.038036782068701</v>
          </cell>
          <cell r="CB340">
            <v>57.238215887440759</v>
          </cell>
          <cell r="CC340">
            <v>57.238215887440759</v>
          </cell>
          <cell r="CD340">
            <v>57.238215887440759</v>
          </cell>
          <cell r="CE340">
            <v>57.238215887440759</v>
          </cell>
          <cell r="CF340">
            <v>57.238215887440759</v>
          </cell>
          <cell r="CG340">
            <v>57.238215887440759</v>
          </cell>
          <cell r="CH340">
            <v>57.238215887440759</v>
          </cell>
          <cell r="CI340">
            <v>57.238215887440759</v>
          </cell>
          <cell r="CJ340">
            <v>57.238215887440759</v>
          </cell>
          <cell r="CK340">
            <v>57.238215887440759</v>
          </cell>
          <cell r="CL340">
            <v>57.238215887440759</v>
          </cell>
          <cell r="CM340">
            <v>57.238215887440759</v>
          </cell>
          <cell r="CN340">
            <v>57.238215887440759</v>
          </cell>
        </row>
        <row r="341">
          <cell r="AT341">
            <v>0</v>
          </cell>
          <cell r="AU341">
            <v>0</v>
          </cell>
          <cell r="AV341">
            <v>2</v>
          </cell>
          <cell r="AW341">
            <v>66.2</v>
          </cell>
          <cell r="AX341">
            <v>44</v>
          </cell>
          <cell r="AY341">
            <v>33</v>
          </cell>
          <cell r="AZ341">
            <v>8</v>
          </cell>
          <cell r="BA341">
            <v>73</v>
          </cell>
          <cell r="BB341">
            <v>16</v>
          </cell>
          <cell r="BC341">
            <v>36</v>
          </cell>
          <cell r="BD341">
            <v>65</v>
          </cell>
          <cell r="BE341">
            <v>60.83</v>
          </cell>
          <cell r="BF341">
            <v>37.909999999999997</v>
          </cell>
          <cell r="BG341">
            <v>128.03</v>
          </cell>
          <cell r="BH341">
            <v>95.188333333333389</v>
          </cell>
          <cell r="BI341">
            <v>109</v>
          </cell>
          <cell r="BJ341">
            <v>227.95051681497193</v>
          </cell>
          <cell r="BK341">
            <v>63.920999999999999</v>
          </cell>
          <cell r="BL341">
            <v>95.943749308474011</v>
          </cell>
          <cell r="BM341">
            <v>152.648</v>
          </cell>
          <cell r="BN341">
            <v>48.89</v>
          </cell>
          <cell r="BO341">
            <v>138.8654708916047</v>
          </cell>
          <cell r="BP341">
            <v>100.42357872170633</v>
          </cell>
          <cell r="BQ341">
            <v>83.212051790812382</v>
          </cell>
          <cell r="BR341">
            <v>96.4080777991867</v>
          </cell>
          <cell r="BS341">
            <v>90.91364375245567</v>
          </cell>
          <cell r="BT341">
            <v>98.315000305953646</v>
          </cell>
          <cell r="BU341">
            <v>97.936515206389629</v>
          </cell>
          <cell r="BV341">
            <v>114.10257306714885</v>
          </cell>
          <cell r="BW341">
            <v>100.95761939261256</v>
          </cell>
          <cell r="BX341">
            <v>99.797545681165687</v>
          </cell>
          <cell r="BY341">
            <v>64.330387525955587</v>
          </cell>
          <cell r="BZ341">
            <v>50.445581523448375</v>
          </cell>
          <cell r="CA341">
            <v>48.33682809048193</v>
          </cell>
          <cell r="CB341">
            <v>48.33682809048193</v>
          </cell>
          <cell r="CC341">
            <v>48.33682809048193</v>
          </cell>
          <cell r="CD341">
            <v>48.33682809048193</v>
          </cell>
          <cell r="CE341">
            <v>48.33682809048193</v>
          </cell>
          <cell r="CF341">
            <v>48.33682809048193</v>
          </cell>
          <cell r="CG341">
            <v>48.33682809048193</v>
          </cell>
          <cell r="CH341">
            <v>48.33682809048193</v>
          </cell>
          <cell r="CI341">
            <v>48.33682809048193</v>
          </cell>
          <cell r="CJ341">
            <v>48.33682809048193</v>
          </cell>
          <cell r="CK341">
            <v>48.33682809048193</v>
          </cell>
          <cell r="CL341">
            <v>48.33682809048193</v>
          </cell>
          <cell r="CM341">
            <v>48.33682809048193</v>
          </cell>
        </row>
        <row r="342">
          <cell r="AT342">
            <v>0</v>
          </cell>
          <cell r="AU342">
            <v>0</v>
          </cell>
          <cell r="AV342">
            <v>2</v>
          </cell>
          <cell r="AW342">
            <v>60</v>
          </cell>
          <cell r="AX342">
            <v>15</v>
          </cell>
          <cell r="AY342">
            <v>30</v>
          </cell>
          <cell r="AZ342">
            <v>26</v>
          </cell>
          <cell r="BA342">
            <v>90</v>
          </cell>
          <cell r="BB342">
            <v>38</v>
          </cell>
          <cell r="BC342">
            <v>27</v>
          </cell>
          <cell r="BD342">
            <v>30</v>
          </cell>
          <cell r="BE342">
            <v>47.28</v>
          </cell>
          <cell r="BF342">
            <v>69</v>
          </cell>
          <cell r="BG342">
            <v>102.36</v>
          </cell>
          <cell r="BH342">
            <v>53.819999999999936</v>
          </cell>
          <cell r="BI342">
            <v>93.39</v>
          </cell>
          <cell r="BJ342">
            <v>85.328000000000003</v>
          </cell>
          <cell r="BK342">
            <v>59.081998216759644</v>
          </cell>
          <cell r="BL342">
            <v>66.343073137521245</v>
          </cell>
          <cell r="BM342">
            <v>129.77799999999999</v>
          </cell>
          <cell r="BN342">
            <v>101.42373125896883</v>
          </cell>
          <cell r="BO342">
            <v>156.52950066097083</v>
          </cell>
          <cell r="BP342">
            <v>116.93644199184851</v>
          </cell>
          <cell r="BQ342">
            <v>93.744636979604493</v>
          </cell>
          <cell r="BR342">
            <v>115.70207492775658</v>
          </cell>
          <cell r="BS342">
            <v>115.70983237687093</v>
          </cell>
          <cell r="BT342">
            <v>115.70546690575995</v>
          </cell>
          <cell r="BU342">
            <v>116.44716096011332</v>
          </cell>
          <cell r="BV342">
            <v>109.54681244494159</v>
          </cell>
          <cell r="BW342">
            <v>107.25043303366478</v>
          </cell>
          <cell r="BX342">
            <v>104.57858507710776</v>
          </cell>
          <cell r="BY342">
            <v>69.659067476972837</v>
          </cell>
          <cell r="BZ342">
            <v>53.707310212538246</v>
          </cell>
          <cell r="CA342">
            <v>50.166826570882428</v>
          </cell>
          <cell r="CB342">
            <v>50.166826570882428</v>
          </cell>
          <cell r="CC342">
            <v>50.166826570882428</v>
          </cell>
          <cell r="CD342">
            <v>50.166826570882428</v>
          </cell>
          <cell r="CE342">
            <v>50.166826570882428</v>
          </cell>
          <cell r="CF342">
            <v>50.166826570882428</v>
          </cell>
          <cell r="CG342">
            <v>50.166826570882428</v>
          </cell>
          <cell r="CH342">
            <v>50.166826570882428</v>
          </cell>
          <cell r="CI342">
            <v>50.166826570882428</v>
          </cell>
          <cell r="CJ342">
            <v>50.166826570882428</v>
          </cell>
          <cell r="CK342">
            <v>50.166826570882428</v>
          </cell>
          <cell r="CL342">
            <v>50.166826570882428</v>
          </cell>
          <cell r="CM342">
            <v>50.166826570882428</v>
          </cell>
        </row>
        <row r="343">
          <cell r="AT343">
            <v>0</v>
          </cell>
          <cell r="AU343">
            <v>0</v>
          </cell>
          <cell r="AV343">
            <v>2</v>
          </cell>
          <cell r="AW343">
            <v>66.3</v>
          </cell>
          <cell r="AX343">
            <v>0</v>
          </cell>
          <cell r="AY343">
            <v>22</v>
          </cell>
          <cell r="AZ343">
            <v>68</v>
          </cell>
          <cell r="BA343">
            <v>117</v>
          </cell>
          <cell r="BB343">
            <v>39</v>
          </cell>
          <cell r="BC343">
            <v>32</v>
          </cell>
          <cell r="BD343">
            <v>80</v>
          </cell>
          <cell r="BE343">
            <v>68.19</v>
          </cell>
          <cell r="BF343">
            <v>129.93</v>
          </cell>
          <cell r="BG343">
            <v>100.98</v>
          </cell>
          <cell r="BH343">
            <v>83.11</v>
          </cell>
          <cell r="BI343">
            <v>131.41</v>
          </cell>
          <cell r="BJ343">
            <v>122.631</v>
          </cell>
          <cell r="BK343">
            <v>68.572284573221395</v>
          </cell>
          <cell r="BL343">
            <v>190.37899999999999</v>
          </cell>
          <cell r="BM343">
            <v>144.564888</v>
          </cell>
          <cell r="BN343">
            <v>145.19914724290618</v>
          </cell>
          <cell r="BO343">
            <v>186.78933619010925</v>
          </cell>
          <cell r="BP343">
            <v>160.60874983083764</v>
          </cell>
          <cell r="BQ343">
            <v>131.21023539988349</v>
          </cell>
          <cell r="BR343">
            <v>146.51245310912836</v>
          </cell>
          <cell r="BS343">
            <v>152.77846824360327</v>
          </cell>
          <cell r="BT343">
            <v>150.81570818450456</v>
          </cell>
          <cell r="BU343">
            <v>154.88303842408277</v>
          </cell>
          <cell r="BV343">
            <v>144.82148451512694</v>
          </cell>
          <cell r="BW343">
            <v>140.27921287015388</v>
          </cell>
          <cell r="BX343">
            <v>137.67296320831494</v>
          </cell>
          <cell r="BY343">
            <v>91.660995453861986</v>
          </cell>
          <cell r="BZ343">
            <v>70.814398129694837</v>
          </cell>
          <cell r="CA343">
            <v>66.022127266306441</v>
          </cell>
          <cell r="CB343">
            <v>66.022127266306441</v>
          </cell>
          <cell r="CC343">
            <v>66.022127266306441</v>
          </cell>
          <cell r="CD343">
            <v>66.022127266306441</v>
          </cell>
          <cell r="CE343">
            <v>66.022127266306441</v>
          </cell>
          <cell r="CF343">
            <v>66.022127266306441</v>
          </cell>
          <cell r="CG343">
            <v>66.022127266306441</v>
          </cell>
          <cell r="CH343">
            <v>66.022127266306441</v>
          </cell>
          <cell r="CI343">
            <v>66.022127266306441</v>
          </cell>
          <cell r="CJ343">
            <v>66.022127266306441</v>
          </cell>
          <cell r="CK343">
            <v>66.022127266306441</v>
          </cell>
          <cell r="CL343">
            <v>66.022127266306441</v>
          </cell>
          <cell r="CM343">
            <v>66.022127266306441</v>
          </cell>
        </row>
        <row r="344">
          <cell r="AT344">
            <v>0</v>
          </cell>
          <cell r="AU344">
            <v>2.8646121142310802E-3</v>
          </cell>
          <cell r="AV344">
            <v>3</v>
          </cell>
          <cell r="AW344">
            <v>60</v>
          </cell>
          <cell r="AX344">
            <v>0</v>
          </cell>
          <cell r="AY344">
            <v>30</v>
          </cell>
          <cell r="AZ344">
            <v>88</v>
          </cell>
          <cell r="BA344">
            <v>112</v>
          </cell>
          <cell r="BB344">
            <v>47</v>
          </cell>
          <cell r="BC344">
            <v>58</v>
          </cell>
          <cell r="BD344">
            <v>94</v>
          </cell>
          <cell r="BE344">
            <v>91.57</v>
          </cell>
          <cell r="BF344">
            <v>119.74</v>
          </cell>
          <cell r="BG344">
            <v>116.42</v>
          </cell>
          <cell r="BH344">
            <v>120.72</v>
          </cell>
          <cell r="BI344">
            <v>138.44999999999999</v>
          </cell>
          <cell r="BJ344">
            <v>216.88422028148534</v>
          </cell>
          <cell r="BK344">
            <v>101.556</v>
          </cell>
          <cell r="BL344">
            <v>155.17699999999999</v>
          </cell>
          <cell r="BM344">
            <v>175.02799999999999</v>
          </cell>
          <cell r="BN344">
            <v>197.82223263899053</v>
          </cell>
          <cell r="BO344">
            <v>186.71356622342111</v>
          </cell>
          <cell r="BP344">
            <v>167.40695746641936</v>
          </cell>
          <cell r="BQ344">
            <v>139.55224186523631</v>
          </cell>
          <cell r="BR344">
            <v>168.85789023710484</v>
          </cell>
          <cell r="BS344">
            <v>170.85809328814139</v>
          </cell>
          <cell r="BT344">
            <v>161.62487794178051</v>
          </cell>
          <cell r="BU344">
            <v>168.59066186228497</v>
          </cell>
          <cell r="BV344">
            <v>159.18646510837044</v>
          </cell>
          <cell r="BW344">
            <v>155.0798661911891</v>
          </cell>
          <cell r="BX344">
            <v>150.93378645482306</v>
          </cell>
          <cell r="BY344">
            <v>100.14226271798495</v>
          </cell>
          <cell r="BZ344">
            <v>77.719041427944418</v>
          </cell>
          <cell r="CA344">
            <v>72.578782538794925</v>
          </cell>
          <cell r="CB344">
            <v>72.578782538794925</v>
          </cell>
          <cell r="CC344">
            <v>72.578782538794925</v>
          </cell>
          <cell r="CD344">
            <v>72.578782538794925</v>
          </cell>
          <cell r="CE344">
            <v>72.578782538794925</v>
          </cell>
          <cell r="CF344">
            <v>72.578782538794925</v>
          </cell>
          <cell r="CG344">
            <v>72.578782538794925</v>
          </cell>
          <cell r="CH344">
            <v>72.578782538794925</v>
          </cell>
          <cell r="CI344">
            <v>72.578782538794925</v>
          </cell>
          <cell r="CJ344">
            <v>72.578782538794925</v>
          </cell>
          <cell r="CK344">
            <v>72.578782538794925</v>
          </cell>
          <cell r="CL344">
            <v>72.578782538794925</v>
          </cell>
          <cell r="CM344">
            <v>72.578782538794925</v>
          </cell>
        </row>
        <row r="345">
          <cell r="AT345">
            <v>0</v>
          </cell>
          <cell r="AU345">
            <v>2.8646121142310802E-3</v>
          </cell>
          <cell r="AV345">
            <v>4.4000000000000004</v>
          </cell>
          <cell r="AW345">
            <v>50.3</v>
          </cell>
          <cell r="AX345">
            <v>2</v>
          </cell>
          <cell r="AY345">
            <v>36</v>
          </cell>
          <cell r="AZ345">
            <v>113</v>
          </cell>
          <cell r="BA345">
            <v>85</v>
          </cell>
          <cell r="BB345">
            <v>33</v>
          </cell>
          <cell r="BC345">
            <v>68</v>
          </cell>
          <cell r="BD345">
            <v>55</v>
          </cell>
          <cell r="BE345">
            <v>122.35</v>
          </cell>
          <cell r="BF345">
            <v>130.58000000000001</v>
          </cell>
          <cell r="BG345">
            <v>101.31005859375</v>
          </cell>
          <cell r="BH345">
            <v>102.51964195412279</v>
          </cell>
          <cell r="BI345">
            <v>129.75</v>
          </cell>
          <cell r="BJ345">
            <v>174.67826625670898</v>
          </cell>
          <cell r="BK345">
            <v>121.788</v>
          </cell>
          <cell r="BL345">
            <v>171.66900000000001</v>
          </cell>
          <cell r="BM345">
            <v>157.65700000000001</v>
          </cell>
          <cell r="BN345">
            <v>174.58738201919331</v>
          </cell>
          <cell r="BO345">
            <v>168.52887042911073</v>
          </cell>
          <cell r="BP345">
            <v>162.40367024658116</v>
          </cell>
          <cell r="BQ345">
            <v>132.20447587752571</v>
          </cell>
          <cell r="BR345">
            <v>151.17485888684857</v>
          </cell>
          <cell r="BS345">
            <v>156.72497988850537</v>
          </cell>
          <cell r="BT345">
            <v>149.56627262799446</v>
          </cell>
          <cell r="BU345">
            <v>156.81145302772029</v>
          </cell>
          <cell r="BV345">
            <v>146.85677425929507</v>
          </cell>
          <cell r="BW345">
            <v>142.36254495863147</v>
          </cell>
          <cell r="BX345">
            <v>139.26220017684608</v>
          </cell>
          <cell r="BY345">
            <v>92.508913442561123</v>
          </cell>
          <cell r="BZ345">
            <v>71.768527803141382</v>
          </cell>
          <cell r="CA345">
            <v>66.914945928803945</v>
          </cell>
          <cell r="CB345">
            <v>66.914945928803945</v>
          </cell>
          <cell r="CC345">
            <v>66.914945928803945</v>
          </cell>
          <cell r="CD345">
            <v>66.914945928803945</v>
          </cell>
          <cell r="CE345">
            <v>66.914945928803945</v>
          </cell>
          <cell r="CF345">
            <v>66.914945928803945</v>
          </cell>
          <cell r="CG345">
            <v>66.914945928803945</v>
          </cell>
          <cell r="CH345">
            <v>66.914945928803945</v>
          </cell>
          <cell r="CI345">
            <v>66.914945928803945</v>
          </cell>
          <cell r="CJ345">
            <v>66.914945928803945</v>
          </cell>
          <cell r="CK345">
            <v>66.914945928803945</v>
          </cell>
          <cell r="CL345">
            <v>66.914945928803945</v>
          </cell>
          <cell r="CM345">
            <v>66.914945928803945</v>
          </cell>
        </row>
        <row r="346">
          <cell r="AT346">
            <v>0</v>
          </cell>
          <cell r="AU346">
            <v>2.8646121142310802E-3</v>
          </cell>
          <cell r="AV346">
            <v>4.4000000000000004</v>
          </cell>
          <cell r="AW346">
            <v>50</v>
          </cell>
          <cell r="AX346">
            <v>2</v>
          </cell>
          <cell r="AY346">
            <v>28</v>
          </cell>
          <cell r="AZ346">
            <v>75</v>
          </cell>
          <cell r="BA346">
            <v>103</v>
          </cell>
          <cell r="BB346">
            <v>28</v>
          </cell>
          <cell r="BC346">
            <v>90.85</v>
          </cell>
          <cell r="BD346">
            <v>56</v>
          </cell>
          <cell r="BE346">
            <v>129.16</v>
          </cell>
          <cell r="BF346">
            <v>152.97</v>
          </cell>
          <cell r="BG346">
            <v>108.282958984375</v>
          </cell>
          <cell r="BH346">
            <v>109.85892381575638</v>
          </cell>
          <cell r="BI346">
            <v>110.15</v>
          </cell>
          <cell r="BJ346">
            <v>271.87014493241782</v>
          </cell>
          <cell r="BK346">
            <v>125.13800000000001</v>
          </cell>
          <cell r="BL346">
            <v>195.203</v>
          </cell>
          <cell r="BM346">
            <v>162.12700000000001</v>
          </cell>
          <cell r="BN346">
            <v>211.78458178130214</v>
          </cell>
          <cell r="BO346">
            <v>209.35661947693688</v>
          </cell>
          <cell r="BP346">
            <v>184.5043910816793</v>
          </cell>
          <cell r="BQ346">
            <v>152.11874132117805</v>
          </cell>
          <cell r="BR346">
            <v>174.61894012103372</v>
          </cell>
          <cell r="BS346">
            <v>185.04252131248913</v>
          </cell>
          <cell r="BT346">
            <v>175.48726627676336</v>
          </cell>
          <cell r="BU346">
            <v>181.81869300470615</v>
          </cell>
          <cell r="BV346">
            <v>170.95968360185068</v>
          </cell>
          <cell r="BW346">
            <v>166.08155312464339</v>
          </cell>
          <cell r="BX346">
            <v>162.7847368622941</v>
          </cell>
          <cell r="BY346">
            <v>107.92377925374386</v>
          </cell>
          <cell r="BZ346">
            <v>83.638842469789864</v>
          </cell>
          <cell r="CA346">
            <v>78.063082879195107</v>
          </cell>
          <cell r="CB346">
            <v>78.063082879195107</v>
          </cell>
          <cell r="CC346">
            <v>78.063082879195107</v>
          </cell>
          <cell r="CD346">
            <v>78.063082879195107</v>
          </cell>
          <cell r="CE346">
            <v>78.063082879195107</v>
          </cell>
          <cell r="CF346">
            <v>78.063082879195107</v>
          </cell>
          <cell r="CG346">
            <v>78.063082879195107</v>
          </cell>
          <cell r="CH346">
            <v>78.063082879195107</v>
          </cell>
          <cell r="CI346">
            <v>78.063082879195107</v>
          </cell>
          <cell r="CJ346">
            <v>78.063082879195107</v>
          </cell>
          <cell r="CK346">
            <v>78.063082879195107</v>
          </cell>
          <cell r="CL346">
            <v>78.063082879195107</v>
          </cell>
          <cell r="CM346">
            <v>78.063082879195107</v>
          </cell>
        </row>
        <row r="347">
          <cell r="AT347">
            <v>0.14146912089564323</v>
          </cell>
          <cell r="AU347">
            <v>0</v>
          </cell>
          <cell r="AV347">
            <v>6.7</v>
          </cell>
          <cell r="AW347">
            <v>60</v>
          </cell>
          <cell r="AX347">
            <v>0</v>
          </cell>
          <cell r="AY347">
            <v>17</v>
          </cell>
          <cell r="AZ347">
            <v>77</v>
          </cell>
          <cell r="BA347">
            <v>66</v>
          </cell>
          <cell r="BB347">
            <v>55</v>
          </cell>
          <cell r="BC347">
            <v>134.62</v>
          </cell>
          <cell r="BD347">
            <v>76</v>
          </cell>
          <cell r="BE347">
            <v>114.53</v>
          </cell>
          <cell r="BF347">
            <v>157.13</v>
          </cell>
          <cell r="BG347">
            <v>101.530029296875</v>
          </cell>
          <cell r="BH347">
            <v>118.13</v>
          </cell>
          <cell r="BI347">
            <v>86.754540830143696</v>
          </cell>
          <cell r="BJ347">
            <v>122.929</v>
          </cell>
          <cell r="BK347">
            <v>132.958</v>
          </cell>
          <cell r="BL347">
            <v>164.44</v>
          </cell>
          <cell r="BM347">
            <v>139.11799999999999</v>
          </cell>
          <cell r="BN347">
            <v>147.19283958365739</v>
          </cell>
          <cell r="BO347">
            <v>150.56345251865582</v>
          </cell>
          <cell r="BP347">
            <v>148.6021125726983</v>
          </cell>
          <cell r="BQ347">
            <v>117.18657350823393</v>
          </cell>
          <cell r="BR347">
            <v>132.3669859347653</v>
          </cell>
          <cell r="BS347">
            <v>138.33350708042863</v>
          </cell>
          <cell r="BT347">
            <v>133.19402375702055</v>
          </cell>
          <cell r="BU347">
            <v>139.5581350827602</v>
          </cell>
          <cell r="BV347">
            <v>129.990647692171</v>
          </cell>
          <cell r="BW347">
            <v>125.95570603439859</v>
          </cell>
          <cell r="BX347">
            <v>123.47055481591413</v>
          </cell>
          <cell r="BY347">
            <v>82.105365294726028</v>
          </cell>
          <cell r="BZ347">
            <v>63.661991863917287</v>
          </cell>
          <cell r="CA347">
            <v>59.308760506699755</v>
          </cell>
          <cell r="CB347">
            <v>59.308760506699755</v>
          </cell>
          <cell r="CC347">
            <v>59.308760506699755</v>
          </cell>
          <cell r="CD347">
            <v>59.308760506699755</v>
          </cell>
          <cell r="CE347">
            <v>59.308760506699755</v>
          </cell>
          <cell r="CF347">
            <v>59.308760506699755</v>
          </cell>
          <cell r="CG347">
            <v>59.308760506699755</v>
          </cell>
          <cell r="CH347">
            <v>59.308760506699755</v>
          </cell>
          <cell r="CI347">
            <v>59.308760506699755</v>
          </cell>
          <cell r="CJ347">
            <v>59.308760506699755</v>
          </cell>
          <cell r="CK347">
            <v>59.308760506699755</v>
          </cell>
          <cell r="CL347">
            <v>59.308760506699755</v>
          </cell>
          <cell r="CM347">
            <v>59.308760506699755</v>
          </cell>
        </row>
        <row r="348">
          <cell r="AT348">
            <v>0.14146912089564323</v>
          </cell>
          <cell r="AU348">
            <v>0</v>
          </cell>
          <cell r="AV348">
            <v>25</v>
          </cell>
          <cell r="AW348">
            <v>64.2</v>
          </cell>
          <cell r="AX348">
            <v>0</v>
          </cell>
          <cell r="AY348">
            <v>19</v>
          </cell>
          <cell r="AZ348">
            <v>84</v>
          </cell>
          <cell r="BA348">
            <v>48</v>
          </cell>
          <cell r="BB348">
            <v>79</v>
          </cell>
          <cell r="BC348">
            <v>136.19999999999999</v>
          </cell>
          <cell r="BD348">
            <v>73</v>
          </cell>
          <cell r="BE348">
            <v>109.06</v>
          </cell>
          <cell r="BF348">
            <v>142.85</v>
          </cell>
          <cell r="BG348">
            <v>107.96</v>
          </cell>
          <cell r="BH348">
            <v>108.21</v>
          </cell>
          <cell r="BI348">
            <v>101.86899900356093</v>
          </cell>
          <cell r="BJ348">
            <v>141.64099999999999</v>
          </cell>
          <cell r="BK348">
            <v>133.40799999999999</v>
          </cell>
          <cell r="BL348">
            <v>174.27099999999999</v>
          </cell>
          <cell r="BM348">
            <v>168.06899999999999</v>
          </cell>
          <cell r="BN348">
            <v>173.39339916774836</v>
          </cell>
          <cell r="BO348">
            <v>169.04272619468807</v>
          </cell>
          <cell r="BP348">
            <v>166.03952098238881</v>
          </cell>
          <cell r="BQ348">
            <v>133.04800340071543</v>
          </cell>
          <cell r="BR348">
            <v>152.49690332855698</v>
          </cell>
          <cell r="BS348">
            <v>157.99044399652388</v>
          </cell>
          <cell r="BT348">
            <v>151.05564063827973</v>
          </cell>
          <cell r="BU348">
            <v>158.60148367797063</v>
          </cell>
          <cell r="BV348">
            <v>148.22287755855638</v>
          </cell>
          <cell r="BW348">
            <v>143.70746426688157</v>
          </cell>
          <cell r="BX348">
            <v>140.60165349567953</v>
          </cell>
          <cell r="BY348">
            <v>93.442068054578897</v>
          </cell>
          <cell r="BZ348">
            <v>72.504370868617727</v>
          </cell>
          <cell r="CA348">
            <v>67.580909171451594</v>
          </cell>
          <cell r="CB348">
            <v>67.580909171451594</v>
          </cell>
          <cell r="CC348">
            <v>67.580909171451594</v>
          </cell>
          <cell r="CD348">
            <v>67.580909171451594</v>
          </cell>
          <cell r="CE348">
            <v>67.580909171451594</v>
          </cell>
          <cell r="CF348">
            <v>67.580909171451594</v>
          </cell>
          <cell r="CG348">
            <v>67.580909171451594</v>
          </cell>
          <cell r="CH348">
            <v>67.580909171451594</v>
          </cell>
          <cell r="CI348">
            <v>67.580909171451594</v>
          </cell>
          <cell r="CJ348">
            <v>67.580909171451594</v>
          </cell>
          <cell r="CK348">
            <v>67.580909171451594</v>
          </cell>
          <cell r="CL348">
            <v>67.580909171451594</v>
          </cell>
          <cell r="CM348">
            <v>67.580909171451594</v>
          </cell>
        </row>
        <row r="349">
          <cell r="AT349">
            <v>0.14146912089564323</v>
          </cell>
          <cell r="AU349">
            <v>0</v>
          </cell>
          <cell r="AV349">
            <v>40</v>
          </cell>
          <cell r="AW349">
            <v>90.4</v>
          </cell>
          <cell r="AX349">
            <v>8</v>
          </cell>
          <cell r="AY349">
            <v>11</v>
          </cell>
          <cell r="AZ349">
            <v>84</v>
          </cell>
          <cell r="BA349">
            <v>46</v>
          </cell>
          <cell r="BB349">
            <v>44</v>
          </cell>
          <cell r="BC349">
            <v>126.05</v>
          </cell>
          <cell r="BD349">
            <v>68</v>
          </cell>
          <cell r="BE349">
            <v>116.88</v>
          </cell>
          <cell r="BF349">
            <v>83.64</v>
          </cell>
          <cell r="BG349">
            <v>96.17</v>
          </cell>
          <cell r="BH349">
            <v>124.46</v>
          </cell>
          <cell r="BI349">
            <v>73.455392023463219</v>
          </cell>
          <cell r="BJ349">
            <v>105.514</v>
          </cell>
          <cell r="BK349">
            <v>131.62100000000001</v>
          </cell>
          <cell r="BL349">
            <v>161.12799999999999</v>
          </cell>
          <cell r="BM349">
            <v>127.221</v>
          </cell>
          <cell r="BN349">
            <v>141.77811030305372</v>
          </cell>
          <cell r="BO349">
            <v>141.35207599285511</v>
          </cell>
          <cell r="BP349">
            <v>142.04699234534391</v>
          </cell>
          <cell r="BQ349">
            <v>111.43724026850607</v>
          </cell>
          <cell r="BR349">
            <v>128.44830685606033</v>
          </cell>
          <cell r="BS349">
            <v>132.28257091103433</v>
          </cell>
          <cell r="BT349">
            <v>127.09187366392625</v>
          </cell>
          <cell r="BU349">
            <v>133.63740877936746</v>
          </cell>
          <cell r="BV349">
            <v>124.53114665310616</v>
          </cell>
          <cell r="BW349">
            <v>120.83140962053463</v>
          </cell>
          <cell r="BX349">
            <v>118.16537672003214</v>
          </cell>
          <cell r="BY349">
            <v>78.594796463424416</v>
          </cell>
          <cell r="BZ349">
            <v>60.982796287517729</v>
          </cell>
          <cell r="CA349">
            <v>56.815104835032088</v>
          </cell>
          <cell r="CB349">
            <v>56.815104835032088</v>
          </cell>
          <cell r="CC349">
            <v>56.815104835032088</v>
          </cell>
          <cell r="CD349">
            <v>56.815104835032088</v>
          </cell>
          <cell r="CE349">
            <v>56.815104835032088</v>
          </cell>
          <cell r="CF349">
            <v>56.815104835032088</v>
          </cell>
          <cell r="CG349">
            <v>56.815104835032088</v>
          </cell>
          <cell r="CH349">
            <v>56.815104835032088</v>
          </cell>
          <cell r="CI349">
            <v>56.815104835032088</v>
          </cell>
          <cell r="CJ349">
            <v>56.815104835032088</v>
          </cell>
          <cell r="CK349">
            <v>56.815104835032088</v>
          </cell>
          <cell r="CL349">
            <v>56.815104835032088</v>
          </cell>
          <cell r="CM349">
            <v>56.815104835032088</v>
          </cell>
        </row>
        <row r="350">
          <cell r="AT350">
            <v>0.42440736268692969</v>
          </cell>
          <cell r="AU350">
            <v>1.0222999999999998</v>
          </cell>
          <cell r="AV350">
            <v>92</v>
          </cell>
          <cell r="AW350">
            <v>703.4</v>
          </cell>
          <cell r="AX350">
            <v>308.20000000000005</v>
          </cell>
          <cell r="AY350">
            <v>475</v>
          </cell>
          <cell r="AZ350">
            <v>645</v>
          </cell>
          <cell r="BA350">
            <v>964</v>
          </cell>
          <cell r="BB350">
            <v>429</v>
          </cell>
          <cell r="BC350">
            <v>975.72</v>
          </cell>
          <cell r="BD350">
            <v>935.52</v>
          </cell>
          <cell r="BE350">
            <v>1007.85</v>
          </cell>
          <cell r="BF350">
            <v>1294.3700000000001</v>
          </cell>
          <cell r="BG350">
            <v>1390.9630468750001</v>
          </cell>
        </row>
        <row r="354"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118.42897831700598</v>
          </cell>
          <cell r="BN354">
            <v>305.68705604539582</v>
          </cell>
          <cell r="BO354">
            <v>139.22151906798439</v>
          </cell>
          <cell r="BP354">
            <v>135.22155284587907</v>
          </cell>
          <cell r="BQ354">
            <v>184.64462614424252</v>
          </cell>
          <cell r="BR354">
            <v>194.25516428181376</v>
          </cell>
          <cell r="BS354">
            <v>179.49450210168698</v>
          </cell>
          <cell r="BT354">
            <v>188.72088633709114</v>
          </cell>
          <cell r="BU354">
            <v>211.83563654696513</v>
          </cell>
          <cell r="BV354">
            <v>249.62148037637041</v>
          </cell>
          <cell r="BW354">
            <v>244.62788171214876</v>
          </cell>
          <cell r="BX354">
            <v>239.6390372412275</v>
          </cell>
          <cell r="BY354">
            <v>254.87509374382017</v>
          </cell>
          <cell r="BZ354">
            <v>274.59682101152288</v>
          </cell>
          <cell r="CA354">
            <v>311.90663813616612</v>
          </cell>
          <cell r="CB354">
            <v>344.70318888954745</v>
          </cell>
          <cell r="CC354">
            <v>346.00286953359307</v>
          </cell>
          <cell r="CD354">
            <v>303.88372515892996</v>
          </cell>
          <cell r="CE354">
            <v>321.4444210137558</v>
          </cell>
          <cell r="CF354">
            <v>339.90373749272595</v>
          </cell>
          <cell r="CG354">
            <v>369.37838099687696</v>
          </cell>
          <cell r="CH354">
            <v>376.68444268036927</v>
          </cell>
          <cell r="CI354">
            <v>374.53265918762509</v>
          </cell>
          <cell r="CJ354">
            <v>356.90616633859247</v>
          </cell>
          <cell r="CK354">
            <v>371.59424666233156</v>
          </cell>
          <cell r="CL354">
            <v>384.92276764261015</v>
          </cell>
          <cell r="CM354">
            <v>398.84303621809534</v>
          </cell>
          <cell r="CN354">
            <v>416.1114780719314</v>
          </cell>
        </row>
        <row r="355"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153.48099999999999</v>
          </cell>
          <cell r="BN355">
            <v>286.1257328193683</v>
          </cell>
          <cell r="BO355">
            <v>158.88250738274246</v>
          </cell>
          <cell r="BP355">
            <v>182.01516476743203</v>
          </cell>
          <cell r="BQ355">
            <v>249.44545527081624</v>
          </cell>
          <cell r="BR355">
            <v>256.1112112788033</v>
          </cell>
          <cell r="BS355">
            <v>236.71160969754069</v>
          </cell>
          <cell r="BT355">
            <v>251.03190338962179</v>
          </cell>
          <cell r="BU355">
            <v>281.42522724517721</v>
          </cell>
          <cell r="BV355">
            <v>330.56455358620457</v>
          </cell>
          <cell r="BW355">
            <v>324.686826553392</v>
          </cell>
          <cell r="BX355">
            <v>317.82392963641661</v>
          </cell>
          <cell r="BY355">
            <v>337.92632495143454</v>
          </cell>
          <cell r="BZ355">
            <v>364.19361274675396</v>
          </cell>
          <cell r="CA355">
            <v>413.99215664672261</v>
          </cell>
          <cell r="CB355">
            <v>457.48171802824544</v>
          </cell>
          <cell r="CC355">
            <v>458.89288606321651</v>
          </cell>
          <cell r="CD355">
            <v>402.78375209497796</v>
          </cell>
          <cell r="CE355">
            <v>426.23271418056157</v>
          </cell>
          <cell r="CF355">
            <v>450.70837936205135</v>
          </cell>
          <cell r="CG355">
            <v>489.78688019778696</v>
          </cell>
          <cell r="CH355">
            <v>499.46384101897308</v>
          </cell>
          <cell r="CI355">
            <v>496.61424515869902</v>
          </cell>
          <cell r="CJ355">
            <v>473.12104893040362</v>
          </cell>
          <cell r="CK355">
            <v>492.74836138914787</v>
          </cell>
          <cell r="CL355">
            <v>510.41644588255286</v>
          </cell>
          <cell r="CM355">
            <v>528.87657596144595</v>
          </cell>
          <cell r="CN355">
            <v>551.87509193417657</v>
          </cell>
        </row>
        <row r="356"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51.556572499689651</v>
          </cell>
          <cell r="BM356">
            <v>192.85144460311525</v>
          </cell>
          <cell r="BN356">
            <v>385.53581233031178</v>
          </cell>
          <cell r="BO356">
            <v>210.0589702017875</v>
          </cell>
          <cell r="BP356">
            <v>244.06459284023668</v>
          </cell>
          <cell r="BQ356">
            <v>303.37888969468685</v>
          </cell>
          <cell r="BR356">
            <v>321.70484775760298</v>
          </cell>
          <cell r="BS356">
            <v>298.89061648163596</v>
          </cell>
          <cell r="BT356">
            <v>316.91777698163702</v>
          </cell>
          <cell r="BU356">
            <v>351.30328224725537</v>
          </cell>
          <cell r="BV356">
            <v>415.56770350552785</v>
          </cell>
          <cell r="BW356">
            <v>408.44024342037068</v>
          </cell>
          <cell r="BX356">
            <v>399.44040817366925</v>
          </cell>
          <cell r="BY356">
            <v>423.88603299567774</v>
          </cell>
          <cell r="BZ356">
            <v>457.65362721001321</v>
          </cell>
          <cell r="CA356">
            <v>520.29347484615676</v>
          </cell>
          <cell r="CB356">
            <v>574.81946545124651</v>
          </cell>
          <cell r="CC356">
            <v>576.37239110351425</v>
          </cell>
          <cell r="CD356">
            <v>505.83665159457365</v>
          </cell>
          <cell r="CE356">
            <v>535.35867385694587</v>
          </cell>
          <cell r="CF356">
            <v>566.08786583871699</v>
          </cell>
          <cell r="CG356">
            <v>615.173514071368</v>
          </cell>
          <cell r="CH356">
            <v>627.33513763657118</v>
          </cell>
          <cell r="CI356">
            <v>623.74241156458527</v>
          </cell>
          <cell r="CJ356">
            <v>594.16995120513468</v>
          </cell>
          <cell r="CK356">
            <v>618.91036557761606</v>
          </cell>
          <cell r="CL356">
            <v>641.09955627288264</v>
          </cell>
          <cell r="CM356">
            <v>664.2836464169668</v>
          </cell>
          <cell r="CN356">
            <v>693.22689011493492</v>
          </cell>
        </row>
        <row r="357"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146.07996437261107</v>
          </cell>
          <cell r="BM357">
            <v>222.99070168894596</v>
          </cell>
          <cell r="BN357">
            <v>132.30799919897123</v>
          </cell>
          <cell r="BO357">
            <v>105.9221890266582</v>
          </cell>
          <cell r="BP357">
            <v>151.72923140627452</v>
          </cell>
          <cell r="BQ357">
            <v>145.69913196213872</v>
          </cell>
          <cell r="BR357">
            <v>135.84329264227875</v>
          </cell>
          <cell r="BS357">
            <v>146.88767446448819</v>
          </cell>
          <cell r="BT357">
            <v>163.2824813969705</v>
          </cell>
          <cell r="BU357">
            <v>191.09033685863633</v>
          </cell>
          <cell r="BV357">
            <v>188.33290195156133</v>
          </cell>
          <cell r="BW357">
            <v>184.63029615124529</v>
          </cell>
          <cell r="BX357">
            <v>196.07032642957066</v>
          </cell>
          <cell r="BY357">
            <v>210.87268180845629</v>
          </cell>
          <cell r="BZ357">
            <v>239.95032348043401</v>
          </cell>
          <cell r="CA357">
            <v>265.0456509197279</v>
          </cell>
          <cell r="CB357">
            <v>266.01627011864605</v>
          </cell>
          <cell r="CC357">
            <v>233.92442033251496</v>
          </cell>
          <cell r="CD357">
            <v>247.4140163777405</v>
          </cell>
          <cell r="CE357">
            <v>261.59683553548433</v>
          </cell>
          <cell r="CF357">
            <v>284.21506183447866</v>
          </cell>
          <cell r="CG357">
            <v>289.85589860238929</v>
          </cell>
          <cell r="CH357">
            <v>288.23180968469825</v>
          </cell>
          <cell r="CI357">
            <v>274.76284048389761</v>
          </cell>
          <cell r="CJ357">
            <v>285.92790034578422</v>
          </cell>
          <cell r="CK357">
            <v>296.1882567071757</v>
          </cell>
          <cell r="CL357">
            <v>306.90212842313974</v>
          </cell>
          <cell r="CM357">
            <v>320.10477184719184</v>
          </cell>
        </row>
        <row r="358"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101.2013087028801</v>
          </cell>
          <cell r="BM358">
            <v>165.63675300765462</v>
          </cell>
          <cell r="BN358">
            <v>112.08385520224643</v>
          </cell>
          <cell r="BO358">
            <v>95.229831596433655</v>
          </cell>
          <cell r="BP358">
            <v>133.02775055388736</v>
          </cell>
          <cell r="BQ358">
            <v>130.73943227502744</v>
          </cell>
          <cell r="BR358">
            <v>126.55443434196665</v>
          </cell>
          <cell r="BS358">
            <v>131.6469953565724</v>
          </cell>
          <cell r="BT358">
            <v>147.55900236630447</v>
          </cell>
          <cell r="BU358">
            <v>173.31630986124839</v>
          </cell>
          <cell r="BV358">
            <v>171.16850254491405</v>
          </cell>
          <cell r="BW358">
            <v>166.75636827831411</v>
          </cell>
          <cell r="BX358">
            <v>177.42099770551198</v>
          </cell>
          <cell r="BY358">
            <v>191.27971649649677</v>
          </cell>
          <cell r="BZ358">
            <v>217.60248424837724</v>
          </cell>
          <cell r="CA358">
            <v>240.19837843655657</v>
          </cell>
          <cell r="CB358">
            <v>241.00011858701006</v>
          </cell>
          <cell r="CC358">
            <v>211.63726788659628</v>
          </cell>
          <cell r="CD358">
            <v>223.95149257372654</v>
          </cell>
          <cell r="CE358">
            <v>236.77224327375001</v>
          </cell>
          <cell r="CF358">
            <v>257.29748717637597</v>
          </cell>
          <cell r="CG358">
            <v>262.39319665820108</v>
          </cell>
          <cell r="CH358">
            <v>260.90230769704056</v>
          </cell>
          <cell r="CI358">
            <v>248.57725737576885</v>
          </cell>
          <cell r="CJ358">
            <v>258.8593674270046</v>
          </cell>
          <cell r="CK358">
            <v>268.14216090352562</v>
          </cell>
          <cell r="CL358">
            <v>277.84054048748294</v>
          </cell>
          <cell r="CM358">
            <v>289.90346345317721</v>
          </cell>
        </row>
        <row r="359"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130.60040634938554</v>
          </cell>
          <cell r="BM359">
            <v>179.44746136889708</v>
          </cell>
          <cell r="BN359">
            <v>135.96727262439788</v>
          </cell>
          <cell r="BO359">
            <v>105.33610571068151</v>
          </cell>
          <cell r="BP359">
            <v>149.30437346890295</v>
          </cell>
          <cell r="BQ359">
            <v>149.37559260725007</v>
          </cell>
          <cell r="BR359">
            <v>139.97079368371217</v>
          </cell>
          <cell r="BS359">
            <v>147.23658133749433</v>
          </cell>
          <cell r="BT359">
            <v>165.36238888838034</v>
          </cell>
          <cell r="BU359">
            <v>194.55064319180474</v>
          </cell>
          <cell r="BV359">
            <v>191.33944957067499</v>
          </cell>
          <cell r="BW359">
            <v>186.8594733676687</v>
          </cell>
          <cell r="BX359">
            <v>198.87943682719091</v>
          </cell>
          <cell r="BY359">
            <v>214.13480150300836</v>
          </cell>
          <cell r="BZ359">
            <v>243.3331967790285</v>
          </cell>
          <cell r="CA359">
            <v>268.64653894096637</v>
          </cell>
          <cell r="CB359">
            <v>269.84672370053516</v>
          </cell>
          <cell r="CC359">
            <v>237.46130009463536</v>
          </cell>
          <cell r="CD359">
            <v>251.06112327858364</v>
          </cell>
          <cell r="CE359">
            <v>265.41945755290129</v>
          </cell>
          <cell r="CF359">
            <v>288.38438049960337</v>
          </cell>
          <cell r="CG359">
            <v>294.11689883108551</v>
          </cell>
          <cell r="CH359">
            <v>292.46825322841187</v>
          </cell>
          <cell r="CI359">
            <v>278.85528729933515</v>
          </cell>
          <cell r="CJ359">
            <v>290.11405932789904</v>
          </cell>
          <cell r="CK359">
            <v>300.52717858635231</v>
          </cell>
          <cell r="CL359">
            <v>311.3975523809774</v>
          </cell>
          <cell r="CM359">
            <v>324.7486319628328</v>
          </cell>
        </row>
        <row r="360"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100.9321089743211</v>
          </cell>
          <cell r="BM360">
            <v>183.2167777601274</v>
          </cell>
          <cell r="BN360">
            <v>109.39863975375151</v>
          </cell>
          <cell r="BO360">
            <v>83.309544349947956</v>
          </cell>
          <cell r="BP360">
            <v>117.7233001166195</v>
          </cell>
          <cell r="BQ360">
            <v>118.68019692640695</v>
          </cell>
          <cell r="BR360">
            <v>113.82706783983748</v>
          </cell>
          <cell r="BS360">
            <v>117.06687670699927</v>
          </cell>
          <cell r="BT360">
            <v>131.86969620179377</v>
          </cell>
          <cell r="BU360">
            <v>155.66313471058825</v>
          </cell>
          <cell r="BV360">
            <v>153.4064323556504</v>
          </cell>
          <cell r="BW360">
            <v>149.13896767102784</v>
          </cell>
          <cell r="BX360">
            <v>158.8160881130396</v>
          </cell>
          <cell r="BY360">
            <v>171.3508153439814</v>
          </cell>
          <cell r="BZ360">
            <v>194.85464831167704</v>
          </cell>
          <cell r="CA360">
            <v>215.02825013715116</v>
          </cell>
          <cell r="CB360">
            <v>215.7850543416377</v>
          </cell>
          <cell r="CC360">
            <v>189.54425326778826</v>
          </cell>
          <cell r="CD360">
            <v>200.55491756624963</v>
          </cell>
          <cell r="CE360">
            <v>212.03233994976753</v>
          </cell>
          <cell r="CF360">
            <v>230.41044977783955</v>
          </cell>
          <cell r="CG360">
            <v>234.9729897066884</v>
          </cell>
          <cell r="CH360">
            <v>233.63986211645533</v>
          </cell>
          <cell r="CI360">
            <v>222.61898633058439</v>
          </cell>
          <cell r="CJ360">
            <v>231.80792118344274</v>
          </cell>
          <cell r="CK360">
            <v>240.11983507614036</v>
          </cell>
          <cell r="CL360">
            <v>248.80462984770506</v>
          </cell>
          <cell r="CM360">
            <v>259.5959694702297</v>
          </cell>
        </row>
        <row r="361"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122.16582600942689</v>
          </cell>
          <cell r="BM361">
            <v>236.76362369430382</v>
          </cell>
          <cell r="BN361">
            <v>127.2510203109463</v>
          </cell>
          <cell r="BO361">
            <v>118.64063168848342</v>
          </cell>
          <cell r="BP361">
            <v>168.42107220900445</v>
          </cell>
          <cell r="BQ361">
            <v>179.58279716774683</v>
          </cell>
          <cell r="BR361">
            <v>161.54679767592074</v>
          </cell>
          <cell r="BS361">
            <v>169.61724100754682</v>
          </cell>
          <cell r="BT361">
            <v>191.66041399732723</v>
          </cell>
          <cell r="BU361">
            <v>227.43335414627978</v>
          </cell>
          <cell r="BV361">
            <v>221.62861618704358</v>
          </cell>
          <cell r="BW361">
            <v>216.5237586155427</v>
          </cell>
          <cell r="BX361">
            <v>230.74252213002148</v>
          </cell>
          <cell r="BY361">
            <v>248.92979896897</v>
          </cell>
          <cell r="BZ361">
            <v>282.68142252308422</v>
          </cell>
          <cell r="CA361">
            <v>312.20768261251936</v>
          </cell>
          <cell r="CB361">
            <v>313.33422293261111</v>
          </cell>
          <cell r="CC361">
            <v>275.17935309677569</v>
          </cell>
          <cell r="CD361">
            <v>291.12355523850681</v>
          </cell>
          <cell r="CE361">
            <v>307.83312563776678</v>
          </cell>
          <cell r="CF361">
            <v>334.50970374927596</v>
          </cell>
          <cell r="CG361">
            <v>341.12638162645698</v>
          </cell>
          <cell r="CH361">
            <v>339.1863333405671</v>
          </cell>
          <cell r="CI361">
            <v>323.1878640192204</v>
          </cell>
          <cell r="CJ361">
            <v>336.53400013121353</v>
          </cell>
          <cell r="CK361">
            <v>348.59928024753066</v>
          </cell>
          <cell r="CL361">
            <v>361.20852707491821</v>
          </cell>
          <cell r="CM361">
            <v>376.88153240572586</v>
          </cell>
        </row>
        <row r="362"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120.49615156397007</v>
          </cell>
          <cell r="BM362">
            <v>221.58517125267599</v>
          </cell>
          <cell r="BN362">
            <v>115.46815912664195</v>
          </cell>
          <cell r="BO362">
            <v>104.2451108871203</v>
          </cell>
          <cell r="BP362">
            <v>146.94135825723549</v>
          </cell>
          <cell r="BQ362">
            <v>150.43708619842005</v>
          </cell>
          <cell r="BR362">
            <v>142.05459080381885</v>
          </cell>
          <cell r="BS362">
            <v>146.91701166528273</v>
          </cell>
          <cell r="BT362">
            <v>165.55181361187852</v>
          </cell>
          <cell r="BU362">
            <v>195.44836838760227</v>
          </cell>
          <cell r="BV362">
            <v>192.20697929271748</v>
          </cell>
          <cell r="BW362">
            <v>187.30833656140913</v>
          </cell>
          <cell r="BX362">
            <v>199.42805617540751</v>
          </cell>
          <cell r="BY362">
            <v>214.94308135555519</v>
          </cell>
          <cell r="BZ362">
            <v>244.22960344512134</v>
          </cell>
          <cell r="CA362">
            <v>269.59953528443538</v>
          </cell>
          <cell r="CB362">
            <v>270.76096999879815</v>
          </cell>
          <cell r="CC362">
            <v>238.13027573009384</v>
          </cell>
          <cell r="CD362">
            <v>251.81557369433821</v>
          </cell>
          <cell r="CE362">
            <v>266.22258040097114</v>
          </cell>
          <cell r="CF362">
            <v>289.27783239747674</v>
          </cell>
          <cell r="CG362">
            <v>295.01833687731943</v>
          </cell>
          <cell r="CH362">
            <v>293.35444981239959</v>
          </cell>
          <cell r="CI362">
            <v>279.64831820114944</v>
          </cell>
          <cell r="CJ362">
            <v>291.01454917856131</v>
          </cell>
          <cell r="CK362">
            <v>301.45639671337352</v>
          </cell>
          <cell r="CL362">
            <v>312.35941228413179</v>
          </cell>
          <cell r="CM362">
            <v>325.79771759313411</v>
          </cell>
        </row>
        <row r="363"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129.52873204713234</v>
          </cell>
          <cell r="BM363">
            <v>404.0496515421533</v>
          </cell>
          <cell r="BN363">
            <v>144.6841621137437</v>
          </cell>
          <cell r="BO363">
            <v>142.88397880490118</v>
          </cell>
          <cell r="BP363">
            <v>202.59960084249667</v>
          </cell>
          <cell r="BQ363">
            <v>218.42260508882913</v>
          </cell>
          <cell r="BR363">
            <v>194.32475091592056</v>
          </cell>
          <cell r="BS363">
            <v>204.52630244959337</v>
          </cell>
          <cell r="BT363">
            <v>231.01108484803294</v>
          </cell>
          <cell r="BU363">
            <v>273.98752317494166</v>
          </cell>
          <cell r="BV363">
            <v>267.32949087529272</v>
          </cell>
          <cell r="BW363">
            <v>261.36306138217316</v>
          </cell>
          <cell r="BX363">
            <v>278.19068712016133</v>
          </cell>
          <cell r="BY363">
            <v>300.00748441104525</v>
          </cell>
          <cell r="BZ363">
            <v>340.71893384596353</v>
          </cell>
          <cell r="CA363">
            <v>376.41679317272008</v>
          </cell>
          <cell r="CB363">
            <v>377.78786385206735</v>
          </cell>
          <cell r="CC363">
            <v>331.9625970293626</v>
          </cell>
          <cell r="CD363">
            <v>351.14540709821972</v>
          </cell>
          <cell r="CE363">
            <v>371.30998311001434</v>
          </cell>
          <cell r="CF363">
            <v>403.45995680892639</v>
          </cell>
          <cell r="CG363">
            <v>411.43597859055239</v>
          </cell>
          <cell r="CH363">
            <v>409.10847863631523</v>
          </cell>
          <cell r="CI363">
            <v>389.90311519649288</v>
          </cell>
          <cell r="CJ363">
            <v>405.88757229939574</v>
          </cell>
          <cell r="CK363">
            <v>420.44203491146988</v>
          </cell>
          <cell r="CL363">
            <v>435.64878660031661</v>
          </cell>
          <cell r="CM363">
            <v>454.48098118216922</v>
          </cell>
        </row>
        <row r="364"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104.03873049476189</v>
          </cell>
          <cell r="BM364">
            <v>268.26246105254052</v>
          </cell>
          <cell r="BN364">
            <v>120.58106004580826</v>
          </cell>
          <cell r="BO364">
            <v>110.16950809308379</v>
          </cell>
          <cell r="BP364">
            <v>155.6104163019609</v>
          </cell>
          <cell r="BQ364">
            <v>171.95826929343676</v>
          </cell>
          <cell r="BR364">
            <v>152.50604029420029</v>
          </cell>
          <cell r="BS364">
            <v>159.64527352367637</v>
          </cell>
          <cell r="BT364">
            <v>180.57251863744943</v>
          </cell>
          <cell r="BU364">
            <v>214.74314267764439</v>
          </cell>
          <cell r="BV364">
            <v>209.0641268060177</v>
          </cell>
          <cell r="BW364">
            <v>204.3834980377971</v>
          </cell>
          <cell r="BX364">
            <v>217.94047745642521</v>
          </cell>
          <cell r="BY364">
            <v>234.73223907420339</v>
          </cell>
          <cell r="BZ364">
            <v>266.20695076675293</v>
          </cell>
          <cell r="CA364">
            <v>294.05528403202027</v>
          </cell>
          <cell r="CB364">
            <v>295.57271577867414</v>
          </cell>
          <cell r="CC364">
            <v>260.24713498987313</v>
          </cell>
          <cell r="CD364">
            <v>275.00894970898247</v>
          </cell>
          <cell r="CE364">
            <v>290.76895970713895</v>
          </cell>
          <cell r="CF364">
            <v>315.93247940308964</v>
          </cell>
          <cell r="CG364">
            <v>322.20665784927229</v>
          </cell>
          <cell r="CH364">
            <v>320.39706860123789</v>
          </cell>
          <cell r="CI364">
            <v>305.56107170422285</v>
          </cell>
          <cell r="CJ364">
            <v>317.80705060998184</v>
          </cell>
          <cell r="CK364">
            <v>329.21497886216679</v>
          </cell>
          <cell r="CL364">
            <v>341.12190922134306</v>
          </cell>
          <cell r="CM364">
            <v>355.69189869591764</v>
          </cell>
        </row>
        <row r="365"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123.60631598724758</v>
          </cell>
          <cell r="BM365">
            <v>153.97948991647192</v>
          </cell>
          <cell r="BN365">
            <v>103.61916437094271</v>
          </cell>
          <cell r="BO365">
            <v>87.03791743382061</v>
          </cell>
          <cell r="BP365">
            <v>123.43183849237209</v>
          </cell>
          <cell r="BQ365">
            <v>126.50924173184779</v>
          </cell>
          <cell r="BR365">
            <v>120.59195446590932</v>
          </cell>
          <cell r="BS365">
            <v>123.65661205955968</v>
          </cell>
          <cell r="BT365">
            <v>139.39474806494988</v>
          </cell>
          <cell r="BU365">
            <v>164.84958860645409</v>
          </cell>
          <cell r="BV365">
            <v>162.40998121855554</v>
          </cell>
          <cell r="BW365">
            <v>157.80917691796859</v>
          </cell>
          <cell r="BX365">
            <v>168.19386180900685</v>
          </cell>
          <cell r="BY365">
            <v>181.27726309019414</v>
          </cell>
          <cell r="BZ365">
            <v>205.97883699082456</v>
          </cell>
          <cell r="CA365">
            <v>227.27437232388422</v>
          </cell>
          <cell r="CB365">
            <v>228.32140810707625</v>
          </cell>
          <cell r="CC365">
            <v>200.92695441976676</v>
          </cell>
          <cell r="CD365">
            <v>212.43030309197204</v>
          </cell>
          <cell r="CE365">
            <v>224.56747700469401</v>
          </cell>
          <cell r="CF365">
            <v>244.01213787023221</v>
          </cell>
          <cell r="CG365">
            <v>248.85963994095465</v>
          </cell>
          <cell r="CH365">
            <v>247.46161274701009</v>
          </cell>
          <cell r="CI365">
            <v>235.93479323311891</v>
          </cell>
          <cell r="CJ365">
            <v>245.47474976703438</v>
          </cell>
          <cell r="CK365">
            <v>254.28405669968092</v>
          </cell>
          <cell r="CL365">
            <v>263.48085578150824</v>
          </cell>
          <cell r="CM365">
            <v>274.78548248218982</v>
          </cell>
        </row>
        <row r="366"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</row>
        <row r="370"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</row>
        <row r="371"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</row>
        <row r="372"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</row>
        <row r="373"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</row>
        <row r="374"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</row>
        <row r="375"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</row>
        <row r="376"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</row>
        <row r="377"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</row>
        <row r="378"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</row>
        <row r="379"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</row>
        <row r="380"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</row>
        <row r="381"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</row>
        <row r="386"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1.7270216829939897</v>
          </cell>
          <cell r="BN386">
            <v>10.073943954604164</v>
          </cell>
          <cell r="BO386">
            <v>12.940948916873621</v>
          </cell>
          <cell r="BP386">
            <v>32.574855863386837</v>
          </cell>
          <cell r="BQ386">
            <v>109.29438179188355</v>
          </cell>
          <cell r="BR386">
            <v>148.95205698603527</v>
          </cell>
          <cell r="BS386">
            <v>175.71259567134163</v>
          </cell>
          <cell r="BT386">
            <v>238.66523492355773</v>
          </cell>
          <cell r="BU386">
            <v>286.94945094495415</v>
          </cell>
          <cell r="BV386">
            <v>357.15675877005515</v>
          </cell>
          <cell r="BW386">
            <v>367.47383429248367</v>
          </cell>
          <cell r="BX386">
            <v>401.94275467524756</v>
          </cell>
          <cell r="BY386">
            <v>421.72247370454005</v>
          </cell>
          <cell r="BZ386">
            <v>325.11663040867251</v>
          </cell>
          <cell r="CA386">
            <v>353.37982429277707</v>
          </cell>
          <cell r="CB386">
            <v>397.69666191702896</v>
          </cell>
          <cell r="CC386">
            <v>396.82002155054016</v>
          </cell>
          <cell r="CD386">
            <v>393.96690598635718</v>
          </cell>
          <cell r="CE386">
            <v>410.86351247240316</v>
          </cell>
          <cell r="CF386">
            <v>424.32358316193529</v>
          </cell>
          <cell r="CG386">
            <v>434.08306936164814</v>
          </cell>
          <cell r="CH386">
            <v>438.97987265407659</v>
          </cell>
          <cell r="CI386">
            <v>452.02289378872507</v>
          </cell>
          <cell r="CJ386">
            <v>476.80164223227251</v>
          </cell>
          <cell r="CK386">
            <v>494.01265793519917</v>
          </cell>
          <cell r="CL386">
            <v>494.56864580937128</v>
          </cell>
          <cell r="CM386">
            <v>493.74425554500425</v>
          </cell>
          <cell r="CN386">
            <v>505.35458568743996</v>
          </cell>
        </row>
        <row r="387"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3.8382671806317101</v>
          </cell>
          <cell r="BO387">
            <v>13.369131785439968</v>
          </cell>
          <cell r="BP387">
            <v>30.177000505902672</v>
          </cell>
          <cell r="BQ387">
            <v>102.7826382703966</v>
          </cell>
          <cell r="BR387">
            <v>135.91057783973977</v>
          </cell>
          <cell r="BS387">
            <v>160.09938171185374</v>
          </cell>
          <cell r="BT387">
            <v>222.02588482280819</v>
          </cell>
          <cell r="BU387">
            <v>265.43795615154977</v>
          </cell>
          <cell r="BV387">
            <v>329.08527169062523</v>
          </cell>
          <cell r="BW387">
            <v>339.24399285555501</v>
          </cell>
          <cell r="BX387">
            <v>371.21601242960469</v>
          </cell>
          <cell r="BY387">
            <v>389.74557002894022</v>
          </cell>
          <cell r="BZ387">
            <v>300.07634536389787</v>
          </cell>
          <cell r="CA387">
            <v>326.32858978725818</v>
          </cell>
          <cell r="CB387">
            <v>367.30156798776852</v>
          </cell>
          <cell r="CC387">
            <v>366.52224391246955</v>
          </cell>
          <cell r="CD387">
            <v>363.96278734095699</v>
          </cell>
          <cell r="CE387">
            <v>379.57436061188849</v>
          </cell>
          <cell r="CF387">
            <v>391.99301695059086</v>
          </cell>
          <cell r="CG387">
            <v>401.0024696297022</v>
          </cell>
          <cell r="CH387">
            <v>405.53790533318414</v>
          </cell>
          <cell r="CI387">
            <v>417.59598790034067</v>
          </cell>
          <cell r="CJ387">
            <v>440.47620049939582</v>
          </cell>
          <cell r="CK387">
            <v>456.3743483514067</v>
          </cell>
          <cell r="CL387">
            <v>456.89105813103743</v>
          </cell>
          <cell r="CM387">
            <v>456.13134220679689</v>
          </cell>
          <cell r="CN387">
            <v>466.85618066870262</v>
          </cell>
        </row>
        <row r="388"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4.2622077544350011E-2</v>
          </cell>
          <cell r="BM388">
            <v>7.9769396884741925E-2</v>
          </cell>
          <cell r="BN388">
            <v>6.5371876696883318</v>
          </cell>
          <cell r="BO388">
            <v>12.565722674314573</v>
          </cell>
          <cell r="BP388">
            <v>32.351242179413227</v>
          </cell>
          <cell r="BQ388">
            <v>99.905348402573978</v>
          </cell>
          <cell r="BR388">
            <v>136.33221827545248</v>
          </cell>
          <cell r="BS388">
            <v>161.94662457326629</v>
          </cell>
          <cell r="BT388">
            <v>224.37109759503801</v>
          </cell>
          <cell r="BU388">
            <v>264.85841741457398</v>
          </cell>
          <cell r="BV388">
            <v>330.88024678811632</v>
          </cell>
          <cell r="BW388">
            <v>341.25735302516836</v>
          </cell>
          <cell r="BX388">
            <v>373.27405774419128</v>
          </cell>
          <cell r="BY388">
            <v>391.12861513371365</v>
          </cell>
          <cell r="BZ388">
            <v>301.5547106968084</v>
          </cell>
          <cell r="CA388">
            <v>327.96518613849526</v>
          </cell>
          <cell r="CB388">
            <v>369.05781827389598</v>
          </cell>
          <cell r="CC388">
            <v>368.22038274401388</v>
          </cell>
          <cell r="CD388">
            <v>365.71155826749566</v>
          </cell>
          <cell r="CE388">
            <v>381.39180266049635</v>
          </cell>
          <cell r="CF388">
            <v>393.86065384385159</v>
          </cell>
          <cell r="CG388">
            <v>402.90930924235687</v>
          </cell>
          <cell r="CH388">
            <v>407.4773781003783</v>
          </cell>
          <cell r="CI388">
            <v>419.58593274117635</v>
          </cell>
          <cell r="CJ388">
            <v>442.57515962426965</v>
          </cell>
          <cell r="CK388">
            <v>458.55110874777887</v>
          </cell>
          <cell r="CL388">
            <v>459.07115280863991</v>
          </cell>
          <cell r="CM388">
            <v>458.30604333246589</v>
          </cell>
          <cell r="CN388">
            <v>469.08189873669539</v>
          </cell>
        </row>
        <row r="389"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0.12801658091489018</v>
          </cell>
          <cell r="BM389">
            <v>0.57029831105405482</v>
          </cell>
          <cell r="BN389">
            <v>11.408000801028775</v>
          </cell>
          <cell r="BO389">
            <v>17.247475824407974</v>
          </cell>
          <cell r="BP389">
            <v>59.598570978548814</v>
          </cell>
          <cell r="BQ389">
            <v>73.334423117796376</v>
          </cell>
          <cell r="BR389">
            <v>91.060214722604485</v>
          </cell>
          <cell r="BS389">
            <v>127.40069833891192</v>
          </cell>
          <cell r="BT389">
            <v>149.28678098126019</v>
          </cell>
          <cell r="BU389">
            <v>183.44820376721697</v>
          </cell>
          <cell r="BV389">
            <v>190.06768362501941</v>
          </cell>
          <cell r="BW389">
            <v>208.72331429203851</v>
          </cell>
          <cell r="BX389">
            <v>218.55191220796263</v>
          </cell>
          <cell r="BY389">
            <v>168.31503772886322</v>
          </cell>
          <cell r="BZ389">
            <v>183.17306179873535</v>
          </cell>
          <cell r="CA389">
            <v>205.98035099448182</v>
          </cell>
          <cell r="CB389">
            <v>205.2733125782475</v>
          </cell>
          <cell r="CC389">
            <v>203.71126817683879</v>
          </cell>
          <cell r="CD389">
            <v>212.43141371867301</v>
          </cell>
          <cell r="CE389">
            <v>219.3950004392789</v>
          </cell>
          <cell r="CF389">
            <v>224.42500770044617</v>
          </cell>
          <cell r="CG389">
            <v>226.96640460739314</v>
          </cell>
          <cell r="CH389">
            <v>233.71489904147558</v>
          </cell>
          <cell r="CI389">
            <v>246.51748513324529</v>
          </cell>
          <cell r="CJ389">
            <v>255.41681482415422</v>
          </cell>
          <cell r="CK389">
            <v>255.70697949191899</v>
          </cell>
          <cell r="CL389">
            <v>255.28180574930644</v>
          </cell>
          <cell r="CM389">
            <v>261.28263041310652</v>
          </cell>
        </row>
        <row r="390"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1.434764539598663</v>
          </cell>
          <cell r="BM390">
            <v>0.85824699234541502</v>
          </cell>
          <cell r="BN390">
            <v>9.3923578241719703</v>
          </cell>
          <cell r="BO390">
            <v>24.953215237229159</v>
          </cell>
          <cell r="BP390">
            <v>84.93145147333324</v>
          </cell>
          <cell r="BQ390">
            <v>108.48382146390703</v>
          </cell>
          <cell r="BR390">
            <v>133.54592748957981</v>
          </cell>
          <cell r="BS390">
            <v>180.65200688480468</v>
          </cell>
          <cell r="BT390">
            <v>216.74655995333441</v>
          </cell>
          <cell r="BU390">
            <v>268.70763059324275</v>
          </cell>
          <cell r="BV390">
            <v>278.9693395293823</v>
          </cell>
          <cell r="BW390">
            <v>303.7325176426657</v>
          </cell>
          <cell r="BX390">
            <v>318.81718053841774</v>
          </cell>
          <cell r="BY390">
            <v>245.54886424202277</v>
          </cell>
          <cell r="BZ390">
            <v>267.32921317130234</v>
          </cell>
          <cell r="CA390">
            <v>300.69790757433958</v>
          </cell>
          <cell r="CB390">
            <v>300.13278035508034</v>
          </cell>
          <cell r="CC390">
            <v>298.10396401110262</v>
          </cell>
          <cell r="CD390">
            <v>310.94691367753126</v>
          </cell>
          <cell r="CE390">
            <v>321.07808572035998</v>
          </cell>
          <cell r="CF390">
            <v>328.46168039296566</v>
          </cell>
          <cell r="CG390">
            <v>332.18069542620196</v>
          </cell>
          <cell r="CH390">
            <v>342.05982916300275</v>
          </cell>
          <cell r="CI390">
            <v>360.79796688414211</v>
          </cell>
          <cell r="CJ390">
            <v>373.82247107501382</v>
          </cell>
          <cell r="CK390">
            <v>374.24523443174752</v>
          </cell>
          <cell r="CL390">
            <v>373.62217329377671</v>
          </cell>
          <cell r="CM390">
            <v>382.40693299753491</v>
          </cell>
        </row>
        <row r="391"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1.1185936506144758</v>
          </cell>
          <cell r="BM391">
            <v>1.7566506311029315</v>
          </cell>
          <cell r="BN391">
            <v>5.2839581454010487</v>
          </cell>
          <cell r="BO391">
            <v>10.678940926044469</v>
          </cell>
          <cell r="BP391">
            <v>36.057488535778297</v>
          </cell>
          <cell r="BQ391">
            <v>46.436815657949822</v>
          </cell>
          <cell r="BR391">
            <v>57.462633227282936</v>
          </cell>
          <cell r="BS391">
            <v>77.62446810170313</v>
          </cell>
          <cell r="BT391">
            <v>92.620740928099167</v>
          </cell>
          <cell r="BU391">
            <v>114.43164436478618</v>
          </cell>
          <cell r="BV391">
            <v>118.36970513779508</v>
          </cell>
          <cell r="BW391">
            <v>129.33236022176294</v>
          </cell>
          <cell r="BX391">
            <v>135.65859492628195</v>
          </cell>
          <cell r="BY391">
            <v>104.67438906203198</v>
          </cell>
          <cell r="BZ391">
            <v>113.79368491696755</v>
          </cell>
          <cell r="CA391">
            <v>127.91713797650723</v>
          </cell>
          <cell r="CB391">
            <v>127.5410278908346</v>
          </cell>
          <cell r="CC391">
            <v>126.59995927684831</v>
          </cell>
          <cell r="CD391">
            <v>132.01906976180624</v>
          </cell>
          <cell r="CE391">
            <v>136.3307349608252</v>
          </cell>
          <cell r="CF391">
            <v>139.46595810091188</v>
          </cell>
          <cell r="CG391">
            <v>141.04411254070789</v>
          </cell>
          <cell r="CH391">
            <v>145.23653545579651</v>
          </cell>
          <cell r="CI391">
            <v>153.19422207952329</v>
          </cell>
          <cell r="CJ391">
            <v>158.72423122160876</v>
          </cell>
          <cell r="CK391">
            <v>158.90385289308966</v>
          </cell>
          <cell r="CL391">
            <v>158.63931233071219</v>
          </cell>
          <cell r="CM391">
            <v>162.36916295574181</v>
          </cell>
        </row>
        <row r="392"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1.0438910256789324</v>
          </cell>
          <cell r="BM392">
            <v>2.353222239872621</v>
          </cell>
          <cell r="BN392">
            <v>7.3052191420402703</v>
          </cell>
          <cell r="BO392">
            <v>13.895614101325933</v>
          </cell>
          <cell r="BP392">
            <v>47.322178995459019</v>
          </cell>
          <cell r="BQ392">
            <v>62.070309306739311</v>
          </cell>
          <cell r="BR392">
            <v>77.280527477406892</v>
          </cell>
          <cell r="BS392">
            <v>102.97670101642942</v>
          </cell>
          <cell r="BT392">
            <v>123.25279830586177</v>
          </cell>
          <cell r="BU392">
            <v>153.02253006571172</v>
          </cell>
          <cell r="BV392">
            <v>158.67764056907049</v>
          </cell>
          <cell r="BW392">
            <v>172.58431368761521</v>
          </cell>
          <cell r="BX392">
            <v>181.27806693964942</v>
          </cell>
          <cell r="BY392">
            <v>139.83553482207444</v>
          </cell>
          <cell r="BZ392">
            <v>152.0904757456957</v>
          </cell>
          <cell r="CA392">
            <v>170.95185436844136</v>
          </cell>
          <cell r="CB392">
            <v>170.54183809651965</v>
          </cell>
          <cell r="CC392">
            <v>169.34191041462122</v>
          </cell>
          <cell r="CD392">
            <v>176.59759016807382</v>
          </cell>
          <cell r="CE392">
            <v>182.35420623640576</v>
          </cell>
          <cell r="CF392">
            <v>186.55462449107321</v>
          </cell>
          <cell r="CG392">
            <v>188.66519156965671</v>
          </cell>
          <cell r="CH392">
            <v>194.27324271950226</v>
          </cell>
          <cell r="CI392">
            <v>204.91636512656811</v>
          </cell>
          <cell r="CJ392">
            <v>212.31498602427641</v>
          </cell>
          <cell r="CK392">
            <v>212.55469508316835</v>
          </cell>
          <cell r="CL392">
            <v>212.20036734239545</v>
          </cell>
          <cell r="CM392">
            <v>217.18992149257213</v>
          </cell>
        </row>
        <row r="393"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1.725173990573093</v>
          </cell>
          <cell r="BM393">
            <v>2.6783763056961516</v>
          </cell>
          <cell r="BN393">
            <v>10.50276128760621</v>
          </cell>
          <cell r="BO393">
            <v>23.961806710999412</v>
          </cell>
          <cell r="BP393">
            <v>83.165344794429018</v>
          </cell>
          <cell r="BQ393">
            <v>114.96649083389802</v>
          </cell>
          <cell r="BR393">
            <v>135.87748206156337</v>
          </cell>
          <cell r="BS393">
            <v>182.2491989053174</v>
          </cell>
          <cell r="BT393">
            <v>219.42997493749505</v>
          </cell>
          <cell r="BU393">
            <v>274.21431136187942</v>
          </cell>
          <cell r="BV393">
            <v>281.05698918198135</v>
          </cell>
          <cell r="BW393">
            <v>307.30294223649071</v>
          </cell>
          <cell r="BX393">
            <v>322.64290471651441</v>
          </cell>
          <cell r="BY393">
            <v>249.04492415059732</v>
          </cell>
          <cell r="BZ393">
            <v>270.51116962254753</v>
          </cell>
          <cell r="CA393">
            <v>304.24468896503936</v>
          </cell>
          <cell r="CB393">
            <v>303.50759288101989</v>
          </cell>
          <cell r="CC393">
            <v>301.28938105142083</v>
          </cell>
          <cell r="CD393">
            <v>314.1713042985366</v>
          </cell>
          <cell r="CE393">
            <v>324.46699512667726</v>
          </cell>
          <cell r="CF393">
            <v>331.92699889251537</v>
          </cell>
          <cell r="CG393">
            <v>335.67317793864345</v>
          </cell>
          <cell r="CH393">
            <v>345.64573882573313</v>
          </cell>
          <cell r="CI393">
            <v>364.5953953880047</v>
          </cell>
          <cell r="CJ393">
            <v>377.75565315769626</v>
          </cell>
          <cell r="CK393">
            <v>378.17896316854234</v>
          </cell>
          <cell r="CL393">
            <v>377.54927895871839</v>
          </cell>
          <cell r="CM393">
            <v>386.42809855708987</v>
          </cell>
        </row>
        <row r="394"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1.4168484360299105</v>
          </cell>
          <cell r="BM394">
            <v>2.3075434461240465</v>
          </cell>
          <cell r="BN394">
            <v>9.591286988583855</v>
          </cell>
          <cell r="BO394">
            <v>19.542800558969162</v>
          </cell>
          <cell r="BP394">
            <v>67.109216965459183</v>
          </cell>
          <cell r="BQ394">
            <v>88.858403723797622</v>
          </cell>
          <cell r="BR394">
            <v>108.33951482164773</v>
          </cell>
          <cell r="BS394">
            <v>145.61325799020526</v>
          </cell>
          <cell r="BT394">
            <v>174.36664801996091</v>
          </cell>
          <cell r="BU394">
            <v>217.11570225909102</v>
          </cell>
          <cell r="BV394">
            <v>224.41140068923133</v>
          </cell>
          <cell r="BW394">
            <v>244.46928537484669</v>
          </cell>
          <cell r="BX394">
            <v>256.75785698420975</v>
          </cell>
          <cell r="BY394">
            <v>197.95861469854887</v>
          </cell>
          <cell r="BZ394">
            <v>215.31389052331485</v>
          </cell>
          <cell r="CA394">
            <v>242.11042567714034</v>
          </cell>
          <cell r="CB394">
            <v>241.58000617366289</v>
          </cell>
          <cell r="CC394">
            <v>239.88541588013044</v>
          </cell>
          <cell r="CD394">
            <v>250.16882468131027</v>
          </cell>
          <cell r="CE394">
            <v>258.33988194792875</v>
          </cell>
          <cell r="CF394">
            <v>264.28468775264668</v>
          </cell>
          <cell r="CG394">
            <v>267.27281877303562</v>
          </cell>
          <cell r="CH394">
            <v>275.21672200222866</v>
          </cell>
          <cell r="CI394">
            <v>290.29697288117944</v>
          </cell>
          <cell r="CJ394">
            <v>300.77788638722473</v>
          </cell>
          <cell r="CK394">
            <v>301.11655545767672</v>
          </cell>
          <cell r="CL394">
            <v>300.6147954405497</v>
          </cell>
          <cell r="CM394">
            <v>307.68350860668409</v>
          </cell>
        </row>
        <row r="395"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2.2892679528676418</v>
          </cell>
          <cell r="BM395">
            <v>2.5273484578467329</v>
          </cell>
          <cell r="BN395">
            <v>14.692126665750504</v>
          </cell>
          <cell r="BO395">
            <v>31.20392407214722</v>
          </cell>
          <cell r="BP395">
            <v>105.43477758399426</v>
          </cell>
          <cell r="BQ395">
            <v>145.25090472632732</v>
          </cell>
          <cell r="BR395">
            <v>168.19808568083056</v>
          </cell>
          <cell r="BS395">
            <v>231.5801206933929</v>
          </cell>
          <cell r="BT395">
            <v>277.28697057212344</v>
          </cell>
          <cell r="BU395">
            <v>345.35667449674389</v>
          </cell>
          <cell r="BV395">
            <v>353.89761072453564</v>
          </cell>
          <cell r="BW395">
            <v>387.49317925863477</v>
          </cell>
          <cell r="BX395">
            <v>407.2028388828075</v>
          </cell>
          <cell r="BY395">
            <v>313.94709287044998</v>
          </cell>
          <cell r="BZ395">
            <v>340.97157271504256</v>
          </cell>
          <cell r="CA395">
            <v>383.64243184578805</v>
          </cell>
          <cell r="CB395">
            <v>382.71916632349388</v>
          </cell>
          <cell r="CC395">
            <v>379.95557825067516</v>
          </cell>
          <cell r="CD395">
            <v>396.1628647042715</v>
          </cell>
          <cell r="CE395">
            <v>409.15240566322052</v>
          </cell>
          <cell r="CF395">
            <v>418.56276976277223</v>
          </cell>
          <cell r="CG395">
            <v>423.29139013026793</v>
          </cell>
          <cell r="CH395">
            <v>435.87013995074699</v>
          </cell>
          <cell r="CI395">
            <v>459.75828094447593</v>
          </cell>
          <cell r="CJ395">
            <v>476.35330362596892</v>
          </cell>
          <cell r="CK395">
            <v>476.89009915831127</v>
          </cell>
          <cell r="CL395">
            <v>476.09690476483382</v>
          </cell>
          <cell r="CM395">
            <v>487.29236888415903</v>
          </cell>
        </row>
        <row r="396"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1.2695052380932213E-3</v>
          </cell>
          <cell r="BM396">
            <v>3.6265389474595224</v>
          </cell>
          <cell r="BN396">
            <v>11.390082570253924</v>
          </cell>
          <cell r="BO396">
            <v>24.54519322786798</v>
          </cell>
          <cell r="BP396">
            <v>84.877462003379847</v>
          </cell>
          <cell r="BQ396">
            <v>120.71136496237686</v>
          </cell>
          <cell r="BR396">
            <v>139.48291847732287</v>
          </cell>
          <cell r="BS396">
            <v>188.26367638781232</v>
          </cell>
          <cell r="BT396">
            <v>226.74772534454101</v>
          </cell>
          <cell r="BU396">
            <v>284.37585526312267</v>
          </cell>
          <cell r="BV396">
            <v>290.85991593282034</v>
          </cell>
          <cell r="BW396">
            <v>317.88591054891572</v>
          </cell>
          <cell r="BX396">
            <v>334.11524319225083</v>
          </cell>
          <cell r="BY396">
            <v>257.76890232383221</v>
          </cell>
          <cell r="BZ396">
            <v>279.91780744782812</v>
          </cell>
          <cell r="CA396">
            <v>314.93597972880519</v>
          </cell>
          <cell r="CB396">
            <v>314.27179330935655</v>
          </cell>
          <cell r="CC396">
            <v>312.01022565831244</v>
          </cell>
          <cell r="CD396">
            <v>325.32633200186376</v>
          </cell>
          <cell r="CE396">
            <v>336.00078833874835</v>
          </cell>
          <cell r="CF396">
            <v>343.734972869648</v>
          </cell>
          <cell r="CG396">
            <v>347.61058515291535</v>
          </cell>
          <cell r="CH396">
            <v>357.93473220398425</v>
          </cell>
          <cell r="CI396">
            <v>377.5587903633068</v>
          </cell>
          <cell r="CJ396">
            <v>391.18873496187456</v>
          </cell>
          <cell r="CK396">
            <v>391.62661499859456</v>
          </cell>
          <cell r="CL396">
            <v>390.97394471284292</v>
          </cell>
          <cell r="CM396">
            <v>400.16887628576154</v>
          </cell>
        </row>
        <row r="397"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2.3684012752414437E-2</v>
          </cell>
          <cell r="BM397">
            <v>8.1935100835280785</v>
          </cell>
          <cell r="BN397">
            <v>10.438431678847682</v>
          </cell>
          <cell r="BO397">
            <v>23.459841481668409</v>
          </cell>
          <cell r="BP397">
            <v>82.118315357890495</v>
          </cell>
          <cell r="BQ397">
            <v>108.03234474497297</v>
          </cell>
          <cell r="BR397">
            <v>135.83678770734414</v>
          </cell>
          <cell r="BS397">
            <v>177.08613242838345</v>
          </cell>
          <cell r="BT397">
            <v>213.44647062731346</v>
          </cell>
          <cell r="BU397">
            <v>266.27243603040114</v>
          </cell>
          <cell r="BV397">
            <v>275.56234859715329</v>
          </cell>
          <cell r="BW397">
            <v>299.59776933855056</v>
          </cell>
          <cell r="BX397">
            <v>314.36608719885015</v>
          </cell>
          <cell r="BY397">
            <v>242.7522966670162</v>
          </cell>
          <cell r="BZ397">
            <v>264.0483840019719</v>
          </cell>
          <cell r="CA397">
            <v>296.71745228656795</v>
          </cell>
          <cell r="CB397">
            <v>296.04207653247209</v>
          </cell>
          <cell r="CC397">
            <v>293.93502299769398</v>
          </cell>
          <cell r="CD397">
            <v>306.56827609263297</v>
          </cell>
          <cell r="CE397">
            <v>316.56249061372455</v>
          </cell>
          <cell r="CF397">
            <v>323.8459028328196</v>
          </cell>
          <cell r="CG397">
            <v>327.50682580256159</v>
          </cell>
          <cell r="CH397">
            <v>337.23915159659578</v>
          </cell>
          <cell r="CI397">
            <v>355.72285014269602</v>
          </cell>
          <cell r="CJ397">
            <v>368.56552097051957</v>
          </cell>
          <cell r="CK397">
            <v>368.97866744485265</v>
          </cell>
          <cell r="CL397">
            <v>368.36339442890772</v>
          </cell>
          <cell r="CM397">
            <v>377.02569978228854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</row>
        <row r="405">
          <cell r="AI405">
            <v>72.767383377623332</v>
          </cell>
          <cell r="AJ405">
            <v>96.311953226490346</v>
          </cell>
          <cell r="AK405">
            <v>90.430267058273458</v>
          </cell>
          <cell r="AL405">
            <v>96.42809255299106</v>
          </cell>
          <cell r="AM405">
            <v>94.810788060510689</v>
          </cell>
          <cell r="AN405">
            <v>94.61845321377865</v>
          </cell>
          <cell r="AO405">
            <v>140.89271929739658</v>
          </cell>
          <cell r="AP405">
            <v>156.98969487136429</v>
          </cell>
          <cell r="AQ405">
            <v>116.12367659772852</v>
          </cell>
          <cell r="AR405">
            <v>128.19865848406005</v>
          </cell>
          <cell r="AS405">
            <v>119.98741846768203</v>
          </cell>
          <cell r="AT405">
            <v>120.89495458241561</v>
          </cell>
          <cell r="AU405">
            <v>126.7600890688008</v>
          </cell>
          <cell r="AV405">
            <v>157.97981700094743</v>
          </cell>
          <cell r="AW405">
            <v>243.08272288137238</v>
          </cell>
          <cell r="AX405">
            <v>171.3046676195107</v>
          </cell>
          <cell r="AY405">
            <v>206.92741300300347</v>
          </cell>
          <cell r="AZ405">
            <v>332.17273188026138</v>
          </cell>
          <cell r="BA405">
            <v>250.5858993415336</v>
          </cell>
          <cell r="BB405">
            <v>259.51288670091469</v>
          </cell>
          <cell r="BC405">
            <v>316.13079635438066</v>
          </cell>
          <cell r="BD405">
            <v>324.83666151920545</v>
          </cell>
          <cell r="BE405">
            <v>353.93053512608589</v>
          </cell>
          <cell r="BF405">
            <v>510.12775023910501</v>
          </cell>
          <cell r="BG405">
            <v>341.08247760222002</v>
          </cell>
          <cell r="BH405">
            <v>363.95143266666662</v>
          </cell>
        </row>
        <row r="420">
          <cell r="BH420">
            <v>208.53100000000001</v>
          </cell>
          <cell r="BI420">
            <v>130.749</v>
          </cell>
          <cell r="BJ420">
            <v>164.60700000000003</v>
          </cell>
          <cell r="BK420">
            <v>139.17099999999999</v>
          </cell>
          <cell r="BL420">
            <v>190.64299999999997</v>
          </cell>
          <cell r="BM420">
            <v>189.72399999999999</v>
          </cell>
          <cell r="BN420">
            <v>126.239</v>
          </cell>
          <cell r="BO420">
            <v>120.7846464370175</v>
          </cell>
          <cell r="BP420">
            <v>121.33408340879237</v>
          </cell>
          <cell r="BQ420">
            <v>108.54123812992293</v>
          </cell>
          <cell r="BR420">
            <v>123.27974810831324</v>
          </cell>
          <cell r="BS420">
            <v>140.52565544519518</v>
          </cell>
          <cell r="BT420">
            <v>125.48956489892885</v>
          </cell>
          <cell r="BU420">
            <v>147.85592704629448</v>
          </cell>
          <cell r="BV420">
            <v>149.6192873401875</v>
          </cell>
          <cell r="BW420">
            <v>173.54568146562042</v>
          </cell>
          <cell r="BX420">
            <v>182.10512320355076</v>
          </cell>
          <cell r="BY420">
            <v>157.01435235986526</v>
          </cell>
          <cell r="BZ420">
            <v>191.62569078876641</v>
          </cell>
          <cell r="CA420">
            <v>201.11034128484175</v>
          </cell>
          <cell r="CB420">
            <v>191.35153964968526</v>
          </cell>
          <cell r="CC420">
            <v>208.62983941169432</v>
          </cell>
          <cell r="CD420">
            <v>205.44965958865066</v>
          </cell>
          <cell r="CE420">
            <v>177.1119611853062</v>
          </cell>
          <cell r="CF420">
            <v>184.28132673857363</v>
          </cell>
          <cell r="CG420">
            <v>183.30741370397163</v>
          </cell>
          <cell r="CH420">
            <v>207.70328163403406</v>
          </cell>
          <cell r="CI420">
            <v>220.49116301477852</v>
          </cell>
          <cell r="CJ420">
            <v>227.41280903634151</v>
          </cell>
          <cell r="CK420">
            <v>215.60840846528276</v>
          </cell>
          <cell r="CL420">
            <v>205.00105201175711</v>
          </cell>
          <cell r="CM420">
            <v>206.61403238136722</v>
          </cell>
          <cell r="CN420">
            <v>207.66591475500582</v>
          </cell>
        </row>
        <row r="447">
          <cell r="BB447" t="str">
            <v xml:space="preserve">12/13 </v>
          </cell>
          <cell r="BC447" t="str">
            <v xml:space="preserve">13/14 </v>
          </cell>
          <cell r="BD447" t="str">
            <v xml:space="preserve">14/15 </v>
          </cell>
          <cell r="BE447" t="str">
            <v xml:space="preserve">15/16 </v>
          </cell>
          <cell r="BF447" t="str">
            <v xml:space="preserve">16/17 </v>
          </cell>
          <cell r="BG447" t="str">
            <v xml:space="preserve">17/18 </v>
          </cell>
          <cell r="BH447" t="str">
            <v xml:space="preserve">18/19 </v>
          </cell>
        </row>
        <row r="448">
          <cell r="BB448">
            <v>93.959437219942743</v>
          </cell>
          <cell r="BC448">
            <v>183.5145258202007</v>
          </cell>
          <cell r="BD448">
            <v>177.64206099395426</v>
          </cell>
          <cell r="BE448">
            <v>173.73712485204271</v>
          </cell>
          <cell r="BF448">
            <v>217.10857156672802</v>
          </cell>
          <cell r="BG448">
            <v>166.73400000000001</v>
          </cell>
          <cell r="BH448">
            <v>105.828</v>
          </cell>
        </row>
        <row r="449">
          <cell r="BB449">
            <v>75.880521115292538</v>
          </cell>
          <cell r="BC449">
            <v>148.20414280330573</v>
          </cell>
          <cell r="BD449">
            <v>143.46161023359994</v>
          </cell>
          <cell r="BE449">
            <v>133.72102700120485</v>
          </cell>
          <cell r="BF449">
            <v>239.673</v>
          </cell>
          <cell r="BG449">
            <v>179.148</v>
          </cell>
          <cell r="BH449">
            <v>96.08</v>
          </cell>
        </row>
        <row r="450">
          <cell r="BA450">
            <v>103.56326460533228</v>
          </cell>
          <cell r="BB450">
            <v>77.977046291073705</v>
          </cell>
          <cell r="BC450">
            <v>152.29891853725331</v>
          </cell>
          <cell r="BD450">
            <v>147.42535314406121</v>
          </cell>
          <cell r="BE450">
            <v>128.47107155727997</v>
          </cell>
          <cell r="BF450">
            <v>237.62199999999999</v>
          </cell>
          <cell r="BG450">
            <v>158.512</v>
          </cell>
        </row>
        <row r="451">
          <cell r="BA451">
            <v>109.48068800375796</v>
          </cell>
          <cell r="BB451">
            <v>82.43251802635892</v>
          </cell>
          <cell r="BC451">
            <v>161.00101177023228</v>
          </cell>
          <cell r="BD451">
            <v>155.84897939358484</v>
          </cell>
          <cell r="BE451">
            <v>126.34147821867414</v>
          </cell>
          <cell r="BF451">
            <v>155.64811375045508</v>
          </cell>
          <cell r="BG451">
            <v>168.87</v>
          </cell>
        </row>
        <row r="452">
          <cell r="BA452">
            <v>122.87993396705924</v>
          </cell>
          <cell r="BB452">
            <v>92.521362045785793</v>
          </cell>
          <cell r="BC452">
            <v>180.70578524567537</v>
          </cell>
          <cell r="BD452">
            <v>174.92320011781374</v>
          </cell>
          <cell r="BE452">
            <v>144.20039602481961</v>
          </cell>
          <cell r="BF452">
            <v>180.45696580283328</v>
          </cell>
          <cell r="BG452">
            <v>177</v>
          </cell>
        </row>
        <row r="453">
          <cell r="BA453">
            <v>143.09597370410671</v>
          </cell>
          <cell r="BB453">
            <v>107.74285078897447</v>
          </cell>
          <cell r="BC453">
            <v>210.43525544721572</v>
          </cell>
          <cell r="BD453">
            <v>203.70132727290482</v>
          </cell>
          <cell r="BE453">
            <v>172.56194809314275</v>
          </cell>
          <cell r="BF453">
            <v>254.34800000000001</v>
          </cell>
          <cell r="BG453">
            <v>191</v>
          </cell>
        </row>
        <row r="454">
          <cell r="BA454">
            <v>126.88065009580727</v>
          </cell>
          <cell r="BB454">
            <v>95.533665954490175</v>
          </cell>
          <cell r="BC454">
            <v>186.58919131736366</v>
          </cell>
          <cell r="BD454">
            <v>180.61833719520797</v>
          </cell>
          <cell r="BE454">
            <v>155.10571445135054</v>
          </cell>
          <cell r="BF454">
            <v>252.57</v>
          </cell>
          <cell r="BG454">
            <v>175.88</v>
          </cell>
        </row>
        <row r="455">
          <cell r="BA455">
            <v>149.10231958821436</v>
          </cell>
          <cell r="BB455">
            <v>112.26527592524376</v>
          </cell>
          <cell r="BC455">
            <v>219.26811704149171</v>
          </cell>
          <cell r="BD455">
            <v>201.76261041028877</v>
          </cell>
          <cell r="BE455">
            <v>188.20485286928272</v>
          </cell>
          <cell r="BF455">
            <v>218.98899999999998</v>
          </cell>
          <cell r="BG455">
            <v>181.16800000000001</v>
          </cell>
        </row>
        <row r="456">
          <cell r="BA456">
            <v>129.62332193047735</v>
          </cell>
          <cell r="BB456">
            <v>97.598736512359409</v>
          </cell>
          <cell r="BC456">
            <v>190.62253225070199</v>
          </cell>
          <cell r="BD456">
            <v>175.31939767434005</v>
          </cell>
          <cell r="BE456">
            <v>182.9952705169348</v>
          </cell>
          <cell r="BF456">
            <v>228.93400000000003</v>
          </cell>
          <cell r="BG456">
            <v>149.25800000000001</v>
          </cell>
        </row>
        <row r="457">
          <cell r="BA457">
            <v>139.9999991075324</v>
          </cell>
          <cell r="BB457">
            <v>105.41176403390675</v>
          </cell>
          <cell r="BC457">
            <v>205.88235162872411</v>
          </cell>
          <cell r="BD457">
            <v>207.7375768424036</v>
          </cell>
          <cell r="BE457">
            <v>213.38853170972246</v>
          </cell>
          <cell r="BF457">
            <v>224.79399999999998</v>
          </cell>
          <cell r="BG457">
            <v>121.64700000000001</v>
          </cell>
        </row>
        <row r="458">
          <cell r="BA458">
            <v>127.42830916310594</v>
          </cell>
          <cell r="BB458">
            <v>95.946021016926821</v>
          </cell>
          <cell r="BC458">
            <v>187.3945722986852</v>
          </cell>
          <cell r="BD458">
            <v>174.3473944263398</v>
          </cell>
          <cell r="BE458">
            <v>252.30500000000001</v>
          </cell>
          <cell r="BF458">
            <v>211.524</v>
          </cell>
          <cell r="BG458">
            <v>188</v>
          </cell>
        </row>
        <row r="463">
          <cell r="BI463">
            <v>41.03</v>
          </cell>
          <cell r="BJ463">
            <v>48.276800000000001</v>
          </cell>
          <cell r="BK463">
            <v>86.846199999999996</v>
          </cell>
          <cell r="BL463">
            <v>88.137600000000006</v>
          </cell>
          <cell r="BM463">
            <v>70.656800000000004</v>
          </cell>
          <cell r="BN463">
            <v>52.926675319263424</v>
          </cell>
          <cell r="BO463">
            <v>55.447650413471983</v>
          </cell>
          <cell r="BP463">
            <v>58.150082973532122</v>
          </cell>
          <cell r="BQ463">
            <v>51.632783911957432</v>
          </cell>
          <cell r="BR463">
            <v>52.502241836090597</v>
          </cell>
          <cell r="BS463">
            <v>50.834518368283796</v>
          </cell>
          <cell r="BT463">
            <v>54.551837677127075</v>
          </cell>
          <cell r="BU463">
            <v>55.892887702835097</v>
          </cell>
          <cell r="BV463">
            <v>60.096095745231132</v>
          </cell>
          <cell r="BW463">
            <v>53.949678708349893</v>
          </cell>
          <cell r="BX463">
            <v>44.442200380280539</v>
          </cell>
          <cell r="BY463">
            <v>29.174194192053267</v>
          </cell>
          <cell r="BZ463">
            <v>39.966714245723239</v>
          </cell>
          <cell r="CA463">
            <v>34.341191669460507</v>
          </cell>
          <cell r="CB463">
            <v>25.604583143964426</v>
          </cell>
          <cell r="CC463">
            <v>23.307352061784083</v>
          </cell>
          <cell r="CD463">
            <v>35.097449056725594</v>
          </cell>
          <cell r="CE463">
            <v>49.280399003642394</v>
          </cell>
          <cell r="CF463">
            <v>48.121602561531098</v>
          </cell>
          <cell r="CG463">
            <v>41.031069656465462</v>
          </cell>
          <cell r="CH463">
            <v>47.741141333169509</v>
          </cell>
          <cell r="CI463">
            <v>35.554654218750713</v>
          </cell>
          <cell r="CJ463">
            <v>47.23083116629067</v>
          </cell>
          <cell r="CK463">
            <v>38.513394702816619</v>
          </cell>
          <cell r="CL463">
            <v>62.976536455857541</v>
          </cell>
          <cell r="CM463">
            <v>54.571843774221307</v>
          </cell>
          <cell r="CN463">
            <v>64.717576681317254</v>
          </cell>
        </row>
        <row r="464">
          <cell r="BI464">
            <v>39.832999999999998</v>
          </cell>
          <cell r="BJ464">
            <v>50.557499999999997</v>
          </cell>
          <cell r="BK464">
            <v>90.849500000000006</v>
          </cell>
          <cell r="BL464">
            <v>93.081900000000005</v>
          </cell>
          <cell r="BM464">
            <v>67.099999999999994</v>
          </cell>
          <cell r="BN464">
            <v>54.416681385218034</v>
          </cell>
          <cell r="BO464">
            <v>48.914126048275683</v>
          </cell>
          <cell r="BP464">
            <v>53.907372016376712</v>
          </cell>
          <cell r="BQ464">
            <v>46.149035377210552</v>
          </cell>
          <cell r="BR464">
            <v>45.887055654505204</v>
          </cell>
          <cell r="BS464">
            <v>44.970096676600633</v>
          </cell>
          <cell r="BT464">
            <v>46.060806130830926</v>
          </cell>
          <cell r="BU464">
            <v>44.425197458498687</v>
          </cell>
          <cell r="BV464">
            <v>53.694521369620588</v>
          </cell>
          <cell r="BW464">
            <v>44.171903774070501</v>
          </cell>
          <cell r="BX464">
            <v>33.801988616439331</v>
          </cell>
          <cell r="BY464">
            <v>20.73453317591305</v>
          </cell>
          <cell r="BZ464">
            <v>33.721024967935847</v>
          </cell>
          <cell r="CA464">
            <v>24.437987556437051</v>
          </cell>
          <cell r="CB464">
            <v>9.798473098427225</v>
          </cell>
          <cell r="CC464">
            <v>8.6242922225018575</v>
          </cell>
          <cell r="CD464">
            <v>26.2761161763903</v>
          </cell>
          <cell r="CE464">
            <v>44.195705215514394</v>
          </cell>
          <cell r="CF464">
            <v>34.589612457660472</v>
          </cell>
          <cell r="CG464">
            <v>37.964080385271835</v>
          </cell>
          <cell r="CH464">
            <v>43.685738162815653</v>
          </cell>
          <cell r="CI464">
            <v>28.771763906765031</v>
          </cell>
          <cell r="CJ464">
            <v>43.379085771877513</v>
          </cell>
          <cell r="CK464">
            <v>27.900307020406728</v>
          </cell>
          <cell r="CL464">
            <v>57.569169069077645</v>
          </cell>
          <cell r="CM464">
            <v>55.202531372512468</v>
          </cell>
          <cell r="CN464">
            <v>64.92853490416006</v>
          </cell>
        </row>
        <row r="465">
          <cell r="BI465">
            <v>40.689500000000002</v>
          </cell>
          <cell r="BJ465">
            <v>54.571399999999997</v>
          </cell>
          <cell r="BK465">
            <v>87.157600000000002</v>
          </cell>
          <cell r="BL465">
            <v>82.203800000000001</v>
          </cell>
          <cell r="BM465">
            <v>64.906499999999994</v>
          </cell>
          <cell r="BN465">
            <v>55.375070090396342</v>
          </cell>
          <cell r="BO465">
            <v>39.248942939431345</v>
          </cell>
          <cell r="BP465">
            <v>51.526741717419462</v>
          </cell>
          <cell r="BQ465">
            <v>51.253503787288714</v>
          </cell>
          <cell r="BR465">
            <v>45.892646266641549</v>
          </cell>
          <cell r="BS465">
            <v>47.818443582250183</v>
          </cell>
          <cell r="BT465">
            <v>47.346850506063873</v>
          </cell>
          <cell r="BU465">
            <v>48.372509336315836</v>
          </cell>
          <cell r="BV465">
            <v>54.870861455310532</v>
          </cell>
          <cell r="BW465">
            <v>69.621440612035599</v>
          </cell>
          <cell r="BX465">
            <v>69.437792823367047</v>
          </cell>
          <cell r="BY465">
            <v>53.735308384231935</v>
          </cell>
          <cell r="BZ465">
            <v>46.628004097991131</v>
          </cell>
          <cell r="CA465">
            <v>42.860554635883176</v>
          </cell>
          <cell r="CB465">
            <v>19.856247432803364</v>
          </cell>
          <cell r="CC465">
            <v>19.341447302332256</v>
          </cell>
          <cell r="CD465">
            <v>39.501708085394604</v>
          </cell>
          <cell r="CE465">
            <v>52.815795356470161</v>
          </cell>
          <cell r="CF465">
            <v>47.828665132506181</v>
          </cell>
          <cell r="CG465">
            <v>52.448153149620126</v>
          </cell>
          <cell r="CH465">
            <v>58.119220350662907</v>
          </cell>
          <cell r="CI465">
            <v>45.209395508974247</v>
          </cell>
          <cell r="CJ465">
            <v>65.713589048718873</v>
          </cell>
          <cell r="CK465">
            <v>40.360265416398143</v>
          </cell>
          <cell r="CL465">
            <v>76.50114057997861</v>
          </cell>
          <cell r="CM465">
            <v>71.148313391059745</v>
          </cell>
          <cell r="CN465">
            <v>78.298481821846295</v>
          </cell>
        </row>
        <row r="466">
          <cell r="BH466">
            <v>41.238999999999997</v>
          </cell>
          <cell r="BI466">
            <v>40.816699999999997</v>
          </cell>
          <cell r="BJ466">
            <v>57.733199999999997</v>
          </cell>
          <cell r="BK466">
            <v>92.68</v>
          </cell>
          <cell r="BL466">
            <v>80.384</v>
          </cell>
          <cell r="BM466">
            <v>60.564300000000003</v>
          </cell>
          <cell r="BN466">
            <v>51.406486282751629</v>
          </cell>
          <cell r="BO466">
            <v>44.246757650072809</v>
          </cell>
          <cell r="BP466">
            <v>51.370220174404494</v>
          </cell>
          <cell r="BQ466">
            <v>52.092704322725361</v>
          </cell>
          <cell r="BR466">
            <v>43.79164376954472</v>
          </cell>
          <cell r="BS466">
            <v>51.77366273323851</v>
          </cell>
          <cell r="BT466">
            <v>46.559731783817377</v>
          </cell>
          <cell r="BU466">
            <v>42.844799904138867</v>
          </cell>
          <cell r="BV466">
            <v>58.062780565155094</v>
          </cell>
          <cell r="BW466">
            <v>66.784448679584315</v>
          </cell>
          <cell r="BX466">
            <v>65.887961956995497</v>
          </cell>
          <cell r="BY466">
            <v>54.797101388540845</v>
          </cell>
          <cell r="BZ466">
            <v>42.301905123912505</v>
          </cell>
          <cell r="CA466">
            <v>39.86804835957274</v>
          </cell>
          <cell r="CB466">
            <v>16.054600928180598</v>
          </cell>
          <cell r="CC466">
            <v>18.022186393339666</v>
          </cell>
          <cell r="CD466">
            <v>36.458257066803682</v>
          </cell>
          <cell r="CE466">
            <v>46.651467631472684</v>
          </cell>
          <cell r="CF466">
            <v>40.338550106547558</v>
          </cell>
          <cell r="CG466">
            <v>52.753609600771334</v>
          </cell>
          <cell r="CH466">
            <v>60.073874085616083</v>
          </cell>
          <cell r="CI466">
            <v>43.674100923516775</v>
          </cell>
          <cell r="CJ466">
            <v>66.875631205855228</v>
          </cell>
          <cell r="CK466">
            <v>35.901569028084346</v>
          </cell>
          <cell r="CL466">
            <v>77.37234545553757</v>
          </cell>
          <cell r="CM466">
            <v>69.209408181076</v>
          </cell>
        </row>
        <row r="467">
          <cell r="BH467">
            <v>41.015300000000003</v>
          </cell>
          <cell r="BI467">
            <v>38.116799999999998</v>
          </cell>
          <cell r="BJ467">
            <v>62.683199999999999</v>
          </cell>
          <cell r="BK467">
            <v>99.012600000000006</v>
          </cell>
          <cell r="BL467">
            <v>76.467399999999998</v>
          </cell>
          <cell r="BM467">
            <v>57.365000000000002</v>
          </cell>
          <cell r="BN467">
            <v>53.597035769064846</v>
          </cell>
          <cell r="BO467">
            <v>46.438934832418042</v>
          </cell>
          <cell r="BP467">
            <v>54.310699061917894</v>
          </cell>
          <cell r="BQ467">
            <v>49.939291284306982</v>
          </cell>
          <cell r="BR467">
            <v>47.760812277724177</v>
          </cell>
          <cell r="BS467">
            <v>53.162764736372296</v>
          </cell>
          <cell r="BT467">
            <v>42.202768040094263</v>
          </cell>
          <cell r="BU467">
            <v>39.59961729352365</v>
          </cell>
          <cell r="BV467">
            <v>61.299659157263726</v>
          </cell>
          <cell r="BW467">
            <v>67.547963676798233</v>
          </cell>
          <cell r="BX467">
            <v>65.079487092756537</v>
          </cell>
          <cell r="BY467">
            <v>56.052753193056084</v>
          </cell>
          <cell r="BZ467">
            <v>40.473599575634445</v>
          </cell>
          <cell r="CA467">
            <v>39.693646673895543</v>
          </cell>
          <cell r="CB467">
            <v>24.802018671815013</v>
          </cell>
          <cell r="CC467">
            <v>21.566087159535961</v>
          </cell>
          <cell r="CD467">
            <v>38.115269717413625</v>
          </cell>
          <cell r="CE467">
            <v>46.808225222471044</v>
          </cell>
          <cell r="CF467">
            <v>41.119123669742834</v>
          </cell>
          <cell r="CG467">
            <v>52.107234770708672</v>
          </cell>
          <cell r="CH467">
            <v>59.132540989696906</v>
          </cell>
          <cell r="CI467">
            <v>44.798905625316891</v>
          </cell>
          <cell r="CJ467">
            <v>58.050787407893679</v>
          </cell>
          <cell r="CK467">
            <v>36.54406240857324</v>
          </cell>
          <cell r="CL467">
            <v>76.787064363319232</v>
          </cell>
          <cell r="CM467">
            <v>66.499837333905816</v>
          </cell>
        </row>
        <row r="468">
          <cell r="BH468">
            <v>39.713799999999999</v>
          </cell>
          <cell r="BI468">
            <v>35.494999999999997</v>
          </cell>
          <cell r="BJ468">
            <v>72.630899999999997</v>
          </cell>
          <cell r="BK468">
            <v>102.7022</v>
          </cell>
          <cell r="BL468">
            <v>71.804299999999998</v>
          </cell>
          <cell r="BM468">
            <v>58.494</v>
          </cell>
          <cell r="BN468">
            <v>56.897296892316277</v>
          </cell>
          <cell r="BO468">
            <v>51.792460785429881</v>
          </cell>
          <cell r="BP468">
            <v>58.176818896398551</v>
          </cell>
          <cell r="BQ468">
            <v>50.637036004497993</v>
          </cell>
          <cell r="BR468">
            <v>54.843351385524791</v>
          </cell>
          <cell r="BS468">
            <v>60.273601267891777</v>
          </cell>
          <cell r="BT468">
            <v>50.083069515759107</v>
          </cell>
          <cell r="BU468">
            <v>48.845711181172057</v>
          </cell>
          <cell r="BV468">
            <v>74.154906202308652</v>
          </cell>
          <cell r="BW468">
            <v>80.379694314379151</v>
          </cell>
          <cell r="BX468">
            <v>77.828883199270692</v>
          </cell>
          <cell r="BY468">
            <v>66.506142445007967</v>
          </cell>
          <cell r="BZ468">
            <v>50.801024029028447</v>
          </cell>
          <cell r="CA468">
            <v>51.265547748819024</v>
          </cell>
          <cell r="CB468">
            <v>41.616113392441555</v>
          </cell>
          <cell r="CC468">
            <v>36.149964975149921</v>
          </cell>
          <cell r="CD468">
            <v>51.166052395206805</v>
          </cell>
          <cell r="CE468">
            <v>58.122902770391647</v>
          </cell>
          <cell r="CF468">
            <v>52.330309574078754</v>
          </cell>
          <cell r="CG468">
            <v>62.383456741969013</v>
          </cell>
          <cell r="CH468">
            <v>69.244940455603228</v>
          </cell>
          <cell r="CI468">
            <v>57.574516261349288</v>
          </cell>
          <cell r="CJ468">
            <v>65.209602821193499</v>
          </cell>
          <cell r="CK468">
            <v>50.880997105142143</v>
          </cell>
          <cell r="CL468">
            <v>89.794705571776518</v>
          </cell>
          <cell r="CM468">
            <v>77.498365852511398</v>
          </cell>
        </row>
        <row r="469">
          <cell r="BH469">
            <v>37.842399999999998</v>
          </cell>
          <cell r="BI469">
            <v>35.583799999999997</v>
          </cell>
          <cell r="BJ469">
            <v>88.140500000000003</v>
          </cell>
          <cell r="BK469">
            <v>109.152</v>
          </cell>
          <cell r="BL469">
            <v>68.944199999999995</v>
          </cell>
          <cell r="BM469">
            <v>56.967300000000002</v>
          </cell>
          <cell r="BN469">
            <v>54.089900447903148</v>
          </cell>
          <cell r="BO469">
            <v>55.720726605687155</v>
          </cell>
          <cell r="BP469">
            <v>62.330344011765703</v>
          </cell>
          <cell r="BQ469">
            <v>50.183081032711023</v>
          </cell>
          <cell r="BR469">
            <v>60.736131882171513</v>
          </cell>
          <cell r="BS469">
            <v>65.932704175806478</v>
          </cell>
          <cell r="BT469">
            <v>55.796538141636873</v>
          </cell>
          <cell r="BU469">
            <v>50.409965227703104</v>
          </cell>
          <cell r="BV469">
            <v>81.81296050359704</v>
          </cell>
          <cell r="BW469">
            <v>87.402666748826732</v>
          </cell>
          <cell r="BX469">
            <v>81.929169088268125</v>
          </cell>
          <cell r="BY469">
            <v>73.514908408976595</v>
          </cell>
          <cell r="BZ469">
            <v>55.237029951815906</v>
          </cell>
          <cell r="CA469">
            <v>56.670769829510654</v>
          </cell>
          <cell r="CB469">
            <v>53.79907236989537</v>
          </cell>
          <cell r="CC469">
            <v>46.082369653572243</v>
          </cell>
          <cell r="CD469">
            <v>59.554934328919089</v>
          </cell>
          <cell r="CE469">
            <v>64.809822604588291</v>
          </cell>
          <cell r="CF469">
            <v>59.43656868099302</v>
          </cell>
          <cell r="CG469">
            <v>68.174079405823804</v>
          </cell>
          <cell r="CH469">
            <v>75.194972503674379</v>
          </cell>
          <cell r="CI469">
            <v>65.711224973815291</v>
          </cell>
          <cell r="CJ469">
            <v>66.092474605992578</v>
          </cell>
          <cell r="CK469">
            <v>59.70867906396527</v>
          </cell>
          <cell r="CL469">
            <v>97.604736894524819</v>
          </cell>
          <cell r="CM469">
            <v>83.174397990370139</v>
          </cell>
        </row>
        <row r="470">
          <cell r="BH470">
            <v>37.230499999999999</v>
          </cell>
          <cell r="BI470">
            <v>34.703499999999998</v>
          </cell>
          <cell r="BJ470">
            <v>103.6395</v>
          </cell>
          <cell r="BK470">
            <v>114.86190000000001</v>
          </cell>
          <cell r="BL470">
            <v>65.765500000000003</v>
          </cell>
          <cell r="BM470">
            <v>54.816800000000001</v>
          </cell>
          <cell r="BN470">
            <v>59.209706844274393</v>
          </cell>
          <cell r="BO470">
            <v>56.076430532653944</v>
          </cell>
          <cell r="BP470">
            <v>61.912653893928209</v>
          </cell>
          <cell r="BQ470">
            <v>54.69644798863019</v>
          </cell>
          <cell r="BR470">
            <v>64.201774637733891</v>
          </cell>
          <cell r="BS470">
            <v>63.075903691157755</v>
          </cell>
          <cell r="BT470">
            <v>60.40565525588778</v>
          </cell>
          <cell r="BU470">
            <v>51.395872962231813</v>
          </cell>
          <cell r="BV470">
            <v>83.086425109229694</v>
          </cell>
          <cell r="BW470">
            <v>90.888027706563179</v>
          </cell>
          <cell r="BX470">
            <v>82.699568866413983</v>
          </cell>
          <cell r="BY470">
            <v>76.84234492233503</v>
          </cell>
          <cell r="BZ470">
            <v>56.3732121213135</v>
          </cell>
          <cell r="CA470">
            <v>59.18811939686897</v>
          </cell>
          <cell r="CB470">
            <v>64.005318273079183</v>
          </cell>
          <cell r="CC470">
            <v>53.478358375454562</v>
          </cell>
          <cell r="CD470">
            <v>65.026392646397042</v>
          </cell>
          <cell r="CE470">
            <v>69.090758623305248</v>
          </cell>
          <cell r="CF470">
            <v>64.369662535685393</v>
          </cell>
          <cell r="CG470">
            <v>71.494956606329296</v>
          </cell>
          <cell r="CH470">
            <v>78.303398814792402</v>
          </cell>
          <cell r="CI470">
            <v>71.079706036265506</v>
          </cell>
          <cell r="CJ470">
            <v>72.816655681814382</v>
          </cell>
          <cell r="CK470">
            <v>67.857169821441559</v>
          </cell>
          <cell r="CL470">
            <v>96.033089947534776</v>
          </cell>
          <cell r="CM470">
            <v>87.145505227094745</v>
          </cell>
        </row>
        <row r="471">
          <cell r="BH471">
            <v>37.853000000000002</v>
          </cell>
          <cell r="BI471">
            <v>37.527700000000003</v>
          </cell>
          <cell r="BJ471">
            <v>99.152299999999997</v>
          </cell>
          <cell r="BK471">
            <v>111.33</v>
          </cell>
          <cell r="BL471">
            <v>75.456199999999995</v>
          </cell>
          <cell r="BM471">
            <v>54.206800000000001</v>
          </cell>
          <cell r="BN471">
            <v>60.607017735854626</v>
          </cell>
          <cell r="BO471">
            <v>56.238120973109865</v>
          </cell>
          <cell r="BP471">
            <v>60.539087472599824</v>
          </cell>
          <cell r="BQ471">
            <v>58.608692248182827</v>
          </cell>
          <cell r="BR471">
            <v>66.295952910692534</v>
          </cell>
          <cell r="BS471">
            <v>66.021236514625841</v>
          </cell>
          <cell r="BT471">
            <v>64.126094275247468</v>
          </cell>
          <cell r="BU471">
            <v>56.352746028737066</v>
          </cell>
          <cell r="BV471">
            <v>82.592169533068656</v>
          </cell>
          <cell r="BW471">
            <v>92.342184909310916</v>
          </cell>
          <cell r="BX471">
            <v>83.733719382717695</v>
          </cell>
          <cell r="BY471">
            <v>81.003175847786054</v>
          </cell>
          <cell r="BZ471">
            <v>57.148620266371502</v>
          </cell>
          <cell r="CA471">
            <v>61.565824106880896</v>
          </cell>
          <cell r="CB471">
            <v>63.486372379228506</v>
          </cell>
          <cell r="CC471">
            <v>57.850132607674794</v>
          </cell>
          <cell r="CD471">
            <v>66.778913987762181</v>
          </cell>
          <cell r="CE471">
            <v>68.919054657325646</v>
          </cell>
          <cell r="CF471">
            <v>63.192167080422678</v>
          </cell>
          <cell r="CG471">
            <v>70.210275016449089</v>
          </cell>
          <cell r="CH471">
            <v>76.441809847034989</v>
          </cell>
          <cell r="CI471">
            <v>71.46820558469561</v>
          </cell>
          <cell r="CJ471">
            <v>74.179644526918466</v>
          </cell>
          <cell r="CK471">
            <v>70.376470738495755</v>
          </cell>
          <cell r="CL471">
            <v>89.193926341614173</v>
          </cell>
          <cell r="CM471">
            <v>85.179920377331712</v>
          </cell>
        </row>
        <row r="472">
          <cell r="BH472">
            <v>37.736800000000002</v>
          </cell>
          <cell r="BI472">
            <v>44.201799999999999</v>
          </cell>
          <cell r="BJ472">
            <v>96.620999999999995</v>
          </cell>
          <cell r="BK472">
            <v>96.397999999999996</v>
          </cell>
          <cell r="BL472">
            <v>87.39</v>
          </cell>
          <cell r="BM472">
            <v>58.195</v>
          </cell>
          <cell r="BN472">
            <v>60.861132976584464</v>
          </cell>
          <cell r="BO472">
            <v>56.068391611552769</v>
          </cell>
          <cell r="BP472">
            <v>60.809121165142145</v>
          </cell>
          <cell r="BQ472">
            <v>65.469273213010979</v>
          </cell>
          <cell r="BR472">
            <v>68.431655019106316</v>
          </cell>
          <cell r="BS472">
            <v>70.611243382891885</v>
          </cell>
          <cell r="BT472">
            <v>69.624114416623911</v>
          </cell>
          <cell r="BU472">
            <v>63.092189022709448</v>
          </cell>
          <cell r="BV472">
            <v>84.053623533377831</v>
          </cell>
          <cell r="BW472">
            <v>95.028623921119689</v>
          </cell>
          <cell r="BX472">
            <v>86.255644441972379</v>
          </cell>
          <cell r="BY472">
            <v>87.391542369418374</v>
          </cell>
          <cell r="BZ472">
            <v>60.170338897478814</v>
          </cell>
          <cell r="CA472">
            <v>66.475345885430329</v>
          </cell>
          <cell r="CB472">
            <v>65.552438913043801</v>
          </cell>
          <cell r="CC472">
            <v>65.044039958746467</v>
          </cell>
          <cell r="CD472">
            <v>71.343745185063952</v>
          </cell>
          <cell r="CE472">
            <v>71.359360607871963</v>
          </cell>
          <cell r="CF472">
            <v>64.976399240842483</v>
          </cell>
          <cell r="CG472">
            <v>71.619619223782692</v>
          </cell>
          <cell r="CH472">
            <v>77.228479667837817</v>
          </cell>
          <cell r="CI472">
            <v>74.66636972539979</v>
          </cell>
          <cell r="CJ472">
            <v>78.347464316216957</v>
          </cell>
          <cell r="CK472">
            <v>76.002170666865283</v>
          </cell>
          <cell r="CL472">
            <v>84.625085973111823</v>
          </cell>
          <cell r="CM472">
            <v>86.248353153455923</v>
          </cell>
        </row>
        <row r="473">
          <cell r="BH473">
            <v>38.888199999999998</v>
          </cell>
          <cell r="BI473">
            <v>46.604799999999997</v>
          </cell>
          <cell r="BJ473">
            <v>91.145899999999997</v>
          </cell>
          <cell r="BK473">
            <v>97.350399999999993</v>
          </cell>
          <cell r="BL473">
            <v>84.650899999999993</v>
          </cell>
          <cell r="BM473">
            <v>53.886400000000002</v>
          </cell>
          <cell r="BN473">
            <v>60.571629362935681</v>
          </cell>
          <cell r="BO473">
            <v>58.786200471178574</v>
          </cell>
          <cell r="BP473">
            <v>51.523989666926425</v>
          </cell>
          <cell r="BQ473">
            <v>62.84777044709945</v>
          </cell>
          <cell r="BR473">
            <v>60.429683602234022</v>
          </cell>
          <cell r="BS473">
            <v>65.843122964950254</v>
          </cell>
          <cell r="BT473">
            <v>48.73032421503644</v>
          </cell>
          <cell r="BU473">
            <v>40.107066778050097</v>
          </cell>
          <cell r="BV473">
            <v>44.008616076739955</v>
          </cell>
          <cell r="BW473">
            <v>58.419915678226587</v>
          </cell>
          <cell r="BX473">
            <v>26.000220614592131</v>
          </cell>
          <cell r="BY473">
            <v>31.354899413451694</v>
          </cell>
          <cell r="BZ473">
            <v>26.140087630316884</v>
          </cell>
          <cell r="CA473">
            <v>23.478473101333748</v>
          </cell>
          <cell r="CB473">
            <v>23.627737628035462</v>
          </cell>
          <cell r="CC473">
            <v>26.922302318850537</v>
          </cell>
          <cell r="CD473">
            <v>33.525086997973268</v>
          </cell>
          <cell r="CE473">
            <v>34.006398116126164</v>
          </cell>
          <cell r="CF473">
            <v>24.972875261396059</v>
          </cell>
          <cell r="CG473">
            <v>29.136182203609017</v>
          </cell>
          <cell r="CH473">
            <v>35.418476234571351</v>
          </cell>
          <cell r="CI473">
            <v>30.442729939440962</v>
          </cell>
          <cell r="CJ473">
            <v>32.563992644155249</v>
          </cell>
          <cell r="CK473">
            <v>34.775676814384184</v>
          </cell>
          <cell r="CL473">
            <v>40.21000597145057</v>
          </cell>
          <cell r="CM473">
            <v>41.153021116207853</v>
          </cell>
        </row>
        <row r="474">
          <cell r="BH474">
            <v>39.600499999999997</v>
          </cell>
          <cell r="BI474">
            <v>48.5105</v>
          </cell>
          <cell r="BJ474">
            <v>83.7286</v>
          </cell>
          <cell r="BK474">
            <v>90.587599999999995</v>
          </cell>
          <cell r="BL474">
            <v>78.456500000000005</v>
          </cell>
          <cell r="BM474">
            <v>53.468000000000004</v>
          </cell>
          <cell r="BN474">
            <v>60.717931175412573</v>
          </cell>
          <cell r="BO474">
            <v>52.551466257903868</v>
          </cell>
          <cell r="BP474">
            <v>49.833056958331667</v>
          </cell>
          <cell r="BQ474">
            <v>51.776985215765706</v>
          </cell>
          <cell r="BR474">
            <v>48.554047557302837</v>
          </cell>
          <cell r="BS474">
            <v>52.748962507860654</v>
          </cell>
          <cell r="BT474">
            <v>50.527377746797484</v>
          </cell>
          <cell r="BU474">
            <v>50.397343114792434</v>
          </cell>
          <cell r="BV474">
            <v>49.803353960551974</v>
          </cell>
          <cell r="BW474">
            <v>40.259332829996538</v>
          </cell>
          <cell r="BX474">
            <v>19.015470165586873</v>
          </cell>
          <cell r="BY474">
            <v>25.396249650744171</v>
          </cell>
          <cell r="BZ474">
            <v>25.968644384847416</v>
          </cell>
          <cell r="CA474">
            <v>19.117431447540408</v>
          </cell>
          <cell r="CB474">
            <v>16.125297943280074</v>
          </cell>
          <cell r="CC474">
            <v>23.216549336644654</v>
          </cell>
          <cell r="CD474">
            <v>29.671430405515085</v>
          </cell>
          <cell r="CE474">
            <v>26.74724125768855</v>
          </cell>
          <cell r="CF474">
            <v>18.31763812054076</v>
          </cell>
          <cell r="CG474">
            <v>20.965356014354668</v>
          </cell>
          <cell r="CH474">
            <v>26.364285629888254</v>
          </cell>
          <cell r="CI474">
            <v>23.264396584865075</v>
          </cell>
          <cell r="CJ474">
            <v>26.541306511805487</v>
          </cell>
          <cell r="CK474">
            <v>29.797123847066597</v>
          </cell>
          <cell r="CL474">
            <v>34.713861563603501</v>
          </cell>
          <cell r="CM474">
            <v>33.874796983427629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3">
          <cell r="S23">
            <v>104.54707240105762</v>
          </cell>
          <cell r="T23">
            <v>130.99055727448717</v>
          </cell>
          <cell r="U23">
            <v>140.25751320681525</v>
          </cell>
          <cell r="V23">
            <v>179.79403709058684</v>
          </cell>
          <cell r="W23">
            <v>242.73990665979659</v>
          </cell>
          <cell r="X23">
            <v>266.99315564598459</v>
          </cell>
          <cell r="Y23">
            <v>284.11183269303501</v>
          </cell>
          <cell r="Z23">
            <v>345.4613649401939</v>
          </cell>
          <cell r="AA23">
            <v>349.48342996255735</v>
          </cell>
          <cell r="AB23">
            <v>305.51195646397605</v>
          </cell>
          <cell r="AC23">
            <v>344.74507893521218</v>
          </cell>
          <cell r="AD23">
            <v>367.92524537049604</v>
          </cell>
          <cell r="AE23">
            <v>356.36868334501054</v>
          </cell>
          <cell r="AF23">
            <v>357.72000129220265</v>
          </cell>
          <cell r="AG23">
            <v>370.70867067592008</v>
          </cell>
          <cell r="AH23">
            <v>388.90114257819994</v>
          </cell>
          <cell r="AI23">
            <v>394.46162471350948</v>
          </cell>
          <cell r="AJ23">
            <v>404.00639149067047</v>
          </cell>
          <cell r="AK23">
            <v>415.2838128029656</v>
          </cell>
          <cell r="AL23">
            <v>422.00482187918323</v>
          </cell>
          <cell r="AM23">
            <v>432.52208209403824</v>
          </cell>
          <cell r="AN23">
            <v>443.34945003320189</v>
          </cell>
          <cell r="AO23">
            <v>453.90596501358118</v>
          </cell>
          <cell r="AP23">
            <v>464.67860717481045</v>
          </cell>
          <cell r="AQ23">
            <v>475.144549253619</v>
          </cell>
          <cell r="AR23">
            <v>486.51722547461088</v>
          </cell>
          <cell r="AS23">
            <v>498.14020378264547</v>
          </cell>
          <cell r="AT23">
            <v>509.94542539019841</v>
          </cell>
          <cell r="AU23">
            <v>521.9589220277611</v>
          </cell>
          <cell r="AV23">
            <v>534.26802554283847</v>
          </cell>
          <cell r="AW23">
            <v>546.9406590593328</v>
          </cell>
          <cell r="AX23">
            <v>559.91256628167127</v>
          </cell>
          <cell r="AY23">
            <v>603.47611228261439</v>
          </cell>
          <cell r="AZ23">
            <v>623.61522935902315</v>
          </cell>
          <cell r="BA23">
            <v>645.53795593537768</v>
          </cell>
          <cell r="BB23">
            <v>669.56352976629478</v>
          </cell>
          <cell r="BC23">
            <v>696.07613432637822</v>
          </cell>
          <cell r="BD23">
            <v>725.56608711119509</v>
          </cell>
          <cell r="BE23">
            <v>751.91263647401604</v>
          </cell>
          <cell r="BF23">
            <v>779.60590421196821</v>
          </cell>
          <cell r="BG23">
            <v>791.29999277514753</v>
          </cell>
        </row>
        <row r="24">
          <cell r="S24">
            <v>104.54707240105762</v>
          </cell>
          <cell r="T24">
            <v>130.99055727448717</v>
          </cell>
          <cell r="U24">
            <v>140.25751320681525</v>
          </cell>
          <cell r="V24">
            <v>179.79403709058684</v>
          </cell>
          <cell r="W24">
            <v>242.73990665979659</v>
          </cell>
          <cell r="X24">
            <v>265.31037291765</v>
          </cell>
          <cell r="Y24">
            <v>273.21539712482604</v>
          </cell>
          <cell r="Z24">
            <v>377.1943596964029</v>
          </cell>
          <cell r="AA24">
            <v>351.56231925813432</v>
          </cell>
          <cell r="AB24">
            <v>365.44478739962148</v>
          </cell>
          <cell r="AC24">
            <v>357.38936665053842</v>
          </cell>
          <cell r="AD24">
            <v>363.62905207110106</v>
          </cell>
          <cell r="AE24">
            <v>384.76906621588222</v>
          </cell>
          <cell r="AF24">
            <v>393.70620100838528</v>
          </cell>
          <cell r="AG24">
            <v>369.32569538562194</v>
          </cell>
          <cell r="AH24">
            <v>391.73650114482518</v>
          </cell>
          <cell r="AI24">
            <v>386.70829807878363</v>
          </cell>
          <cell r="AJ24">
            <v>391.60580383671328</v>
          </cell>
          <cell r="AK24">
            <v>398.82315987458475</v>
          </cell>
          <cell r="AL24">
            <v>406.25319035571079</v>
          </cell>
          <cell r="AM24">
            <v>419.53216340587852</v>
          </cell>
          <cell r="AN24">
            <v>429.54238041495955</v>
          </cell>
          <cell r="AO24">
            <v>438.57968256272756</v>
          </cell>
          <cell r="AP24">
            <v>448.78748594500513</v>
          </cell>
          <cell r="AQ24">
            <v>459.38538648185079</v>
          </cell>
          <cell r="AR24">
            <v>470.78489584079165</v>
          </cell>
          <cell r="AS24">
            <v>481.69875416879694</v>
          </cell>
          <cell r="AT24">
            <v>493.05731491054559</v>
          </cell>
          <cell r="AU24">
            <v>504.69343937366233</v>
          </cell>
          <cell r="AV24">
            <v>516.72373207950443</v>
          </cell>
          <cell r="AW24">
            <v>529.01011511004856</v>
          </cell>
          <cell r="AX24">
            <v>541.50041092022263</v>
          </cell>
          <cell r="AY24">
            <v>580.66962224981842</v>
          </cell>
          <cell r="AZ24">
            <v>599.53609057377651</v>
          </cell>
          <cell r="BA24">
            <v>619.96218115638703</v>
          </cell>
          <cell r="BB24">
            <v>642.23922412872184</v>
          </cell>
          <cell r="BC24">
            <v>666.69771097500904</v>
          </cell>
          <cell r="BD24">
            <v>693.79205081892906</v>
          </cell>
          <cell r="BE24">
            <v>718.18590253182515</v>
          </cell>
          <cell r="BF24">
            <v>743.77899320038114</v>
          </cell>
          <cell r="BG24">
            <v>754.9356780983868</v>
          </cell>
        </row>
        <row r="25">
          <cell r="S25">
            <v>105.57465838393186</v>
          </cell>
          <cell r="T25">
            <v>134.93519315287048</v>
          </cell>
          <cell r="U25">
            <v>137.84787021902105</v>
          </cell>
          <cell r="V25">
            <v>187.985953935861</v>
          </cell>
          <cell r="W25">
            <v>225.96071792913415</v>
          </cell>
          <cell r="X25">
            <v>245.41578097200892</v>
          </cell>
          <cell r="Y25">
            <v>277.4530466132905</v>
          </cell>
          <cell r="Z25">
            <v>372.83807247388114</v>
          </cell>
          <cell r="AA25">
            <v>354.47613803454914</v>
          </cell>
          <cell r="AB25">
            <v>378.36580257325988</v>
          </cell>
          <cell r="AC25">
            <v>348.80881109091024</v>
          </cell>
          <cell r="AD25">
            <v>372.12701812625795</v>
          </cell>
          <cell r="AE25">
            <v>363.59619006148819</v>
          </cell>
          <cell r="AF25">
            <v>373.0623317767064</v>
          </cell>
          <cell r="AG25">
            <v>405.75272229651875</v>
          </cell>
          <cell r="AH25">
            <v>396.77178841563858</v>
          </cell>
          <cell r="AI25">
            <v>398.98882623185494</v>
          </cell>
          <cell r="AJ25">
            <v>402.43354752971175</v>
          </cell>
          <cell r="AK25">
            <v>414.20403676812197</v>
          </cell>
          <cell r="AL25">
            <v>422.84601286974589</v>
          </cell>
          <cell r="AM25">
            <v>652.37074669773324</v>
          </cell>
          <cell r="AN25">
            <v>644.12664395644151</v>
          </cell>
          <cell r="AO25">
            <v>553.58918534285658</v>
          </cell>
          <cell r="AP25">
            <v>564.71017367071568</v>
          </cell>
          <cell r="AQ25">
            <v>575.29997004280676</v>
          </cell>
          <cell r="AR25">
            <v>586.61401770518182</v>
          </cell>
          <cell r="AS25">
            <v>598.24305979031817</v>
          </cell>
          <cell r="AT25">
            <v>609.96361667617066</v>
          </cell>
          <cell r="AU25">
            <v>622.01393557299991</v>
          </cell>
          <cell r="AV25">
            <v>634.32696591120384</v>
          </cell>
          <cell r="AW25">
            <v>646.97103064490466</v>
          </cell>
          <cell r="AX25">
            <v>659.93913157436202</v>
          </cell>
          <cell r="AY25">
            <v>706.91184664983723</v>
          </cell>
          <cell r="AZ25">
            <v>727.81400261659087</v>
          </cell>
          <cell r="BA25">
            <v>750.63880683591719</v>
          </cell>
          <cell r="BB25">
            <v>775.77997828949026</v>
          </cell>
          <cell r="BC25">
            <v>803.65553568892119</v>
          </cell>
          <cell r="BD25">
            <v>834.81416891101253</v>
          </cell>
          <cell r="BE25">
            <v>862.43807807855296</v>
          </cell>
          <cell r="BF25">
            <v>891.52238209888617</v>
          </cell>
          <cell r="BG25">
            <v>903.39521783036935</v>
          </cell>
        </row>
        <row r="26">
          <cell r="R26">
            <v>75.630933333333331</v>
          </cell>
          <cell r="S26">
            <v>105.57465838393186</v>
          </cell>
          <cell r="T26">
            <v>134.93519315287048</v>
          </cell>
          <cell r="U26">
            <v>137.84787021902105</v>
          </cell>
          <cell r="V26">
            <v>187.985953935861</v>
          </cell>
          <cell r="W26">
            <v>183.57306090167782</v>
          </cell>
          <cell r="X26">
            <v>246.20396074541367</v>
          </cell>
          <cell r="Y26">
            <v>315.86592268384669</v>
          </cell>
          <cell r="Z26">
            <v>354.21420248967746</v>
          </cell>
          <cell r="AA26">
            <v>334.20106648881409</v>
          </cell>
          <cell r="AB26">
            <v>349.02153947566052</v>
          </cell>
          <cell r="AC26">
            <v>333.33582240290099</v>
          </cell>
          <cell r="AD26">
            <v>347.11073900435548</v>
          </cell>
          <cell r="AE26">
            <v>349.26442790691999</v>
          </cell>
          <cell r="AF26">
            <v>338.38165735723436</v>
          </cell>
          <cell r="AG26">
            <v>372.65865312115278</v>
          </cell>
          <cell r="AH26">
            <v>372.25830961247755</v>
          </cell>
          <cell r="AI26">
            <v>372.02251256647344</v>
          </cell>
          <cell r="AJ26">
            <v>380.46586768442268</v>
          </cell>
          <cell r="AK26">
            <v>384.69868579446296</v>
          </cell>
          <cell r="AL26">
            <v>390.78301152703261</v>
          </cell>
          <cell r="AM26">
            <v>408.34493194065288</v>
          </cell>
          <cell r="AN26">
            <v>414.75212102258882</v>
          </cell>
          <cell r="AO26">
            <v>424.44691088031055</v>
          </cell>
          <cell r="AP26">
            <v>433.57429405447004</v>
          </cell>
          <cell r="AQ26">
            <v>443.95922151690615</v>
          </cell>
          <cell r="AR26">
            <v>455.79836409040684</v>
          </cell>
          <cell r="AS26">
            <v>465.3535878307847</v>
          </cell>
          <cell r="AT26">
            <v>476.82954206683206</v>
          </cell>
          <cell r="AU26">
            <v>487.80376057269223</v>
          </cell>
          <cell r="AV26">
            <v>499.52287924178472</v>
          </cell>
          <cell r="AW26">
            <v>511.40250728821587</v>
          </cell>
          <cell r="AX26">
            <v>555.76442638002243</v>
          </cell>
          <cell r="AY26">
            <v>576.8993123322964</v>
          </cell>
          <cell r="AZ26">
            <v>598.50902765236026</v>
          </cell>
          <cell r="BA26">
            <v>622.44493182194196</v>
          </cell>
          <cell r="BB26">
            <v>649.07468116734833</v>
          </cell>
          <cell r="BC26">
            <v>678.94246537473293</v>
          </cell>
          <cell r="BD26">
            <v>705.60931692835516</v>
          </cell>
          <cell r="BE26">
            <v>733.43399157045053</v>
          </cell>
          <cell r="BF26">
            <v>762.62526853261056</v>
          </cell>
        </row>
        <row r="27">
          <cell r="R27">
            <v>75.630933333333331</v>
          </cell>
          <cell r="S27">
            <v>105.57465838393186</v>
          </cell>
          <cell r="T27">
            <v>134.93519315287048</v>
          </cell>
          <cell r="U27">
            <v>137.84787021902105</v>
          </cell>
          <cell r="V27">
            <v>187.985953935861</v>
          </cell>
          <cell r="W27">
            <v>175.23519264137116</v>
          </cell>
          <cell r="X27">
            <v>272.03347189147757</v>
          </cell>
          <cell r="Y27">
            <v>287.19856626415338</v>
          </cell>
          <cell r="Z27">
            <v>342.9579194190847</v>
          </cell>
          <cell r="AA27">
            <v>305.20549962356472</v>
          </cell>
          <cell r="AB27">
            <v>330.72764250237839</v>
          </cell>
          <cell r="AC27">
            <v>265.53153080890888</v>
          </cell>
          <cell r="AD27">
            <v>297.24093762562023</v>
          </cell>
          <cell r="AE27">
            <v>324.5247560362767</v>
          </cell>
          <cell r="AF27">
            <v>367.80223681670947</v>
          </cell>
          <cell r="AG27">
            <v>353.48877068142542</v>
          </cell>
          <cell r="AH27">
            <v>345.87475960632071</v>
          </cell>
          <cell r="AI27">
            <v>360.24489487844204</v>
          </cell>
          <cell r="AJ27">
            <v>372.0770838385111</v>
          </cell>
          <cell r="AK27">
            <v>380.97791338936969</v>
          </cell>
          <cell r="AL27">
            <v>385.60950990412061</v>
          </cell>
          <cell r="AM27">
            <v>395.38944435321991</v>
          </cell>
          <cell r="AN27">
            <v>405.67272931188563</v>
          </cell>
          <cell r="AO27">
            <v>415.45612021877361</v>
          </cell>
          <cell r="AP27">
            <v>424.94697817191752</v>
          </cell>
          <cell r="AQ27">
            <v>434.16481940504337</v>
          </cell>
          <cell r="AR27">
            <v>444.69047025597729</v>
          </cell>
          <cell r="AS27">
            <v>455.19305428484751</v>
          </cell>
          <cell r="AT27">
            <v>465.86495434970942</v>
          </cell>
          <cell r="AU27">
            <v>476.67356668020267</v>
          </cell>
          <cell r="AV27">
            <v>487.79207180902904</v>
          </cell>
          <cell r="AW27">
            <v>499.28273134193711</v>
          </cell>
          <cell r="AX27">
            <v>547.40751878394724</v>
          </cell>
          <cell r="AY27">
            <v>562.69588547240517</v>
          </cell>
          <cell r="AZ27">
            <v>583.61085766328347</v>
          </cell>
          <cell r="BA27">
            <v>606.73866735698812</v>
          </cell>
          <cell r="BB27">
            <v>632.50162749356844</v>
          </cell>
          <cell r="BC27">
            <v>661.39147461505638</v>
          </cell>
          <cell r="BD27">
            <v>686.00761811056316</v>
          </cell>
          <cell r="BE27">
            <v>712.65714693799089</v>
          </cell>
          <cell r="BF27">
            <v>740.55439127864884</v>
          </cell>
        </row>
        <row r="28">
          <cell r="R28">
            <v>79.289000000000001</v>
          </cell>
          <cell r="S28">
            <v>105.82049154603752</v>
          </cell>
          <cell r="T28">
            <v>128.66906309818603</v>
          </cell>
          <cell r="U28">
            <v>148.58803958310932</v>
          </cell>
          <cell r="V28">
            <v>192.08420461042704</v>
          </cell>
          <cell r="W28">
            <v>218.3575891748244</v>
          </cell>
          <cell r="X28">
            <v>275.16623037352451</v>
          </cell>
          <cell r="Y28">
            <v>316.07114024895475</v>
          </cell>
          <cell r="Z28">
            <v>319.41111390952608</v>
          </cell>
          <cell r="AA28">
            <v>340.57926242701876</v>
          </cell>
          <cell r="AB28">
            <v>338.597088926423</v>
          </cell>
          <cell r="AC28">
            <v>341.73218792798497</v>
          </cell>
          <cell r="AD28">
            <v>332.06186545064452</v>
          </cell>
          <cell r="AE28">
            <v>352.59589249556581</v>
          </cell>
          <cell r="AF28">
            <v>376.97128619446391</v>
          </cell>
          <cell r="AG28">
            <v>428.67862134583788</v>
          </cell>
          <cell r="AH28">
            <v>379.09642039952035</v>
          </cell>
          <cell r="AI28">
            <v>384.62669796496601</v>
          </cell>
          <cell r="AJ28">
            <v>391.81971791756013</v>
          </cell>
          <cell r="AK28">
            <v>398.83703555701283</v>
          </cell>
          <cell r="AL28">
            <v>410.06170156670629</v>
          </cell>
          <cell r="AM28">
            <v>421.84736742752381</v>
          </cell>
          <cell r="AN28">
            <v>430.19884644227949</v>
          </cell>
          <cell r="AO28">
            <v>439.95592346231086</v>
          </cell>
          <cell r="AP28">
            <v>450.32101714517648</v>
          </cell>
          <cell r="AQ28">
            <v>461.13312433085315</v>
          </cell>
          <cell r="AR28">
            <v>472.34652287423933</v>
          </cell>
          <cell r="AS28">
            <v>483.15729585731532</v>
          </cell>
          <cell r="AT28">
            <v>494.4926441962844</v>
          </cell>
          <cell r="AU28">
            <v>506.18523487556416</v>
          </cell>
          <cell r="AV28">
            <v>518.19856983038028</v>
          </cell>
          <cell r="AW28">
            <v>530.42440830451369</v>
          </cell>
          <cell r="AX28">
            <v>573.75179349852101</v>
          </cell>
          <cell r="AY28">
            <v>587.47687575845191</v>
          </cell>
          <cell r="AZ28">
            <v>607.49933807385594</v>
          </cell>
          <cell r="BA28">
            <v>629.3661388091665</v>
          </cell>
          <cell r="BB28">
            <v>653.38509510781478</v>
          </cell>
          <cell r="BC28">
            <v>679.99059725988843</v>
          </cell>
          <cell r="BD28">
            <v>702.88142236251576</v>
          </cell>
          <cell r="BE28">
            <v>727.76412610475825</v>
          </cell>
          <cell r="BF28">
            <v>753.70380086111709</v>
          </cell>
        </row>
        <row r="29">
          <cell r="R29">
            <v>79.289000000000001</v>
          </cell>
          <cell r="S29">
            <v>105.82049154603752</v>
          </cell>
          <cell r="T29">
            <v>128.66906309818603</v>
          </cell>
          <cell r="U29">
            <v>148.58803958310932</v>
          </cell>
          <cell r="V29">
            <v>192.08420461042704</v>
          </cell>
          <cell r="W29">
            <v>202.54628724651604</v>
          </cell>
          <cell r="X29">
            <v>252.68995455272042</v>
          </cell>
          <cell r="Y29">
            <v>288.75372400665032</v>
          </cell>
          <cell r="Z29">
            <v>318.12446268825971</v>
          </cell>
          <cell r="AA29">
            <v>334.30491466943482</v>
          </cell>
          <cell r="AB29">
            <v>212.63672453471358</v>
          </cell>
          <cell r="AC29">
            <v>328.27282584745757</v>
          </cell>
          <cell r="AD29">
            <v>314.16788205241897</v>
          </cell>
          <cell r="AE29">
            <v>330.29426724789198</v>
          </cell>
          <cell r="AF29">
            <v>333.64655260280682</v>
          </cell>
          <cell r="AG29">
            <v>331.11652249904267</v>
          </cell>
          <cell r="AH29">
            <v>355.13943429426899</v>
          </cell>
          <cell r="AI29">
            <v>359.98208881303282</v>
          </cell>
          <cell r="AJ29">
            <v>368.06637480639233</v>
          </cell>
          <cell r="AK29">
            <v>377.1701006356339</v>
          </cell>
          <cell r="AL29">
            <v>383.1692303639569</v>
          </cell>
          <cell r="AM29">
            <v>394.67408722303423</v>
          </cell>
          <cell r="AN29">
            <v>402.89205225284724</v>
          </cell>
          <cell r="AO29">
            <v>413.36600534545363</v>
          </cell>
          <cell r="AP29">
            <v>422.49127670465361</v>
          </cell>
          <cell r="AQ29">
            <v>432.16502749374524</v>
          </cell>
          <cell r="AR29">
            <v>442.58780835899427</v>
          </cell>
          <cell r="AS29">
            <v>452.86392762164297</v>
          </cell>
          <cell r="AT29">
            <v>463.71275538599855</v>
          </cell>
          <cell r="AU29">
            <v>474.58116529938712</v>
          </cell>
          <cell r="AV29">
            <v>485.64970890063881</v>
          </cell>
          <cell r="AW29">
            <v>497.15331738799586</v>
          </cell>
          <cell r="AX29">
            <v>535.20801003646955</v>
          </cell>
          <cell r="AY29">
            <v>546.49255579913961</v>
          </cell>
          <cell r="AZ29">
            <v>564.32084025865879</v>
          </cell>
          <cell r="BA29">
            <v>583.66137383922614</v>
          </cell>
          <cell r="BB29">
            <v>604.79407050752309</v>
          </cell>
          <cell r="BC29">
            <v>628.06403656716486</v>
          </cell>
          <cell r="BD29">
            <v>648.03105290803398</v>
          </cell>
          <cell r="BE29">
            <v>669.90465271156529</v>
          </cell>
          <cell r="BF29">
            <v>692.65191788600566</v>
          </cell>
        </row>
        <row r="30">
          <cell r="R30">
            <v>79.289000000000001</v>
          </cell>
          <cell r="S30">
            <v>105.82049154603752</v>
          </cell>
          <cell r="T30">
            <v>128.66906309818603</v>
          </cell>
          <cell r="U30">
            <v>148.58803958310932</v>
          </cell>
          <cell r="V30">
            <v>192.08420461042704</v>
          </cell>
          <cell r="W30">
            <v>244.90539965666682</v>
          </cell>
          <cell r="X30">
            <v>277.38359456730279</v>
          </cell>
          <cell r="Y30">
            <v>324.02276527695233</v>
          </cell>
          <cell r="Z30">
            <v>335.84579880458165</v>
          </cell>
          <cell r="AA30">
            <v>353.61050333661763</v>
          </cell>
          <cell r="AB30">
            <v>265.61623638973225</v>
          </cell>
          <cell r="AC30">
            <v>355.98483896704465</v>
          </cell>
          <cell r="AD30">
            <v>347.01184752940867</v>
          </cell>
          <cell r="AE30">
            <v>369.87627062617037</v>
          </cell>
          <cell r="AF30">
            <v>382.63916494221326</v>
          </cell>
          <cell r="AG30">
            <v>351.15449321616592</v>
          </cell>
          <cell r="AH30">
            <v>372.89458021446052</v>
          </cell>
          <cell r="AI30">
            <v>381.67284125449777</v>
          </cell>
          <cell r="AJ30">
            <v>390.17486003765021</v>
          </cell>
          <cell r="AK30">
            <v>398.00643824856343</v>
          </cell>
          <cell r="AL30">
            <v>404.67786104531564</v>
          </cell>
          <cell r="AM30">
            <v>417.94693638343409</v>
          </cell>
          <cell r="AN30">
            <v>426.90696641814895</v>
          </cell>
          <cell r="AO30">
            <v>437.26920819097677</v>
          </cell>
          <cell r="AP30">
            <v>447.15284215308822</v>
          </cell>
          <cell r="AQ30">
            <v>457.68606184290081</v>
          </cell>
          <cell r="AR30">
            <v>469.0198453452133</v>
          </cell>
          <cell r="AS30">
            <v>479.94585850710484</v>
          </cell>
          <cell r="AT30">
            <v>491.37717729586939</v>
          </cell>
          <cell r="AU30">
            <v>503.08575814487932</v>
          </cell>
          <cell r="AV30">
            <v>515.0333292060626</v>
          </cell>
          <cell r="AW30">
            <v>527.3586541976797</v>
          </cell>
          <cell r="AX30">
            <v>558.41419404426415</v>
          </cell>
          <cell r="AY30">
            <v>567.8370048924395</v>
          </cell>
          <cell r="AZ30">
            <v>584.24451336507195</v>
          </cell>
          <cell r="BA30">
            <v>601.6733953727595</v>
          </cell>
          <cell r="BB30">
            <v>620.28083665104612</v>
          </cell>
          <cell r="BC30">
            <v>640.27618402397991</v>
          </cell>
          <cell r="BD30">
            <v>657.80665873362375</v>
          </cell>
          <cell r="BE30">
            <v>677.11550141966097</v>
          </cell>
          <cell r="BF30">
            <v>697.04516952824645</v>
          </cell>
        </row>
        <row r="31">
          <cell r="R31">
            <v>80.45653333333334</v>
          </cell>
          <cell r="S31">
            <v>106.29356473923396</v>
          </cell>
          <cell r="T31">
            <v>122.85994616237399</v>
          </cell>
          <cell r="U31">
            <v>152.25046739910755</v>
          </cell>
          <cell r="V31">
            <v>197.86408087753389</v>
          </cell>
          <cell r="W31">
            <v>251.35468854727375</v>
          </cell>
          <cell r="X31">
            <v>292.64436804320871</v>
          </cell>
          <cell r="Y31">
            <v>288.83601065119893</v>
          </cell>
          <cell r="Z31">
            <v>341.25724777281391</v>
          </cell>
          <cell r="AA31">
            <v>363.26268465140004</v>
          </cell>
          <cell r="AB31">
            <v>299.1501464322356</v>
          </cell>
          <cell r="AC31">
            <v>350.36632210624293</v>
          </cell>
          <cell r="AD31">
            <v>337.9699395782921</v>
          </cell>
          <cell r="AE31">
            <v>371.54662449115756</v>
          </cell>
          <cell r="AF31">
            <v>385.07544367376789</v>
          </cell>
          <cell r="AG31">
            <v>366.17960313795896</v>
          </cell>
          <cell r="AH31">
            <v>374.66501720561206</v>
          </cell>
          <cell r="AI31">
            <v>380.6879288879237</v>
          </cell>
          <cell r="AJ31">
            <v>388.87024569117904</v>
          </cell>
          <cell r="AK31">
            <v>395.53067785336043</v>
          </cell>
          <cell r="AL31">
            <v>407.20270226809959</v>
          </cell>
          <cell r="AM31">
            <v>418.07595878719297</v>
          </cell>
          <cell r="AN31">
            <v>426.77152738469874</v>
          </cell>
          <cell r="AO31">
            <v>437.15416117162579</v>
          </cell>
          <cell r="AP31">
            <v>447.26276832564884</v>
          </cell>
          <cell r="AQ31">
            <v>458.28532385400342</v>
          </cell>
          <cell r="AR31">
            <v>469.24663926347193</v>
          </cell>
          <cell r="AS31">
            <v>480.32521014410116</v>
          </cell>
          <cell r="AT31">
            <v>491.80583909621726</v>
          </cell>
          <cell r="AU31">
            <v>503.58657450758426</v>
          </cell>
          <cell r="AV31">
            <v>515.64349917275774</v>
          </cell>
          <cell r="AW31">
            <v>527.96250293210085</v>
          </cell>
          <cell r="AX31">
            <v>551.71184345208076</v>
          </cell>
          <cell r="AY31">
            <v>554.05153399373216</v>
          </cell>
          <cell r="AZ31">
            <v>567.31094060696284</v>
          </cell>
          <cell r="BA31">
            <v>580.90027566584467</v>
          </cell>
          <cell r="BB31">
            <v>594.80039369168401</v>
          </cell>
          <cell r="BC31">
            <v>609.05104793369571</v>
          </cell>
          <cell r="BD31">
            <v>621.18762018460291</v>
          </cell>
          <cell r="BE31">
            <v>635.47812470309532</v>
          </cell>
          <cell r="BF31">
            <v>649.98168861716999</v>
          </cell>
        </row>
        <row r="32">
          <cell r="R32">
            <v>80.45653333333334</v>
          </cell>
          <cell r="S32">
            <v>106.29356473923396</v>
          </cell>
          <cell r="T32">
            <v>122.85994616237399</v>
          </cell>
          <cell r="U32">
            <v>152.25046739910755</v>
          </cell>
          <cell r="V32">
            <v>197.86408087753389</v>
          </cell>
          <cell r="W32">
            <v>261.77420691689446</v>
          </cell>
          <cell r="X32">
            <v>291.69563209698777</v>
          </cell>
          <cell r="Y32">
            <v>322.24688221005891</v>
          </cell>
          <cell r="Z32">
            <v>358.7357316086933</v>
          </cell>
          <cell r="AA32">
            <v>364.98622169852246</v>
          </cell>
          <cell r="AB32">
            <v>326.79557441235329</v>
          </cell>
          <cell r="AC32">
            <v>378.46055050144196</v>
          </cell>
          <cell r="AD32">
            <v>360.83516193973094</v>
          </cell>
          <cell r="AE32">
            <v>362.67716347667863</v>
          </cell>
          <cell r="AF32">
            <v>410.48281087967371</v>
          </cell>
          <cell r="AG32">
            <v>367.7948787132317</v>
          </cell>
          <cell r="AH32">
            <v>373.55711971132922</v>
          </cell>
          <cell r="AI32">
            <v>376.47228266062291</v>
          </cell>
          <cell r="AJ32">
            <v>391.46313348846229</v>
          </cell>
          <cell r="AK32">
            <v>400.10857182901719</v>
          </cell>
          <cell r="AL32">
            <v>408.28878343479255</v>
          </cell>
          <cell r="AM32">
            <v>418.92337847344857</v>
          </cell>
          <cell r="AN32">
            <v>428.17019675549147</v>
          </cell>
          <cell r="AO32">
            <v>439.60554333392582</v>
          </cell>
          <cell r="AP32">
            <v>449.77680098099046</v>
          </cell>
          <cell r="AQ32">
            <v>460.20709639037256</v>
          </cell>
          <cell r="AR32">
            <v>471.51377720425859</v>
          </cell>
          <cell r="AS32">
            <v>482.85803051325053</v>
          </cell>
          <cell r="AT32">
            <v>494.61180643897637</v>
          </cell>
          <cell r="AU32">
            <v>506.4158183136455</v>
          </cell>
          <cell r="AV32">
            <v>518.57277171872704</v>
          </cell>
          <cell r="AW32">
            <v>531.10172424970688</v>
          </cell>
          <cell r="AX32">
            <v>541.97213952147786</v>
          </cell>
          <cell r="AY32">
            <v>575.71674176286331</v>
          </cell>
          <cell r="AZ32">
            <v>593.12535857346143</v>
          </cell>
          <cell r="BA32">
            <v>611.77193449151594</v>
          </cell>
          <cell r="BB32">
            <v>631.82828196238142</v>
          </cell>
          <cell r="BC32">
            <v>653.53845306268443</v>
          </cell>
          <cell r="BD32">
            <v>677.62747789688899</v>
          </cell>
          <cell r="BE32">
            <v>699.55093140707856</v>
          </cell>
          <cell r="BF32">
            <v>722.45540890467771</v>
          </cell>
        </row>
        <row r="33">
          <cell r="R33">
            <v>80.45653333333334</v>
          </cell>
          <cell r="S33">
            <v>106.29356473923396</v>
          </cell>
          <cell r="T33">
            <v>122.85994616237399</v>
          </cell>
          <cell r="U33">
            <v>152.25046739910755</v>
          </cell>
          <cell r="V33">
            <v>197.86408087753389</v>
          </cell>
          <cell r="W33">
            <v>229.75307254226459</v>
          </cell>
          <cell r="X33">
            <v>294.41282324671982</v>
          </cell>
          <cell r="Y33">
            <v>327.74724504000085</v>
          </cell>
          <cell r="Z33">
            <v>346.46578247930682</v>
          </cell>
          <cell r="AA33">
            <v>355.21873499771698</v>
          </cell>
          <cell r="AB33">
            <v>324.25363628410435</v>
          </cell>
          <cell r="AC33">
            <v>330.32907086396693</v>
          </cell>
          <cell r="AD33">
            <v>342.50119603005243</v>
          </cell>
          <cell r="AE33">
            <v>344.45757036646717</v>
          </cell>
          <cell r="AF33">
            <v>378.01039314162324</v>
          </cell>
          <cell r="AG33">
            <v>382.67032916600112</v>
          </cell>
          <cell r="AH33">
            <v>396.04623699245298</v>
          </cell>
          <cell r="AI33">
            <v>395.46765444796881</v>
          </cell>
          <cell r="AJ33">
            <v>406.78516835006167</v>
          </cell>
          <cell r="AK33">
            <v>416.14710594676359</v>
          </cell>
          <cell r="AL33">
            <v>426.69841511990745</v>
          </cell>
          <cell r="AM33">
            <v>438.30495765809417</v>
          </cell>
          <cell r="AN33">
            <v>446.43314328453101</v>
          </cell>
          <cell r="AO33">
            <v>458.20870448335967</v>
          </cell>
          <cell r="AP33">
            <v>468.80678006922017</v>
          </cell>
          <cell r="AQ33">
            <v>479.95600528564182</v>
          </cell>
          <cell r="AR33">
            <v>491.40089832303312</v>
          </cell>
          <cell r="AS33">
            <v>502.9970090603199</v>
          </cell>
          <cell r="AT33">
            <v>515.12271091541118</v>
          </cell>
          <cell r="AU33">
            <v>527.31080176839657</v>
          </cell>
          <cell r="AV33">
            <v>539.84190976534444</v>
          </cell>
          <cell r="AW33">
            <v>552.68768793080267</v>
          </cell>
          <cell r="AX33">
            <v>584.90133693118366</v>
          </cell>
          <cell r="AY33">
            <v>591.87825235826847</v>
          </cell>
          <cell r="AZ33">
            <v>608.28692270919976</v>
          </cell>
          <cell r="BA33">
            <v>625.65861750959164</v>
          </cell>
          <cell r="BB33">
            <v>644.06453236692175</v>
          </cell>
          <cell r="BC33">
            <v>663.7029995219857</v>
          </cell>
          <cell r="BD33">
            <v>680.53470167918965</v>
          </cell>
          <cell r="BE33">
            <v>699.52355257625732</v>
          </cell>
          <cell r="BF33">
            <v>719.06851286051779</v>
          </cell>
        </row>
        <row r="34">
          <cell r="R34">
            <v>82.843866666666656</v>
          </cell>
          <cell r="S34">
            <v>106.48799336265155</v>
          </cell>
          <cell r="T34">
            <v>116.36241182014453</v>
          </cell>
          <cell r="U34">
            <v>151.65532287900783</v>
          </cell>
          <cell r="V34">
            <v>188.7395872152197</v>
          </cell>
          <cell r="W34">
            <v>225.67501342566862</v>
          </cell>
          <cell r="X34">
            <v>281.74439453752376</v>
          </cell>
          <cell r="Y34">
            <v>300.43271857437355</v>
          </cell>
          <cell r="Z34">
            <v>331.06164335740323</v>
          </cell>
          <cell r="AA34">
            <v>324.27429267707294</v>
          </cell>
          <cell r="AB34">
            <v>311.76889971461674</v>
          </cell>
          <cell r="AC34">
            <v>309.3332725956443</v>
          </cell>
          <cell r="AD34">
            <v>320.09168064429559</v>
          </cell>
          <cell r="AE34">
            <v>318.88354133727779</v>
          </cell>
          <cell r="AF34">
            <v>337.45766381496742</v>
          </cell>
          <cell r="AG34">
            <v>347.08513504699351</v>
          </cell>
          <cell r="AH34">
            <v>349.59295618518041</v>
          </cell>
          <cell r="AI34">
            <v>354.81315849983059</v>
          </cell>
          <cell r="AJ34">
            <v>367.63992007433899</v>
          </cell>
          <cell r="AK34">
            <v>375.94713420271205</v>
          </cell>
          <cell r="AL34">
            <v>383.30056400304812</v>
          </cell>
          <cell r="AM34">
            <v>392.75556525722982</v>
          </cell>
          <cell r="AN34">
            <v>401.91925990546127</v>
          </cell>
          <cell r="AO34">
            <v>412.29970370617502</v>
          </cell>
          <cell r="AP34">
            <v>421.90752942738516</v>
          </cell>
          <cell r="AQ34">
            <v>431.54194442561203</v>
          </cell>
          <cell r="AR34">
            <v>441.90793952387043</v>
          </cell>
          <cell r="AS34">
            <v>452.56226472683755</v>
          </cell>
          <cell r="AT34">
            <v>463.42885635614874</v>
          </cell>
          <cell r="AU34">
            <v>474.43510155087887</v>
          </cell>
          <cell r="AV34">
            <v>485.7008517715505</v>
          </cell>
          <cell r="AW34">
            <v>497.30918373546581</v>
          </cell>
          <cell r="AX34">
            <v>518.76323599542184</v>
          </cell>
          <cell r="AY34">
            <v>532.94706209747017</v>
          </cell>
          <cell r="AZ34">
            <v>547.83963440558091</v>
          </cell>
          <cell r="BA34">
            <v>563.58515771042426</v>
          </cell>
          <cell r="BB34">
            <v>580.29856621616102</v>
          </cell>
          <cell r="BC34">
            <v>598.13124402043468</v>
          </cell>
          <cell r="BD34">
            <v>615.15088014658011</v>
          </cell>
          <cell r="BE34">
            <v>632.77841018971344</v>
          </cell>
          <cell r="BF34">
            <v>642.27008634255913</v>
          </cell>
        </row>
        <row r="39"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</row>
        <row r="40"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</row>
        <row r="41"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</row>
        <row r="42"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</row>
        <row r="43"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</row>
        <row r="44"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</row>
        <row r="45"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</row>
        <row r="46"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</row>
        <row r="48"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</row>
        <row r="49"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</row>
        <row r="50"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</row>
        <row r="55">
          <cell r="S55">
            <v>17.6195594862</v>
          </cell>
          <cell r="T55">
            <v>14.606502598800001</v>
          </cell>
          <cell r="U55">
            <v>35.802620355600006</v>
          </cell>
          <cell r="V55">
            <v>15.737473684799999</v>
          </cell>
          <cell r="W55">
            <v>8.8169447646000005</v>
          </cell>
          <cell r="X55">
            <v>41.667576262200001</v>
          </cell>
          <cell r="Y55">
            <v>40.783743302399998</v>
          </cell>
          <cell r="Z55">
            <v>25.184499416999998</v>
          </cell>
          <cell r="AA55">
            <v>11.098579574939999</v>
          </cell>
          <cell r="AB55">
            <v>13.07452977468</v>
          </cell>
          <cell r="AC55">
            <v>13.980544819119999</v>
          </cell>
          <cell r="AD55">
            <v>2.9331014050799999</v>
          </cell>
          <cell r="AE55">
            <v>0</v>
          </cell>
          <cell r="AF55">
            <v>0</v>
          </cell>
          <cell r="AG55">
            <v>1.14037055968</v>
          </cell>
          <cell r="AH55">
            <v>0.4687235485903557</v>
          </cell>
          <cell r="AI55">
            <v>0.33687910318011444</v>
          </cell>
          <cell r="AJ55">
            <v>0.87639176985083433</v>
          </cell>
          <cell r="AK55">
            <v>0.87639176985083433</v>
          </cell>
          <cell r="AL55">
            <v>0.87639176985083433</v>
          </cell>
          <cell r="AM55">
            <v>0.87639176985083433</v>
          </cell>
          <cell r="AN55">
            <v>0.87639176985083433</v>
          </cell>
          <cell r="AO55">
            <v>0.87639176985083433</v>
          </cell>
          <cell r="AP55">
            <v>0.87639176985083433</v>
          </cell>
          <cell r="AQ55">
            <v>0.87639176985083433</v>
          </cell>
          <cell r="AR55">
            <v>0.87639176985083433</v>
          </cell>
          <cell r="AS55">
            <v>0.87639176985083433</v>
          </cell>
          <cell r="AT55">
            <v>0.87639176985083433</v>
          </cell>
          <cell r="AU55">
            <v>0.87639176985083433</v>
          </cell>
          <cell r="AV55">
            <v>0.87639176985083433</v>
          </cell>
          <cell r="AW55">
            <v>0.87639176985083433</v>
          </cell>
          <cell r="AX55">
            <v>0.87639176985083433</v>
          </cell>
          <cell r="AY55">
            <v>0.87639176985083433</v>
          </cell>
          <cell r="AZ55">
            <v>0.87639176985083433</v>
          </cell>
          <cell r="BA55">
            <v>0.96403094683591772</v>
          </cell>
          <cell r="BB55">
            <v>1.0516701238210011</v>
          </cell>
          <cell r="BC55">
            <v>1.1393093008060846</v>
          </cell>
          <cell r="BD55">
            <v>1.2269484777911681</v>
          </cell>
          <cell r="BE55">
            <v>1.3145876547762514</v>
          </cell>
          <cell r="BF55">
            <v>1.4022268317613349</v>
          </cell>
          <cell r="BG55">
            <v>1.4898660087464184</v>
          </cell>
        </row>
        <row r="56">
          <cell r="S56">
            <v>5.1050227032000004</v>
          </cell>
          <cell r="T56">
            <v>6.8991440867999998</v>
          </cell>
          <cell r="U56">
            <v>56.657462626799997</v>
          </cell>
          <cell r="V56">
            <v>28.772080797600001</v>
          </cell>
          <cell r="W56">
            <v>16.533562689</v>
          </cell>
          <cell r="X56">
            <v>0.5220544896</v>
          </cell>
          <cell r="Y56">
            <v>24.163538968800001</v>
          </cell>
          <cell r="Z56">
            <v>19.620915337799996</v>
          </cell>
          <cell r="AA56">
            <v>5.5105424886600005</v>
          </cell>
          <cell r="AB56">
            <v>13.765889788200001</v>
          </cell>
          <cell r="AC56">
            <v>13.44362284584</v>
          </cell>
          <cell r="AD56">
            <v>22.459969000000001</v>
          </cell>
          <cell r="AE56">
            <v>15.431482000000001</v>
          </cell>
          <cell r="AF56">
            <v>0</v>
          </cell>
          <cell r="AG56">
            <v>1.8330335036199998</v>
          </cell>
          <cell r="AH56">
            <v>1.0175462052889972</v>
          </cell>
          <cell r="AI56">
            <v>0.99209082034656371</v>
          </cell>
          <cell r="AJ56">
            <v>0.64393681275654091</v>
          </cell>
          <cell r="AK56">
            <v>0.64393681275654091</v>
          </cell>
          <cell r="AL56">
            <v>0.64393681275654091</v>
          </cell>
          <cell r="AM56">
            <v>0.64393681275654091</v>
          </cell>
          <cell r="AN56">
            <v>0.64393681275654091</v>
          </cell>
          <cell r="AO56">
            <v>0.64393681275654091</v>
          </cell>
          <cell r="AP56">
            <v>0.64393681275654091</v>
          </cell>
          <cell r="AQ56">
            <v>0.64393681275654091</v>
          </cell>
          <cell r="AR56">
            <v>0.64393681275654091</v>
          </cell>
          <cell r="AS56">
            <v>0.64393681275654091</v>
          </cell>
          <cell r="AT56">
            <v>0.64393681275654091</v>
          </cell>
          <cell r="AU56">
            <v>0.64393681275654091</v>
          </cell>
          <cell r="AV56">
            <v>0.64393681275654091</v>
          </cell>
          <cell r="AW56">
            <v>0.64393681275654091</v>
          </cell>
          <cell r="AX56">
            <v>0.64393681275654091</v>
          </cell>
          <cell r="AY56">
            <v>0.64393681275654091</v>
          </cell>
          <cell r="AZ56">
            <v>0.64393681275654091</v>
          </cell>
          <cell r="BA56">
            <v>0.70833049403219506</v>
          </cell>
          <cell r="BB56">
            <v>0.77272417530784909</v>
          </cell>
          <cell r="BC56">
            <v>0.83711785658350313</v>
          </cell>
          <cell r="BD56">
            <v>0.90151153785915727</v>
          </cell>
          <cell r="BE56">
            <v>0.96590521913481142</v>
          </cell>
          <cell r="BF56">
            <v>1.0302989004104655</v>
          </cell>
          <cell r="BG56">
            <v>1.0946925816861195</v>
          </cell>
        </row>
        <row r="57">
          <cell r="S57">
            <v>27.9982584756</v>
          </cell>
          <cell r="T57">
            <v>10.4161775634</v>
          </cell>
          <cell r="U57">
            <v>51.036117451199999</v>
          </cell>
          <cell r="V57">
            <v>12.124318688999999</v>
          </cell>
          <cell r="W57">
            <v>0</v>
          </cell>
          <cell r="X57">
            <v>53.823421045800004</v>
          </cell>
          <cell r="Y57">
            <v>33.289792200000001</v>
          </cell>
          <cell r="Z57">
            <v>11.022889537799999</v>
          </cell>
          <cell r="AA57">
            <v>0</v>
          </cell>
          <cell r="AB57">
            <v>0.85798298849999999</v>
          </cell>
          <cell r="AC57">
            <v>27.512310577180003</v>
          </cell>
          <cell r="AD57">
            <v>40.537527000000004</v>
          </cell>
          <cell r="AE57">
            <v>10.900891</v>
          </cell>
          <cell r="AF57">
            <v>0</v>
          </cell>
          <cell r="AG57">
            <v>12.949752691920001</v>
          </cell>
          <cell r="AH57">
            <v>1.2474324045212628</v>
          </cell>
          <cell r="AI57">
            <v>1.7148179312316902</v>
          </cell>
          <cell r="AJ57">
            <v>0.61177104209572775</v>
          </cell>
          <cell r="AK57">
            <v>0.61177104209572775</v>
          </cell>
          <cell r="AL57">
            <v>0.61177104209572775</v>
          </cell>
          <cell r="AM57">
            <v>0.61177104209572775</v>
          </cell>
          <cell r="AN57">
            <v>0.61177104209572775</v>
          </cell>
          <cell r="AO57">
            <v>0.61177104209572775</v>
          </cell>
          <cell r="AP57">
            <v>0.61177104209572775</v>
          </cell>
          <cell r="AQ57">
            <v>0.61177104209572775</v>
          </cell>
          <cell r="AR57">
            <v>0.61177104209572775</v>
          </cell>
          <cell r="AS57">
            <v>0.61177104209572775</v>
          </cell>
          <cell r="AT57">
            <v>0.61177104209572775</v>
          </cell>
          <cell r="AU57">
            <v>0.61177104209572775</v>
          </cell>
          <cell r="AV57">
            <v>0.61177104209572775</v>
          </cell>
          <cell r="AW57">
            <v>0.61177104209572775</v>
          </cell>
          <cell r="AX57">
            <v>0.61177104209572775</v>
          </cell>
          <cell r="AY57">
            <v>0.61177104209572775</v>
          </cell>
          <cell r="AZ57">
            <v>0.61177104209572775</v>
          </cell>
          <cell r="BA57">
            <v>0.67294814630530053</v>
          </cell>
          <cell r="BB57">
            <v>0.73412525051487321</v>
          </cell>
          <cell r="BC57">
            <v>0.79530235472444599</v>
          </cell>
          <cell r="BD57">
            <v>0.85647945893401878</v>
          </cell>
          <cell r="BE57">
            <v>0.91765656314359156</v>
          </cell>
          <cell r="BF57">
            <v>0.97883366735316435</v>
          </cell>
          <cell r="BG57">
            <v>1.0400107715627371</v>
          </cell>
        </row>
        <row r="58">
          <cell r="R58">
            <v>0</v>
          </cell>
          <cell r="S58">
            <v>18.738405151200002</v>
          </cell>
          <cell r="T58">
            <v>28.430143925399999</v>
          </cell>
          <cell r="U58">
            <v>53.561291490000002</v>
          </cell>
          <cell r="V58">
            <v>13.3474429746</v>
          </cell>
          <cell r="W58">
            <v>18.738846075599998</v>
          </cell>
          <cell r="X58">
            <v>39.902996813400001</v>
          </cell>
          <cell r="Y58">
            <v>37.920159786599996</v>
          </cell>
          <cell r="Z58">
            <v>0</v>
          </cell>
          <cell r="AA58">
            <v>14.958780000000001</v>
          </cell>
          <cell r="AB58">
            <v>15.80362446344</v>
          </cell>
          <cell r="AC58">
            <v>23.2278212045</v>
          </cell>
          <cell r="AD58">
            <v>15.748565000000001</v>
          </cell>
          <cell r="AE58">
            <v>0</v>
          </cell>
          <cell r="AF58">
            <v>0</v>
          </cell>
          <cell r="AG58">
            <v>3.0469391633999998</v>
          </cell>
          <cell r="AH58">
            <v>0.85622683397127419</v>
          </cell>
          <cell r="AI58">
            <v>0.78413465169837204</v>
          </cell>
          <cell r="AJ58">
            <v>0.77360774038445013</v>
          </cell>
          <cell r="AK58">
            <v>0.77360774038445013</v>
          </cell>
          <cell r="AL58">
            <v>0.77360774038445013</v>
          </cell>
          <cell r="AM58">
            <v>0.77360774038445013</v>
          </cell>
          <cell r="AN58">
            <v>0.77360774038445013</v>
          </cell>
          <cell r="AO58">
            <v>0.77360774038445013</v>
          </cell>
          <cell r="AP58">
            <v>0.77360774038445013</v>
          </cell>
          <cell r="AQ58">
            <v>0.77360774038445013</v>
          </cell>
          <cell r="AR58">
            <v>0.77360774038445013</v>
          </cell>
          <cell r="AS58">
            <v>0.77360774038445013</v>
          </cell>
          <cell r="AT58">
            <v>0.77360774038445013</v>
          </cell>
          <cell r="AU58">
            <v>0.77360774038445013</v>
          </cell>
          <cell r="AV58">
            <v>0.77360774038445013</v>
          </cell>
          <cell r="AW58">
            <v>0.77360774038445013</v>
          </cell>
          <cell r="AX58">
            <v>0.77360774038445013</v>
          </cell>
          <cell r="AY58">
            <v>0.77360774038445013</v>
          </cell>
          <cell r="AZ58">
            <v>0.77360774038445013</v>
          </cell>
          <cell r="BA58">
            <v>0.85096851442289523</v>
          </cell>
          <cell r="BB58">
            <v>0.92832928846134022</v>
          </cell>
          <cell r="BC58">
            <v>1.0056900624997853</v>
          </cell>
          <cell r="BD58">
            <v>1.0830508365382303</v>
          </cell>
          <cell r="BE58">
            <v>1.1604116105766753</v>
          </cell>
          <cell r="BF58">
            <v>1.2377723846151203</v>
          </cell>
        </row>
        <row r="59">
          <cell r="R59">
            <v>22.420344353400001</v>
          </cell>
          <cell r="S59">
            <v>0</v>
          </cell>
          <cell r="T59">
            <v>7.0883006544000002</v>
          </cell>
          <cell r="U59">
            <v>76.279259813400003</v>
          </cell>
          <cell r="V59">
            <v>0</v>
          </cell>
          <cell r="W59">
            <v>12.1247596134</v>
          </cell>
          <cell r="X59">
            <v>34.632406998</v>
          </cell>
          <cell r="Y59">
            <v>13.227731999999998</v>
          </cell>
          <cell r="Z59">
            <v>22.621592592280003</v>
          </cell>
          <cell r="AA59">
            <v>12.124568</v>
          </cell>
          <cell r="AB59">
            <v>16.534608112219999</v>
          </cell>
          <cell r="AC59">
            <v>24.021984853239999</v>
          </cell>
          <cell r="AD59">
            <v>28.429143</v>
          </cell>
          <cell r="AE59">
            <v>3.746953</v>
          </cell>
          <cell r="AF59">
            <v>0</v>
          </cell>
          <cell r="AG59">
            <v>4.532955205020798</v>
          </cell>
          <cell r="AH59">
            <v>1.1368321991868484</v>
          </cell>
          <cell r="AI59">
            <v>1.13321136273527</v>
          </cell>
          <cell r="AJ59">
            <v>0.74515919554418986</v>
          </cell>
          <cell r="AK59">
            <v>0.74515919554418986</v>
          </cell>
          <cell r="AL59">
            <v>0.74515919554418986</v>
          </cell>
          <cell r="AM59">
            <v>0.74515919554418986</v>
          </cell>
          <cell r="AN59">
            <v>0.74515919554418986</v>
          </cell>
          <cell r="AO59">
            <v>0.74515919554418986</v>
          </cell>
          <cell r="AP59">
            <v>0.74515919554418986</v>
          </cell>
          <cell r="AQ59">
            <v>0.74515919554418986</v>
          </cell>
          <cell r="AR59">
            <v>0.74515919554418986</v>
          </cell>
          <cell r="AS59">
            <v>0.74515919554418986</v>
          </cell>
          <cell r="AT59">
            <v>0.74515919554418986</v>
          </cell>
          <cell r="AU59">
            <v>0.74515919554418986</v>
          </cell>
          <cell r="AV59">
            <v>0.74515919554418986</v>
          </cell>
          <cell r="AW59">
            <v>0.74515919554418986</v>
          </cell>
          <cell r="AX59">
            <v>0.74515919554418986</v>
          </cell>
          <cell r="AY59">
            <v>0.74515919554418986</v>
          </cell>
          <cell r="AZ59">
            <v>0.74515919554418986</v>
          </cell>
          <cell r="BA59">
            <v>0.8196751150986088</v>
          </cell>
          <cell r="BB59">
            <v>0.89419103465302774</v>
          </cell>
          <cell r="BC59">
            <v>0.96870695420744679</v>
          </cell>
          <cell r="BD59">
            <v>1.0432228737618658</v>
          </cell>
          <cell r="BE59">
            <v>1.1177387933162848</v>
          </cell>
          <cell r="BF59">
            <v>1.1922547128707037</v>
          </cell>
        </row>
        <row r="60">
          <cell r="R60">
            <v>0</v>
          </cell>
          <cell r="S60">
            <v>49.389705741600004</v>
          </cell>
          <cell r="T60">
            <v>50.346291227399995</v>
          </cell>
          <cell r="U60">
            <v>12.1245391512</v>
          </cell>
          <cell r="V60">
            <v>26.7746932656</v>
          </cell>
          <cell r="W60">
            <v>34.169656840199998</v>
          </cell>
          <cell r="X60">
            <v>70.546140302399991</v>
          </cell>
          <cell r="Y60">
            <v>69.66429150239999</v>
          </cell>
          <cell r="Z60">
            <v>28.749843149500002</v>
          </cell>
          <cell r="AA60">
            <v>43.113629000000003</v>
          </cell>
          <cell r="AB60">
            <v>16.578433753199999</v>
          </cell>
          <cell r="AC60">
            <v>16.53388279224</v>
          </cell>
          <cell r="AD60">
            <v>22.734162000000001</v>
          </cell>
          <cell r="AE60">
            <v>8.8175609999999995</v>
          </cell>
          <cell r="AF60">
            <v>0</v>
          </cell>
          <cell r="AG60">
            <v>5.8923840728385954</v>
          </cell>
          <cell r="AH60">
            <v>1.0107169600130974</v>
          </cell>
          <cell r="AI60">
            <v>1.0072028310868246</v>
          </cell>
          <cell r="AJ60">
            <v>1.4699418042245824</v>
          </cell>
          <cell r="AK60">
            <v>1.4699418042245824</v>
          </cell>
          <cell r="AL60">
            <v>1.4699418042245824</v>
          </cell>
          <cell r="AM60">
            <v>1.4699418042245824</v>
          </cell>
          <cell r="AN60">
            <v>1.4699418042245824</v>
          </cell>
          <cell r="AO60">
            <v>1.4699418042245824</v>
          </cell>
          <cell r="AP60">
            <v>1.4699418042245824</v>
          </cell>
          <cell r="AQ60">
            <v>1.4699418042245824</v>
          </cell>
          <cell r="AR60">
            <v>1.4699418042245824</v>
          </cell>
          <cell r="AS60">
            <v>1.4699418042245824</v>
          </cell>
          <cell r="AT60">
            <v>1.4699418042245824</v>
          </cell>
          <cell r="AU60">
            <v>1.4699418042245824</v>
          </cell>
          <cell r="AV60">
            <v>1.4699418042245824</v>
          </cell>
          <cell r="AW60">
            <v>1.4699418042245824</v>
          </cell>
          <cell r="AX60">
            <v>1.4699418042245824</v>
          </cell>
          <cell r="AY60">
            <v>1.4699418042245824</v>
          </cell>
          <cell r="AZ60">
            <v>1.4699418042245824</v>
          </cell>
          <cell r="BA60">
            <v>1.6169359846470406</v>
          </cell>
          <cell r="BB60">
            <v>1.7639301650694987</v>
          </cell>
          <cell r="BC60">
            <v>1.9109243454919571</v>
          </cell>
          <cell r="BD60">
            <v>2.0579185259144155</v>
          </cell>
          <cell r="BE60">
            <v>2.2049127063368736</v>
          </cell>
          <cell r="BF60">
            <v>2.3519068867593318</v>
          </cell>
        </row>
        <row r="61">
          <cell r="R61">
            <v>22.378015610999999</v>
          </cell>
          <cell r="S61">
            <v>0</v>
          </cell>
          <cell r="T61">
            <v>27.025799711400001</v>
          </cell>
          <cell r="U61">
            <v>23.927864877000001</v>
          </cell>
          <cell r="V61">
            <v>48.382193487599999</v>
          </cell>
          <cell r="W61">
            <v>27.557775000000003</v>
          </cell>
          <cell r="X61">
            <v>18.741491622000002</v>
          </cell>
          <cell r="Y61">
            <v>24.250842000000002</v>
          </cell>
          <cell r="Z61">
            <v>11.115306026880001</v>
          </cell>
          <cell r="AA61">
            <v>16.533864999999999</v>
          </cell>
          <cell r="AB61">
            <v>12.455210128900001</v>
          </cell>
          <cell r="AC61">
            <v>12.755497009859999</v>
          </cell>
          <cell r="AD61">
            <v>18.182884000000001</v>
          </cell>
          <cell r="AE61">
            <v>28.658082999999998</v>
          </cell>
          <cell r="AF61">
            <v>0</v>
          </cell>
          <cell r="AG61">
            <v>4.7540827531046848</v>
          </cell>
          <cell r="AH61">
            <v>1.1261877476461684</v>
          </cell>
          <cell r="AI61">
            <v>1.2007496582153201</v>
          </cell>
          <cell r="AJ61">
            <v>0.64903927550454832</v>
          </cell>
          <cell r="AK61">
            <v>0.64903927550454832</v>
          </cell>
          <cell r="AL61">
            <v>0.64903927550454832</v>
          </cell>
          <cell r="AM61">
            <v>0.64903927550454832</v>
          </cell>
          <cell r="AN61">
            <v>0.64903927550454832</v>
          </cell>
          <cell r="AO61">
            <v>0.64903927550454832</v>
          </cell>
          <cell r="AP61">
            <v>0.64903927550454832</v>
          </cell>
          <cell r="AQ61">
            <v>0.64903927550454832</v>
          </cell>
          <cell r="AR61">
            <v>0.64903927550454832</v>
          </cell>
          <cell r="AS61">
            <v>0.64903927550454832</v>
          </cell>
          <cell r="AT61">
            <v>0.64903927550454832</v>
          </cell>
          <cell r="AU61">
            <v>0.64903927550454832</v>
          </cell>
          <cell r="AV61">
            <v>0.64903927550454832</v>
          </cell>
          <cell r="AW61">
            <v>0.64903927550454832</v>
          </cell>
          <cell r="AX61">
            <v>0.64903927550454832</v>
          </cell>
          <cell r="AY61">
            <v>0.64903927550454832</v>
          </cell>
          <cell r="AZ61">
            <v>0.64903927550454832</v>
          </cell>
          <cell r="BA61">
            <v>0.71394320305500314</v>
          </cell>
          <cell r="BB61">
            <v>0.77884713060545807</v>
          </cell>
          <cell r="BC61">
            <v>0.84375105815591289</v>
          </cell>
          <cell r="BD61">
            <v>0.90865498570636771</v>
          </cell>
          <cell r="BE61">
            <v>0.97355891325682253</v>
          </cell>
          <cell r="BF61">
            <v>1.0384628408072774</v>
          </cell>
        </row>
        <row r="62">
          <cell r="R62">
            <v>38.139299213400001</v>
          </cell>
          <cell r="S62">
            <v>13.2264092268</v>
          </cell>
          <cell r="T62">
            <v>42.063305911199997</v>
          </cell>
          <cell r="U62">
            <v>22.441288262400001</v>
          </cell>
          <cell r="V62">
            <v>29.811339608399997</v>
          </cell>
          <cell r="W62">
            <v>43.964792386199996</v>
          </cell>
          <cell r="X62">
            <v>42.333372106199995</v>
          </cell>
          <cell r="Y62">
            <v>58.4262308574</v>
          </cell>
          <cell r="Z62">
            <v>43.54407352746</v>
          </cell>
          <cell r="AA62">
            <v>40.233755000000002</v>
          </cell>
          <cell r="AB62">
            <v>10.91758247756</v>
          </cell>
          <cell r="AC62">
            <v>11.5755447027</v>
          </cell>
          <cell r="AD62">
            <v>0</v>
          </cell>
          <cell r="AE62">
            <v>3.4440999999999999E-2</v>
          </cell>
          <cell r="AF62">
            <v>0.465028</v>
          </cell>
          <cell r="AG62">
            <v>3.7224268079117224</v>
          </cell>
          <cell r="AH62">
            <v>0.35938068635181514</v>
          </cell>
          <cell r="AI62">
            <v>0.29477249608562561</v>
          </cell>
          <cell r="AJ62">
            <v>1.3862526820686409</v>
          </cell>
          <cell r="AK62">
            <v>1.3862526820686409</v>
          </cell>
          <cell r="AL62">
            <v>1.3862526820686409</v>
          </cell>
          <cell r="AM62">
            <v>1.3862526820686409</v>
          </cell>
          <cell r="AN62">
            <v>1.3862526820686409</v>
          </cell>
          <cell r="AO62">
            <v>1.3862526820686409</v>
          </cell>
          <cell r="AP62">
            <v>1.3862526820686409</v>
          </cell>
          <cell r="AQ62">
            <v>1.3862526820686409</v>
          </cell>
          <cell r="AR62">
            <v>1.3862526820686409</v>
          </cell>
          <cell r="AS62">
            <v>1.3862526820686409</v>
          </cell>
          <cell r="AT62">
            <v>1.3862526820686409</v>
          </cell>
          <cell r="AU62">
            <v>1.3862526820686409</v>
          </cell>
          <cell r="AV62">
            <v>1.3862526820686409</v>
          </cell>
          <cell r="AW62">
            <v>1.3862526820686409</v>
          </cell>
          <cell r="AX62">
            <v>1.3862526820686409</v>
          </cell>
          <cell r="AY62">
            <v>1.3862526820686409</v>
          </cell>
          <cell r="AZ62">
            <v>1.3862526820686409</v>
          </cell>
          <cell r="BA62">
            <v>1.5248779502755052</v>
          </cell>
          <cell r="BB62">
            <v>1.6635032184823693</v>
          </cell>
          <cell r="BC62">
            <v>1.8021284866892333</v>
          </cell>
          <cell r="BD62">
            <v>1.9407537548960976</v>
          </cell>
          <cell r="BE62">
            <v>2.0793790231029616</v>
          </cell>
          <cell r="BF62">
            <v>2.2180042913098257</v>
          </cell>
        </row>
        <row r="63">
          <cell r="R63">
            <v>10.475922819600001</v>
          </cell>
          <cell r="S63">
            <v>14.5941567156</v>
          </cell>
          <cell r="T63">
            <v>8.8184879999999986</v>
          </cell>
          <cell r="U63">
            <v>12.3677089578</v>
          </cell>
          <cell r="V63">
            <v>19.620694875599998</v>
          </cell>
          <cell r="W63">
            <v>22.796452866599999</v>
          </cell>
          <cell r="X63">
            <v>27.226420313399998</v>
          </cell>
          <cell r="Y63">
            <v>33.068668613400007</v>
          </cell>
          <cell r="Z63">
            <v>6.5032233499199998</v>
          </cell>
          <cell r="AA63">
            <v>34.171461000000001</v>
          </cell>
          <cell r="AB63">
            <v>11.729118531899999</v>
          </cell>
          <cell r="AC63">
            <v>11.48728715024</v>
          </cell>
          <cell r="AD63">
            <v>15.415448</v>
          </cell>
          <cell r="AE63">
            <v>15.740619000000001</v>
          </cell>
          <cell r="AF63">
            <v>0.99020699999999995</v>
          </cell>
          <cell r="AG63">
            <v>5.2516150985169556</v>
          </cell>
          <cell r="AH63">
            <v>0.86533411305352537</v>
          </cell>
          <cell r="AI63">
            <v>0.9121734254832039</v>
          </cell>
          <cell r="AJ63">
            <v>0.8161082060855489</v>
          </cell>
          <cell r="AK63">
            <v>0.8161082060855489</v>
          </cell>
          <cell r="AL63">
            <v>0.8161082060855489</v>
          </cell>
          <cell r="AM63">
            <v>0.8161082060855489</v>
          </cell>
          <cell r="AN63">
            <v>0.8161082060855489</v>
          </cell>
          <cell r="AO63">
            <v>0.8161082060855489</v>
          </cell>
          <cell r="AP63">
            <v>0.8161082060855489</v>
          </cell>
          <cell r="AQ63">
            <v>0.8161082060855489</v>
          </cell>
          <cell r="AR63">
            <v>0.8161082060855489</v>
          </cell>
          <cell r="AS63">
            <v>0.8161082060855489</v>
          </cell>
          <cell r="AT63">
            <v>0.8161082060855489</v>
          </cell>
          <cell r="AU63">
            <v>0.8161082060855489</v>
          </cell>
          <cell r="AV63">
            <v>0.8161082060855489</v>
          </cell>
          <cell r="AW63">
            <v>0.8161082060855489</v>
          </cell>
          <cell r="AX63">
            <v>0.8161082060855489</v>
          </cell>
          <cell r="AY63">
            <v>0.8161082060855489</v>
          </cell>
          <cell r="AZ63">
            <v>0.8161082060855489</v>
          </cell>
          <cell r="BA63">
            <v>0.89771902669410375</v>
          </cell>
          <cell r="BB63">
            <v>0.9793298473026586</v>
          </cell>
          <cell r="BC63">
            <v>1.0609406679112134</v>
          </cell>
          <cell r="BD63">
            <v>1.1425514885197685</v>
          </cell>
          <cell r="BE63">
            <v>1.2241623091283234</v>
          </cell>
          <cell r="BF63">
            <v>1.3057731297368782</v>
          </cell>
        </row>
        <row r="64">
          <cell r="R64">
            <v>23.589234937800001</v>
          </cell>
          <cell r="S64">
            <v>16.534003613399999</v>
          </cell>
          <cell r="T64">
            <v>29.907902052000001</v>
          </cell>
          <cell r="U64">
            <v>0</v>
          </cell>
          <cell r="V64">
            <v>20.943908999999998</v>
          </cell>
          <cell r="W64">
            <v>14.336436403800001</v>
          </cell>
          <cell r="X64">
            <v>22.132200257999997</v>
          </cell>
          <cell r="Y64">
            <v>25.345216360799999</v>
          </cell>
          <cell r="Z64">
            <v>26.941402181979996</v>
          </cell>
          <cell r="AA64">
            <v>16.744728239800001</v>
          </cell>
          <cell r="AB64">
            <v>0.44946249325999998</v>
          </cell>
          <cell r="AC64">
            <v>15.163418247780001</v>
          </cell>
          <cell r="AD64">
            <v>0</v>
          </cell>
          <cell r="AE64">
            <v>0</v>
          </cell>
          <cell r="AF64">
            <v>1.5794110000000001</v>
          </cell>
          <cell r="AG64">
            <v>1.9191569744993531</v>
          </cell>
          <cell r="AH64">
            <v>0.26872031141747005</v>
          </cell>
          <cell r="AI64">
            <v>0.34822351487645031</v>
          </cell>
          <cell r="AJ64">
            <v>0.71244864513730999</v>
          </cell>
          <cell r="AK64">
            <v>0.71244864513730999</v>
          </cell>
          <cell r="AL64">
            <v>0.71244864513730999</v>
          </cell>
          <cell r="AM64">
            <v>0.71244864513730999</v>
          </cell>
          <cell r="AN64">
            <v>0.71244864513730999</v>
          </cell>
          <cell r="AO64">
            <v>0.71244864513730999</v>
          </cell>
          <cell r="AP64">
            <v>0.71244864513730999</v>
          </cell>
          <cell r="AQ64">
            <v>0.71244864513730999</v>
          </cell>
          <cell r="AR64">
            <v>0.71244864513730999</v>
          </cell>
          <cell r="AS64">
            <v>0.71244864513730999</v>
          </cell>
          <cell r="AT64">
            <v>0.71244864513730999</v>
          </cell>
          <cell r="AU64">
            <v>0.71244864513730999</v>
          </cell>
          <cell r="AV64">
            <v>0.71244864513730999</v>
          </cell>
          <cell r="AW64">
            <v>0.71244864513730999</v>
          </cell>
          <cell r="AX64">
            <v>0.71244864513730999</v>
          </cell>
          <cell r="AY64">
            <v>0.71244864513730999</v>
          </cell>
          <cell r="AZ64">
            <v>0.71244864513730999</v>
          </cell>
          <cell r="BA64">
            <v>0.7836935096510409</v>
          </cell>
          <cell r="BB64">
            <v>0.85493837416477192</v>
          </cell>
          <cell r="BC64">
            <v>0.92618323867850294</v>
          </cell>
          <cell r="BD64">
            <v>0.99742810319223385</v>
          </cell>
          <cell r="BE64">
            <v>1.068672967705965</v>
          </cell>
          <cell r="BF64">
            <v>1.1399178322196959</v>
          </cell>
        </row>
        <row r="65">
          <cell r="R65">
            <v>16.517028023999998</v>
          </cell>
          <cell r="S65">
            <v>26.239631506199999</v>
          </cell>
          <cell r="T65">
            <v>48.368745293400004</v>
          </cell>
          <cell r="U65">
            <v>22.376031451199999</v>
          </cell>
          <cell r="V65">
            <v>11.021566764599999</v>
          </cell>
          <cell r="W65">
            <v>17.636535075600001</v>
          </cell>
          <cell r="X65">
            <v>44.621108355599993</v>
          </cell>
          <cell r="Y65">
            <v>37.476589840199999</v>
          </cell>
          <cell r="Z65">
            <v>15.50256155624</v>
          </cell>
          <cell r="AA65">
            <v>17.163295188379998</v>
          </cell>
          <cell r="AB65">
            <v>10.70937375552</v>
          </cell>
          <cell r="AC65">
            <v>11.858540748999999</v>
          </cell>
          <cell r="AD65">
            <v>15.430489999999999</v>
          </cell>
          <cell r="AE65">
            <v>15.738975</v>
          </cell>
          <cell r="AF65">
            <v>0.98902780591999995</v>
          </cell>
          <cell r="AG65">
            <v>4.2051785845536376</v>
          </cell>
          <cell r="AH65">
            <v>0.85538899855425188</v>
          </cell>
          <cell r="AI65">
            <v>0.89980284018634182</v>
          </cell>
          <cell r="AJ65">
            <v>0.7803411181212494</v>
          </cell>
          <cell r="AK65">
            <v>0.7803411181212494</v>
          </cell>
          <cell r="AL65">
            <v>0.7803411181212494</v>
          </cell>
          <cell r="AM65">
            <v>0.7803411181212494</v>
          </cell>
          <cell r="AN65">
            <v>0.7803411181212494</v>
          </cell>
          <cell r="AO65">
            <v>0.7803411181212494</v>
          </cell>
          <cell r="AP65">
            <v>0.7803411181212494</v>
          </cell>
          <cell r="AQ65">
            <v>0.7803411181212494</v>
          </cell>
          <cell r="AR65">
            <v>0.7803411181212494</v>
          </cell>
          <cell r="AS65">
            <v>0.7803411181212494</v>
          </cell>
          <cell r="AT65">
            <v>0.7803411181212494</v>
          </cell>
          <cell r="AU65">
            <v>0.7803411181212494</v>
          </cell>
          <cell r="AV65">
            <v>0.7803411181212494</v>
          </cell>
          <cell r="AW65">
            <v>0.7803411181212494</v>
          </cell>
          <cell r="AX65">
            <v>0.7803411181212494</v>
          </cell>
          <cell r="AY65">
            <v>0.7803411181212494</v>
          </cell>
          <cell r="AZ65">
            <v>0.7803411181212494</v>
          </cell>
          <cell r="BA65">
            <v>0.85837522993337434</v>
          </cell>
          <cell r="BB65">
            <v>0.93640934174549928</v>
          </cell>
          <cell r="BC65">
            <v>1.0144434535576243</v>
          </cell>
          <cell r="BD65">
            <v>1.0924775653697492</v>
          </cell>
          <cell r="BE65">
            <v>1.170511677181874</v>
          </cell>
          <cell r="BF65">
            <v>1.248545788993999</v>
          </cell>
        </row>
        <row r="66">
          <cell r="R66">
            <v>13.2191339742</v>
          </cell>
          <cell r="S66">
            <v>37.188886669200002</v>
          </cell>
          <cell r="T66">
            <v>46.847335651200005</v>
          </cell>
          <cell r="U66">
            <v>22.491333181800002</v>
          </cell>
          <cell r="V66">
            <v>14.3296020756</v>
          </cell>
          <cell r="W66">
            <v>15.432354</v>
          </cell>
          <cell r="X66">
            <v>37.478574000000002</v>
          </cell>
          <cell r="Y66">
            <v>17.416072875599998</v>
          </cell>
          <cell r="Z66">
            <v>0.20180430093999999</v>
          </cell>
          <cell r="AA66">
            <v>8.9948451907599996</v>
          </cell>
          <cell r="AB66">
            <v>30.988282020300002</v>
          </cell>
          <cell r="AC66">
            <v>5.9611998859600002</v>
          </cell>
          <cell r="AD66">
            <v>0</v>
          </cell>
          <cell r="AE66">
            <v>4.2118999999999997E-2</v>
          </cell>
          <cell r="AF66">
            <v>13.392017100879999</v>
          </cell>
          <cell r="AG66">
            <v>0.75210458493425136</v>
          </cell>
          <cell r="AH66">
            <v>0.78750999140493327</v>
          </cell>
          <cell r="AI66">
            <v>0.37594136487422425</v>
          </cell>
          <cell r="AJ66">
            <v>0.53500170822637827</v>
          </cell>
          <cell r="AK66">
            <v>0.53500170822637827</v>
          </cell>
          <cell r="AL66">
            <v>0.53500170822637827</v>
          </cell>
          <cell r="AM66">
            <v>0.53500170822637827</v>
          </cell>
          <cell r="AN66">
            <v>0.53500170822637827</v>
          </cell>
          <cell r="AO66">
            <v>0.53500170822637827</v>
          </cell>
          <cell r="AP66">
            <v>0.53500170822637827</v>
          </cell>
          <cell r="AQ66">
            <v>0.53500170822637827</v>
          </cell>
          <cell r="AR66">
            <v>0.53500170822637827</v>
          </cell>
          <cell r="AS66">
            <v>0.53500170822637827</v>
          </cell>
          <cell r="AT66">
            <v>0.53500170822637827</v>
          </cell>
          <cell r="AU66">
            <v>0.53500170822637827</v>
          </cell>
          <cell r="AV66">
            <v>0.53500170822637827</v>
          </cell>
          <cell r="AW66">
            <v>0.53500170822637827</v>
          </cell>
          <cell r="AX66">
            <v>0.53500170822637827</v>
          </cell>
          <cell r="AY66">
            <v>0.53500170822637827</v>
          </cell>
          <cell r="AZ66">
            <v>0.53500170822637827</v>
          </cell>
          <cell r="BA66">
            <v>0.58850187904901397</v>
          </cell>
          <cell r="BB66">
            <v>0.64200204987165321</v>
          </cell>
          <cell r="BC66">
            <v>0.69550222069429068</v>
          </cell>
          <cell r="BD66">
            <v>0.74900239151692638</v>
          </cell>
          <cell r="BE66">
            <v>0.8025025623395674</v>
          </cell>
          <cell r="BF66">
            <v>0.8560027331622031</v>
          </cell>
        </row>
        <row r="103">
          <cell r="S103">
            <v>14</v>
          </cell>
          <cell r="T103">
            <v>30</v>
          </cell>
          <cell r="U103">
            <v>59</v>
          </cell>
          <cell r="V103">
            <v>103</v>
          </cell>
          <cell r="W103">
            <v>86.27</v>
          </cell>
          <cell r="X103">
            <v>102</v>
          </cell>
          <cell r="Y103">
            <v>119.72</v>
          </cell>
          <cell r="Z103">
            <v>131.61000000000001</v>
          </cell>
          <cell r="AA103">
            <v>177.77</v>
          </cell>
          <cell r="AB103">
            <v>131.25</v>
          </cell>
          <cell r="AC103">
            <v>101</v>
          </cell>
          <cell r="AD103">
            <v>116.78623301776037</v>
          </cell>
          <cell r="AE103">
            <v>106.99013809186347</v>
          </cell>
          <cell r="AF103">
            <v>76.281999999999996</v>
          </cell>
          <cell r="AG103">
            <v>65.177999999999997</v>
          </cell>
          <cell r="AH103">
            <v>61.392449054925528</v>
          </cell>
          <cell r="AI103">
            <v>67.651361046450276</v>
          </cell>
          <cell r="AJ103">
            <v>61.827132306764845</v>
          </cell>
          <cell r="AK103">
            <v>44.447595348897366</v>
          </cell>
          <cell r="AL103">
            <v>48.27185549492674</v>
          </cell>
          <cell r="AM103">
            <v>48.03803476015036</v>
          </cell>
          <cell r="AN103">
            <v>46.868426704407824</v>
          </cell>
          <cell r="AO103">
            <v>46.660866069224788</v>
          </cell>
          <cell r="AP103">
            <v>41.578614154435165</v>
          </cell>
          <cell r="AQ103">
            <v>39.977441863944122</v>
          </cell>
          <cell r="AR103">
            <v>37.144966887006653</v>
          </cell>
          <cell r="AS103">
            <v>30.00676602732516</v>
          </cell>
          <cell r="AT103">
            <v>23.349421681652707</v>
          </cell>
          <cell r="AU103">
            <v>22.085223247119739</v>
          </cell>
          <cell r="AV103">
            <v>22.085223247119739</v>
          </cell>
          <cell r="AW103">
            <v>22.085223247119739</v>
          </cell>
          <cell r="AX103">
            <v>22.085223247119739</v>
          </cell>
          <cell r="AY103">
            <v>22.085223247119739</v>
          </cell>
          <cell r="AZ103">
            <v>22.085223247119739</v>
          </cell>
          <cell r="BA103">
            <v>22.085223247119739</v>
          </cell>
          <cell r="BB103">
            <v>22.085223247119739</v>
          </cell>
          <cell r="BC103">
            <v>22.085223247119739</v>
          </cell>
          <cell r="BD103">
            <v>22.085223247119739</v>
          </cell>
          <cell r="BE103">
            <v>22.085223247119739</v>
          </cell>
          <cell r="BF103">
            <v>22.085223247119739</v>
          </cell>
          <cell r="BG103">
            <v>22.085223247119739</v>
          </cell>
        </row>
        <row r="104">
          <cell r="S104">
            <v>11</v>
          </cell>
          <cell r="T104">
            <v>27</v>
          </cell>
          <cell r="U104">
            <v>48</v>
          </cell>
          <cell r="V104">
            <v>98</v>
          </cell>
          <cell r="W104">
            <v>84.13</v>
          </cell>
          <cell r="X104">
            <v>89</v>
          </cell>
          <cell r="Y104">
            <v>136.1</v>
          </cell>
          <cell r="Z104">
            <v>153.29</v>
          </cell>
          <cell r="AA104">
            <v>185.38</v>
          </cell>
          <cell r="AB104">
            <v>141.57</v>
          </cell>
          <cell r="AC104">
            <v>133</v>
          </cell>
          <cell r="AD104">
            <v>143.27134692397613</v>
          </cell>
          <cell r="AE104">
            <v>102.55446605916929</v>
          </cell>
          <cell r="AF104">
            <v>85</v>
          </cell>
          <cell r="AG104">
            <v>62.813000000000002</v>
          </cell>
          <cell r="AH104">
            <v>71.598140357427354</v>
          </cell>
          <cell r="AI104">
            <v>74.546973081208222</v>
          </cell>
          <cell r="AJ104">
            <v>65.262932511078645</v>
          </cell>
          <cell r="AK104">
            <v>48.120727429312765</v>
          </cell>
          <cell r="AL104">
            <v>51.974514960682619</v>
          </cell>
          <cell r="AM104">
            <v>52.708437471878938</v>
          </cell>
          <cell r="AN104">
            <v>50.780409503774941</v>
          </cell>
          <cell r="AO104">
            <v>50.329790882705751</v>
          </cell>
          <cell r="AP104">
            <v>45.068334372770465</v>
          </cell>
          <cell r="AQ104">
            <v>43.33522919649262</v>
          </cell>
          <cell r="AR104">
            <v>40.326318709715949</v>
          </cell>
          <cell r="AS104">
            <v>32.502354963046336</v>
          </cell>
          <cell r="AT104">
            <v>25.290167553340325</v>
          </cell>
          <cell r="AU104">
            <v>23.942372223270734</v>
          </cell>
          <cell r="AV104">
            <v>23.942372223270734</v>
          </cell>
          <cell r="AW104">
            <v>23.942372223270734</v>
          </cell>
          <cell r="AX104">
            <v>23.942372223270734</v>
          </cell>
          <cell r="AY104">
            <v>23.942372223270734</v>
          </cell>
          <cell r="AZ104">
            <v>23.942372223270734</v>
          </cell>
          <cell r="BA104">
            <v>23.942372223270734</v>
          </cell>
          <cell r="BB104">
            <v>23.942372223270734</v>
          </cell>
          <cell r="BC104">
            <v>23.942372223270734</v>
          </cell>
          <cell r="BD104">
            <v>23.942372223270734</v>
          </cell>
          <cell r="BE104">
            <v>23.942372223270734</v>
          </cell>
          <cell r="BF104">
            <v>23.942372223270734</v>
          </cell>
          <cell r="BG104">
            <v>23.942372223270734</v>
          </cell>
        </row>
        <row r="105">
          <cell r="S105">
            <v>18</v>
          </cell>
          <cell r="T105">
            <v>30</v>
          </cell>
          <cell r="U105">
            <v>50</v>
          </cell>
          <cell r="V105">
            <v>104</v>
          </cell>
          <cell r="W105">
            <v>94.22</v>
          </cell>
          <cell r="X105">
            <v>100</v>
          </cell>
          <cell r="Y105">
            <v>135.04</v>
          </cell>
          <cell r="Z105">
            <v>165.18</v>
          </cell>
          <cell r="AA105">
            <v>180.82</v>
          </cell>
          <cell r="AB105">
            <v>161.32</v>
          </cell>
          <cell r="AC105">
            <v>147</v>
          </cell>
          <cell r="AD105">
            <v>150.29797397803216</v>
          </cell>
          <cell r="AE105">
            <v>110.42206778143442</v>
          </cell>
          <cell r="AF105">
            <v>63.088000000000001</v>
          </cell>
          <cell r="AG105">
            <v>66.537000000000006</v>
          </cell>
          <cell r="AH105">
            <v>141.95572745420648</v>
          </cell>
          <cell r="AI105">
            <v>76.203665669252516</v>
          </cell>
          <cell r="AJ105">
            <v>76.138763349785251</v>
          </cell>
          <cell r="AK105">
            <v>56.353282469338971</v>
          </cell>
          <cell r="AL105">
            <v>66.503710122282996</v>
          </cell>
          <cell r="AM105">
            <v>70.30325581981586</v>
          </cell>
          <cell r="AN105">
            <v>60.453282140716333</v>
          </cell>
          <cell r="AO105">
            <v>61.778298824685912</v>
          </cell>
          <cell r="AP105">
            <v>48.585580144898785</v>
          </cell>
          <cell r="AQ105">
            <v>50.427318265526196</v>
          </cell>
          <cell r="AR105">
            <v>46.254928380598898</v>
          </cell>
          <cell r="AS105">
            <v>37.771444938613641</v>
          </cell>
          <cell r="AT105">
            <v>29.233803170743151</v>
          </cell>
          <cell r="AU105">
            <v>27.257860207466532</v>
          </cell>
          <cell r="AV105">
            <v>27.257860207466532</v>
          </cell>
          <cell r="AW105">
            <v>27.257860207466532</v>
          </cell>
          <cell r="AX105">
            <v>27.257860207466532</v>
          </cell>
          <cell r="AY105">
            <v>27.257860207466532</v>
          </cell>
          <cell r="AZ105">
            <v>27.257860207466532</v>
          </cell>
          <cell r="BA105">
            <v>27.257860207466532</v>
          </cell>
          <cell r="BB105">
            <v>27.257860207466532</v>
          </cell>
          <cell r="BC105">
            <v>27.257860207466532</v>
          </cell>
          <cell r="BD105">
            <v>27.257860207466532</v>
          </cell>
          <cell r="BE105">
            <v>27.257860207466532</v>
          </cell>
          <cell r="BF105">
            <v>27.257860207466532</v>
          </cell>
          <cell r="BG105">
            <v>27.257860207466532</v>
          </cell>
        </row>
        <row r="106">
          <cell r="R106">
            <v>3</v>
          </cell>
          <cell r="S106">
            <v>17</v>
          </cell>
          <cell r="T106">
            <v>50</v>
          </cell>
          <cell r="U106">
            <v>60</v>
          </cell>
          <cell r="V106">
            <v>73</v>
          </cell>
          <cell r="W106">
            <v>54</v>
          </cell>
          <cell r="X106">
            <v>93.66</v>
          </cell>
          <cell r="Y106">
            <v>111.88</v>
          </cell>
          <cell r="Z106">
            <v>152.88999999999999</v>
          </cell>
          <cell r="AA106">
            <v>144.58000000000001</v>
          </cell>
          <cell r="AB106">
            <v>177</v>
          </cell>
          <cell r="AC106">
            <v>112.66256969861432</v>
          </cell>
          <cell r="AD106">
            <v>153.07208812566179</v>
          </cell>
          <cell r="AE106">
            <v>111.878</v>
          </cell>
          <cell r="AF106">
            <v>71.075999999999993</v>
          </cell>
          <cell r="AG106">
            <v>58.406999999999996</v>
          </cell>
          <cell r="AH106">
            <v>74.602885307776603</v>
          </cell>
          <cell r="AI106">
            <v>77.973362179186793</v>
          </cell>
          <cell r="AJ106">
            <v>53.69130984323936</v>
          </cell>
          <cell r="AK106">
            <v>55.337721651382267</v>
          </cell>
          <cell r="AL106">
            <v>54.578238826134829</v>
          </cell>
          <cell r="AM106">
            <v>54.968831852208034</v>
          </cell>
          <cell r="AN106">
            <v>55.386695824656911</v>
          </cell>
          <cell r="AO106">
            <v>60.423801136277476</v>
          </cell>
          <cell r="AP106">
            <v>51.397325043593185</v>
          </cell>
          <cell r="AQ106">
            <v>49.632875465219826</v>
          </cell>
          <cell r="AR106">
            <v>38.510790678015567</v>
          </cell>
          <cell r="AS106">
            <v>30.504651908365101</v>
          </cell>
          <cell r="AT106">
            <v>29.513128118575175</v>
          </cell>
          <cell r="AU106">
            <v>24.996917152931093</v>
          </cell>
          <cell r="AV106">
            <v>21.171793943361461</v>
          </cell>
          <cell r="AW106">
            <v>17.932005616444453</v>
          </cell>
          <cell r="AX106">
            <v>15.187982005134778</v>
          </cell>
          <cell r="AY106">
            <v>12.863859309566505</v>
          </cell>
          <cell r="AZ106">
            <v>10.895382696685807</v>
          </cell>
          <cell r="BA106">
            <v>9.2281298520545505</v>
          </cell>
          <cell r="BB106">
            <v>7.8160063705044589</v>
          </cell>
          <cell r="BC106">
            <v>6.6199713878284046</v>
          </cell>
          <cell r="BD106">
            <v>5.6069582211507649</v>
          </cell>
          <cell r="BE106">
            <v>4.7489601770081018</v>
          </cell>
          <cell r="BF106">
            <v>4.022256252549739</v>
          </cell>
        </row>
        <row r="107">
          <cell r="R107">
            <v>8</v>
          </cell>
          <cell r="S107">
            <v>13</v>
          </cell>
          <cell r="T107">
            <v>51</v>
          </cell>
          <cell r="U107">
            <v>61</v>
          </cell>
          <cell r="V107">
            <v>54</v>
          </cell>
          <cell r="W107">
            <v>63</v>
          </cell>
          <cell r="X107">
            <v>88.13</v>
          </cell>
          <cell r="Y107">
            <v>111.55</v>
          </cell>
          <cell r="Z107">
            <v>143.28</v>
          </cell>
          <cell r="AA107">
            <v>136.61000000000001</v>
          </cell>
          <cell r="AB107">
            <v>133.87</v>
          </cell>
          <cell r="AC107">
            <v>79.493695352216392</v>
          </cell>
          <cell r="AD107">
            <v>134.68609331312609</v>
          </cell>
          <cell r="AE107">
            <v>95.100999999999999</v>
          </cell>
          <cell r="AF107">
            <v>73.781000000000006</v>
          </cell>
          <cell r="AG107">
            <v>58.214884025746507</v>
          </cell>
          <cell r="AH107">
            <v>65.370302825622531</v>
          </cell>
          <cell r="AI107">
            <v>71.529078774766404</v>
          </cell>
          <cell r="AJ107">
            <v>50.276826708474097</v>
          </cell>
          <cell r="AK107">
            <v>53.166623733165714</v>
          </cell>
          <cell r="AL107">
            <v>51.107010956241375</v>
          </cell>
          <cell r="AM107">
            <v>50.749251582286078</v>
          </cell>
          <cell r="AN107">
            <v>51.727808295799434</v>
          </cell>
          <cell r="AO107">
            <v>45.612947162391961</v>
          </cell>
          <cell r="AP107">
            <v>42.48753826769309</v>
          </cell>
          <cell r="AQ107">
            <v>40.232255654527215</v>
          </cell>
          <cell r="AR107">
            <v>32.585694905194075</v>
          </cell>
          <cell r="AS107">
            <v>25.358816424316728</v>
          </cell>
          <cell r="AT107">
            <v>23.887336510001706</v>
          </cell>
          <cell r="AU107">
            <v>20.232005544979348</v>
          </cell>
          <cell r="AV107">
            <v>17.136027208420057</v>
          </cell>
          <cell r="AW107">
            <v>14.513807236504107</v>
          </cell>
          <cell r="AX107">
            <v>12.292849324777711</v>
          </cell>
          <cell r="AY107">
            <v>10.411750828660324</v>
          </cell>
          <cell r="AZ107">
            <v>8.8185051694733261</v>
          </cell>
          <cell r="BA107">
            <v>7.4690640127462498</v>
          </cell>
          <cell r="BB107">
            <v>6.3261194674599164</v>
          </cell>
          <cell r="BC107">
            <v>5.3580726377870107</v>
          </cell>
          <cell r="BD107">
            <v>4.5381600109631126</v>
          </cell>
          <cell r="BE107">
            <v>3.843713528603975</v>
          </cell>
          <cell r="BF107">
            <v>3.2555338847203354</v>
          </cell>
        </row>
        <row r="108">
          <cell r="R108">
            <v>3</v>
          </cell>
          <cell r="S108">
            <v>14</v>
          </cell>
          <cell r="T108">
            <v>54</v>
          </cell>
          <cell r="U108">
            <v>71</v>
          </cell>
          <cell r="V108">
            <v>77</v>
          </cell>
          <cell r="W108">
            <v>72</v>
          </cell>
          <cell r="X108">
            <v>93.09</v>
          </cell>
          <cell r="Y108">
            <v>121.53</v>
          </cell>
          <cell r="Z108">
            <v>154.71</v>
          </cell>
          <cell r="AA108">
            <v>140.68</v>
          </cell>
          <cell r="AB108">
            <v>144.85</v>
          </cell>
          <cell r="AC108">
            <v>95.26608662118052</v>
          </cell>
          <cell r="AD108">
            <v>164.3963753382962</v>
          </cell>
          <cell r="AE108">
            <v>87.424999999999997</v>
          </cell>
          <cell r="AF108">
            <v>83.418310000000005</v>
          </cell>
          <cell r="AG108">
            <v>69.961008393045006</v>
          </cell>
          <cell r="AH108">
            <v>66.24172265785775</v>
          </cell>
          <cell r="AI108">
            <v>76.873286157541088</v>
          </cell>
          <cell r="AJ108">
            <v>52.03615820130431</v>
          </cell>
          <cell r="AK108">
            <v>56.475014835357285</v>
          </cell>
          <cell r="AL108">
            <v>54.733076219323074</v>
          </cell>
          <cell r="AM108">
            <v>53.28332972632947</v>
          </cell>
          <cell r="AN108">
            <v>54.757193697703251</v>
          </cell>
          <cell r="AO108">
            <v>48.120975352449001</v>
          </cell>
          <cell r="AP108">
            <v>45.013948564291596</v>
          </cell>
          <cell r="AQ108">
            <v>42.59087660001525</v>
          </cell>
          <cell r="AR108">
            <v>34.418715189388742</v>
          </cell>
          <cell r="AS108">
            <v>26.82048963402212</v>
          </cell>
          <cell r="AT108">
            <v>25.259305053168951</v>
          </cell>
          <cell r="AU108">
            <v>21.39403025046607</v>
          </cell>
          <cell r="AV108">
            <v>18.120234479706522</v>
          </cell>
          <cell r="AW108">
            <v>15.34740737278298</v>
          </cell>
          <cell r="AX108">
            <v>12.998888801905188</v>
          </cell>
          <cell r="AY108">
            <v>11.009749463218698</v>
          </cell>
          <cell r="AZ108">
            <v>9.3249957815685391</v>
          </cell>
          <cell r="BA108">
            <v>7.8980495075543367</v>
          </cell>
          <cell r="BB108">
            <v>6.6894599724190558</v>
          </cell>
          <cell r="BC108">
            <v>5.6658133985859793</v>
          </cell>
          <cell r="BD108">
            <v>4.798809111640117</v>
          </cell>
          <cell r="BE108">
            <v>4.0644771138610851</v>
          </cell>
          <cell r="BF108">
            <v>3.442515387625912</v>
          </cell>
        </row>
        <row r="109">
          <cell r="R109">
            <v>4</v>
          </cell>
          <cell r="S109">
            <v>20</v>
          </cell>
          <cell r="T109">
            <v>54</v>
          </cell>
          <cell r="U109">
            <v>71</v>
          </cell>
          <cell r="V109">
            <v>66</v>
          </cell>
          <cell r="W109">
            <v>94</v>
          </cell>
          <cell r="X109">
            <v>87.28</v>
          </cell>
          <cell r="Y109">
            <v>128.58000000000001</v>
          </cell>
          <cell r="Z109">
            <v>177.52</v>
          </cell>
          <cell r="AA109">
            <v>154.05000000000001</v>
          </cell>
          <cell r="AB109">
            <v>83.67</v>
          </cell>
          <cell r="AC109">
            <v>109.8520735023011</v>
          </cell>
          <cell r="AD109">
            <v>157.76216516262048</v>
          </cell>
          <cell r="AE109">
            <v>83.272999999999996</v>
          </cell>
          <cell r="AF109">
            <v>96.388298992940378</v>
          </cell>
          <cell r="AG109">
            <v>93.604344864253321</v>
          </cell>
          <cell r="AH109">
            <v>72.692718989480653</v>
          </cell>
          <cell r="AI109">
            <v>83.560919436693155</v>
          </cell>
          <cell r="AJ109">
            <v>58.032545972566091</v>
          </cell>
          <cell r="AK109">
            <v>67.02859645024877</v>
          </cell>
          <cell r="AL109">
            <v>63.497228417595039</v>
          </cell>
          <cell r="AM109">
            <v>60.036509601691201</v>
          </cell>
          <cell r="AN109">
            <v>62.105297369174579</v>
          </cell>
          <cell r="AO109">
            <v>55.108318138085203</v>
          </cell>
          <cell r="AP109">
            <v>51.781045019816233</v>
          </cell>
          <cell r="AQ109">
            <v>48.676909437624424</v>
          </cell>
          <cell r="AR109">
            <v>39.246982528914629</v>
          </cell>
          <cell r="AS109">
            <v>30.674442835630604</v>
          </cell>
          <cell r="AT109">
            <v>28.937067807524606</v>
          </cell>
          <cell r="AU109">
            <v>24.509007778751275</v>
          </cell>
          <cell r="AV109">
            <v>20.758546314865068</v>
          </cell>
          <cell r="AW109">
            <v>17.581994709716202</v>
          </cell>
          <cell r="AX109">
            <v>14.891531096815042</v>
          </cell>
          <cell r="AY109">
            <v>12.612772445259647</v>
          </cell>
          <cell r="AZ109">
            <v>10.682718098068845</v>
          </cell>
          <cell r="BA109">
            <v>9.0480079980907266</v>
          </cell>
          <cell r="BB109">
            <v>7.6634474467984948</v>
          </cell>
          <cell r="BC109">
            <v>6.4907576100988198</v>
          </cell>
          <cell r="BD109">
            <v>5.4975172264874175</v>
          </cell>
          <cell r="BE109">
            <v>4.6562662590424138</v>
          </cell>
          <cell r="BF109">
            <v>3.9437467099943162</v>
          </cell>
        </row>
        <row r="110">
          <cell r="R110">
            <v>8</v>
          </cell>
          <cell r="S110">
            <v>21</v>
          </cell>
          <cell r="T110">
            <v>56</v>
          </cell>
          <cell r="U110">
            <v>91</v>
          </cell>
          <cell r="V110">
            <v>87</v>
          </cell>
          <cell r="W110">
            <v>87</v>
          </cell>
          <cell r="X110">
            <v>94.22</v>
          </cell>
          <cell r="Y110">
            <v>124.39</v>
          </cell>
          <cell r="Z110">
            <v>178.48</v>
          </cell>
          <cell r="AA110">
            <v>144.38999999999999</v>
          </cell>
          <cell r="AB110">
            <v>84.36</v>
          </cell>
          <cell r="AC110">
            <v>156.3439605572656</v>
          </cell>
          <cell r="AD110">
            <v>148.10802853691865</v>
          </cell>
          <cell r="AE110">
            <v>96.176000000000002</v>
          </cell>
          <cell r="AF110">
            <v>81.438000000000002</v>
          </cell>
          <cell r="AG110">
            <v>96.879090528890501</v>
          </cell>
          <cell r="AH110">
            <v>77.969745704715848</v>
          </cell>
          <cell r="AI110">
            <v>83.513019774836522</v>
          </cell>
          <cell r="AJ110">
            <v>58.960664361017471</v>
          </cell>
          <cell r="AK110">
            <v>64.555995256186463</v>
          </cell>
          <cell r="AL110">
            <v>64.533912255745705</v>
          </cell>
          <cell r="AM110">
            <v>60.784316924679956</v>
          </cell>
          <cell r="AN110">
            <v>62.135374024291259</v>
          </cell>
          <cell r="AO110">
            <v>55.162380237730119</v>
          </cell>
          <cell r="AP110">
            <v>51.698324838904902</v>
          </cell>
          <cell r="AQ110">
            <v>48.971292837811013</v>
          </cell>
          <cell r="AR110">
            <v>39.393126122175168</v>
          </cell>
          <cell r="AS110">
            <v>30.730889330283599</v>
          </cell>
          <cell r="AT110">
            <v>28.99864261512629</v>
          </cell>
          <cell r="AU110">
            <v>24.561160175411604</v>
          </cell>
          <cell r="AV110">
            <v>20.802718153695821</v>
          </cell>
          <cell r="AW110">
            <v>17.619407205989344</v>
          </cell>
          <cell r="AX110">
            <v>14.923218590803032</v>
          </cell>
          <cell r="AY110">
            <v>12.639610998557671</v>
          </cell>
          <cell r="AZ110">
            <v>10.705449713999213</v>
          </cell>
          <cell r="BA110">
            <v>9.067261135808991</v>
          </cell>
          <cell r="BB110">
            <v>7.6797543962531192</v>
          </cell>
          <cell r="BC110">
            <v>6.5045692082085349</v>
          </cell>
          <cell r="BD110">
            <v>5.5092153213932171</v>
          </cell>
          <cell r="BE110">
            <v>4.6661742670323685</v>
          </cell>
          <cell r="BF110">
            <v>3.9521385569676504</v>
          </cell>
        </row>
        <row r="111">
          <cell r="R111">
            <v>1</v>
          </cell>
          <cell r="S111">
            <v>34</v>
          </cell>
          <cell r="T111">
            <v>55</v>
          </cell>
          <cell r="U111">
            <v>98</v>
          </cell>
          <cell r="V111">
            <v>75.36</v>
          </cell>
          <cell r="W111">
            <v>78</v>
          </cell>
          <cell r="X111">
            <v>103.12</v>
          </cell>
          <cell r="Y111">
            <v>113.42</v>
          </cell>
          <cell r="Z111">
            <v>170.09</v>
          </cell>
          <cell r="AA111">
            <v>154.85</v>
          </cell>
          <cell r="AB111">
            <v>94.13</v>
          </cell>
          <cell r="AC111">
            <v>140.08574075212724</v>
          </cell>
          <cell r="AD111">
            <v>174.29355895617817</v>
          </cell>
          <cell r="AE111">
            <v>97.825000000000003</v>
          </cell>
          <cell r="AF111">
            <v>79.507999999999996</v>
          </cell>
          <cell r="AG111">
            <v>102.63726703825127</v>
          </cell>
          <cell r="AH111">
            <v>79.950846748421583</v>
          </cell>
          <cell r="AI111">
            <v>88.750952713665242</v>
          </cell>
          <cell r="AJ111">
            <v>60.480746100856031</v>
          </cell>
          <cell r="AK111">
            <v>66.391967591213032</v>
          </cell>
          <cell r="AL111">
            <v>67.23430612241927</v>
          </cell>
          <cell r="AM111">
            <v>63.053512025080714</v>
          </cell>
          <cell r="AN111">
            <v>64.620680766004426</v>
          </cell>
          <cell r="AO111">
            <v>57.075005063323381</v>
          </cell>
          <cell r="AP111">
            <v>53.578092397778761</v>
          </cell>
          <cell r="AQ111">
            <v>50.839343860742922</v>
          </cell>
          <cell r="AR111">
            <v>40.869826779185331</v>
          </cell>
          <cell r="AS111">
            <v>31.887397602844448</v>
          </cell>
          <cell r="AT111">
            <v>30.072377977401423</v>
          </cell>
          <cell r="AU111">
            <v>25.470588474137795</v>
          </cell>
          <cell r="AV111">
            <v>21.572982279831667</v>
          </cell>
          <cell r="AW111">
            <v>18.271802589817675</v>
          </cell>
          <cell r="AX111">
            <v>15.475781954977482</v>
          </cell>
          <cell r="AY111">
            <v>13.107619017921783</v>
          </cell>
          <cell r="AZ111">
            <v>11.101841368585941</v>
          </cell>
          <cell r="BA111">
            <v>9.4029954337799797</v>
          </cell>
          <cell r="BB111">
            <v>7.9641133567150657</v>
          </cell>
          <cell r="BC111">
            <v>6.74541448044815</v>
          </cell>
          <cell r="BD111">
            <v>5.7132055352621309</v>
          </cell>
          <cell r="BE111">
            <v>4.8389491235505631</v>
          </cell>
          <cell r="BF111">
            <v>4.0984747486835209</v>
          </cell>
        </row>
        <row r="112">
          <cell r="R112">
            <v>11</v>
          </cell>
          <cell r="S112">
            <v>35</v>
          </cell>
          <cell r="T112">
            <v>54</v>
          </cell>
          <cell r="U112">
            <v>108</v>
          </cell>
          <cell r="V112">
            <v>90.71</v>
          </cell>
          <cell r="W112">
            <v>105.4</v>
          </cell>
          <cell r="X112">
            <v>126.6</v>
          </cell>
          <cell r="Y112">
            <v>130.30000000000001</v>
          </cell>
          <cell r="Z112">
            <v>192.9</v>
          </cell>
          <cell r="AA112">
            <v>154.28</v>
          </cell>
          <cell r="AB112">
            <v>133.43</v>
          </cell>
          <cell r="AC112">
            <v>135.56058547432329</v>
          </cell>
          <cell r="AD112">
            <v>154.27151619947387</v>
          </cell>
          <cell r="AE112">
            <v>89.481999999999999</v>
          </cell>
          <cell r="AF112">
            <v>84.588999999999999</v>
          </cell>
          <cell r="AG112">
            <v>97.337875922936718</v>
          </cell>
          <cell r="AH112">
            <v>74.469794785947187</v>
          </cell>
          <cell r="AI112">
            <v>81.80793378492352</v>
          </cell>
          <cell r="AJ112">
            <v>57.200410705730256</v>
          </cell>
          <cell r="AK112">
            <v>63.260387628580332</v>
          </cell>
          <cell r="AL112">
            <v>63.180268235752592</v>
          </cell>
          <cell r="AM112">
            <v>59.119863652195271</v>
          </cell>
          <cell r="AN112">
            <v>60.66792359011923</v>
          </cell>
          <cell r="AO112">
            <v>53.834675287318419</v>
          </cell>
          <cell r="AP112">
            <v>50.50190665359262</v>
          </cell>
          <cell r="AQ112">
            <v>47.805234732794048</v>
          </cell>
          <cell r="AR112">
            <v>38.435199785892152</v>
          </cell>
          <cell r="AS112">
            <v>30.009159654803394</v>
          </cell>
          <cell r="AT112">
            <v>28.315905242530587</v>
          </cell>
          <cell r="AU112">
            <v>23.982897868840197</v>
          </cell>
          <cell r="AV112">
            <v>20.312943741713696</v>
          </cell>
          <cell r="AW112">
            <v>17.204579934859201</v>
          </cell>
          <cell r="AX112">
            <v>14.571869764356867</v>
          </cell>
          <cell r="AY112">
            <v>12.342026904077132</v>
          </cell>
          <cell r="AZ112">
            <v>10.453403067982107</v>
          </cell>
          <cell r="BA112">
            <v>8.8537836249246613</v>
          </cell>
          <cell r="BB112">
            <v>7.4989440249447998</v>
          </cell>
          <cell r="BC112">
            <v>6.3514271266973532</v>
          </cell>
          <cell r="BD112">
            <v>5.3795076228808023</v>
          </cell>
          <cell r="BE112">
            <v>4.5563149332204587</v>
          </cell>
          <cell r="BF112">
            <v>3.8590903156989076</v>
          </cell>
        </row>
        <row r="113">
          <cell r="R113">
            <v>12</v>
          </cell>
          <cell r="S113">
            <v>37</v>
          </cell>
          <cell r="T113">
            <v>59</v>
          </cell>
          <cell r="U113">
            <v>106</v>
          </cell>
          <cell r="V113">
            <v>90.76</v>
          </cell>
          <cell r="W113">
            <v>107.6</v>
          </cell>
          <cell r="X113">
            <v>123.25</v>
          </cell>
          <cell r="Y113">
            <v>143</v>
          </cell>
          <cell r="Z113">
            <v>202.34</v>
          </cell>
          <cell r="AA113">
            <v>162.37</v>
          </cell>
          <cell r="AB113">
            <v>148.41999999999999</v>
          </cell>
          <cell r="AC113">
            <v>72.740445753841811</v>
          </cell>
          <cell r="AD113">
            <v>166.45136479140911</v>
          </cell>
          <cell r="AE113">
            <v>87.953000000000003</v>
          </cell>
          <cell r="AF113">
            <v>90.349000000000004</v>
          </cell>
          <cell r="AG113">
            <v>95.832492040325917</v>
          </cell>
          <cell r="AH113">
            <v>67.615484581362551</v>
          </cell>
          <cell r="AI113">
            <v>82.775411530948503</v>
          </cell>
          <cell r="AJ113">
            <v>56.610175925961151</v>
          </cell>
          <cell r="AK113">
            <v>62.764400883419377</v>
          </cell>
          <cell r="AL113">
            <v>61.778057621115451</v>
          </cell>
          <cell r="AM113">
            <v>57.711552405457226</v>
          </cell>
          <cell r="AN113">
            <v>60.092449495425043</v>
          </cell>
          <cell r="AO113">
            <v>53.053018573508723</v>
          </cell>
          <cell r="AP113">
            <v>49.708308660107711</v>
          </cell>
          <cell r="AQ113">
            <v>46.977102633441355</v>
          </cell>
          <cell r="AR113">
            <v>37.81317377804325</v>
          </cell>
          <cell r="AS113">
            <v>29.572714747932782</v>
          </cell>
          <cell r="AT113">
            <v>27.8733443892488</v>
          </cell>
          <cell r="AU113">
            <v>23.608059358324851</v>
          </cell>
          <cell r="AV113">
            <v>19.995464443842081</v>
          </cell>
          <cell r="AW113">
            <v>16.935682525042697</v>
          </cell>
          <cell r="AX113">
            <v>14.344120057554679</v>
          </cell>
          <cell r="AY113">
            <v>12.149128322480982</v>
          </cell>
          <cell r="AZ113">
            <v>10.290022560036489</v>
          </cell>
          <cell r="BA113">
            <v>8.7154042228798474</v>
          </cell>
          <cell r="BB113">
            <v>7.3817399646131108</v>
          </cell>
          <cell r="BC113">
            <v>6.2521580768586675</v>
          </cell>
          <cell r="BD113">
            <v>5.2954291001061851</v>
          </cell>
          <cell r="BE113">
            <v>4.4851024253597567</v>
          </cell>
          <cell r="BF113">
            <v>3.7987750162804752</v>
          </cell>
        </row>
        <row r="114">
          <cell r="R114">
            <v>19</v>
          </cell>
          <cell r="S114">
            <v>27</v>
          </cell>
          <cell r="T114">
            <v>55</v>
          </cell>
          <cell r="U114">
            <v>95</v>
          </cell>
          <cell r="V114">
            <v>91.86</v>
          </cell>
          <cell r="W114">
            <v>92</v>
          </cell>
          <cell r="X114">
            <v>106.17</v>
          </cell>
          <cell r="Y114">
            <v>144.19999999999999</v>
          </cell>
          <cell r="Z114">
            <v>168.79</v>
          </cell>
          <cell r="AA114">
            <v>133.77000000000001</v>
          </cell>
          <cell r="AB114">
            <v>135.94999999999999</v>
          </cell>
          <cell r="AC114">
            <v>66.280529424396377</v>
          </cell>
          <cell r="AD114">
            <v>133.406418281404</v>
          </cell>
          <cell r="AE114">
            <v>73.75</v>
          </cell>
          <cell r="AF114">
            <v>69.864999999999995</v>
          </cell>
          <cell r="AG114">
            <v>80.313941830544337</v>
          </cell>
          <cell r="AH114">
            <v>55.998415570244809</v>
          </cell>
          <cell r="AI114">
            <v>67.511012602224667</v>
          </cell>
          <cell r="AJ114">
            <v>46.323636235510662</v>
          </cell>
          <cell r="AK114">
            <v>52.413141172955044</v>
          </cell>
          <cell r="AL114">
            <v>51.105460569895868</v>
          </cell>
          <cell r="AM114">
            <v>47.573593329541339</v>
          </cell>
          <cell r="AN114">
            <v>49.504847875408828</v>
          </cell>
          <cell r="AO114">
            <v>43.801816865949817</v>
          </cell>
          <cell r="AP114">
            <v>41.123692796141668</v>
          </cell>
          <cell r="AQ114">
            <v>38.790806667040535</v>
          </cell>
          <cell r="AR114">
            <v>31.210133574072451</v>
          </cell>
          <cell r="AS114">
            <v>24.415946293747496</v>
          </cell>
          <cell r="AT114">
            <v>23.022316997730158</v>
          </cell>
          <cell r="AU114">
            <v>19.499354604115112</v>
          </cell>
          <cell r="AV114">
            <v>16.515489297385351</v>
          </cell>
          <cell r="AW114">
            <v>13.988226393630841</v>
          </cell>
          <cell r="AX114">
            <v>11.847694858816446</v>
          </cell>
          <cell r="AY114">
            <v>10.034715589929139</v>
          </cell>
          <cell r="AZ114">
            <v>8.4991652950813865</v>
          </cell>
          <cell r="BA114">
            <v>7.1985907388956676</v>
          </cell>
          <cell r="BB114">
            <v>6.0970350413238146</v>
          </cell>
          <cell r="BC114">
            <v>5.1640435806791416</v>
          </cell>
          <cell r="BD114">
            <v>4.373822017162512</v>
          </cell>
          <cell r="BE114">
            <v>3.7045231588265666</v>
          </cell>
          <cell r="BF114">
            <v>3.1376429540188258</v>
          </cell>
        </row>
        <row r="119">
          <cell r="T119">
            <v>18.831926520020431</v>
          </cell>
          <cell r="U119">
            <v>8.9274193952319774</v>
          </cell>
          <cell r="V119">
            <v>36.086466032700365</v>
          </cell>
          <cell r="W119">
            <v>45.313600843338243</v>
          </cell>
          <cell r="X119">
            <v>44.460511471254563</v>
          </cell>
          <cell r="Y119">
            <v>46.099805468116521</v>
          </cell>
          <cell r="Z119">
            <v>43.385064679304456</v>
          </cell>
          <cell r="AA119">
            <v>25</v>
          </cell>
          <cell r="AB119">
            <v>100</v>
          </cell>
          <cell r="AC119">
            <v>75</v>
          </cell>
          <cell r="AD119">
            <v>100</v>
          </cell>
          <cell r="AE119">
            <v>175</v>
          </cell>
          <cell r="AF119">
            <v>250</v>
          </cell>
          <cell r="AG119">
            <v>350</v>
          </cell>
          <cell r="AH119">
            <v>291.76016985217336</v>
          </cell>
          <cell r="AI119">
            <v>309.0015899190185</v>
          </cell>
          <cell r="AJ119">
            <v>302.13365243350034</v>
          </cell>
          <cell r="AK119">
            <v>298.60772415978801</v>
          </cell>
          <cell r="AL119">
            <v>326.91038881398168</v>
          </cell>
          <cell r="AM119">
            <v>321.40438078897148</v>
          </cell>
          <cell r="AN119">
            <v>297.22025006916829</v>
          </cell>
          <cell r="AO119">
            <v>321.88634932688342</v>
          </cell>
          <cell r="AP119">
            <v>345.08259865732924</v>
          </cell>
          <cell r="AQ119">
            <v>338.72400961651067</v>
          </cell>
          <cell r="AR119">
            <v>342.68382724397833</v>
          </cell>
          <cell r="AS119">
            <v>359.63293893925368</v>
          </cell>
          <cell r="AT119">
            <v>380.15481218348373</v>
          </cell>
          <cell r="AU119">
            <v>413.43039646421278</v>
          </cell>
          <cell r="AV119">
            <v>271.70343106323173</v>
          </cell>
          <cell r="AW119">
            <v>185.70445767470181</v>
          </cell>
          <cell r="AX119">
            <v>334.09195487934142</v>
          </cell>
          <cell r="AY119">
            <v>315.06899884232149</v>
          </cell>
          <cell r="AZ119">
            <v>310.51782711713849</v>
          </cell>
          <cell r="BA119">
            <v>331.53501605164291</v>
          </cell>
          <cell r="BB119">
            <v>371.12134933265969</v>
          </cell>
          <cell r="BC119">
            <v>324.66077248747325</v>
          </cell>
          <cell r="BD119">
            <v>336.41615213485738</v>
          </cell>
          <cell r="BE119">
            <v>363.57557226239948</v>
          </cell>
          <cell r="BF119">
            <v>377.69638547523004</v>
          </cell>
          <cell r="BG119">
            <v>389.43570529807965</v>
          </cell>
        </row>
        <row r="120">
          <cell r="T120">
            <v>12.081204163925806</v>
          </cell>
          <cell r="U120">
            <v>12.000210056831225</v>
          </cell>
          <cell r="V120">
            <v>36.756991981058562</v>
          </cell>
          <cell r="W120">
            <v>52.90878924623771</v>
          </cell>
          <cell r="X120">
            <v>42.096547358602727</v>
          </cell>
          <cell r="Y120">
            <v>61.734175672930419</v>
          </cell>
          <cell r="Z120">
            <v>51.458800117140107</v>
          </cell>
          <cell r="AA120">
            <v>100</v>
          </cell>
          <cell r="AB120">
            <v>100</v>
          </cell>
          <cell r="AC120">
            <v>100</v>
          </cell>
          <cell r="AD120">
            <v>100</v>
          </cell>
          <cell r="AE120">
            <v>175</v>
          </cell>
          <cell r="AF120">
            <v>275</v>
          </cell>
          <cell r="AG120">
            <v>350</v>
          </cell>
          <cell r="AH120">
            <v>291.91079840245311</v>
          </cell>
          <cell r="AI120">
            <v>352.18268868026161</v>
          </cell>
          <cell r="AJ120">
            <v>383.84102217715133</v>
          </cell>
          <cell r="AK120">
            <v>357.95496664016889</v>
          </cell>
          <cell r="AL120">
            <v>384.23887089474272</v>
          </cell>
          <cell r="AM120">
            <v>383.14678804610156</v>
          </cell>
          <cell r="AN120">
            <v>359.08683556039341</v>
          </cell>
          <cell r="AO120">
            <v>384.1034381104505</v>
          </cell>
          <cell r="AP120">
            <v>411.72237048421187</v>
          </cell>
          <cell r="AQ120">
            <v>404.94624574940917</v>
          </cell>
          <cell r="AR120">
            <v>410.19111008408652</v>
          </cell>
          <cell r="AS120">
            <v>429.79435878975249</v>
          </cell>
          <cell r="AT120">
            <v>454.6505154918176</v>
          </cell>
          <cell r="AU120">
            <v>494.71166955142388</v>
          </cell>
          <cell r="AV120">
            <v>364.0806606739086</v>
          </cell>
          <cell r="AW120">
            <v>270.45411485722286</v>
          </cell>
          <cell r="AX120">
            <v>423.26679970112406</v>
          </cell>
          <cell r="AY120">
            <v>406.7709658476046</v>
          </cell>
          <cell r="AZ120">
            <v>411.46786580703059</v>
          </cell>
          <cell r="BA120">
            <v>438.19582869915888</v>
          </cell>
          <cell r="BB120">
            <v>482.20441060478942</v>
          </cell>
          <cell r="BC120">
            <v>445.97203817058301</v>
          </cell>
          <cell r="BD120">
            <v>480.84262271637829</v>
          </cell>
          <cell r="BE120">
            <v>504.68866484611885</v>
          </cell>
          <cell r="BF120">
            <v>517.90221688215456</v>
          </cell>
          <cell r="BG120">
            <v>541.57533514311228</v>
          </cell>
        </row>
        <row r="121">
          <cell r="T121">
            <v>18.077024092149479</v>
          </cell>
          <cell r="U121">
            <v>5.279573185131814</v>
          </cell>
          <cell r="V121">
            <v>43.515416090564848</v>
          </cell>
          <cell r="W121">
            <v>74.027488260093833</v>
          </cell>
          <cell r="X121">
            <v>44.40674602919654</v>
          </cell>
          <cell r="Y121">
            <v>61.475737233911893</v>
          </cell>
          <cell r="Z121">
            <v>57.211897197053112</v>
          </cell>
          <cell r="AA121">
            <v>100</v>
          </cell>
          <cell r="AB121">
            <v>125</v>
          </cell>
          <cell r="AC121">
            <v>125</v>
          </cell>
          <cell r="AD121">
            <v>150</v>
          </cell>
          <cell r="AE121">
            <v>175</v>
          </cell>
          <cell r="AF121">
            <v>300</v>
          </cell>
          <cell r="AG121">
            <v>250</v>
          </cell>
          <cell r="AH121">
            <v>338.18409646111223</v>
          </cell>
          <cell r="AI121">
            <v>374.85853767084706</v>
          </cell>
          <cell r="AJ121">
            <v>377.90253671464393</v>
          </cell>
          <cell r="AK121">
            <v>388.73075638313094</v>
          </cell>
          <cell r="AL121">
            <v>406.22157268329573</v>
          </cell>
          <cell r="AM121">
            <v>400.33876045811792</v>
          </cell>
          <cell r="AN121">
            <v>373.99784847969278</v>
          </cell>
          <cell r="AO121">
            <v>406.27425222304214</v>
          </cell>
          <cell r="AP121">
            <v>432.5566509430576</v>
          </cell>
          <cell r="AQ121">
            <v>424.67078905302895</v>
          </cell>
          <cell r="AR121">
            <v>430.24735679877813</v>
          </cell>
          <cell r="AS121">
            <v>451.89849025285099</v>
          </cell>
          <cell r="AT121">
            <v>477.46058514417274</v>
          </cell>
          <cell r="AU121">
            <v>519.47910778710479</v>
          </cell>
          <cell r="AV121">
            <v>392.33938880270171</v>
          </cell>
          <cell r="AW121">
            <v>296.43170158757044</v>
          </cell>
          <cell r="AX121">
            <v>450.4874306646646</v>
          </cell>
          <cell r="AY121">
            <v>434.77766514139591</v>
          </cell>
          <cell r="AZ121">
            <v>442.34243045626977</v>
          </cell>
          <cell r="BA121">
            <v>470.81720477275042</v>
          </cell>
          <cell r="BB121">
            <v>516.14342882031133</v>
          </cell>
          <cell r="BC121">
            <v>500.8252616173902</v>
          </cell>
          <cell r="BD121">
            <v>522.27435185845115</v>
          </cell>
          <cell r="BE121">
            <v>549.42208786827928</v>
          </cell>
          <cell r="BF121">
            <v>565.46597045776446</v>
          </cell>
          <cell r="BG121">
            <v>594.26030460981258</v>
          </cell>
        </row>
        <row r="122">
          <cell r="T122">
            <v>12.095020959363737</v>
          </cell>
          <cell r="U122">
            <v>2.8566518403369416</v>
          </cell>
          <cell r="V122">
            <v>32.956814948287544</v>
          </cell>
          <cell r="W122">
            <v>59.128444301991131</v>
          </cell>
          <cell r="X122">
            <v>37.998271228483091</v>
          </cell>
          <cell r="Y122">
            <v>41.627492438741982</v>
          </cell>
          <cell r="Z122">
            <v>30.669966186349875</v>
          </cell>
          <cell r="AA122">
            <v>75</v>
          </cell>
          <cell r="AB122">
            <v>100</v>
          </cell>
          <cell r="AC122">
            <v>100</v>
          </cell>
          <cell r="AD122">
            <v>150</v>
          </cell>
          <cell r="AE122">
            <v>225</v>
          </cell>
          <cell r="AF122">
            <v>250</v>
          </cell>
          <cell r="AG122">
            <v>300</v>
          </cell>
          <cell r="AH122">
            <v>269.14748896754969</v>
          </cell>
          <cell r="AI122">
            <v>263.28265675428992</v>
          </cell>
          <cell r="AJ122">
            <v>283.62750902077556</v>
          </cell>
          <cell r="AK122">
            <v>282.29139950279068</v>
          </cell>
          <cell r="AL122">
            <v>295.29054164539889</v>
          </cell>
          <cell r="AM122">
            <v>300.35918975327496</v>
          </cell>
          <cell r="AN122">
            <v>315.67114063980631</v>
          </cell>
          <cell r="AO122">
            <v>285.13120654417156</v>
          </cell>
          <cell r="AP122">
            <v>294.7248000238427</v>
          </cell>
          <cell r="AQ122">
            <v>315.73244603922643</v>
          </cell>
          <cell r="AR122">
            <v>327.58543864462354</v>
          </cell>
          <cell r="AS122">
            <v>361.34411839350815</v>
          </cell>
          <cell r="AT122">
            <v>369.53604807989171</v>
          </cell>
          <cell r="AU122">
            <v>365.98638537656473</v>
          </cell>
          <cell r="AV122">
            <v>166.46725298555975</v>
          </cell>
          <cell r="AW122">
            <v>147.05927128862851</v>
          </cell>
          <cell r="AX122">
            <v>290.59541731969756</v>
          </cell>
          <cell r="AY122">
            <v>274.89595212945653</v>
          </cell>
          <cell r="AZ122">
            <v>245.23143500583686</v>
          </cell>
          <cell r="BA122">
            <v>261.14695968719457</v>
          </cell>
          <cell r="BB122">
            <v>282.82914276367956</v>
          </cell>
          <cell r="BC122">
            <v>294.75734671566283</v>
          </cell>
          <cell r="BD122">
            <v>282.29131161076458</v>
          </cell>
          <cell r="BE122">
            <v>315.75000598854524</v>
          </cell>
          <cell r="BF122">
            <v>326.71255140291913</v>
          </cell>
        </row>
        <row r="123">
          <cell r="T123">
            <v>4.7882215594659057</v>
          </cell>
          <cell r="U123">
            <v>2.316631271005325</v>
          </cell>
          <cell r="V123">
            <v>38.426871855780128</v>
          </cell>
          <cell r="W123">
            <v>44.641014125582331</v>
          </cell>
          <cell r="X123">
            <v>22.529236612705784</v>
          </cell>
          <cell r="Y123">
            <v>47.431495608823447</v>
          </cell>
          <cell r="Z123">
            <v>46.356403517354352</v>
          </cell>
          <cell r="AA123">
            <v>100</v>
          </cell>
          <cell r="AB123">
            <v>75</v>
          </cell>
          <cell r="AC123">
            <v>75</v>
          </cell>
          <cell r="AD123">
            <v>100</v>
          </cell>
          <cell r="AE123">
            <v>175</v>
          </cell>
          <cell r="AF123">
            <v>250</v>
          </cell>
          <cell r="AG123">
            <v>250</v>
          </cell>
          <cell r="AH123">
            <v>257.99538553901431</v>
          </cell>
          <cell r="AI123">
            <v>291.28675385420109</v>
          </cell>
          <cell r="AJ123">
            <v>299.13718561610142</v>
          </cell>
          <cell r="AK123">
            <v>296.26019085367471</v>
          </cell>
          <cell r="AL123">
            <v>305.2237952199099</v>
          </cell>
          <cell r="AM123">
            <v>319.9728523387094</v>
          </cell>
          <cell r="AN123">
            <v>331.68382485457397</v>
          </cell>
          <cell r="AO123">
            <v>299.06993109675227</v>
          </cell>
          <cell r="AP123">
            <v>309.00571380174466</v>
          </cell>
          <cell r="AQ123">
            <v>332.42182239703408</v>
          </cell>
          <cell r="AR123">
            <v>344.47371871815903</v>
          </cell>
          <cell r="AS123">
            <v>379.94248344758114</v>
          </cell>
          <cell r="AT123">
            <v>388.73922478672569</v>
          </cell>
          <cell r="AU123">
            <v>384.88597687986652</v>
          </cell>
          <cell r="AV123">
            <v>184.62126403889698</v>
          </cell>
          <cell r="AW123">
            <v>167.44597890679574</v>
          </cell>
          <cell r="AX123">
            <v>312.00479208379596</v>
          </cell>
          <cell r="AY123">
            <v>297.55209145305167</v>
          </cell>
          <cell r="AZ123">
            <v>268.57941508432361</v>
          </cell>
          <cell r="BA123">
            <v>276.91621202745091</v>
          </cell>
          <cell r="BB123">
            <v>283.32609369829186</v>
          </cell>
          <cell r="BC123">
            <v>311.88186905546149</v>
          </cell>
          <cell r="BD123">
            <v>319.20987099126478</v>
          </cell>
          <cell r="BE123">
            <v>335.23370644066887</v>
          </cell>
          <cell r="BF123">
            <v>347.0910444067357</v>
          </cell>
        </row>
        <row r="124">
          <cell r="T124">
            <v>15.359614337973317</v>
          </cell>
          <cell r="U124">
            <v>3.8525972755761946</v>
          </cell>
          <cell r="V124">
            <v>46.409055283339484</v>
          </cell>
          <cell r="W124">
            <v>52.546225574512761</v>
          </cell>
          <cell r="X124">
            <v>50.475190321607577</v>
          </cell>
          <cell r="Y124">
            <v>35.406981796255749</v>
          </cell>
          <cell r="Z124">
            <v>52.030300218285369</v>
          </cell>
          <cell r="AA124">
            <v>100</v>
          </cell>
          <cell r="AB124">
            <v>100</v>
          </cell>
          <cell r="AC124">
            <v>100</v>
          </cell>
          <cell r="AD124">
            <v>100</v>
          </cell>
          <cell r="AE124">
            <v>175</v>
          </cell>
          <cell r="AF124">
            <v>225</v>
          </cell>
          <cell r="AG124">
            <v>300</v>
          </cell>
          <cell r="AH124">
            <v>236.0374405200015</v>
          </cell>
          <cell r="AI124">
            <v>267.63997322189675</v>
          </cell>
          <cell r="AJ124">
            <v>277.89896725637783</v>
          </cell>
          <cell r="AK124">
            <v>282.44613014059843</v>
          </cell>
          <cell r="AL124">
            <v>283.289933855117</v>
          </cell>
          <cell r="AM124">
            <v>297.8518367631516</v>
          </cell>
          <cell r="AN124">
            <v>310.38477647576462</v>
          </cell>
          <cell r="AO124">
            <v>280.54148831447532</v>
          </cell>
          <cell r="AP124">
            <v>288.43365543855418</v>
          </cell>
          <cell r="AQ124">
            <v>310.74547892651645</v>
          </cell>
          <cell r="AR124">
            <v>321.96111053649162</v>
          </cell>
          <cell r="AS124">
            <v>354.85054776988466</v>
          </cell>
          <cell r="AT124">
            <v>362.71148838806425</v>
          </cell>
          <cell r="AU124">
            <v>359.65998256158764</v>
          </cell>
          <cell r="AV124">
            <v>160.2326705795748</v>
          </cell>
          <cell r="AW124">
            <v>140.055871369513</v>
          </cell>
          <cell r="AX124">
            <v>283.22593701931055</v>
          </cell>
          <cell r="AY124">
            <v>267.15272844089333</v>
          </cell>
          <cell r="AZ124">
            <v>237.21842771456849</v>
          </cell>
          <cell r="BA124">
            <v>245.52228768498173</v>
          </cell>
          <cell r="BB124">
            <v>253.72422808253077</v>
          </cell>
          <cell r="BC124">
            <v>277.82191150323143</v>
          </cell>
          <cell r="BD124">
            <v>283.77701167878541</v>
          </cell>
          <cell r="BE124">
            <v>291.35429047305496</v>
          </cell>
          <cell r="BF124">
            <v>307.28364074584323</v>
          </cell>
        </row>
        <row r="125">
          <cell r="T125">
            <v>10.388865466941118</v>
          </cell>
          <cell r="U125">
            <v>3.3426295422573795</v>
          </cell>
          <cell r="V125">
            <v>41.650902884077595</v>
          </cell>
          <cell r="W125">
            <v>51.748586629882077</v>
          </cell>
          <cell r="X125">
            <v>56.439873544540376</v>
          </cell>
          <cell r="Y125">
            <v>45.596538386112023</v>
          </cell>
          <cell r="Z125">
            <v>56.586026074362167</v>
          </cell>
          <cell r="AA125">
            <v>100</v>
          </cell>
          <cell r="AB125">
            <v>75</v>
          </cell>
          <cell r="AC125">
            <v>100</v>
          </cell>
          <cell r="AD125">
            <v>100</v>
          </cell>
          <cell r="AE125">
            <v>225</v>
          </cell>
          <cell r="AF125">
            <v>250</v>
          </cell>
          <cell r="AG125">
            <v>294.2252865610605</v>
          </cell>
          <cell r="AH125">
            <v>241.78455216548699</v>
          </cell>
          <cell r="AI125">
            <v>209.36472251987482</v>
          </cell>
          <cell r="AJ125">
            <v>260.47278499711547</v>
          </cell>
          <cell r="AK125">
            <v>269.24579864036394</v>
          </cell>
          <cell r="AL125">
            <v>261.3514908183314</v>
          </cell>
          <cell r="AM125">
            <v>267.8857590834761</v>
          </cell>
          <cell r="AN125">
            <v>288.30807634901731</v>
          </cell>
          <cell r="AO125">
            <v>260.0117115044772</v>
          </cell>
          <cell r="AP125">
            <v>264.84862033477225</v>
          </cell>
          <cell r="AQ125">
            <v>284.81695686419846</v>
          </cell>
          <cell r="AR125">
            <v>297.25193544639797</v>
          </cell>
          <cell r="AS125">
            <v>327.3159819927838</v>
          </cell>
          <cell r="AT125">
            <v>334.13527975107377</v>
          </cell>
          <cell r="AU125">
            <v>346.55299562264992</v>
          </cell>
          <cell r="AV125">
            <v>134.90309094862761</v>
          </cell>
          <cell r="AW125">
            <v>113.12854667083297</v>
          </cell>
          <cell r="AX125">
            <v>256.30702154574942</v>
          </cell>
          <cell r="AY125">
            <v>235.65161979790301</v>
          </cell>
          <cell r="AZ125">
            <v>206.03817497754289</v>
          </cell>
          <cell r="BA125">
            <v>214.51425331132268</v>
          </cell>
          <cell r="BB125">
            <v>246.50751354507025</v>
          </cell>
          <cell r="BC125">
            <v>250.21164269441729</v>
          </cell>
          <cell r="BD125">
            <v>256.94824366682548</v>
          </cell>
          <cell r="BE125">
            <v>266.17737288156775</v>
          </cell>
          <cell r="BF125">
            <v>283.60039231432319</v>
          </cell>
        </row>
        <row r="126">
          <cell r="T126">
            <v>10.962497545968748</v>
          </cell>
          <cell r="U126">
            <v>3.1562464567279007</v>
          </cell>
          <cell r="V126">
            <v>50.465205428757088</v>
          </cell>
          <cell r="W126">
            <v>52.517620695153198</v>
          </cell>
          <cell r="X126">
            <v>55.005584547757913</v>
          </cell>
          <cell r="Y126">
            <v>54.893358246732163</v>
          </cell>
          <cell r="Z126">
            <v>47.452443974608656</v>
          </cell>
          <cell r="AA126">
            <v>100</v>
          </cell>
          <cell r="AB126">
            <v>100</v>
          </cell>
          <cell r="AC126">
            <v>100</v>
          </cell>
          <cell r="AD126">
            <v>125</v>
          </cell>
          <cell r="AE126">
            <v>250</v>
          </cell>
          <cell r="AF126">
            <v>250</v>
          </cell>
          <cell r="AG126">
            <v>196.87942383997199</v>
          </cell>
          <cell r="AH126">
            <v>199.57999804674105</v>
          </cell>
          <cell r="AI126">
            <v>225.0218896961226</v>
          </cell>
          <cell r="AJ126">
            <v>242.15809212813124</v>
          </cell>
          <cell r="AK126">
            <v>236.58356359799421</v>
          </cell>
          <cell r="AL126">
            <v>240.06538436391008</v>
          </cell>
          <cell r="AM126">
            <v>252.9401712514767</v>
          </cell>
          <cell r="AN126">
            <v>264.64022139847867</v>
          </cell>
          <cell r="AO126">
            <v>237.38072545133693</v>
          </cell>
          <cell r="AP126">
            <v>244.66109536232429</v>
          </cell>
          <cell r="AQ126">
            <v>263.61921047665533</v>
          </cell>
          <cell r="AR126">
            <v>273.52866471030882</v>
          </cell>
          <cell r="AS126">
            <v>301.40751368766178</v>
          </cell>
          <cell r="AT126">
            <v>308.26407397767423</v>
          </cell>
          <cell r="AU126">
            <v>305.33391660057976</v>
          </cell>
          <cell r="AV126">
            <v>105.19993522802525</v>
          </cell>
          <cell r="AW126">
            <v>79.216209691025881</v>
          </cell>
          <cell r="AX126">
            <v>219.48737609296973</v>
          </cell>
          <cell r="AY126">
            <v>199.79101011147037</v>
          </cell>
          <cell r="AZ126">
            <v>159.18019113219185</v>
          </cell>
          <cell r="BA126">
            <v>178.96906912160705</v>
          </cell>
          <cell r="BB126">
            <v>204.8219358353418</v>
          </cell>
          <cell r="BC126">
            <v>205.94484278224155</v>
          </cell>
          <cell r="BD126">
            <v>209.85619331422032</v>
          </cell>
          <cell r="BE126">
            <v>219.86234684488144</v>
          </cell>
          <cell r="BF126">
            <v>233.75717112997148</v>
          </cell>
        </row>
        <row r="127">
          <cell r="T127">
            <v>10.062864838853088</v>
          </cell>
          <cell r="U127">
            <v>5.2226278765239602</v>
          </cell>
          <cell r="V127">
            <v>48.606977035884682</v>
          </cell>
          <cell r="W127">
            <v>47.319918369208644</v>
          </cell>
          <cell r="X127">
            <v>50.084074392684897</v>
          </cell>
          <cell r="Y127">
            <v>39.767283250570522</v>
          </cell>
          <cell r="Z127">
            <v>25.714584129183852</v>
          </cell>
          <cell r="AA127">
            <v>100</v>
          </cell>
          <cell r="AB127">
            <v>125</v>
          </cell>
          <cell r="AC127">
            <v>100</v>
          </cell>
          <cell r="AD127">
            <v>150</v>
          </cell>
          <cell r="AE127">
            <v>300</v>
          </cell>
          <cell r="AF127">
            <v>325</v>
          </cell>
          <cell r="AG127">
            <v>189.14366479408429</v>
          </cell>
          <cell r="AH127">
            <v>207.1052822567502</v>
          </cell>
          <cell r="AI127">
            <v>221.43149685187737</v>
          </cell>
          <cell r="AJ127">
            <v>238.66427170540695</v>
          </cell>
          <cell r="AK127">
            <v>236.2879701311233</v>
          </cell>
          <cell r="AL127">
            <v>240.43849895980293</v>
          </cell>
          <cell r="AM127">
            <v>251.13812805647305</v>
          </cell>
          <cell r="AN127">
            <v>262.67680884001561</v>
          </cell>
          <cell r="AO127">
            <v>236.61940035037162</v>
          </cell>
          <cell r="AP127">
            <v>243.97254777751922</v>
          </cell>
          <cell r="AQ127">
            <v>262.36739520342002</v>
          </cell>
          <cell r="AR127">
            <v>272.11481746500129</v>
          </cell>
          <cell r="AS127">
            <v>299.8423438115787</v>
          </cell>
          <cell r="AT127">
            <v>306.64220550913853</v>
          </cell>
          <cell r="AU127">
            <v>303.88499475763001</v>
          </cell>
          <cell r="AV127">
            <v>104.20467970334045</v>
          </cell>
          <cell r="AW127">
            <v>77.972212793286133</v>
          </cell>
          <cell r="AX127">
            <v>218.16122682600795</v>
          </cell>
          <cell r="AY127">
            <v>198.38253025892703</v>
          </cell>
          <cell r="AZ127">
            <v>166.13691451743838</v>
          </cell>
          <cell r="BA127">
            <v>179.63898420455044</v>
          </cell>
          <cell r="BB127">
            <v>206.16000233149322</v>
          </cell>
          <cell r="BC127">
            <v>207.95594876580859</v>
          </cell>
          <cell r="BD127">
            <v>212.85517779164002</v>
          </cell>
          <cell r="BE127">
            <v>221.73700631784666</v>
          </cell>
          <cell r="BF127">
            <v>235.91391372769522</v>
          </cell>
        </row>
        <row r="128">
          <cell r="T128">
            <v>18.688773157646359</v>
          </cell>
          <cell r="U128">
            <v>37.071595058845602</v>
          </cell>
          <cell r="V128">
            <v>41.180348278009902</v>
          </cell>
          <cell r="W128">
            <v>51.306905876423379</v>
          </cell>
          <cell r="X128">
            <v>43.385064679304456</v>
          </cell>
          <cell r="Y128">
            <v>43.751463563779076</v>
          </cell>
          <cell r="Z128">
            <v>12.930590088974176</v>
          </cell>
          <cell r="AA128">
            <v>100</v>
          </cell>
          <cell r="AB128">
            <v>100</v>
          </cell>
          <cell r="AC128">
            <v>100</v>
          </cell>
          <cell r="AD128">
            <v>150</v>
          </cell>
          <cell r="AE128">
            <v>275</v>
          </cell>
          <cell r="AF128">
            <v>250</v>
          </cell>
          <cell r="AG128">
            <v>215.09079118514842</v>
          </cell>
          <cell r="AH128">
            <v>240.82418472514115</v>
          </cell>
          <cell r="AI128">
            <v>241.29751725165886</v>
          </cell>
          <cell r="AJ128">
            <v>257.49431304004787</v>
          </cell>
          <cell r="AK128">
            <v>264.93330510123207</v>
          </cell>
          <cell r="AL128">
            <v>267.49557099291246</v>
          </cell>
          <cell r="AM128">
            <v>275.82138585551814</v>
          </cell>
          <cell r="AN128">
            <v>289.48948640702713</v>
          </cell>
          <cell r="AO128">
            <v>262.66433022146168</v>
          </cell>
          <cell r="AP128">
            <v>269.84811135396529</v>
          </cell>
          <cell r="AQ128">
            <v>289.41551276313373</v>
          </cell>
          <cell r="AR128">
            <v>300.74642419962339</v>
          </cell>
          <cell r="AS128">
            <v>331.84560799530891</v>
          </cell>
          <cell r="AT128">
            <v>339.14397728987552</v>
          </cell>
          <cell r="AU128">
            <v>335.8119780659037</v>
          </cell>
          <cell r="AV128">
            <v>136.00488575648711</v>
          </cell>
          <cell r="AW128">
            <v>113.39587786510248</v>
          </cell>
          <cell r="AX128">
            <v>255.26044676579826</v>
          </cell>
          <cell r="AY128">
            <v>237.5823542849613</v>
          </cell>
          <cell r="AZ128">
            <v>206.64704115731897</v>
          </cell>
          <cell r="BA128">
            <v>221.3925402456253</v>
          </cell>
          <cell r="BB128">
            <v>248.73171386956096</v>
          </cell>
          <cell r="BC128">
            <v>253.39968983094025</v>
          </cell>
          <cell r="BD128">
            <v>260.52585725211901</v>
          </cell>
          <cell r="BE128">
            <v>270.49732288638586</v>
          </cell>
          <cell r="BF128">
            <v>287.21208073280832</v>
          </cell>
        </row>
        <row r="129">
          <cell r="T129">
            <v>13.867573467103288</v>
          </cell>
          <cell r="U129">
            <v>29.023821031014958</v>
          </cell>
          <cell r="V129">
            <v>5.0752334892742095</v>
          </cell>
          <cell r="W129">
            <v>49.977962330641034</v>
          </cell>
          <cell r="X129">
            <v>55.268834115372051</v>
          </cell>
          <cell r="Y129">
            <v>55.453300245637443</v>
          </cell>
          <cell r="Z129">
            <v>31.879968465929078</v>
          </cell>
          <cell r="AA129">
            <v>50</v>
          </cell>
          <cell r="AB129">
            <v>100</v>
          </cell>
          <cell r="AC129">
            <v>125</v>
          </cell>
          <cell r="AD129">
            <v>175</v>
          </cell>
          <cell r="AE129">
            <v>300</v>
          </cell>
          <cell r="AF129">
            <v>325</v>
          </cell>
          <cell r="AG129">
            <v>201.33132983936451</v>
          </cell>
          <cell r="AH129">
            <v>217.17379846089867</v>
          </cell>
          <cell r="AI129">
            <v>207.11218584874823</v>
          </cell>
          <cell r="AJ129">
            <v>224.48048903773437</v>
          </cell>
          <cell r="AK129">
            <v>235.07328692787701</v>
          </cell>
          <cell r="AL129">
            <v>236.16036570241641</v>
          </cell>
          <cell r="AM129">
            <v>241.88969946332875</v>
          </cell>
          <cell r="AN129">
            <v>254.73513550270388</v>
          </cell>
          <cell r="AO129">
            <v>231.47800077421113</v>
          </cell>
          <cell r="AP129">
            <v>237.48519205925649</v>
          </cell>
          <cell r="AQ129">
            <v>254.85176329386309</v>
          </cell>
          <cell r="AR129">
            <v>264.6571856725173</v>
          </cell>
          <cell r="AS129">
            <v>291.74069909104566</v>
          </cell>
          <cell r="AT129">
            <v>298.00942640358011</v>
          </cell>
          <cell r="AU129">
            <v>295.49042808364146</v>
          </cell>
          <cell r="AV129">
            <v>96.310268256927145</v>
          </cell>
          <cell r="AW129">
            <v>69.075320396325765</v>
          </cell>
          <cell r="AX129">
            <v>208.76181748734331</v>
          </cell>
          <cell r="AY129">
            <v>188.46184536089811</v>
          </cell>
          <cell r="AZ129">
            <v>155.93471449451903</v>
          </cell>
          <cell r="BA129">
            <v>169.10688105732274</v>
          </cell>
          <cell r="BB129">
            <v>195.47475130254605</v>
          </cell>
          <cell r="BC129">
            <v>196.47024074053229</v>
          </cell>
          <cell r="BD129">
            <v>200.81514251630392</v>
          </cell>
          <cell r="BE129">
            <v>209.41584152777199</v>
          </cell>
          <cell r="BF129">
            <v>222.89733145062283</v>
          </cell>
        </row>
        <row r="130">
          <cell r="T130">
            <v>8.8111193273940582</v>
          </cell>
          <cell r="U130">
            <v>31.890890970180457</v>
          </cell>
          <cell r="V130">
            <v>17.380105191447168</v>
          </cell>
          <cell r="W130">
            <v>45.955723435975209</v>
          </cell>
          <cell r="X130">
            <v>43.377132826558281</v>
          </cell>
          <cell r="Y130">
            <v>49.354000855028303</v>
          </cell>
          <cell r="Z130">
            <v>67.395519207619245</v>
          </cell>
          <cell r="AA130">
            <v>100</v>
          </cell>
          <cell r="AB130">
            <v>125</v>
          </cell>
          <cell r="AC130">
            <v>100</v>
          </cell>
          <cell r="AD130">
            <v>200</v>
          </cell>
          <cell r="AE130">
            <v>300</v>
          </cell>
          <cell r="AF130">
            <v>275</v>
          </cell>
          <cell r="AG130">
            <v>278.06667403418078</v>
          </cell>
          <cell r="AH130">
            <v>264.60129406396067</v>
          </cell>
          <cell r="AI130">
            <v>256.86476324699146</v>
          </cell>
          <cell r="AJ130">
            <v>275.50273301417258</v>
          </cell>
          <cell r="AK130">
            <v>297.72912447904537</v>
          </cell>
          <cell r="AL130">
            <v>291.99289015901576</v>
          </cell>
          <cell r="AM130">
            <v>300.45537651197128</v>
          </cell>
          <cell r="AN130">
            <v>316.92095618594504</v>
          </cell>
          <cell r="AO130">
            <v>289.12581432208469</v>
          </cell>
          <cell r="AP130">
            <v>294.8588763942098</v>
          </cell>
          <cell r="AQ130">
            <v>316.8985229398175</v>
          </cell>
          <cell r="AR130">
            <v>329.4498620849285</v>
          </cell>
          <cell r="AS130">
            <v>363.36605725170193</v>
          </cell>
          <cell r="AT130">
            <v>378.16886080839896</v>
          </cell>
          <cell r="AU130">
            <v>369.32926698728295</v>
          </cell>
          <cell r="AV130">
            <v>170.59356936163266</v>
          </cell>
          <cell r="AW130">
            <v>152.17006840816919</v>
          </cell>
          <cell r="AX130">
            <v>296.61454284136744</v>
          </cell>
          <cell r="AY130">
            <v>280.2583502208301</v>
          </cell>
          <cell r="AZ130">
            <v>251.02463630509985</v>
          </cell>
          <cell r="BA130">
            <v>267.27687028630874</v>
          </cell>
          <cell r="BB130">
            <v>295.74225088677929</v>
          </cell>
          <cell r="BC130">
            <v>296.26509163125741</v>
          </cell>
          <cell r="BD130">
            <v>310.88557416112809</v>
          </cell>
          <cell r="BE130">
            <v>321.58784108631437</v>
          </cell>
          <cell r="BF130">
            <v>353.69714632520999</v>
          </cell>
        </row>
        <row r="135"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-3.8930059097772847</v>
          </cell>
          <cell r="AG135">
            <v>3.3752514102054323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</row>
        <row r="136"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-6.8170000000000073</v>
          </cell>
          <cell r="AG136">
            <v>-9.9366676319487865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</row>
        <row r="137"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-14.559707309840116</v>
          </cell>
          <cell r="AG137">
            <v>2.094502073888445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</row>
        <row r="138"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2.8090961842774957</v>
          </cell>
          <cell r="AF138">
            <v>13.496842385614165</v>
          </cell>
          <cell r="AG138">
            <v>-6.0002273774284669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</row>
        <row r="139"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11.718987192539887</v>
          </cell>
          <cell r="AF139">
            <v>-11.165655637602628</v>
          </cell>
          <cell r="AG139">
            <v>2.2648549702353193E-14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</row>
        <row r="140"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-4.3049173637499489</v>
          </cell>
          <cell r="AF140">
            <v>10.509692836546613</v>
          </cell>
          <cell r="AG140">
            <v>-5.773159728050814E-15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</row>
        <row r="141"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-3.8888189566579037</v>
          </cell>
          <cell r="AF141">
            <v>-10.735347975879266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-5.0448514282387658</v>
          </cell>
          <cell r="AF142">
            <v>5.8412958030002695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</row>
        <row r="143"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10.329485377371732</v>
          </cell>
          <cell r="AF143">
            <v>-4.3190497805009986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</row>
        <row r="144"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-7.7212727866744242</v>
          </cell>
          <cell r="AF144">
            <v>10.954154149193883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</row>
        <row r="145"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-19.440935458098252</v>
          </cell>
          <cell r="AF145">
            <v>2.3197574443543569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</row>
        <row r="146"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-1.2679348586198453</v>
          </cell>
          <cell r="AF146">
            <v>6.3539422782306936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</row>
        <row r="151">
          <cell r="Z151">
            <v>0.36415179127325842</v>
          </cell>
          <cell r="AA151">
            <v>0.54855373870345925</v>
          </cell>
        </row>
        <row r="152">
          <cell r="Z152">
            <v>0.15667624457690726</v>
          </cell>
          <cell r="AA152">
            <v>0.37629801450015199</v>
          </cell>
        </row>
        <row r="153">
          <cell r="Z153">
            <v>0.45729369086555122</v>
          </cell>
          <cell r="AA153">
            <v>0.67051551198445747</v>
          </cell>
        </row>
        <row r="154">
          <cell r="Z154">
            <v>0.31744224422202272</v>
          </cell>
        </row>
        <row r="155">
          <cell r="Z155">
            <v>0.54074741511848867</v>
          </cell>
        </row>
        <row r="156">
          <cell r="Z156">
            <v>0.23581982140518298</v>
          </cell>
        </row>
        <row r="157">
          <cell r="Z157">
            <v>0.41950435403530739</v>
          </cell>
        </row>
        <row r="158">
          <cell r="Z158">
            <v>0.14406844007428904</v>
          </cell>
        </row>
        <row r="159">
          <cell r="Z159">
            <v>0.3109523754712486</v>
          </cell>
        </row>
        <row r="160">
          <cell r="Z160">
            <v>0.13053095303558962</v>
          </cell>
        </row>
        <row r="161">
          <cell r="Z161">
            <v>0.16043705477714609</v>
          </cell>
        </row>
        <row r="162">
          <cell r="Z162">
            <v>0.35392681878538262</v>
          </cell>
        </row>
        <row r="169">
          <cell r="R169">
            <v>47.357756737744459</v>
          </cell>
          <cell r="S169">
            <v>50.252367590350275</v>
          </cell>
          <cell r="T169">
            <v>70.775048212999451</v>
          </cell>
          <cell r="U169">
            <v>13.915571993042072</v>
          </cell>
          <cell r="V169">
            <v>12.892923647014385</v>
          </cell>
          <cell r="W169">
            <v>90.570316123213928</v>
          </cell>
          <cell r="X169">
            <v>50.125158192538947</v>
          </cell>
          <cell r="Y169">
            <v>42.51722441112156</v>
          </cell>
          <cell r="Z169">
            <v>139.37484423482545</v>
          </cell>
          <cell r="AA169">
            <v>63.384038158095564</v>
          </cell>
        </row>
        <row r="185">
          <cell r="AA185">
            <v>111.34637299438275</v>
          </cell>
          <cell r="AB185">
            <v>119.89455216141573</v>
          </cell>
          <cell r="AC185">
            <v>119.65590519573431</v>
          </cell>
          <cell r="AD185">
            <v>121.216135219145</v>
          </cell>
          <cell r="AE185">
            <v>122.28265700338677</v>
          </cell>
          <cell r="AF185">
            <v>92.822826613330491</v>
          </cell>
          <cell r="AG185">
            <v>87.965089936290028</v>
          </cell>
          <cell r="AH185">
            <v>180.14567893503414</v>
          </cell>
          <cell r="AI185">
            <v>324.60361186861326</v>
          </cell>
          <cell r="AJ185">
            <v>372.59749525434893</v>
          </cell>
          <cell r="AK185">
            <v>450.66114338959528</v>
          </cell>
          <cell r="AL185">
            <v>550.52777068103592</v>
          </cell>
          <cell r="AM185">
            <v>655.9293322437893</v>
          </cell>
          <cell r="AN185">
            <v>752.36132868364325</v>
          </cell>
          <cell r="AO185">
            <v>859.51405572498618</v>
          </cell>
          <cell r="AP185">
            <v>964.08209306724871</v>
          </cell>
          <cell r="AQ185">
            <v>1082.7761241572052</v>
          </cell>
          <cell r="AR185">
            <v>1198.8222736545854</v>
          </cell>
          <cell r="AS185">
            <v>1312.7084219320773</v>
          </cell>
          <cell r="AT185">
            <v>1451.2968571363676</v>
          </cell>
          <cell r="AU185">
            <v>1569.3259592280851</v>
          </cell>
          <cell r="AV185">
            <v>1756.8133799064326</v>
          </cell>
          <cell r="AW185">
            <v>1993.4302854757102</v>
          </cell>
          <cell r="AX185">
            <v>2149.8923120379204</v>
          </cell>
          <cell r="AY185">
            <v>2303.5518827178239</v>
          </cell>
          <cell r="AZ185">
            <v>2530.8287053271165</v>
          </cell>
          <cell r="BA185">
            <v>2670.1720692484273</v>
          </cell>
          <cell r="BB185">
            <v>2846.0120018517368</v>
          </cell>
          <cell r="BC185">
            <v>2947.0837601731</v>
          </cell>
          <cell r="BD185">
            <v>3065.0811192827791</v>
          </cell>
          <cell r="BE185">
            <v>3155.8965633252951</v>
          </cell>
          <cell r="BF185">
            <v>3262.764156012287</v>
          </cell>
          <cell r="BG185">
            <v>3507.6965342200629</v>
          </cell>
        </row>
        <row r="198">
          <cell r="AA198">
            <v>32</v>
          </cell>
        </row>
        <row r="199">
          <cell r="AA199">
            <v>33.1</v>
          </cell>
        </row>
        <row r="200">
          <cell r="AA200">
            <v>34</v>
          </cell>
        </row>
        <row r="201">
          <cell r="Z201">
            <v>32</v>
          </cell>
        </row>
        <row r="202">
          <cell r="Z202">
            <v>31.631599999999999</v>
          </cell>
        </row>
        <row r="203">
          <cell r="Z203">
            <v>31</v>
          </cell>
        </row>
        <row r="204">
          <cell r="Z204">
            <v>30.523800000000001</v>
          </cell>
        </row>
        <row r="205">
          <cell r="Z205">
            <v>29.090900000000001</v>
          </cell>
        </row>
        <row r="206">
          <cell r="Z206">
            <v>29.571400000000001</v>
          </cell>
        </row>
        <row r="207">
          <cell r="Z207">
            <v>30</v>
          </cell>
        </row>
        <row r="208">
          <cell r="Z208">
            <v>0</v>
          </cell>
        </row>
        <row r="209">
          <cell r="Z209">
            <v>0</v>
          </cell>
        </row>
        <row r="214">
          <cell r="AB214">
            <v>22.693043478260869</v>
          </cell>
          <cell r="AC214">
            <v>30.931818181818183</v>
          </cell>
          <cell r="AD214">
            <v>60.904761904761905</v>
          </cell>
          <cell r="AE214">
            <v>74.142857142857139</v>
          </cell>
          <cell r="AF214">
            <v>58.68181818181818</v>
          </cell>
          <cell r="AG214">
            <v>43.311739130434781</v>
          </cell>
          <cell r="AH214">
            <v>44.5</v>
          </cell>
          <cell r="AI214">
            <v>45.5</v>
          </cell>
          <cell r="AJ214">
            <v>39.25</v>
          </cell>
          <cell r="AK214">
            <v>37.75</v>
          </cell>
          <cell r="AL214">
            <v>36.75</v>
          </cell>
          <cell r="AM214">
            <v>41.5</v>
          </cell>
          <cell r="AN214">
            <v>42.5</v>
          </cell>
          <cell r="AO214">
            <v>44.5</v>
          </cell>
          <cell r="AP214">
            <v>41.75</v>
          </cell>
          <cell r="AQ214">
            <v>30.75</v>
          </cell>
          <cell r="AR214">
            <v>15.5</v>
          </cell>
          <cell r="AS214">
            <v>26.25</v>
          </cell>
          <cell r="AT214">
            <v>20.5</v>
          </cell>
          <cell r="AU214">
            <v>12.25</v>
          </cell>
          <cell r="AV214">
            <v>9.75</v>
          </cell>
          <cell r="AW214">
            <v>21.5</v>
          </cell>
          <cell r="AX214">
            <v>34.5</v>
          </cell>
          <cell r="AY214">
            <v>32.5</v>
          </cell>
          <cell r="AZ214">
            <v>24.25</v>
          </cell>
          <cell r="BA214">
            <v>30</v>
          </cell>
          <cell r="BB214">
            <v>16.75</v>
          </cell>
          <cell r="BC214">
            <v>27.25</v>
          </cell>
          <cell r="BD214">
            <v>17.5</v>
          </cell>
          <cell r="BE214">
            <v>41</v>
          </cell>
          <cell r="BF214">
            <v>31.5</v>
          </cell>
          <cell r="BG214">
            <v>40.5</v>
          </cell>
        </row>
        <row r="215">
          <cell r="AB215">
            <v>22.404736842105262</v>
          </cell>
          <cell r="AC215">
            <v>33.162500000000001</v>
          </cell>
          <cell r="AD215">
            <v>58.674999999999997</v>
          </cell>
          <cell r="AE215">
            <v>77.462500000000006</v>
          </cell>
          <cell r="AF215">
            <v>53.65</v>
          </cell>
          <cell r="AG215">
            <v>45.473684210526315</v>
          </cell>
          <cell r="AH215">
            <v>38.5</v>
          </cell>
          <cell r="AI215">
            <v>42</v>
          </cell>
          <cell r="AJ215">
            <v>35.5</v>
          </cell>
          <cell r="AK215">
            <v>32.75</v>
          </cell>
          <cell r="AL215">
            <v>32</v>
          </cell>
          <cell r="AM215">
            <v>34.25</v>
          </cell>
          <cell r="AN215">
            <v>32.25</v>
          </cell>
          <cell r="AO215">
            <v>39.5</v>
          </cell>
          <cell r="AP215">
            <v>33.25</v>
          </cell>
          <cell r="AQ215">
            <v>21.5</v>
          </cell>
          <cell r="AR215">
            <v>8.5</v>
          </cell>
          <cell r="AS215">
            <v>21.25</v>
          </cell>
          <cell r="AT215">
            <v>12</v>
          </cell>
          <cell r="AU215" t="e">
            <v>#NUM!</v>
          </cell>
          <cell r="AV215" t="e">
            <v>#NUM!</v>
          </cell>
          <cell r="AW215" t="e">
            <v>#NUM!</v>
          </cell>
          <cell r="AX215" t="e">
            <v>#NUM!</v>
          </cell>
          <cell r="AY215" t="e">
            <v>#NUM!</v>
          </cell>
          <cell r="AZ215" t="e">
            <v>#NUM!</v>
          </cell>
          <cell r="BA215" t="e">
            <v>#NUM!</v>
          </cell>
          <cell r="BB215" t="e">
            <v>#NUM!</v>
          </cell>
          <cell r="BC215" t="e">
            <v>#NUM!</v>
          </cell>
          <cell r="BD215" t="e">
            <v>#NUM!</v>
          </cell>
          <cell r="BE215" t="e">
            <v>#NUM!</v>
          </cell>
          <cell r="BF215" t="e">
            <v>#NUM!</v>
          </cell>
          <cell r="BG215" t="e">
            <v>#NUM!</v>
          </cell>
        </row>
        <row r="216">
          <cell r="AB216">
            <v>23.083333333333332</v>
          </cell>
          <cell r="AC216">
            <v>35.282608695652172</v>
          </cell>
          <cell r="AD216">
            <v>53.738095238095241</v>
          </cell>
          <cell r="AE216">
            <v>67.916666666666671</v>
          </cell>
          <cell r="AF216">
            <v>48.625</v>
          </cell>
          <cell r="AG216">
            <v>42.553809523809527</v>
          </cell>
          <cell r="AH216">
            <v>23.75</v>
          </cell>
          <cell r="AI216">
            <v>34.25</v>
          </cell>
          <cell r="AJ216">
            <v>34.5</v>
          </cell>
          <cell r="AK216">
            <v>28.5</v>
          </cell>
          <cell r="AL216">
            <v>30</v>
          </cell>
          <cell r="AM216">
            <v>30.5</v>
          </cell>
          <cell r="AN216">
            <v>31.25</v>
          </cell>
          <cell r="AO216">
            <v>35.75</v>
          </cell>
          <cell r="AP216">
            <v>54</v>
          </cell>
          <cell r="AQ216">
            <v>52.25</v>
          </cell>
          <cell r="AR216">
            <v>36.5</v>
          </cell>
          <cell r="AS216">
            <v>29.25</v>
          </cell>
          <cell r="AT216">
            <v>25.5</v>
          </cell>
          <cell r="AU216">
            <v>3</v>
          </cell>
          <cell r="AV216">
            <v>2.25</v>
          </cell>
          <cell r="AW216">
            <v>22.25</v>
          </cell>
          <cell r="AX216">
            <v>34.75</v>
          </cell>
          <cell r="AY216">
            <v>28.75</v>
          </cell>
          <cell r="AZ216">
            <v>32.5</v>
          </cell>
          <cell r="BA216">
            <v>37.25</v>
          </cell>
          <cell r="BB216">
            <v>23.25</v>
          </cell>
          <cell r="BC216">
            <v>42.75</v>
          </cell>
          <cell r="BD216">
            <v>16.5</v>
          </cell>
          <cell r="BE216">
            <v>51.75</v>
          </cell>
          <cell r="BF216">
            <v>45.5</v>
          </cell>
          <cell r="BG216">
            <v>51.5</v>
          </cell>
        </row>
        <row r="217">
          <cell r="AA217">
            <v>24.916666666666668</v>
          </cell>
          <cell r="AB217">
            <v>25.055238095238092</v>
          </cell>
          <cell r="AC217">
            <v>39.921052631578945</v>
          </cell>
          <cell r="AD217">
            <v>64.762500000000003</v>
          </cell>
          <cell r="AE217">
            <v>66.387500000000003</v>
          </cell>
          <cell r="AF217">
            <v>45.642857142857146</v>
          </cell>
          <cell r="AG217">
            <v>44.083333333333336</v>
          </cell>
          <cell r="AH217">
            <v>32.75</v>
          </cell>
          <cell r="AI217">
            <v>40.75</v>
          </cell>
          <cell r="AJ217">
            <v>38.5</v>
          </cell>
          <cell r="AK217">
            <v>30.25</v>
          </cell>
          <cell r="AL217">
            <v>40.75</v>
          </cell>
          <cell r="AM217">
            <v>34.75</v>
          </cell>
          <cell r="AN217">
            <v>28.75</v>
          </cell>
          <cell r="AO217">
            <v>47.25</v>
          </cell>
          <cell r="AP217">
            <v>54.5</v>
          </cell>
          <cell r="AQ217">
            <v>54</v>
          </cell>
          <cell r="AR217">
            <v>42.5</v>
          </cell>
          <cell r="AS217">
            <v>30</v>
          </cell>
          <cell r="AT217">
            <v>28</v>
          </cell>
          <cell r="AU217">
            <v>4</v>
          </cell>
          <cell r="AV217">
            <v>6</v>
          </cell>
          <cell r="AW217">
            <v>24.25</v>
          </cell>
          <cell r="AX217">
            <v>33.5</v>
          </cell>
          <cell r="AY217">
            <v>26.25</v>
          </cell>
          <cell r="AZ217">
            <v>37.75</v>
          </cell>
          <cell r="BA217">
            <v>44</v>
          </cell>
          <cell r="BB217">
            <v>26.5</v>
          </cell>
          <cell r="BC217">
            <v>48.75</v>
          </cell>
          <cell r="BD217">
            <v>16.75</v>
          </cell>
          <cell r="BE217">
            <v>57.25</v>
          </cell>
          <cell r="BF217">
            <v>48</v>
          </cell>
        </row>
        <row r="218">
          <cell r="AA218">
            <v>24.473684210526315</v>
          </cell>
          <cell r="AB218">
            <v>28.039473684210527</v>
          </cell>
          <cell r="AC218">
            <v>43.5</v>
          </cell>
          <cell r="AD218">
            <v>73.763157894736835</v>
          </cell>
          <cell r="AE218">
            <v>56.58</v>
          </cell>
          <cell r="AF218">
            <v>43.625</v>
          </cell>
          <cell r="AG218">
            <v>49.882105263157897</v>
          </cell>
          <cell r="AH218">
            <v>35.75</v>
          </cell>
          <cell r="AI218">
            <v>44.75</v>
          </cell>
          <cell r="AJ218">
            <v>36.5</v>
          </cell>
          <cell r="AK218">
            <v>35.5</v>
          </cell>
          <cell r="AL218">
            <v>43.5</v>
          </cell>
          <cell r="AM218">
            <v>31.25</v>
          </cell>
          <cell r="AN218">
            <v>26.5</v>
          </cell>
          <cell r="AO218">
            <v>51.5</v>
          </cell>
          <cell r="AP218">
            <v>56.5</v>
          </cell>
          <cell r="AQ218">
            <v>54.25</v>
          </cell>
          <cell r="AR218">
            <v>45</v>
          </cell>
          <cell r="AS218">
            <v>29.25</v>
          </cell>
          <cell r="AT218">
            <v>29</v>
          </cell>
          <cell r="AU218">
            <v>13.75</v>
          </cell>
          <cell r="AV218">
            <v>10.5</v>
          </cell>
          <cell r="AW218">
            <v>27</v>
          </cell>
          <cell r="AX218">
            <v>34.75</v>
          </cell>
          <cell r="AY218">
            <v>28</v>
          </cell>
          <cell r="AZ218">
            <v>38</v>
          </cell>
          <cell r="BA218">
            <v>44</v>
          </cell>
          <cell r="BB218">
            <v>28.5</v>
          </cell>
          <cell r="BC218">
            <v>40.75</v>
          </cell>
          <cell r="BD218">
            <v>18.25</v>
          </cell>
          <cell r="BE218">
            <v>57.5</v>
          </cell>
          <cell r="BF218">
            <v>46.25</v>
          </cell>
        </row>
        <row r="219">
          <cell r="AA219">
            <v>23.714761904761904</v>
          </cell>
          <cell r="AB219">
            <v>27.704545454545453</v>
          </cell>
          <cell r="AC219">
            <v>51.25</v>
          </cell>
          <cell r="AD219">
            <v>80.043478260869563</v>
          </cell>
          <cell r="AE219">
            <v>51.495652173913051</v>
          </cell>
          <cell r="AF219">
            <v>42.708500000000001</v>
          </cell>
          <cell r="AG219">
            <v>47.952380952380949</v>
          </cell>
          <cell r="AH219">
            <v>41.5</v>
          </cell>
          <cell r="AI219">
            <v>48.25</v>
          </cell>
          <cell r="AJ219">
            <v>36.75</v>
          </cell>
          <cell r="AK219">
            <v>42.5</v>
          </cell>
          <cell r="AL219">
            <v>49.75</v>
          </cell>
          <cell r="AM219">
            <v>38.75</v>
          </cell>
          <cell r="AN219">
            <v>35.25</v>
          </cell>
          <cell r="AO219">
            <v>63.75</v>
          </cell>
          <cell r="AP219">
            <v>68.75</v>
          </cell>
          <cell r="AQ219">
            <v>66.25</v>
          </cell>
          <cell r="AR219">
            <v>54.75</v>
          </cell>
          <cell r="AS219">
            <v>39</v>
          </cell>
          <cell r="AT219">
            <v>39.75</v>
          </cell>
          <cell r="AU219">
            <v>30</v>
          </cell>
          <cell r="AV219">
            <v>24.5</v>
          </cell>
          <cell r="AW219">
            <v>39.5</v>
          </cell>
          <cell r="AX219">
            <v>45.5</v>
          </cell>
          <cell r="AY219">
            <v>38.75</v>
          </cell>
          <cell r="AZ219">
            <v>47.75</v>
          </cell>
          <cell r="BA219">
            <v>53.5</v>
          </cell>
          <cell r="BB219">
            <v>41</v>
          </cell>
          <cell r="BC219">
            <v>47.5</v>
          </cell>
          <cell r="BD219">
            <v>32.25</v>
          </cell>
          <cell r="BE219">
            <v>70.25</v>
          </cell>
          <cell r="BF219">
            <v>56.75</v>
          </cell>
        </row>
        <row r="220">
          <cell r="AA220">
            <v>24.729523809523805</v>
          </cell>
          <cell r="AB220">
            <v>29.035714285714285</v>
          </cell>
          <cell r="AC220">
            <v>49.13095238095238</v>
          </cell>
          <cell r="AD220">
            <v>78.724999999999994</v>
          </cell>
          <cell r="AE220">
            <v>53.342105263157897</v>
          </cell>
          <cell r="AF220">
            <v>41.295454545454547</v>
          </cell>
          <cell r="AG220">
            <v>52.05</v>
          </cell>
          <cell r="AH220">
            <v>42.75</v>
          </cell>
          <cell r="AI220">
            <v>51.75</v>
          </cell>
          <cell r="AJ220">
            <v>37.75</v>
          </cell>
          <cell r="AK220">
            <v>48.75</v>
          </cell>
          <cell r="AL220">
            <v>56.5</v>
          </cell>
          <cell r="AM220">
            <v>44.5</v>
          </cell>
          <cell r="AN220">
            <v>37.25</v>
          </cell>
          <cell r="AO220">
            <v>72.25</v>
          </cell>
          <cell r="AP220">
            <v>76.25</v>
          </cell>
          <cell r="AQ220">
            <v>71</v>
          </cell>
          <cell r="AR220">
            <v>62.25</v>
          </cell>
          <cell r="AS220">
            <v>44</v>
          </cell>
          <cell r="AT220">
            <v>45.75</v>
          </cell>
          <cell r="AU220">
            <v>42.75</v>
          </cell>
          <cell r="AV220">
            <v>35</v>
          </cell>
          <cell r="AW220">
            <v>48.5</v>
          </cell>
          <cell r="AX220">
            <v>52.75</v>
          </cell>
          <cell r="AY220">
            <v>46.25</v>
          </cell>
          <cell r="AZ220">
            <v>54</v>
          </cell>
          <cell r="BA220">
            <v>60</v>
          </cell>
          <cell r="BB220">
            <v>49.5</v>
          </cell>
          <cell r="BC220">
            <v>48.75</v>
          </cell>
          <cell r="BD220">
            <v>41.25</v>
          </cell>
          <cell r="BE220">
            <v>78.25</v>
          </cell>
          <cell r="BF220">
            <v>62.75</v>
          </cell>
        </row>
        <row r="221">
          <cell r="AA221">
            <v>25.204545454545453</v>
          </cell>
          <cell r="AB221">
            <v>26.975000000000001</v>
          </cell>
          <cell r="AC221">
            <v>51.487499999999997</v>
          </cell>
          <cell r="AD221">
            <v>80.107142857142861</v>
          </cell>
          <cell r="AE221">
            <v>55.636363636363633</v>
          </cell>
          <cell r="AF221">
            <v>40.954545454545453</v>
          </cell>
          <cell r="AG221">
            <v>53.5</v>
          </cell>
          <cell r="AH221">
            <v>41.75</v>
          </cell>
          <cell r="AI221">
            <v>51</v>
          </cell>
          <cell r="AJ221">
            <v>42.5</v>
          </cell>
          <cell r="AK221">
            <v>51.75</v>
          </cell>
          <cell r="AL221">
            <v>52.5</v>
          </cell>
          <cell r="AM221">
            <v>48.5</v>
          </cell>
          <cell r="AN221">
            <v>37.75</v>
          </cell>
          <cell r="AO221">
            <v>73</v>
          </cell>
          <cell r="AP221">
            <v>79.25</v>
          </cell>
          <cell r="AQ221">
            <v>71.25</v>
          </cell>
          <cell r="AR221">
            <v>65</v>
          </cell>
          <cell r="AS221">
            <v>44.75</v>
          </cell>
          <cell r="AT221">
            <v>47.75</v>
          </cell>
          <cell r="AU221">
            <v>52.5</v>
          </cell>
          <cell r="AV221">
            <v>42</v>
          </cell>
          <cell r="AW221">
            <v>53.5</v>
          </cell>
          <cell r="AX221">
            <v>56.5</v>
          </cell>
          <cell r="AY221">
            <v>50.75</v>
          </cell>
          <cell r="AZ221">
            <v>57</v>
          </cell>
          <cell r="BA221">
            <v>62.75</v>
          </cell>
          <cell r="BB221">
            <v>54.5</v>
          </cell>
          <cell r="BC221">
            <v>55.25</v>
          </cell>
          <cell r="BD221">
            <v>49.25</v>
          </cell>
          <cell r="BE221">
            <v>76.5</v>
          </cell>
          <cell r="BF221">
            <v>66.5</v>
          </cell>
        </row>
        <row r="222">
          <cell r="AA222">
            <v>25.462499999999999</v>
          </cell>
          <cell r="AB222">
            <v>23.08</v>
          </cell>
          <cell r="AC222">
            <v>55.420454545454547</v>
          </cell>
          <cell r="AD222">
            <v>74.273809523809518</v>
          </cell>
          <cell r="AE222">
            <v>58.75</v>
          </cell>
          <cell r="AF222">
            <v>44.60526315789474</v>
          </cell>
          <cell r="AG222">
            <v>53.25</v>
          </cell>
          <cell r="AH222">
            <v>40.5</v>
          </cell>
          <cell r="AI222">
            <v>50.25</v>
          </cell>
          <cell r="AJ222">
            <v>48.5</v>
          </cell>
          <cell r="AK222">
            <v>55</v>
          </cell>
          <cell r="AL222">
            <v>55.75</v>
          </cell>
          <cell r="AM222">
            <v>53</v>
          </cell>
          <cell r="AN222">
            <v>43.75</v>
          </cell>
          <cell r="AO222">
            <v>73.5</v>
          </cell>
          <cell r="AP222">
            <v>81.5</v>
          </cell>
          <cell r="AQ222">
            <v>73</v>
          </cell>
          <cell r="AR222">
            <v>70</v>
          </cell>
          <cell r="AS222">
            <v>46.25</v>
          </cell>
          <cell r="AT222">
            <v>51</v>
          </cell>
          <cell r="AU222">
            <v>52.75</v>
          </cell>
          <cell r="AV222">
            <v>47</v>
          </cell>
          <cell r="AW222">
            <v>56</v>
          </cell>
          <cell r="AX222">
            <v>57.25</v>
          </cell>
          <cell r="AY222">
            <v>50.5</v>
          </cell>
          <cell r="AZ222">
            <v>56.5</v>
          </cell>
          <cell r="BA222">
            <v>61.75</v>
          </cell>
          <cell r="BB222">
            <v>55.75</v>
          </cell>
          <cell r="BC222">
            <v>57.5</v>
          </cell>
          <cell r="BD222">
            <v>52.75</v>
          </cell>
          <cell r="BE222">
            <v>70.5</v>
          </cell>
          <cell r="BF222">
            <v>65.5</v>
          </cell>
        </row>
        <row r="223">
          <cell r="AA223">
            <v>25.613636363636363</v>
          </cell>
          <cell r="AB223">
            <v>21.568181818181817</v>
          </cell>
          <cell r="AC223">
            <v>59.845238095238095</v>
          </cell>
          <cell r="AD223">
            <v>65.05</v>
          </cell>
          <cell r="AE223">
            <v>67.137500000000003</v>
          </cell>
          <cell r="AF223">
            <v>47.108181818181826</v>
          </cell>
          <cell r="AG223">
            <v>53.5</v>
          </cell>
          <cell r="AH223">
            <v>40.75</v>
          </cell>
          <cell r="AI223">
            <v>50.75</v>
          </cell>
          <cell r="AJ223">
            <v>56.5</v>
          </cell>
          <cell r="AK223">
            <v>58</v>
          </cell>
          <cell r="AL223">
            <v>61</v>
          </cell>
          <cell r="AM223">
            <v>59.25</v>
          </cell>
          <cell r="AN223">
            <v>51.25</v>
          </cell>
          <cell r="AO223">
            <v>75.75</v>
          </cell>
          <cell r="AP223">
            <v>85</v>
          </cell>
          <cell r="AQ223">
            <v>76.25</v>
          </cell>
          <cell r="AR223">
            <v>77.25</v>
          </cell>
          <cell r="AS223">
            <v>50</v>
          </cell>
          <cell r="AT223">
            <v>56.75</v>
          </cell>
          <cell r="AU223">
            <v>55.5</v>
          </cell>
          <cell r="AV223">
            <v>55</v>
          </cell>
          <cell r="AW223">
            <v>61.25</v>
          </cell>
          <cell r="AX223">
            <v>60.25</v>
          </cell>
          <cell r="AY223">
            <v>53</v>
          </cell>
          <cell r="AZ223">
            <v>58.75</v>
          </cell>
          <cell r="BA223">
            <v>63.25</v>
          </cell>
          <cell r="BB223">
            <v>59.75</v>
          </cell>
          <cell r="BC223">
            <v>62.5</v>
          </cell>
          <cell r="BD223">
            <v>59.25</v>
          </cell>
          <cell r="BE223">
            <v>66.75</v>
          </cell>
          <cell r="BF223">
            <v>67.5</v>
          </cell>
        </row>
        <row r="224">
          <cell r="AA224">
            <v>24.864090909090908</v>
          </cell>
          <cell r="AB224">
            <v>24.5</v>
          </cell>
          <cell r="AC224">
            <v>64.102272727272734</v>
          </cell>
          <cell r="AD224">
            <v>71.826086956521735</v>
          </cell>
          <cell r="AE224">
            <v>68.260869565217391</v>
          </cell>
          <cell r="AF224">
            <v>43.097272727272724</v>
          </cell>
          <cell r="AG224">
            <v>52.5</v>
          </cell>
          <cell r="AH224">
            <v>46.25</v>
          </cell>
          <cell r="AI224">
            <v>42.25</v>
          </cell>
          <cell r="AJ224">
            <v>50.5</v>
          </cell>
          <cell r="AK224">
            <v>48</v>
          </cell>
          <cell r="AL224">
            <v>55.75</v>
          </cell>
          <cell r="AM224">
            <v>37.75</v>
          </cell>
          <cell r="AN224">
            <v>27</v>
          </cell>
          <cell r="AO224">
            <v>34.25</v>
          </cell>
          <cell r="AP224">
            <v>47.25</v>
          </cell>
          <cell r="AQ224">
            <v>15</v>
          </cell>
          <cell r="AR224">
            <v>20.25</v>
          </cell>
          <cell r="AS224">
            <v>15</v>
          </cell>
          <cell r="AT224">
            <v>12.75</v>
          </cell>
          <cell r="AU224">
            <v>12.5</v>
          </cell>
          <cell r="AV224">
            <v>16</v>
          </cell>
          <cell r="AW224">
            <v>22.5</v>
          </cell>
          <cell r="AX224">
            <v>22</v>
          </cell>
          <cell r="AY224">
            <v>12</v>
          </cell>
          <cell r="AZ224">
            <v>15.25</v>
          </cell>
          <cell r="BA224">
            <v>20.5</v>
          </cell>
          <cell r="BB224">
            <v>14.75</v>
          </cell>
          <cell r="BC224">
            <v>15.75</v>
          </cell>
          <cell r="BD224">
            <v>17</v>
          </cell>
          <cell r="BE224">
            <v>21.5</v>
          </cell>
          <cell r="BF224">
            <v>21.5</v>
          </cell>
        </row>
        <row r="225">
          <cell r="AA225">
            <v>23.844999999999999</v>
          </cell>
          <cell r="AB225">
            <v>28.38095238095238</v>
          </cell>
          <cell r="AC225">
            <v>53.86904761904762</v>
          </cell>
          <cell r="AD225">
            <v>72.452380952380949</v>
          </cell>
          <cell r="AE225">
            <v>66.4375</v>
          </cell>
          <cell r="AF225">
            <v>42.219000000000001</v>
          </cell>
          <cell r="AG225">
            <v>47.25</v>
          </cell>
          <cell r="AH225">
            <v>37.75</v>
          </cell>
          <cell r="AI225">
            <v>38.25</v>
          </cell>
          <cell r="AJ225">
            <v>37.75</v>
          </cell>
          <cell r="AK225">
            <v>34.25</v>
          </cell>
          <cell r="AL225">
            <v>39.75</v>
          </cell>
          <cell r="AM225">
            <v>37.25</v>
          </cell>
          <cell r="AN225">
            <v>35.25</v>
          </cell>
          <cell r="AO225">
            <v>37.75</v>
          </cell>
          <cell r="AP225">
            <v>26.75</v>
          </cell>
          <cell r="AQ225">
            <v>5.5</v>
          </cell>
          <cell r="AR225">
            <v>12</v>
          </cell>
          <cell r="AS225">
            <v>12.5</v>
          </cell>
          <cell r="AT225">
            <v>6</v>
          </cell>
          <cell r="AU225">
            <v>2.75</v>
          </cell>
          <cell r="AV225">
            <v>9.75</v>
          </cell>
          <cell r="AW225">
            <v>16.25</v>
          </cell>
          <cell r="AX225">
            <v>12.5</v>
          </cell>
          <cell r="AY225">
            <v>3</v>
          </cell>
          <cell r="AZ225">
            <v>4.75</v>
          </cell>
          <cell r="BA225">
            <v>9.25</v>
          </cell>
          <cell r="BB225">
            <v>5.25</v>
          </cell>
          <cell r="BC225">
            <v>7.5</v>
          </cell>
          <cell r="BD225">
            <v>9.75</v>
          </cell>
          <cell r="BE225">
            <v>13.75</v>
          </cell>
          <cell r="BF225">
            <v>12</v>
          </cell>
        </row>
        <row r="323">
          <cell r="X323">
            <v>79.751202335813502</v>
          </cell>
          <cell r="Y323">
            <v>64.491643003940339</v>
          </cell>
          <cell r="Z323">
            <v>38.38459610446597</v>
          </cell>
          <cell r="AA323">
            <v>20.340305447556204</v>
          </cell>
          <cell r="AB323">
            <v>16.079576655998778</v>
          </cell>
          <cell r="AC323">
            <v>18.144477838695423</v>
          </cell>
          <cell r="AD323">
            <v>19.364486598447172</v>
          </cell>
          <cell r="AE323">
            <v>18.75624649184266</v>
          </cell>
          <cell r="AF323">
            <v>9.172307725441101</v>
          </cell>
        </row>
        <row r="324">
          <cell r="X324">
            <v>79.24855294942779</v>
          </cell>
          <cell r="Y324">
            <v>62.018218979254868</v>
          </cell>
          <cell r="Z324">
            <v>41.910484410711433</v>
          </cell>
          <cell r="AA324">
            <v>20.461299004441628</v>
          </cell>
          <cell r="AB324">
            <v>19.233936178927479</v>
          </cell>
          <cell r="AC324">
            <v>18.809966665817853</v>
          </cell>
          <cell r="AD324">
            <v>19.13837116163694</v>
          </cell>
          <cell r="AE324">
            <v>20.251003485046454</v>
          </cell>
          <cell r="AF324">
            <v>10.095030795086814</v>
          </cell>
        </row>
        <row r="325">
          <cell r="X325">
            <v>73.306012498132418</v>
          </cell>
          <cell r="Y325">
            <v>62.980139415286715</v>
          </cell>
          <cell r="Z325">
            <v>41.426452497097898</v>
          </cell>
          <cell r="AA325">
            <v>20.630886340635129</v>
          </cell>
          <cell r="AB325">
            <v>19.913989609118971</v>
          </cell>
          <cell r="AC325">
            <v>18.358358478468972</v>
          </cell>
          <cell r="AD325">
            <v>19.585632532960972</v>
          </cell>
          <cell r="AE325">
            <v>19.136641582183586</v>
          </cell>
          <cell r="AF325">
            <v>9.5657008147873626</v>
          </cell>
        </row>
        <row r="326">
          <cell r="W326">
            <v>69.631161031670842</v>
          </cell>
          <cell r="X326">
            <v>73.541442820058535</v>
          </cell>
          <cell r="Y326">
            <v>71.699626621486516</v>
          </cell>
          <cell r="Z326">
            <v>39.357133609964137</v>
          </cell>
          <cell r="AA326">
            <v>19.450855721571145</v>
          </cell>
          <cell r="AB326">
            <v>18.369554709245278</v>
          </cell>
          <cell r="AC326">
            <v>17.54399065278426</v>
          </cell>
          <cell r="AD326">
            <v>18.268986263387148</v>
          </cell>
          <cell r="AE326">
            <v>18.382338310890532</v>
          </cell>
          <cell r="AF326">
            <v>8.6764527527495829</v>
          </cell>
        </row>
        <row r="327">
          <cell r="W327">
            <v>66.468521346726931</v>
          </cell>
          <cell r="X327">
            <v>81.256751344207487</v>
          </cell>
          <cell r="Y327">
            <v>65.192312587568438</v>
          </cell>
          <cell r="Z327">
            <v>38.106435491009393</v>
          </cell>
          <cell r="AA327">
            <v>17.763283046874108</v>
          </cell>
          <cell r="AB327">
            <v>17.406718026441013</v>
          </cell>
          <cell r="AC327">
            <v>13.975343726784672</v>
          </cell>
          <cell r="AD327">
            <v>15.644259875032674</v>
          </cell>
          <cell r="AE327">
            <v>17.080250317698813</v>
          </cell>
          <cell r="AF327">
            <v>9.4308265850438602</v>
          </cell>
        </row>
        <row r="328">
          <cell r="W328">
            <v>82.825292445622949</v>
          </cell>
          <cell r="X328">
            <v>82.19251037131238</v>
          </cell>
          <cell r="Y328">
            <v>71.746209749762613</v>
          </cell>
          <cell r="Z328">
            <v>35.490123767725095</v>
          </cell>
          <cell r="AA328">
            <v>19.822073474588365</v>
          </cell>
          <cell r="AB328">
            <v>17.820899417180158</v>
          </cell>
          <cell r="AC328">
            <v>17.98590462778867</v>
          </cell>
          <cell r="AD328">
            <v>17.476940286876072</v>
          </cell>
          <cell r="AE328">
            <v>18.557678552398215</v>
          </cell>
          <cell r="AF328">
            <v>9.6659304152426557</v>
          </cell>
        </row>
        <row r="329">
          <cell r="W329">
            <v>76.827902059023245</v>
          </cell>
          <cell r="X329">
            <v>75.478817593669618</v>
          </cell>
          <cell r="Y329">
            <v>65.54532385427018</v>
          </cell>
          <cell r="Z329">
            <v>35.34716252091772</v>
          </cell>
          <cell r="AA329">
            <v>19.456899795575566</v>
          </cell>
          <cell r="AB329">
            <v>11.191406554458609</v>
          </cell>
          <cell r="AC329">
            <v>17.277517149866185</v>
          </cell>
          <cell r="AD329">
            <v>16.535151686969414</v>
          </cell>
          <cell r="AE329">
            <v>17.383908802520637</v>
          </cell>
          <cell r="AF329">
            <v>8.5550398103283669</v>
          </cell>
        </row>
        <row r="330">
          <cell r="W330">
            <v>92.895151593907997</v>
          </cell>
          <cell r="X330">
            <v>82.854839935687721</v>
          </cell>
          <cell r="Y330">
            <v>73.551179848142397</v>
          </cell>
          <cell r="Z330">
            <v>37.316199867175726</v>
          </cell>
          <cell r="AA330">
            <v>20.580505485199922</v>
          </cell>
          <cell r="AB330">
            <v>13.979801915249084</v>
          </cell>
          <cell r="AC330">
            <v>18.73604415616029</v>
          </cell>
          <cell r="AD330">
            <v>18.263781448916234</v>
          </cell>
          <cell r="AE330">
            <v>19.467172138219496</v>
          </cell>
          <cell r="AF330">
            <v>9.8112606395439457</v>
          </cell>
        </row>
        <row r="331">
          <cell r="W331">
            <v>95.341433586896841</v>
          </cell>
          <cell r="X331">
            <v>87.413252792127196</v>
          </cell>
          <cell r="Y331">
            <v>65.564002417756683</v>
          </cell>
          <cell r="Z331">
            <v>37.917471974757063</v>
          </cell>
          <cell r="AA331">
            <v>21.142272651668748</v>
          </cell>
          <cell r="AB331">
            <v>15.744744549065047</v>
          </cell>
          <cell r="AC331">
            <v>18.440332742433839</v>
          </cell>
          <cell r="AD331">
            <v>17.787891556752243</v>
          </cell>
          <cell r="AE331">
            <v>19.555085499534641</v>
          </cell>
          <cell r="AF331">
            <v>9.8737293249683944</v>
          </cell>
        </row>
        <row r="332">
          <cell r="W332">
            <v>99.293664692615039</v>
          </cell>
          <cell r="X332">
            <v>87.129864132866373</v>
          </cell>
          <cell r="Y332">
            <v>73.148065286945723</v>
          </cell>
          <cell r="Z332">
            <v>39.859525734299268</v>
          </cell>
          <cell r="AA332">
            <v>21.242584331659998</v>
          </cell>
          <cell r="AB332">
            <v>17.199767074334375</v>
          </cell>
          <cell r="AC332">
            <v>19.918976342181168</v>
          </cell>
          <cell r="AD332">
            <v>18.991324312617451</v>
          </cell>
          <cell r="AE332">
            <v>19.088271761930457</v>
          </cell>
          <cell r="AF332">
            <v>10.525200278965997</v>
          </cell>
        </row>
        <row r="333">
          <cell r="W333">
            <v>87.147717171203738</v>
          </cell>
          <cell r="X333">
            <v>87.941492658111031</v>
          </cell>
          <cell r="Y333">
            <v>74.39661390478534</v>
          </cell>
          <cell r="Z333">
            <v>38.496198053256308</v>
          </cell>
          <cell r="AA333">
            <v>20.674106269708375</v>
          </cell>
          <cell r="AB333">
            <v>17.06598085705815</v>
          </cell>
          <cell r="AC333">
            <v>17.385740571787721</v>
          </cell>
          <cell r="AD333">
            <v>18.02637873842383</v>
          </cell>
          <cell r="AE333">
            <v>18.129345808761457</v>
          </cell>
          <cell r="AF333">
            <v>30.698443684627591</v>
          </cell>
        </row>
        <row r="334">
          <cell r="W334">
            <v>85.600867161460428</v>
          </cell>
          <cell r="X334">
            <v>84.15741655016933</v>
          </cell>
          <cell r="Y334">
            <v>68.196383970869931</v>
          </cell>
          <cell r="Z334">
            <v>36.784627039711438</v>
          </cell>
          <cell r="AA334">
            <v>18.873106981205297</v>
          </cell>
          <cell r="AB334">
            <v>16.408889458664078</v>
          </cell>
          <cell r="AC334">
            <v>16.280698557665517</v>
          </cell>
          <cell r="AD334">
            <v>16.846930560226099</v>
          </cell>
          <cell r="AE334">
            <v>16.783344280909375</v>
          </cell>
          <cell r="AF334">
            <v>8.6527606106402004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2">
          <cell r="C22">
            <v>329.2</v>
          </cell>
          <cell r="D22">
            <v>324.10000000000002</v>
          </cell>
          <cell r="E22">
            <v>297.2</v>
          </cell>
          <cell r="F22">
            <v>319.7</v>
          </cell>
          <cell r="G22">
            <v>307.7</v>
          </cell>
          <cell r="H22">
            <v>324.89999999999998</v>
          </cell>
          <cell r="I22">
            <v>329</v>
          </cell>
          <cell r="J22">
            <v>318.5</v>
          </cell>
          <cell r="K22">
            <v>335.4</v>
          </cell>
          <cell r="L22">
            <v>324.5</v>
          </cell>
          <cell r="M22">
            <v>319.5</v>
          </cell>
          <cell r="N22">
            <v>323.89999999999998</v>
          </cell>
          <cell r="O22">
            <v>317.10000000000002</v>
          </cell>
          <cell r="P22">
            <v>330.9</v>
          </cell>
          <cell r="Q22">
            <v>306.5</v>
          </cell>
          <cell r="R22">
            <v>290.5</v>
          </cell>
          <cell r="S22">
            <v>277.43723999999997</v>
          </cell>
          <cell r="T22">
            <v>280.82959469913726</v>
          </cell>
          <cell r="U22">
            <v>308.09082683033716</v>
          </cell>
          <cell r="V22">
            <v>301.82214980619563</v>
          </cell>
          <cell r="W22">
            <v>264.95667180735416</v>
          </cell>
          <cell r="X22">
            <v>275.01600000000002</v>
          </cell>
          <cell r="Y22">
            <v>284.78199999999998</v>
          </cell>
          <cell r="Z22">
            <v>273.846</v>
          </cell>
          <cell r="AA22">
            <v>322.77100000000002</v>
          </cell>
          <cell r="AB22">
            <v>294.44200000000001</v>
          </cell>
          <cell r="AC22">
            <v>254.285</v>
          </cell>
          <cell r="AD22">
            <v>342.024</v>
          </cell>
          <cell r="AE22">
            <v>375.09500000000003</v>
          </cell>
          <cell r="AF22">
            <v>317.68900000000002</v>
          </cell>
          <cell r="AG22">
            <v>322.94400000000002</v>
          </cell>
          <cell r="AH22">
            <v>309.66637508156771</v>
          </cell>
          <cell r="AI22">
            <v>322.35710770097535</v>
          </cell>
          <cell r="AJ22">
            <v>324.52078915911346</v>
          </cell>
          <cell r="AK22">
            <v>320.87336407114668</v>
          </cell>
          <cell r="AL22">
            <v>318.13740961474883</v>
          </cell>
          <cell r="AM22">
            <v>316.64090458739435</v>
          </cell>
          <cell r="AN22">
            <v>324.75479283165322</v>
          </cell>
          <cell r="AO22">
            <v>323.51383423438784</v>
          </cell>
          <cell r="AP22">
            <v>320.57146392716368</v>
          </cell>
          <cell r="AQ22">
            <v>318.87135487015598</v>
          </cell>
          <cell r="AR22">
            <v>316.89479823231051</v>
          </cell>
          <cell r="AS22">
            <v>324.98215363440897</v>
          </cell>
          <cell r="AT22">
            <v>323.0696410188342</v>
          </cell>
          <cell r="AU22">
            <v>321.0387481059509</v>
          </cell>
          <cell r="AV22">
            <v>319.0606720040434</v>
          </cell>
          <cell r="AW22">
            <v>317.15152892707459</v>
          </cell>
          <cell r="AX22">
            <v>315.12634170302357</v>
          </cell>
          <cell r="AY22">
            <v>313.3939952257943</v>
          </cell>
          <cell r="AZ22">
            <v>311.41885294859509</v>
          </cell>
          <cell r="BA22">
            <v>309.44575097572215</v>
          </cell>
          <cell r="BB22">
            <v>307.47739056553979</v>
          </cell>
          <cell r="BC22">
            <v>305.49743205875626</v>
          </cell>
          <cell r="BD22">
            <v>303.51208100012133</v>
          </cell>
          <cell r="BE22">
            <v>301.78597212917532</v>
          </cell>
          <cell r="BF22">
            <v>299.80915024841971</v>
          </cell>
          <cell r="BG22">
            <v>297.8339420576612</v>
          </cell>
        </row>
        <row r="23">
          <cell r="C23">
            <v>325.89999999999998</v>
          </cell>
          <cell r="D23">
            <v>318.60000000000002</v>
          </cell>
          <cell r="E23">
            <v>280.3</v>
          </cell>
          <cell r="F23">
            <v>292.39999999999998</v>
          </cell>
          <cell r="G23">
            <v>297</v>
          </cell>
          <cell r="H23">
            <v>318.89999999999998</v>
          </cell>
          <cell r="I23">
            <v>307.2</v>
          </cell>
          <cell r="J23">
            <v>299.8</v>
          </cell>
          <cell r="K23">
            <v>310.60000000000002</v>
          </cell>
          <cell r="L23">
            <v>262.10000000000002</v>
          </cell>
          <cell r="M23">
            <v>289.60000000000002</v>
          </cell>
          <cell r="N23">
            <v>326</v>
          </cell>
          <cell r="O23">
            <v>320.3</v>
          </cell>
          <cell r="P23">
            <v>314.3</v>
          </cell>
          <cell r="Q23">
            <v>272</v>
          </cell>
          <cell r="R23">
            <v>255.3</v>
          </cell>
          <cell r="S23">
            <v>274.94317999999998</v>
          </cell>
          <cell r="T23">
            <v>291.47153773768559</v>
          </cell>
          <cell r="U23">
            <v>306.0964758938108</v>
          </cell>
          <cell r="V23">
            <v>265.52932821726466</v>
          </cell>
          <cell r="W23">
            <v>209.42256014029439</v>
          </cell>
          <cell r="X23">
            <v>303.99900000000002</v>
          </cell>
          <cell r="Y23">
            <v>316.29599999999999</v>
          </cell>
          <cell r="Z23">
            <v>322.07900000000001</v>
          </cell>
          <cell r="AA23">
            <v>350.94799999999998</v>
          </cell>
          <cell r="AB23">
            <v>340.60300000000001</v>
          </cell>
          <cell r="AC23">
            <v>279.30700000000002</v>
          </cell>
          <cell r="AD23">
            <v>377.78899999999999</v>
          </cell>
          <cell r="AE23">
            <v>361.471</v>
          </cell>
          <cell r="AF23">
            <v>320.37200000000001</v>
          </cell>
          <cell r="AG23">
            <v>319.43</v>
          </cell>
          <cell r="AH23">
            <v>292.77574735092804</v>
          </cell>
          <cell r="AI23">
            <v>327.03935979154079</v>
          </cell>
          <cell r="AJ23">
            <v>329.11513319935426</v>
          </cell>
          <cell r="AK23">
            <v>324.73124824584602</v>
          </cell>
          <cell r="AL23">
            <v>317.18494651045972</v>
          </cell>
          <cell r="AM23">
            <v>313.66759711964033</v>
          </cell>
          <cell r="AN23">
            <v>322.1580452755141</v>
          </cell>
          <cell r="AO23">
            <v>325.34508342616658</v>
          </cell>
          <cell r="AP23">
            <v>321.18037853445605</v>
          </cell>
          <cell r="AQ23">
            <v>318.73452457931722</v>
          </cell>
          <cell r="AR23">
            <v>315.98182272865984</v>
          </cell>
          <cell r="AS23">
            <v>324.43587636271184</v>
          </cell>
          <cell r="AT23">
            <v>322.97538020156844</v>
          </cell>
          <cell r="AU23">
            <v>321.34758455919217</v>
          </cell>
          <cell r="AV23">
            <v>318.83474493819574</v>
          </cell>
          <cell r="AW23">
            <v>316.85027122943728</v>
          </cell>
          <cell r="AX23">
            <v>314.85019903439883</v>
          </cell>
          <cell r="AY23">
            <v>313.22805933378237</v>
          </cell>
          <cell r="AZ23">
            <v>311.30894884111223</v>
          </cell>
          <cell r="BA23">
            <v>309.31038707257608</v>
          </cell>
          <cell r="BB23">
            <v>307.258827792202</v>
          </cell>
          <cell r="BC23">
            <v>305.30468486550183</v>
          </cell>
          <cell r="BD23">
            <v>303.33595121814284</v>
          </cell>
          <cell r="BE23">
            <v>301.62375411108303</v>
          </cell>
          <cell r="BF23">
            <v>299.64614323933756</v>
          </cell>
          <cell r="BG23">
            <v>297.65981157739816</v>
          </cell>
        </row>
        <row r="24">
          <cell r="C24">
            <v>337.9</v>
          </cell>
          <cell r="D24">
            <v>302</v>
          </cell>
          <cell r="E24">
            <v>280.89999999999998</v>
          </cell>
          <cell r="F24">
            <v>297.3</v>
          </cell>
          <cell r="G24">
            <v>291.8</v>
          </cell>
          <cell r="H24">
            <v>336.5</v>
          </cell>
          <cell r="I24">
            <v>285.5</v>
          </cell>
          <cell r="J24">
            <v>295.39999999999998</v>
          </cell>
          <cell r="K24">
            <v>290.3</v>
          </cell>
          <cell r="L24">
            <v>295.39999999999998</v>
          </cell>
          <cell r="M24">
            <v>324.7</v>
          </cell>
          <cell r="N24">
            <v>341.1</v>
          </cell>
          <cell r="O24">
            <v>309.89999999999998</v>
          </cell>
          <cell r="P24">
            <v>314.3</v>
          </cell>
          <cell r="Q24">
            <v>279</v>
          </cell>
          <cell r="R24">
            <v>278.7</v>
          </cell>
          <cell r="S24">
            <v>285.65692999999999</v>
          </cell>
          <cell r="T24">
            <v>296.07232795986641</v>
          </cell>
          <cell r="U24">
            <v>260.74462618502758</v>
          </cell>
          <cell r="V24">
            <v>259.63259858372317</v>
          </cell>
          <cell r="W24">
            <v>245.92168415924152</v>
          </cell>
          <cell r="X24">
            <v>287.20299999999997</v>
          </cell>
          <cell r="Y24">
            <v>314.08</v>
          </cell>
          <cell r="Z24">
            <v>324.10300000000001</v>
          </cell>
          <cell r="AA24">
            <v>338.137</v>
          </cell>
          <cell r="AB24">
            <v>318.05</v>
          </cell>
          <cell r="AC24">
            <v>264.82799999999997</v>
          </cell>
          <cell r="AD24">
            <v>285.505</v>
          </cell>
          <cell r="AE24">
            <v>356.8</v>
          </cell>
          <cell r="AF24">
            <v>332.40199999999999</v>
          </cell>
          <cell r="AG24">
            <v>301.84300000000002</v>
          </cell>
          <cell r="AH24">
            <v>306.95058160572711</v>
          </cell>
          <cell r="AI24">
            <v>305.19565343801793</v>
          </cell>
          <cell r="AJ24">
            <v>319.78651363037216</v>
          </cell>
          <cell r="AK24">
            <v>318.29881562989755</v>
          </cell>
          <cell r="AL24">
            <v>310.36746823144506</v>
          </cell>
          <cell r="AM24">
            <v>308.28891865163138</v>
          </cell>
          <cell r="AN24">
            <v>317.10285299639298</v>
          </cell>
          <cell r="AO24">
            <v>316.41536318449653</v>
          </cell>
          <cell r="AP24">
            <v>314.53336297805657</v>
          </cell>
          <cell r="AQ24">
            <v>311.49429544964437</v>
          </cell>
          <cell r="AR24">
            <v>309.65038755605786</v>
          </cell>
          <cell r="AS24">
            <v>317.86708700811192</v>
          </cell>
          <cell r="AT24">
            <v>316.27450856288351</v>
          </cell>
          <cell r="AU24">
            <v>314.14072787046712</v>
          </cell>
          <cell r="AV24">
            <v>312.04466177228352</v>
          </cell>
          <cell r="AW24">
            <v>310.10314959096212</v>
          </cell>
          <cell r="AX24">
            <v>308.25161817000873</v>
          </cell>
          <cell r="AY24">
            <v>306.56918632971559</v>
          </cell>
          <cell r="AZ24">
            <v>304.65263039384797</v>
          </cell>
          <cell r="BA24">
            <v>302.65093365209128</v>
          </cell>
          <cell r="BB24">
            <v>300.73361915462647</v>
          </cell>
          <cell r="BC24">
            <v>298.81080302406099</v>
          </cell>
          <cell r="BD24">
            <v>296.88123169412114</v>
          </cell>
          <cell r="BE24">
            <v>295.18580413574142</v>
          </cell>
          <cell r="BF24">
            <v>293.24758635616439</v>
          </cell>
          <cell r="BG24">
            <v>291.31038357780432</v>
          </cell>
        </row>
        <row r="25">
          <cell r="B25">
            <v>297.10000000000002</v>
          </cell>
          <cell r="C25">
            <v>334.3</v>
          </cell>
          <cell r="D25">
            <v>323.5</v>
          </cell>
          <cell r="E25">
            <v>295.8</v>
          </cell>
          <cell r="F25">
            <v>293.60000000000002</v>
          </cell>
          <cell r="G25">
            <v>307.3</v>
          </cell>
          <cell r="H25">
            <v>294.10000000000002</v>
          </cell>
          <cell r="I25">
            <v>296.7</v>
          </cell>
          <cell r="J25">
            <v>324.8</v>
          </cell>
          <cell r="K25">
            <v>321</v>
          </cell>
          <cell r="L25">
            <v>299.5</v>
          </cell>
          <cell r="M25">
            <v>309.89999999999998</v>
          </cell>
          <cell r="N25">
            <v>319.39999999999998</v>
          </cell>
          <cell r="O25">
            <v>340.3</v>
          </cell>
          <cell r="P25">
            <v>304.7</v>
          </cell>
          <cell r="Q25">
            <v>283.60000000000002</v>
          </cell>
          <cell r="R25">
            <v>276.32895000000002</v>
          </cell>
          <cell r="S25">
            <v>264.279</v>
          </cell>
          <cell r="T25">
            <v>285.16822218827701</v>
          </cell>
          <cell r="U25">
            <v>317.5699100709046</v>
          </cell>
          <cell r="V25">
            <v>285.59099497480145</v>
          </cell>
          <cell r="W25">
            <v>239.52411747413265</v>
          </cell>
          <cell r="X25">
            <v>276.798</v>
          </cell>
          <cell r="Y25">
            <v>301.82600000000002</v>
          </cell>
          <cell r="Z25">
            <v>295.053</v>
          </cell>
          <cell r="AA25">
            <v>320.82600000000002</v>
          </cell>
          <cell r="AB25">
            <v>295.63299999999998</v>
          </cell>
          <cell r="AC25">
            <v>269.44299999999998</v>
          </cell>
          <cell r="AD25">
            <v>263.339</v>
          </cell>
          <cell r="AE25">
            <v>329.42700000000002</v>
          </cell>
          <cell r="AF25">
            <v>309.11200000000002</v>
          </cell>
          <cell r="AG25">
            <v>302.23200000000003</v>
          </cell>
          <cell r="AH25">
            <v>284.33631039507429</v>
          </cell>
          <cell r="AI25">
            <v>285.75686883504045</v>
          </cell>
          <cell r="AJ25">
            <v>295.72500861662428</v>
          </cell>
          <cell r="AK25">
            <v>299.18928434782759</v>
          </cell>
          <cell r="AL25">
            <v>292.12482178289002</v>
          </cell>
          <cell r="AM25">
            <v>289.64065530936591</v>
          </cell>
          <cell r="AN25">
            <v>296.34387529876182</v>
          </cell>
          <cell r="AO25">
            <v>295.64993245715908</v>
          </cell>
          <cell r="AP25">
            <v>294.36523289962554</v>
          </cell>
          <cell r="AQ25">
            <v>292.3597341980485</v>
          </cell>
          <cell r="AR25">
            <v>290.19633856817154</v>
          </cell>
          <cell r="AS25">
            <v>297.69049347290604</v>
          </cell>
          <cell r="AT25">
            <v>296.01400001135073</v>
          </cell>
          <cell r="AU25">
            <v>294.2183783488594</v>
          </cell>
          <cell r="AV25">
            <v>292.40476261757851</v>
          </cell>
          <cell r="AW25">
            <v>290.55893130451705</v>
          </cell>
          <cell r="AX25">
            <v>288.71883149318495</v>
          </cell>
          <cell r="AY25">
            <v>287.14968015664289</v>
          </cell>
          <cell r="AZ25">
            <v>285.35724127502084</v>
          </cell>
          <cell r="BA25">
            <v>283.53461272325029</v>
          </cell>
          <cell r="BB25">
            <v>281.72685820353593</v>
          </cell>
          <cell r="BC25">
            <v>279.90923295921914</v>
          </cell>
          <cell r="BD25">
            <v>278.09514428755097</v>
          </cell>
          <cell r="BE25">
            <v>276.51403436926546</v>
          </cell>
          <cell r="BF25">
            <v>274.70286428321549</v>
          </cell>
        </row>
        <row r="26">
          <cell r="B26">
            <v>275.8</v>
          </cell>
          <cell r="C26">
            <v>295.8</v>
          </cell>
          <cell r="D26">
            <v>302.3</v>
          </cell>
          <cell r="E26">
            <v>267</v>
          </cell>
          <cell r="F26">
            <v>288.10000000000002</v>
          </cell>
          <cell r="G26">
            <v>298.2</v>
          </cell>
          <cell r="H26">
            <v>312.10000000000002</v>
          </cell>
          <cell r="I26">
            <v>272.2</v>
          </cell>
          <cell r="J26">
            <v>306.5</v>
          </cell>
          <cell r="K26">
            <v>284.7</v>
          </cell>
          <cell r="L26">
            <v>297.2</v>
          </cell>
          <cell r="M26">
            <v>296.60000000000002</v>
          </cell>
          <cell r="N26">
            <v>287.60000000000002</v>
          </cell>
          <cell r="O26">
            <v>312.89999999999998</v>
          </cell>
          <cell r="P26">
            <v>301.2</v>
          </cell>
          <cell r="Q26">
            <v>274.60000000000002</v>
          </cell>
          <cell r="R26">
            <v>254.87920000000003</v>
          </cell>
          <cell r="S26">
            <v>260.81200000000001</v>
          </cell>
          <cell r="T26">
            <v>286.16003800909493</v>
          </cell>
          <cell r="U26">
            <v>241.21178133852055</v>
          </cell>
          <cell r="V26">
            <v>217.33803300697946</v>
          </cell>
          <cell r="W26">
            <v>211.35808570693965</v>
          </cell>
          <cell r="X26">
            <v>281.03800000000001</v>
          </cell>
          <cell r="Y26">
            <v>333.887</v>
          </cell>
          <cell r="Z26">
            <v>322.935</v>
          </cell>
          <cell r="AA26">
            <v>333.57400000000001</v>
          </cell>
          <cell r="AB26">
            <v>325.76400000000001</v>
          </cell>
          <cell r="AC26">
            <v>290.55500000000001</v>
          </cell>
          <cell r="AD26">
            <v>297.541</v>
          </cell>
          <cell r="AE26">
            <v>367.15699999999998</v>
          </cell>
          <cell r="AF26">
            <v>346.76799999999997</v>
          </cell>
          <cell r="AG26">
            <v>303.97723432886136</v>
          </cell>
          <cell r="AH26">
            <v>316.25094508613637</v>
          </cell>
          <cell r="AI26">
            <v>311.99296846721609</v>
          </cell>
          <cell r="AJ26">
            <v>325.53331201581739</v>
          </cell>
          <cell r="AK26">
            <v>323.27898018455375</v>
          </cell>
          <cell r="AL26">
            <v>318.83780720459504</v>
          </cell>
          <cell r="AM26">
            <v>312.41282634472441</v>
          </cell>
          <cell r="AN26">
            <v>324.21596297838931</v>
          </cell>
          <cell r="AO26">
            <v>322.39907209656525</v>
          </cell>
          <cell r="AP26">
            <v>320.88858375082049</v>
          </cell>
          <cell r="AQ26">
            <v>318.07706190400893</v>
          </cell>
          <cell r="AR26">
            <v>316.07189968434756</v>
          </cell>
          <cell r="AS26">
            <v>323.98140085663692</v>
          </cell>
          <cell r="AT26">
            <v>322.82773877322438</v>
          </cell>
          <cell r="AU26">
            <v>320.46395577231004</v>
          </cell>
          <cell r="AV26">
            <v>318.49024162017599</v>
          </cell>
          <cell r="AW26">
            <v>316.43856449004431</v>
          </cell>
          <cell r="AX26">
            <v>314.50423033474044</v>
          </cell>
          <cell r="AY26">
            <v>312.80707928178737</v>
          </cell>
          <cell r="AZ26">
            <v>310.89164725231592</v>
          </cell>
          <cell r="BA26">
            <v>308.83241942219581</v>
          </cell>
          <cell r="BB26">
            <v>306.87947552055283</v>
          </cell>
          <cell r="BC26">
            <v>304.90064964573469</v>
          </cell>
          <cell r="BD26">
            <v>302.9362015905719</v>
          </cell>
          <cell r="BE26">
            <v>301.21337527211233</v>
          </cell>
          <cell r="BF26">
            <v>299.2379686486924</v>
          </cell>
        </row>
        <row r="27">
          <cell r="B27">
            <v>321.10000000000002</v>
          </cell>
          <cell r="C27">
            <v>327.9</v>
          </cell>
          <cell r="D27">
            <v>307</v>
          </cell>
          <cell r="E27">
            <v>276.60000000000002</v>
          </cell>
          <cell r="F27">
            <v>317.3</v>
          </cell>
          <cell r="G27">
            <v>328.3</v>
          </cell>
          <cell r="H27">
            <v>324</v>
          </cell>
          <cell r="I27">
            <v>278.60000000000002</v>
          </cell>
          <cell r="J27">
            <v>288.5</v>
          </cell>
          <cell r="K27">
            <v>304.5</v>
          </cell>
          <cell r="L27">
            <v>335.6</v>
          </cell>
          <cell r="M27">
            <v>327.2</v>
          </cell>
          <cell r="N27">
            <v>342.5</v>
          </cell>
          <cell r="O27">
            <v>329.4</v>
          </cell>
          <cell r="P27">
            <v>308.5</v>
          </cell>
          <cell r="Q27">
            <v>294.89999999999998</v>
          </cell>
          <cell r="R27">
            <v>298.00405999999998</v>
          </cell>
          <cell r="S27">
            <v>295.69200000000001</v>
          </cell>
          <cell r="T27">
            <v>303.36832991360069</v>
          </cell>
          <cell r="U27">
            <v>263.89541942129165</v>
          </cell>
          <cell r="V27">
            <v>233.23468035370661</v>
          </cell>
          <cell r="W27">
            <v>230.84130097856465</v>
          </cell>
          <cell r="X27">
            <v>287.10199999999998</v>
          </cell>
          <cell r="Y27">
            <v>321.43</v>
          </cell>
          <cell r="Z27">
            <v>342.024</v>
          </cell>
          <cell r="AA27">
            <v>335.97199999999998</v>
          </cell>
          <cell r="AB27">
            <v>336.65</v>
          </cell>
          <cell r="AC27">
            <v>365.47500000000002</v>
          </cell>
          <cell r="AD27">
            <v>313.74099999999999</v>
          </cell>
          <cell r="AE27">
            <v>355.32900000000001</v>
          </cell>
          <cell r="AF27">
            <v>355.53100000000001</v>
          </cell>
          <cell r="AG27">
            <v>308.72260216332171</v>
          </cell>
          <cell r="AH27">
            <v>335.98988920403161</v>
          </cell>
          <cell r="AI27">
            <v>332.15603783733104</v>
          </cell>
          <cell r="AJ27">
            <v>331.01856134111637</v>
          </cell>
          <cell r="AK27">
            <v>328.56699332605331</v>
          </cell>
          <cell r="AL27">
            <v>322.9542423575989</v>
          </cell>
          <cell r="AM27">
            <v>323.01226499726425</v>
          </cell>
          <cell r="AN27">
            <v>335.76251642166579</v>
          </cell>
          <cell r="AO27">
            <v>331.00813187024494</v>
          </cell>
          <cell r="AP27">
            <v>328.57348568420326</v>
          </cell>
          <cell r="AQ27">
            <v>326.24368891177636</v>
          </cell>
          <cell r="AR27">
            <v>324.0754314564245</v>
          </cell>
          <cell r="AS27">
            <v>333.23955402942636</v>
          </cell>
          <cell r="AT27">
            <v>331.46763961446618</v>
          </cell>
          <cell r="AU27">
            <v>328.82169438673537</v>
          </cell>
          <cell r="AV27">
            <v>326.82026079745305</v>
          </cell>
          <cell r="AW27">
            <v>324.79837648112874</v>
          </cell>
          <cell r="AX27">
            <v>322.85890027584935</v>
          </cell>
          <cell r="AY27">
            <v>321.18689520722882</v>
          </cell>
          <cell r="AZ27">
            <v>319.10157294790946</v>
          </cell>
          <cell r="BA27">
            <v>316.99351836618808</v>
          </cell>
          <cell r="BB27">
            <v>315.00318169935071</v>
          </cell>
          <cell r="BC27">
            <v>312.98815212319965</v>
          </cell>
          <cell r="BD27">
            <v>310.97789941652633</v>
          </cell>
          <cell r="BE27">
            <v>309.20411406762048</v>
          </cell>
          <cell r="BF27">
            <v>307.16201079586563</v>
          </cell>
        </row>
        <row r="28">
          <cell r="B28">
            <v>288</v>
          </cell>
          <cell r="C28">
            <v>292.8</v>
          </cell>
          <cell r="D28">
            <v>310.39999999999998</v>
          </cell>
          <cell r="E28">
            <v>292.89999999999998</v>
          </cell>
          <cell r="F28">
            <v>309.3</v>
          </cell>
          <cell r="G28">
            <v>322.39999999999998</v>
          </cell>
          <cell r="H28">
            <v>266.5</v>
          </cell>
          <cell r="I28">
            <v>256.7</v>
          </cell>
          <cell r="J28">
            <v>298.2</v>
          </cell>
          <cell r="K28">
            <v>303.60000000000002</v>
          </cell>
          <cell r="L28">
            <v>293.3</v>
          </cell>
          <cell r="M28">
            <v>297.89999999999998</v>
          </cell>
          <cell r="N28">
            <v>296.89999999999998</v>
          </cell>
          <cell r="O28">
            <v>300.8</v>
          </cell>
          <cell r="P28">
            <v>311.89999999999998</v>
          </cell>
          <cell r="Q28">
            <v>286.10000000000002</v>
          </cell>
          <cell r="R28">
            <v>264.95400000000001</v>
          </cell>
          <cell r="S28">
            <v>261.62400000000002</v>
          </cell>
          <cell r="T28">
            <v>251.68691848906428</v>
          </cell>
          <cell r="U28">
            <v>278.66690391201399</v>
          </cell>
          <cell r="V28">
            <v>256.8993435694415</v>
          </cell>
          <cell r="W28">
            <v>227.9503551172113</v>
          </cell>
          <cell r="X28">
            <v>275.43400000000003</v>
          </cell>
          <cell r="Y28">
            <v>289.60399999999998</v>
          </cell>
          <cell r="Z28">
            <v>305.01100000000002</v>
          </cell>
          <cell r="AA28">
            <v>306.53399999999999</v>
          </cell>
          <cell r="AB28">
            <v>226.905</v>
          </cell>
          <cell r="AC28">
            <v>367.64800000000002</v>
          </cell>
          <cell r="AD28">
            <v>293.70299999999997</v>
          </cell>
          <cell r="AE28">
            <v>311.10000000000002</v>
          </cell>
          <cell r="AF28">
            <v>311.81099999999998</v>
          </cell>
          <cell r="AG28">
            <v>306.27922425508262</v>
          </cell>
          <cell r="AH28">
            <v>293.15388347773433</v>
          </cell>
          <cell r="AI28">
            <v>310.88361880244656</v>
          </cell>
          <cell r="AJ28">
            <v>302.18824521421948</v>
          </cell>
          <cell r="AK28">
            <v>303.70689662468817</v>
          </cell>
          <cell r="AL28">
            <v>302.36346494651747</v>
          </cell>
          <cell r="AM28">
            <v>299.02423288252663</v>
          </cell>
          <cell r="AN28">
            <v>306.14127293297446</v>
          </cell>
          <cell r="AO28">
            <v>306.10792666904774</v>
          </cell>
          <cell r="AP28">
            <v>302.83389185364132</v>
          </cell>
          <cell r="AQ28">
            <v>301.67493998695039</v>
          </cell>
          <cell r="AR28">
            <v>299.61132168006299</v>
          </cell>
          <cell r="AS28">
            <v>307.13583654275732</v>
          </cell>
          <cell r="AT28">
            <v>305.37349200455543</v>
          </cell>
          <cell r="AU28">
            <v>303.65621101802293</v>
          </cell>
          <cell r="AV28">
            <v>301.59988930813915</v>
          </cell>
          <cell r="AW28">
            <v>299.84419870768164</v>
          </cell>
          <cell r="AX28">
            <v>297.91273389855758</v>
          </cell>
          <cell r="AY28">
            <v>296.27850829840105</v>
          </cell>
          <cell r="AZ28">
            <v>294.43401908869942</v>
          </cell>
          <cell r="BA28">
            <v>292.56707446407972</v>
          </cell>
          <cell r="BB28">
            <v>290.67679733514893</v>
          </cell>
          <cell r="BC28">
            <v>288.82324211777592</v>
          </cell>
          <cell r="BD28">
            <v>286.94329100610344</v>
          </cell>
          <cell r="BE28">
            <v>285.31201015677743</v>
          </cell>
          <cell r="BF28">
            <v>283.44506922191289</v>
          </cell>
        </row>
        <row r="29">
          <cell r="B29">
            <v>305.39999999999998</v>
          </cell>
          <cell r="C29">
            <v>335.9</v>
          </cell>
          <cell r="D29">
            <v>330.3</v>
          </cell>
          <cell r="E29">
            <v>296.10000000000002</v>
          </cell>
          <cell r="F29">
            <v>297.5</v>
          </cell>
          <cell r="G29">
            <v>324.39999999999998</v>
          </cell>
          <cell r="H29">
            <v>328.2</v>
          </cell>
          <cell r="I29">
            <v>295.39999999999998</v>
          </cell>
          <cell r="J29">
            <v>321.10000000000002</v>
          </cell>
          <cell r="K29">
            <v>320.39999999999998</v>
          </cell>
          <cell r="L29">
            <v>314.5</v>
          </cell>
          <cell r="M29">
            <v>309.89999999999998</v>
          </cell>
          <cell r="N29">
            <v>342.8</v>
          </cell>
          <cell r="O29">
            <v>328.4</v>
          </cell>
          <cell r="P29">
            <v>308.10000000000002</v>
          </cell>
          <cell r="Q29">
            <v>284.8</v>
          </cell>
          <cell r="R29">
            <v>269.39284000000004</v>
          </cell>
          <cell r="S29">
            <v>277.60599999999999</v>
          </cell>
          <cell r="T29">
            <v>298.56858621292344</v>
          </cell>
          <cell r="U29">
            <v>294.37639620431821</v>
          </cell>
          <cell r="V29">
            <v>259.25779153108925</v>
          </cell>
          <cell r="W29">
            <v>296.90499999999997</v>
          </cell>
          <cell r="X29">
            <v>291.74299999999999</v>
          </cell>
          <cell r="Y29">
            <v>321.31</v>
          </cell>
          <cell r="Z29">
            <v>328.25200000000001</v>
          </cell>
          <cell r="AA29">
            <v>334.67099999999999</v>
          </cell>
          <cell r="AB29">
            <v>278.733</v>
          </cell>
          <cell r="AC29">
            <v>339.22399999999999</v>
          </cell>
          <cell r="AD29">
            <v>319.041</v>
          </cell>
          <cell r="AE29">
            <v>334.45299999999997</v>
          </cell>
          <cell r="AF29">
            <v>324.94900000000001</v>
          </cell>
          <cell r="AG29">
            <v>325.98135669668335</v>
          </cell>
          <cell r="AH29">
            <v>312.95229069221853</v>
          </cell>
          <cell r="AI29">
            <v>320.44882945099152</v>
          </cell>
          <cell r="AJ29">
            <v>320.73348480240611</v>
          </cell>
          <cell r="AK29">
            <v>321.26530706925189</v>
          </cell>
          <cell r="AL29">
            <v>317.37548388289673</v>
          </cell>
          <cell r="AM29">
            <v>314.24448169613476</v>
          </cell>
          <cell r="AN29">
            <v>322.94074790076388</v>
          </cell>
          <cell r="AO29">
            <v>322.1654231435885</v>
          </cell>
          <cell r="AP29">
            <v>319.72973095869287</v>
          </cell>
          <cell r="AQ29">
            <v>317.68731272015316</v>
          </cell>
          <cell r="AR29">
            <v>315.33146438738333</v>
          </cell>
          <cell r="AS29">
            <v>323.47549036511157</v>
          </cell>
          <cell r="AT29">
            <v>321.79846232471664</v>
          </cell>
          <cell r="AU29">
            <v>319.89265798792911</v>
          </cell>
          <cell r="AV29">
            <v>317.79798363427091</v>
          </cell>
          <cell r="AW29">
            <v>315.79356236806552</v>
          </cell>
          <cell r="AX29">
            <v>313.79838239009439</v>
          </cell>
          <cell r="AY29">
            <v>312.1174847446153</v>
          </cell>
          <cell r="AZ29">
            <v>310.18525193255419</v>
          </cell>
          <cell r="BA29">
            <v>308.20016036188588</v>
          </cell>
          <cell r="BB29">
            <v>306.21007063364362</v>
          </cell>
          <cell r="BC29">
            <v>304.24070070120553</v>
          </cell>
          <cell r="BD29">
            <v>302.27449999119756</v>
          </cell>
          <cell r="BE29">
            <v>300.55968922716733</v>
          </cell>
          <cell r="BF29">
            <v>298.59121944384577</v>
          </cell>
        </row>
        <row r="30">
          <cell r="B30">
            <v>308.60000000000002</v>
          </cell>
          <cell r="C30">
            <v>328.1</v>
          </cell>
          <cell r="D30">
            <v>283.5</v>
          </cell>
          <cell r="E30">
            <v>286.8</v>
          </cell>
          <cell r="F30">
            <v>316.3</v>
          </cell>
          <cell r="G30">
            <v>322.60000000000002</v>
          </cell>
          <cell r="H30">
            <v>309.60000000000002</v>
          </cell>
          <cell r="I30">
            <v>267</v>
          </cell>
          <cell r="J30">
            <v>279.60000000000002</v>
          </cell>
          <cell r="K30">
            <v>320.3</v>
          </cell>
          <cell r="L30">
            <v>311.39999999999998</v>
          </cell>
          <cell r="M30">
            <v>334</v>
          </cell>
          <cell r="N30">
            <v>337</v>
          </cell>
          <cell r="O30">
            <v>321.39999999999998</v>
          </cell>
          <cell r="P30">
            <v>285.39999999999998</v>
          </cell>
          <cell r="Q30">
            <v>285.5</v>
          </cell>
          <cell r="R30">
            <v>281.19918000000001</v>
          </cell>
          <cell r="S30">
            <v>284.61900000000003</v>
          </cell>
          <cell r="T30">
            <v>274.65527855884886</v>
          </cell>
          <cell r="U30">
            <v>248.41061666931799</v>
          </cell>
          <cell r="V30">
            <v>226.58305084214231</v>
          </cell>
          <cell r="W30">
            <v>284.10199999999998</v>
          </cell>
          <cell r="X30">
            <v>290.23500000000001</v>
          </cell>
          <cell r="Y30">
            <v>297.58999999999997</v>
          </cell>
          <cell r="Z30">
            <v>310.86900000000003</v>
          </cell>
          <cell r="AA30">
            <v>340.14499999999998</v>
          </cell>
          <cell r="AB30">
            <v>324.334</v>
          </cell>
          <cell r="AC30">
            <v>306.29300000000001</v>
          </cell>
          <cell r="AD30">
            <v>366.18599999999998</v>
          </cell>
          <cell r="AE30">
            <v>280.90199999999999</v>
          </cell>
          <cell r="AF30">
            <v>320.161</v>
          </cell>
          <cell r="AG30">
            <v>304.37924562281052</v>
          </cell>
          <cell r="AH30">
            <v>314.52333492305661</v>
          </cell>
          <cell r="AI30">
            <v>310.76114932690007</v>
          </cell>
          <cell r="AJ30">
            <v>320.36424784711255</v>
          </cell>
          <cell r="AK30">
            <v>309.22949200276554</v>
          </cell>
          <cell r="AL30">
            <v>308.88987044236717</v>
          </cell>
          <cell r="AM30">
            <v>307.58512331071165</v>
          </cell>
          <cell r="AN30">
            <v>317.1750529489529</v>
          </cell>
          <cell r="AO30">
            <v>314.32385853064335</v>
          </cell>
          <cell r="AP30">
            <v>312.40792205351147</v>
          </cell>
          <cell r="AQ30">
            <v>309.35720041274368</v>
          </cell>
          <cell r="AR30">
            <v>308.04871572786419</v>
          </cell>
          <cell r="AS30">
            <v>316.30859253767642</v>
          </cell>
          <cell r="AT30">
            <v>314.52425595244068</v>
          </cell>
          <cell r="AU30">
            <v>312.28471010307487</v>
          </cell>
          <cell r="AV30">
            <v>310.33022772610383</v>
          </cell>
          <cell r="AW30">
            <v>308.384183891992</v>
          </cell>
          <cell r="AX30">
            <v>306.58334951702227</v>
          </cell>
          <cell r="AY30">
            <v>304.92028386853787</v>
          </cell>
          <cell r="AZ30">
            <v>302.96169575473743</v>
          </cell>
          <cell r="BA30">
            <v>300.99335645822237</v>
          </cell>
          <cell r="BB30">
            <v>299.08673377010348</v>
          </cell>
          <cell r="BC30">
            <v>297.17149069355395</v>
          </cell>
          <cell r="BD30">
            <v>295.26198442243509</v>
          </cell>
          <cell r="BE30">
            <v>293.57416147569677</v>
          </cell>
          <cell r="BF30">
            <v>291.64174799450046</v>
          </cell>
        </row>
        <row r="31">
          <cell r="B31">
            <v>279</v>
          </cell>
          <cell r="C31">
            <v>277.7</v>
          </cell>
          <cell r="D31">
            <v>297</v>
          </cell>
          <cell r="E31">
            <v>291.39999999999998</v>
          </cell>
          <cell r="F31">
            <v>306.5</v>
          </cell>
          <cell r="G31">
            <v>323.5</v>
          </cell>
          <cell r="H31">
            <v>289.5</v>
          </cell>
          <cell r="I31">
            <v>282.10000000000002</v>
          </cell>
          <cell r="J31">
            <v>315.39999999999998</v>
          </cell>
          <cell r="K31">
            <v>337.8</v>
          </cell>
          <cell r="L31">
            <v>296.39999999999998</v>
          </cell>
          <cell r="M31">
            <v>308.3</v>
          </cell>
          <cell r="N31">
            <v>299.39999999999998</v>
          </cell>
          <cell r="O31">
            <v>310</v>
          </cell>
          <cell r="P31">
            <v>295.39999999999998</v>
          </cell>
          <cell r="Q31">
            <v>281.10000000000002</v>
          </cell>
          <cell r="R31">
            <v>272.70191999999997</v>
          </cell>
          <cell r="S31">
            <v>263.29899999999998</v>
          </cell>
          <cell r="T31">
            <v>271.66079215971797</v>
          </cell>
          <cell r="U31">
            <v>289.91960184577476</v>
          </cell>
          <cell r="V31">
            <v>242.41265404036159</v>
          </cell>
          <cell r="W31">
            <v>251.53</v>
          </cell>
          <cell r="X31">
            <v>267.04500000000002</v>
          </cell>
          <cell r="Y31">
            <v>269.553</v>
          </cell>
          <cell r="Z31">
            <v>296.25200000000001</v>
          </cell>
          <cell r="AA31">
            <v>310.19299999999998</v>
          </cell>
          <cell r="AB31">
            <v>294.80200000000002</v>
          </cell>
          <cell r="AC31">
            <v>303.93799999999999</v>
          </cell>
          <cell r="AD31">
            <v>304.608</v>
          </cell>
          <cell r="AE31">
            <v>281.77100000000002</v>
          </cell>
          <cell r="AF31">
            <v>304.03899999999999</v>
          </cell>
          <cell r="AG31">
            <v>302.67811162456752</v>
          </cell>
          <cell r="AH31">
            <v>293.87839065474259</v>
          </cell>
          <cell r="AI31">
            <v>292.40605032875987</v>
          </cell>
          <cell r="AJ31">
            <v>294.34930888212227</v>
          </cell>
          <cell r="AK31">
            <v>293.91284933840075</v>
          </cell>
          <cell r="AL31">
            <v>296.17613111547331</v>
          </cell>
          <cell r="AM31">
            <v>291.09568053526021</v>
          </cell>
          <cell r="AN31">
            <v>298.66577995388985</v>
          </cell>
          <cell r="AO31">
            <v>296.21320251366774</v>
          </cell>
          <cell r="AP31">
            <v>294.71434237777322</v>
          </cell>
          <cell r="AQ31">
            <v>293.20511039419006</v>
          </cell>
          <cell r="AR31">
            <v>291.47924317856229</v>
          </cell>
          <cell r="AS31">
            <v>298.63696215243249</v>
          </cell>
          <cell r="AT31">
            <v>296.90281274701999</v>
          </cell>
          <cell r="AU31">
            <v>295.02625878360936</v>
          </cell>
          <cell r="AV31">
            <v>293.30302322272553</v>
          </cell>
          <cell r="AW31">
            <v>291.49876012262592</v>
          </cell>
          <cell r="AX31">
            <v>289.66262950740662</v>
          </cell>
          <cell r="AY31">
            <v>288.03294751206926</v>
          </cell>
          <cell r="AZ31">
            <v>286.23578900147237</v>
          </cell>
          <cell r="BA31">
            <v>284.41624811323817</v>
          </cell>
          <cell r="BB31">
            <v>282.61220059511612</v>
          </cell>
          <cell r="BC31">
            <v>280.79062183430005</v>
          </cell>
          <cell r="BD31">
            <v>278.9682495794026</v>
          </cell>
          <cell r="BE31">
            <v>277.37530026529799</v>
          </cell>
          <cell r="BF31">
            <v>275.56219132715341</v>
          </cell>
        </row>
        <row r="32">
          <cell r="B32">
            <v>320.60000000000002</v>
          </cell>
          <cell r="C32">
            <v>318.2</v>
          </cell>
          <cell r="D32">
            <v>274.8</v>
          </cell>
          <cell r="E32">
            <v>291.3</v>
          </cell>
          <cell r="F32">
            <v>286.60000000000002</v>
          </cell>
          <cell r="G32">
            <v>329.2</v>
          </cell>
          <cell r="H32">
            <v>326.60000000000002</v>
          </cell>
          <cell r="I32">
            <v>306.89999999999998</v>
          </cell>
          <cell r="J32">
            <v>324</v>
          </cell>
          <cell r="K32">
            <v>306.7</v>
          </cell>
          <cell r="L32">
            <v>311.2</v>
          </cell>
          <cell r="M32">
            <v>358.4</v>
          </cell>
          <cell r="N32">
            <v>344.6</v>
          </cell>
          <cell r="O32">
            <v>326.7</v>
          </cell>
          <cell r="P32">
            <v>277.5</v>
          </cell>
          <cell r="Q32">
            <v>269</v>
          </cell>
          <cell r="R32">
            <v>272.22626000000002</v>
          </cell>
          <cell r="S32">
            <v>312.6146314031194</v>
          </cell>
          <cell r="T32">
            <v>304.8248618209995</v>
          </cell>
          <cell r="U32">
            <v>272.84343192971903</v>
          </cell>
          <cell r="V32">
            <v>222.66617822788112</v>
          </cell>
          <cell r="W32">
            <v>267.221</v>
          </cell>
          <cell r="X32">
            <v>304.113</v>
          </cell>
          <cell r="Y32">
            <v>315.21300000000002</v>
          </cell>
          <cell r="Z32">
            <v>332.61799999999999</v>
          </cell>
          <cell r="AA32">
            <v>314.55399999999997</v>
          </cell>
          <cell r="AB32">
            <v>324.40699999999998</v>
          </cell>
          <cell r="AC32">
            <v>343.63400000000001</v>
          </cell>
          <cell r="AD32">
            <v>350.702</v>
          </cell>
          <cell r="AE32">
            <v>312.65300000000002</v>
          </cell>
          <cell r="AF32">
            <v>317.75599999999997</v>
          </cell>
          <cell r="AG32">
            <v>294.6610137121877</v>
          </cell>
          <cell r="AH32">
            <v>325.45234157259893</v>
          </cell>
          <cell r="AI32">
            <v>318.67881284680544</v>
          </cell>
          <cell r="AJ32">
            <v>320.55173010974727</v>
          </cell>
          <cell r="AK32">
            <v>316.94778991695409</v>
          </cell>
          <cell r="AL32">
            <v>313.27765338047845</v>
          </cell>
          <cell r="AM32">
            <v>310.26895969245373</v>
          </cell>
          <cell r="AN32">
            <v>323.26762453772147</v>
          </cell>
          <cell r="AO32">
            <v>319.3254982247534</v>
          </cell>
          <cell r="AP32">
            <v>317.20977046317972</v>
          </cell>
          <cell r="AQ32">
            <v>314.75710599742598</v>
          </cell>
          <cell r="AR32">
            <v>312.72973780657821</v>
          </cell>
          <cell r="AS32">
            <v>321.125978637777</v>
          </cell>
          <cell r="AT32">
            <v>319.70172341957777</v>
          </cell>
          <cell r="AU32">
            <v>317.21748006564764</v>
          </cell>
          <cell r="AV32">
            <v>315.27623818608896</v>
          </cell>
          <cell r="AW32">
            <v>313.27906325184256</v>
          </cell>
          <cell r="AX32">
            <v>311.39810788513546</v>
          </cell>
          <cell r="AY32">
            <v>309.75522759342175</v>
          </cell>
          <cell r="AZ32">
            <v>307.80096283779636</v>
          </cell>
          <cell r="BA32">
            <v>305.76225529470213</v>
          </cell>
          <cell r="BB32">
            <v>303.83366947279353</v>
          </cell>
          <cell r="BC32">
            <v>301.8829026871008</v>
          </cell>
          <cell r="BD32">
            <v>299.94447779031225</v>
          </cell>
          <cell r="BE32">
            <v>298.23496795858517</v>
          </cell>
          <cell r="BF32">
            <v>296.27245680521833</v>
          </cell>
        </row>
        <row r="33">
          <cell r="B33">
            <v>322.7</v>
          </cell>
          <cell r="C33">
            <v>298.89999999999998</v>
          </cell>
          <cell r="D33">
            <v>279.10000000000002</v>
          </cell>
          <cell r="E33">
            <v>297.10000000000002</v>
          </cell>
          <cell r="F33">
            <v>299.89999999999998</v>
          </cell>
          <cell r="G33">
            <v>322.89999999999998</v>
          </cell>
          <cell r="H33">
            <v>301.10000000000002</v>
          </cell>
          <cell r="I33">
            <v>279.3</v>
          </cell>
          <cell r="J33">
            <v>295.2</v>
          </cell>
          <cell r="K33">
            <v>322.7</v>
          </cell>
          <cell r="L33">
            <v>310.7</v>
          </cell>
          <cell r="M33">
            <v>344.4</v>
          </cell>
          <cell r="N33">
            <v>313.60000000000002</v>
          </cell>
          <cell r="O33">
            <v>279.2</v>
          </cell>
          <cell r="P33">
            <v>300.7</v>
          </cell>
          <cell r="Q33">
            <v>291.5</v>
          </cell>
          <cell r="R33">
            <v>271.25552000000005</v>
          </cell>
          <cell r="S33">
            <v>294.4062713157814</v>
          </cell>
          <cell r="T33">
            <v>238.4542881914675</v>
          </cell>
          <cell r="U33">
            <v>248.4054672175198</v>
          </cell>
          <cell r="V33">
            <v>246.57298227289485</v>
          </cell>
          <cell r="W33">
            <v>270.02199999999999</v>
          </cell>
          <cell r="X33">
            <v>310.89800000000002</v>
          </cell>
          <cell r="Y33">
            <v>297.59899999999999</v>
          </cell>
          <cell r="Z33">
            <v>330.27300000000002</v>
          </cell>
          <cell r="AA33">
            <v>299.50599999999997</v>
          </cell>
          <cell r="AB33">
            <v>328.26</v>
          </cell>
          <cell r="AC33">
            <v>350.05399999999997</v>
          </cell>
          <cell r="AD33">
            <v>353.93</v>
          </cell>
          <cell r="AE33">
            <v>291.18599999999998</v>
          </cell>
          <cell r="AF33">
            <v>333.82499999999999</v>
          </cell>
          <cell r="AG33">
            <v>313.90674386343869</v>
          </cell>
          <cell r="AH33">
            <v>369.07639854722419</v>
          </cell>
          <cell r="AI33">
            <v>360.27451329134516</v>
          </cell>
          <cell r="AJ33">
            <v>368.28629426804815</v>
          </cell>
          <cell r="AK33">
            <v>372.3335787709637</v>
          </cell>
          <cell r="AL33">
            <v>381.72504360264554</v>
          </cell>
          <cell r="AM33">
            <v>389.080996096386</v>
          </cell>
          <cell r="AN33">
            <v>374.95565891754285</v>
          </cell>
          <cell r="AO33">
            <v>377.63916522165113</v>
          </cell>
          <cell r="AP33">
            <v>377.47198708653588</v>
          </cell>
          <cell r="AQ33">
            <v>376.93638529907429</v>
          </cell>
          <cell r="AR33">
            <v>375.51699397963517</v>
          </cell>
          <cell r="AS33">
            <v>384.24793204067805</v>
          </cell>
          <cell r="AT33">
            <v>379.11742760976784</v>
          </cell>
          <cell r="AU33">
            <v>378.60167599423153</v>
          </cell>
          <cell r="AV33">
            <v>376.50049195271964</v>
          </cell>
          <cell r="AW33">
            <v>374.32183565022194</v>
          </cell>
          <cell r="AX33">
            <v>371.85477991416843</v>
          </cell>
          <cell r="AY33">
            <v>369.52525578429322</v>
          </cell>
          <cell r="AZ33">
            <v>367.04818569782753</v>
          </cell>
          <cell r="BA33">
            <v>365.0619473761937</v>
          </cell>
          <cell r="BB33">
            <v>362.69614053459293</v>
          </cell>
          <cell r="BC33">
            <v>360.35024041090247</v>
          </cell>
          <cell r="BD33">
            <v>357.96794350269397</v>
          </cell>
          <cell r="BE33">
            <v>355.90028016924276</v>
          </cell>
          <cell r="BF33">
            <v>353.58820270491077</v>
          </cell>
        </row>
        <row r="38">
          <cell r="C38">
            <v>3.0805183206</v>
          </cell>
          <cell r="D38">
            <v>1.7789094918000001</v>
          </cell>
          <cell r="E38">
            <v>5.8217453153999994</v>
          </cell>
          <cell r="F38">
            <v>8.2119964878000005</v>
          </cell>
          <cell r="G38">
            <v>5.1440445126000007</v>
          </cell>
          <cell r="H38">
            <v>6.7271835708000012</v>
          </cell>
          <cell r="I38">
            <v>5.4033080598000005</v>
          </cell>
          <cell r="J38">
            <v>4.1632081848000011</v>
          </cell>
          <cell r="K38">
            <v>1.9625545044000003</v>
          </cell>
          <cell r="L38">
            <v>0.44687687939999998</v>
          </cell>
          <cell r="M38">
            <v>7.6057254378000003</v>
          </cell>
          <cell r="N38">
            <v>0.73215496620000009</v>
          </cell>
          <cell r="O38">
            <v>5.0331520259999998</v>
          </cell>
          <cell r="P38">
            <v>5.4897292422000001</v>
          </cell>
          <cell r="Q38">
            <v>6.6539901203999996</v>
          </cell>
          <cell r="R38">
            <v>2.3536544471999998</v>
          </cell>
          <cell r="S38">
            <v>5.4028671354000002</v>
          </cell>
          <cell r="T38">
            <v>6.5168626320000005</v>
          </cell>
          <cell r="U38">
            <v>13.348744</v>
          </cell>
          <cell r="V38">
            <v>13.898210000000001</v>
          </cell>
          <cell r="W38">
            <v>12.555975999999999</v>
          </cell>
          <cell r="X38">
            <v>11.433107</v>
          </cell>
          <cell r="Y38">
            <v>13.375899</v>
          </cell>
          <cell r="Z38">
            <v>22.657717000000002</v>
          </cell>
          <cell r="AA38">
            <v>35.431179953840001</v>
          </cell>
          <cell r="AB38">
            <v>7.9776710013000001</v>
          </cell>
          <cell r="AC38">
            <v>39.960761341160001</v>
          </cell>
          <cell r="AD38">
            <v>63.675419961779994</v>
          </cell>
          <cell r="AE38">
            <v>121.226862</v>
          </cell>
          <cell r="AF38">
            <v>166.254729</v>
          </cell>
          <cell r="AG38">
            <v>102.56839785676</v>
          </cell>
          <cell r="AH38">
            <v>389.21952298386549</v>
          </cell>
          <cell r="AI38">
            <v>403.60294402102636</v>
          </cell>
          <cell r="AJ38">
            <v>507.48146272467756</v>
          </cell>
          <cell r="AK38">
            <v>542.2348338805956</v>
          </cell>
          <cell r="AL38">
            <v>577.16281081190493</v>
          </cell>
          <cell r="AM38">
            <v>680.13054472691351</v>
          </cell>
          <cell r="AN38">
            <v>645.69860699862272</v>
          </cell>
          <cell r="AO38">
            <v>679.91869023020399</v>
          </cell>
          <cell r="AP38">
            <v>874.0614287882704</v>
          </cell>
          <cell r="AQ38">
            <v>861.86935736154032</v>
          </cell>
          <cell r="AR38">
            <v>848.33572562111021</v>
          </cell>
          <cell r="AS38">
            <v>806.9767617999496</v>
          </cell>
          <cell r="AT38">
            <v>864.23239276021491</v>
          </cell>
          <cell r="AU38">
            <v>951.09513326621709</v>
          </cell>
          <cell r="AV38">
            <v>916.50187416180631</v>
          </cell>
          <cell r="AW38">
            <v>927.42837752185949</v>
          </cell>
          <cell r="AX38">
            <v>943.24690790200953</v>
          </cell>
          <cell r="AY38">
            <v>1020.5009371224214</v>
          </cell>
          <cell r="AZ38">
            <v>1076.7546459948628</v>
          </cell>
          <cell r="BA38">
            <v>1101.8865485405918</v>
          </cell>
          <cell r="BB38">
            <v>1063.9634834163492</v>
          </cell>
          <cell r="BC38">
            <v>1041.2705045952468</v>
          </cell>
          <cell r="BD38">
            <v>1060.8752239338944</v>
          </cell>
          <cell r="BE38">
            <v>1043.9500812961892</v>
          </cell>
          <cell r="BF38">
            <v>1062.3891683564543</v>
          </cell>
          <cell r="BG38">
            <v>1054.489692319627</v>
          </cell>
        </row>
        <row r="39">
          <cell r="C39">
            <v>3.6105094494000003</v>
          </cell>
          <cell r="D39">
            <v>1.8928884492</v>
          </cell>
          <cell r="E39">
            <v>4.0992741468</v>
          </cell>
          <cell r="F39">
            <v>7.7851816685999999</v>
          </cell>
          <cell r="G39">
            <v>3.9947750639999997</v>
          </cell>
          <cell r="H39">
            <v>4.9826661822</v>
          </cell>
          <cell r="I39">
            <v>7.2827483148000001</v>
          </cell>
          <cell r="J39">
            <v>5.9304331799999996</v>
          </cell>
          <cell r="K39">
            <v>4.1140451142000005</v>
          </cell>
          <cell r="L39">
            <v>0.93035048400000009</v>
          </cell>
          <cell r="M39">
            <v>7.0920485118000007</v>
          </cell>
          <cell r="N39">
            <v>3.0474489906</v>
          </cell>
          <cell r="O39">
            <v>3.8849848884000004</v>
          </cell>
          <cell r="P39">
            <v>4.6332335952000001</v>
          </cell>
          <cell r="Q39">
            <v>5.6638943802000004</v>
          </cell>
          <cell r="R39">
            <v>3.0560470164000004</v>
          </cell>
          <cell r="S39">
            <v>7.0814663262000002</v>
          </cell>
          <cell r="T39">
            <v>7.6791393503999998</v>
          </cell>
          <cell r="U39">
            <v>9.6258799999999987</v>
          </cell>
          <cell r="V39">
            <v>12.067821</v>
          </cell>
          <cell r="W39">
            <v>12.717696999999999</v>
          </cell>
          <cell r="X39">
            <v>13.744643999999999</v>
          </cell>
          <cell r="Y39">
            <v>17.751017999999998</v>
          </cell>
          <cell r="Z39">
            <v>12.024434000000001</v>
          </cell>
          <cell r="AA39">
            <v>31.907066223779999</v>
          </cell>
          <cell r="AB39">
            <v>32.476224150699998</v>
          </cell>
          <cell r="AC39">
            <v>43.25556593116</v>
          </cell>
          <cell r="AD39">
            <v>67.293489000000008</v>
          </cell>
          <cell r="AE39">
            <v>158.68839600000001</v>
          </cell>
          <cell r="AF39">
            <v>264.017403</v>
          </cell>
          <cell r="AG39">
            <v>195.86665962335999</v>
          </cell>
          <cell r="AH39">
            <v>359.65302453464199</v>
          </cell>
          <cell r="AI39">
            <v>372.94382978385494</v>
          </cell>
          <cell r="AJ39">
            <v>476.52772242055642</v>
          </cell>
          <cell r="AK39">
            <v>510.54019283504857</v>
          </cell>
          <cell r="AL39">
            <v>544.71400534959594</v>
          </cell>
          <cell r="AM39">
            <v>647.45629964759064</v>
          </cell>
          <cell r="AN39">
            <v>611.84175657236062</v>
          </cell>
          <cell r="AO39">
            <v>643.46236064615869</v>
          </cell>
          <cell r="AP39">
            <v>838.05003760302895</v>
          </cell>
          <cell r="AQ39">
            <v>819.18776380801035</v>
          </cell>
          <cell r="AR39">
            <v>811.99964365542996</v>
          </cell>
          <cell r="AS39">
            <v>794.90831245699769</v>
          </cell>
          <cell r="AT39">
            <v>831.52162363392529</v>
          </cell>
          <cell r="AU39">
            <v>919.13347623147843</v>
          </cell>
          <cell r="AV39">
            <v>885.35016395716832</v>
          </cell>
          <cell r="AW39">
            <v>898.58264398699998</v>
          </cell>
          <cell r="AX39">
            <v>915.89924405331408</v>
          </cell>
          <cell r="AY39">
            <v>990.09743037257726</v>
          </cell>
          <cell r="AZ39">
            <v>1046.8125917203074</v>
          </cell>
          <cell r="BA39">
            <v>1072.3484148180735</v>
          </cell>
          <cell r="BB39">
            <v>1034.7480649902545</v>
          </cell>
          <cell r="BC39">
            <v>1011.9811491909053</v>
          </cell>
          <cell r="BD39">
            <v>1031.1975302184235</v>
          </cell>
          <cell r="BE39">
            <v>1039.417550187593</v>
          </cell>
          <cell r="BF39">
            <v>987.93854188105001</v>
          </cell>
          <cell r="BG39">
            <v>971.05656729364512</v>
          </cell>
        </row>
        <row r="40">
          <cell r="C40">
            <v>3.8322944226</v>
          </cell>
          <cell r="D40">
            <v>0.42108280200000003</v>
          </cell>
          <cell r="E40">
            <v>3.0406146623999999</v>
          </cell>
          <cell r="F40">
            <v>5.8248317862000007</v>
          </cell>
          <cell r="G40">
            <v>0.61178260500000003</v>
          </cell>
          <cell r="H40">
            <v>9.3447312714000006</v>
          </cell>
          <cell r="I40">
            <v>4.3466327352</v>
          </cell>
          <cell r="J40">
            <v>3.852576945</v>
          </cell>
          <cell r="K40">
            <v>4.1032424664000002</v>
          </cell>
          <cell r="L40">
            <v>0.81923753519999998</v>
          </cell>
          <cell r="M40">
            <v>2.4859317671999999</v>
          </cell>
          <cell r="N40">
            <v>2.9116442754000005</v>
          </cell>
          <cell r="O40">
            <v>2.3640161705999998</v>
          </cell>
          <cell r="P40">
            <v>5.7721413204000003</v>
          </cell>
          <cell r="Q40">
            <v>6.5137761612</v>
          </cell>
          <cell r="R40">
            <v>2.7134487576000001</v>
          </cell>
          <cell r="S40">
            <v>5.1001725348000004</v>
          </cell>
          <cell r="T40">
            <v>6.0629309622000003</v>
          </cell>
          <cell r="U40">
            <v>10.034679000000001</v>
          </cell>
          <cell r="V40">
            <v>9.1898409999999995</v>
          </cell>
          <cell r="W40">
            <v>12.263683</v>
          </cell>
          <cell r="X40">
            <v>14.776562</v>
          </cell>
          <cell r="Y40">
            <v>9.545947</v>
          </cell>
          <cell r="Z40">
            <v>13.067845</v>
          </cell>
          <cell r="AA40">
            <v>25.003192872020001</v>
          </cell>
          <cell r="AB40">
            <v>31.446726135439999</v>
          </cell>
          <cell r="AC40">
            <v>40.34067468728</v>
          </cell>
          <cell r="AD40">
            <v>77.255639000000002</v>
          </cell>
          <cell r="AE40">
            <v>135.88752199999999</v>
          </cell>
          <cell r="AF40">
            <v>197.243236</v>
          </cell>
          <cell r="AG40">
            <v>177.07444787867999</v>
          </cell>
          <cell r="AH40">
            <v>209.83366459523342</v>
          </cell>
          <cell r="AI40">
            <v>321.28341926117412</v>
          </cell>
          <cell r="AJ40">
            <v>124.37086886786619</v>
          </cell>
          <cell r="AK40">
            <v>257.1349262929117</v>
          </cell>
          <cell r="AL40">
            <v>290.03797661028239</v>
          </cell>
          <cell r="AM40">
            <v>342.40040660192687</v>
          </cell>
          <cell r="AN40">
            <v>654.79318111465454</v>
          </cell>
          <cell r="AO40">
            <v>732.03367950772781</v>
          </cell>
          <cell r="AP40">
            <v>677.37107480811233</v>
          </cell>
          <cell r="AQ40">
            <v>747.26955287469309</v>
          </cell>
          <cell r="AR40">
            <v>730.77357898142304</v>
          </cell>
          <cell r="AS40">
            <v>758.44821345732214</v>
          </cell>
          <cell r="AT40">
            <v>779.1792199258557</v>
          </cell>
          <cell r="AU40">
            <v>838.60832800948128</v>
          </cell>
          <cell r="AV40">
            <v>820.85577864975505</v>
          </cell>
          <cell r="AW40">
            <v>835.57302380476744</v>
          </cell>
          <cell r="AX40">
            <v>856.53291276943639</v>
          </cell>
          <cell r="AY40">
            <v>926.14985263185918</v>
          </cell>
          <cell r="AZ40">
            <v>980.54397917305982</v>
          </cell>
          <cell r="BA40">
            <v>1008.9311094057755</v>
          </cell>
          <cell r="BB40">
            <v>971.54617555697973</v>
          </cell>
          <cell r="BC40">
            <v>948.7408059074221</v>
          </cell>
          <cell r="BD40">
            <v>967.18238453501931</v>
          </cell>
          <cell r="BE40">
            <v>975.38889091565125</v>
          </cell>
          <cell r="BF40">
            <v>924.3578732641696</v>
          </cell>
          <cell r="BG40">
            <v>907.4432260358484</v>
          </cell>
        </row>
        <row r="41">
          <cell r="B41">
            <v>3.8532383316000001</v>
          </cell>
          <cell r="C41">
            <v>4.6488864113999995</v>
          </cell>
          <cell r="D41">
            <v>0.5740835688</v>
          </cell>
          <cell r="E41">
            <v>3.3102399329999996</v>
          </cell>
          <cell r="F41">
            <v>3.2709976614</v>
          </cell>
          <cell r="G41">
            <v>6.6414237749999998</v>
          </cell>
          <cell r="H41">
            <v>4.2445587366000002</v>
          </cell>
          <cell r="I41">
            <v>5.5807801308000009</v>
          </cell>
          <cell r="J41">
            <v>2.4257455866000002</v>
          </cell>
          <cell r="K41">
            <v>3.6175642398000005</v>
          </cell>
          <cell r="L41">
            <v>0.57937466160000006</v>
          </cell>
          <cell r="M41">
            <v>2.3353560845999999</v>
          </cell>
          <cell r="N41">
            <v>1.8424026054</v>
          </cell>
          <cell r="O41">
            <v>4.7035610370000001</v>
          </cell>
          <cell r="P41">
            <v>3.8640409794000004</v>
          </cell>
          <cell r="Q41">
            <v>4.9978780739999999</v>
          </cell>
          <cell r="R41">
            <v>2.5335516023999998</v>
          </cell>
          <cell r="S41">
            <v>6.3160215678</v>
          </cell>
          <cell r="T41">
            <v>8.9126659999999998</v>
          </cell>
          <cell r="U41">
            <v>8.7374189999999992</v>
          </cell>
          <cell r="V41">
            <v>9.7431959999999993</v>
          </cell>
          <cell r="W41">
            <v>9.8510220000000004</v>
          </cell>
          <cell r="X41">
            <v>12.099367000000001</v>
          </cell>
          <cell r="Y41">
            <v>11.935420000000001</v>
          </cell>
          <cell r="Z41">
            <v>13.717806000000001</v>
          </cell>
          <cell r="AA41">
            <v>28.897444663120002</v>
          </cell>
          <cell r="AB41">
            <v>47.857403738979997</v>
          </cell>
          <cell r="AC41">
            <v>35.786749</v>
          </cell>
          <cell r="AD41">
            <v>71.860951</v>
          </cell>
          <cell r="AE41">
            <v>103.96645699999999</v>
          </cell>
          <cell r="AF41">
            <v>193.62886300000002</v>
          </cell>
          <cell r="AG41">
            <v>175.64446300346</v>
          </cell>
          <cell r="AH41">
            <v>313.10953914023673</v>
          </cell>
          <cell r="AI41">
            <v>441.1184398973723</v>
          </cell>
          <cell r="AJ41">
            <v>448.68496931182096</v>
          </cell>
          <cell r="AK41">
            <v>481.38695545341659</v>
          </cell>
          <cell r="AL41">
            <v>483.68928206471799</v>
          </cell>
          <cell r="AM41">
            <v>595.76676781008325</v>
          </cell>
          <cell r="AN41">
            <v>672.31423147135615</v>
          </cell>
          <cell r="AO41">
            <v>717.77024967470163</v>
          </cell>
          <cell r="AP41">
            <v>885.89041692254773</v>
          </cell>
          <cell r="AQ41">
            <v>844.43736575744026</v>
          </cell>
          <cell r="AR41">
            <v>818.23580632722576</v>
          </cell>
          <cell r="AS41">
            <v>812.72961403065426</v>
          </cell>
          <cell r="AT41">
            <v>865.81269054251402</v>
          </cell>
          <cell r="AU41">
            <v>945.42117871607638</v>
          </cell>
          <cell r="AV41">
            <v>907.32733107478214</v>
          </cell>
          <cell r="AW41">
            <v>919.90532413825042</v>
          </cell>
          <cell r="AX41">
            <v>940.23922770045533</v>
          </cell>
          <cell r="AY41">
            <v>1015.7411504344157</v>
          </cell>
          <cell r="AZ41">
            <v>1070.7268424127958</v>
          </cell>
          <cell r="BA41">
            <v>1095.78797515214</v>
          </cell>
          <cell r="BB41">
            <v>1058.4801039676117</v>
          </cell>
          <cell r="BC41">
            <v>1036.1950599334837</v>
          </cell>
          <cell r="BD41">
            <v>1055.3862263800893</v>
          </cell>
          <cell r="BE41">
            <v>1038.3152415692241</v>
          </cell>
          <cell r="BF41">
            <v>1006.8329214005098</v>
          </cell>
        </row>
        <row r="42">
          <cell r="B42">
            <v>1.683228897</v>
          </cell>
          <cell r="C42">
            <v>4.0291671671999998</v>
          </cell>
          <cell r="D42">
            <v>0.99957561480000012</v>
          </cell>
          <cell r="E42">
            <v>4.3073904636000009</v>
          </cell>
          <cell r="F42">
            <v>4.9573130291999998</v>
          </cell>
          <cell r="G42">
            <v>1.6790401152000001</v>
          </cell>
          <cell r="H42">
            <v>2.9489023872</v>
          </cell>
          <cell r="I42">
            <v>4.0692912876000005</v>
          </cell>
          <cell r="J42">
            <v>4.2377244084000001</v>
          </cell>
          <cell r="K42">
            <v>3.1964814378000002</v>
          </cell>
          <cell r="L42">
            <v>1.1801341565999999</v>
          </cell>
          <cell r="M42">
            <v>7.1039534705999996</v>
          </cell>
          <cell r="N42">
            <v>3.3448524983999999</v>
          </cell>
          <cell r="O42">
            <v>2.5683846300000002</v>
          </cell>
          <cell r="P42">
            <v>3.1475388294000002</v>
          </cell>
          <cell r="Q42">
            <v>1.3554016056</v>
          </cell>
          <cell r="R42">
            <v>3.2150002625999998</v>
          </cell>
          <cell r="S42">
            <v>2.7291015737999995</v>
          </cell>
          <cell r="T42">
            <v>12.667735</v>
          </cell>
          <cell r="U42">
            <v>10.157033999999999</v>
          </cell>
          <cell r="V42">
            <v>9.9952819999999996</v>
          </cell>
          <cell r="W42">
            <v>9.7545559999999991</v>
          </cell>
          <cell r="X42">
            <v>11.828217</v>
          </cell>
          <cell r="Y42">
            <v>9.8451339999999998</v>
          </cell>
          <cell r="Z42">
            <v>22.93691939088</v>
          </cell>
          <cell r="AA42">
            <v>27.20229470816</v>
          </cell>
          <cell r="AB42">
            <v>26.550395188020001</v>
          </cell>
          <cell r="AC42">
            <v>30.984408999999999</v>
          </cell>
          <cell r="AD42">
            <v>30.751085</v>
          </cell>
          <cell r="AE42">
            <v>62.784942999999998</v>
          </cell>
          <cell r="AF42">
            <v>164.072664</v>
          </cell>
          <cell r="AG42">
            <v>323.2672954859442</v>
          </cell>
          <cell r="AH42">
            <v>377.82100999547509</v>
          </cell>
          <cell r="AI42">
            <v>506.45177105806903</v>
          </cell>
          <cell r="AJ42">
            <v>515.58210223027595</v>
          </cell>
          <cell r="AK42">
            <v>549.87588545700009</v>
          </cell>
          <cell r="AL42">
            <v>552.65404216218985</v>
          </cell>
          <cell r="AM42">
            <v>667.22762518061108</v>
          </cell>
          <cell r="AN42">
            <v>749.26174832122842</v>
          </cell>
          <cell r="AO42">
            <v>793.77864551788616</v>
          </cell>
          <cell r="AP42">
            <v>975.97745192063394</v>
          </cell>
          <cell r="AQ42">
            <v>925.95715007483068</v>
          </cell>
          <cell r="AR42">
            <v>897.44052420303819</v>
          </cell>
          <cell r="AS42">
            <v>893.48310400752348</v>
          </cell>
          <cell r="AT42">
            <v>947.32737514478254</v>
          </cell>
          <cell r="AU42">
            <v>1028.0371210701617</v>
          </cell>
          <cell r="AV42">
            <v>988.44905490006727</v>
          </cell>
          <cell r="AW42">
            <v>950.9474358651147</v>
          </cell>
          <cell r="AX42">
            <v>1011.6488181975301</v>
          </cell>
          <cell r="AY42">
            <v>1085.2819610355314</v>
          </cell>
          <cell r="AZ42">
            <v>1137.8728782136809</v>
          </cell>
          <cell r="BA42">
            <v>1159.8400296423849</v>
          </cell>
          <cell r="BB42">
            <v>1119.1182245908485</v>
          </cell>
          <cell r="BC42">
            <v>1152.7523823359952</v>
          </cell>
          <cell r="BD42">
            <v>1180.9730951636882</v>
          </cell>
          <cell r="BE42">
            <v>1125.1113219893195</v>
          </cell>
          <cell r="BF42">
            <v>1097.5590107444473</v>
          </cell>
        </row>
        <row r="43">
          <cell r="B43">
            <v>2.0304568619999999</v>
          </cell>
          <cell r="C43">
            <v>3.4866096929999997</v>
          </cell>
          <cell r="D43">
            <v>0.67924403820000012</v>
          </cell>
          <cell r="E43">
            <v>3.8430970704000003</v>
          </cell>
          <cell r="F43">
            <v>4.4028505961999995</v>
          </cell>
          <cell r="G43">
            <v>5.2317884682000004</v>
          </cell>
          <cell r="H43">
            <v>5.2223085936000011</v>
          </cell>
          <cell r="I43">
            <v>5.5849689125999999</v>
          </cell>
          <cell r="J43">
            <v>5.4134493209999999</v>
          </cell>
          <cell r="K43">
            <v>3.5624486898000005</v>
          </cell>
          <cell r="L43">
            <v>0.72642294900000004</v>
          </cell>
          <cell r="M43">
            <v>2.0785176216000001</v>
          </cell>
          <cell r="N43">
            <v>3.9229043868000004</v>
          </cell>
          <cell r="O43">
            <v>1.9691683704</v>
          </cell>
          <cell r="P43">
            <v>4.7088521298000003</v>
          </cell>
          <cell r="Q43">
            <v>1.7584065072000004</v>
          </cell>
          <cell r="R43">
            <v>5.7785347242000009</v>
          </cell>
          <cell r="S43">
            <v>5.6162745450000005</v>
          </cell>
          <cell r="T43">
            <v>10.579891</v>
          </cell>
          <cell r="U43">
            <v>13.096935999999999</v>
          </cell>
          <cell r="V43">
            <v>10.176300999999999</v>
          </cell>
          <cell r="W43">
            <v>14.590252</v>
          </cell>
          <cell r="X43">
            <v>15.745883000000001</v>
          </cell>
          <cell r="Y43">
            <v>15.534898999999999</v>
          </cell>
          <cell r="Z43">
            <v>22.97415321806</v>
          </cell>
          <cell r="AA43">
            <v>47.335100600920001</v>
          </cell>
          <cell r="AB43">
            <v>32.119732687460001</v>
          </cell>
          <cell r="AC43">
            <v>35.139523999999994</v>
          </cell>
          <cell r="AD43">
            <v>76.318060000000003</v>
          </cell>
          <cell r="AE43">
            <v>140.56934700000002</v>
          </cell>
          <cell r="AF43">
            <v>170.50000399999999</v>
          </cell>
          <cell r="AG43">
            <v>350.91655731390443</v>
          </cell>
          <cell r="AH43">
            <v>432.52722690884832</v>
          </cell>
          <cell r="AI43">
            <v>586.92394386367596</v>
          </cell>
          <cell r="AJ43">
            <v>597.98043620122314</v>
          </cell>
          <cell r="AK43">
            <v>609.23486291313611</v>
          </cell>
          <cell r="AL43">
            <v>637.59910762059417</v>
          </cell>
          <cell r="AM43">
            <v>755.24717601314865</v>
          </cell>
          <cell r="AN43">
            <v>844.03931075218475</v>
          </cell>
          <cell r="AO43">
            <v>1037.3994766664641</v>
          </cell>
          <cell r="AP43">
            <v>936.93918185415851</v>
          </cell>
          <cell r="AQ43">
            <v>950</v>
          </cell>
          <cell r="AR43">
            <v>1004.7250290571913</v>
          </cell>
          <cell r="AS43">
            <v>979.62059966599975</v>
          </cell>
          <cell r="AT43">
            <v>1031.7368574487627</v>
          </cell>
          <cell r="AU43">
            <v>1080.6043336052226</v>
          </cell>
          <cell r="AV43">
            <v>1059.3373639554352</v>
          </cell>
          <cell r="AW43">
            <v>1031.2048367465225</v>
          </cell>
          <cell r="AX43">
            <v>1086.5007982843886</v>
          </cell>
          <cell r="AY43">
            <v>1157.8768380080662</v>
          </cell>
          <cell r="AZ43">
            <v>1183.1048341199271</v>
          </cell>
          <cell r="BA43">
            <v>1203.6049342228678</v>
          </cell>
          <cell r="BB43">
            <v>1182.4584482763546</v>
          </cell>
          <cell r="BC43">
            <v>1212.7091705823209</v>
          </cell>
          <cell r="BD43">
            <v>1287.9508450419075</v>
          </cell>
          <cell r="BE43">
            <v>1188.9656464486754</v>
          </cell>
          <cell r="BF43">
            <v>1165.1378089144252</v>
          </cell>
        </row>
        <row r="44">
          <cell r="B44">
            <v>1.7621543646</v>
          </cell>
          <cell r="C44">
            <v>2.4616809252000005</v>
          </cell>
          <cell r="D44">
            <v>2.609170137</v>
          </cell>
          <cell r="E44">
            <v>4.1482167552</v>
          </cell>
          <cell r="F44">
            <v>6.0267751613999998</v>
          </cell>
          <cell r="G44">
            <v>4.9473922302000002</v>
          </cell>
          <cell r="H44">
            <v>3.8755050138000002</v>
          </cell>
          <cell r="I44">
            <v>4.4323925310000005</v>
          </cell>
          <cell r="J44">
            <v>7.0140048930000001</v>
          </cell>
          <cell r="K44">
            <v>5.1129593423999999</v>
          </cell>
          <cell r="L44">
            <v>4.0441585968</v>
          </cell>
          <cell r="M44">
            <v>6.3927424134000006</v>
          </cell>
          <cell r="N44">
            <v>1.7207074710000001</v>
          </cell>
          <cell r="O44">
            <v>4.9632655085999993</v>
          </cell>
          <cell r="P44">
            <v>4.1759949924000006</v>
          </cell>
          <cell r="Q44">
            <v>0.49581948780000001</v>
          </cell>
          <cell r="R44">
            <v>4.6782078840000008</v>
          </cell>
          <cell r="S44">
            <v>5.1971759028000006</v>
          </cell>
          <cell r="T44">
            <v>7.8010600000000005</v>
          </cell>
          <cell r="U44">
            <v>10.798073</v>
          </cell>
          <cell r="V44">
            <v>11.788382</v>
          </cell>
          <cell r="W44">
            <v>11.181889</v>
          </cell>
          <cell r="X44">
            <v>12.964496</v>
          </cell>
          <cell r="Y44">
            <v>13.535234000000001</v>
          </cell>
          <cell r="Z44">
            <v>9.4971590392800014</v>
          </cell>
          <cell r="AA44">
            <v>27.694398961459999</v>
          </cell>
          <cell r="AB44">
            <v>38.59261385232</v>
          </cell>
          <cell r="AC44">
            <v>43.761764999999997</v>
          </cell>
          <cell r="AD44">
            <v>116.67876200000001</v>
          </cell>
          <cell r="AE44">
            <v>135.70073199999999</v>
          </cell>
          <cell r="AF44">
            <v>86.476101999999997</v>
          </cell>
          <cell r="AG44">
            <v>250.59408778068524</v>
          </cell>
          <cell r="AH44">
            <v>321.47289634797585</v>
          </cell>
          <cell r="AI44">
            <v>474.80241023953909</v>
          </cell>
          <cell r="AJ44">
            <v>483.17519047716706</v>
          </cell>
          <cell r="AK44">
            <v>466.69786102063927</v>
          </cell>
          <cell r="AL44">
            <v>569.24551182536072</v>
          </cell>
          <cell r="AM44">
            <v>632.60991291735013</v>
          </cell>
          <cell r="AN44">
            <v>711.98613904789363</v>
          </cell>
          <cell r="AO44">
            <v>906.95797370242894</v>
          </cell>
          <cell r="AP44">
            <v>732.33667890214144</v>
          </cell>
          <cell r="AQ44">
            <v>750</v>
          </cell>
          <cell r="AR44">
            <v>896.77814091396283</v>
          </cell>
          <cell r="AS44">
            <v>824.61178651328532</v>
          </cell>
          <cell r="AT44">
            <v>922.13691600636378</v>
          </cell>
          <cell r="AU44">
            <v>925.17270446715088</v>
          </cell>
          <cell r="AV44">
            <v>913.73990958015258</v>
          </cell>
          <cell r="AW44">
            <v>896.48789149618312</v>
          </cell>
          <cell r="AX44">
            <v>996.42984161262723</v>
          </cell>
          <cell r="AY44">
            <v>1030.7934526324957</v>
          </cell>
          <cell r="AZ44">
            <v>1052.5247599577219</v>
          </cell>
          <cell r="BA44">
            <v>1077.9951710558362</v>
          </cell>
          <cell r="BB44">
            <v>1060.8462233509729</v>
          </cell>
          <cell r="BC44">
            <v>1093.7178897219305</v>
          </cell>
          <cell r="BD44">
            <v>1163.1754993437912</v>
          </cell>
          <cell r="BE44">
            <v>1064.6519086860505</v>
          </cell>
          <cell r="BF44">
            <v>1092.0773384317163</v>
          </cell>
        </row>
        <row r="45">
          <cell r="B45">
            <v>3.1753170665999999</v>
          </cell>
          <cell r="C45">
            <v>2.4464690334000001</v>
          </cell>
          <cell r="D45">
            <v>3.3545528351999998</v>
          </cell>
          <cell r="E45">
            <v>4.786895748600001</v>
          </cell>
          <cell r="F45">
            <v>6.3107304749999997</v>
          </cell>
          <cell r="G45">
            <v>1.8051444936000001</v>
          </cell>
          <cell r="H45">
            <v>6.8028021053999996</v>
          </cell>
          <cell r="I45">
            <v>3.6263827278000003</v>
          </cell>
          <cell r="J45">
            <v>5.5078071426000008</v>
          </cell>
          <cell r="K45">
            <v>4.3539079878000004</v>
          </cell>
          <cell r="L45">
            <v>9.2181859686000003</v>
          </cell>
          <cell r="M45">
            <v>5.6872633733999995</v>
          </cell>
          <cell r="N45">
            <v>3.2388101802000002</v>
          </cell>
          <cell r="O45">
            <v>3.6669477725999999</v>
          </cell>
          <cell r="P45">
            <v>5.7152620727999999</v>
          </cell>
          <cell r="Q45">
            <v>0.724218327</v>
          </cell>
          <cell r="R45">
            <v>5.2029079199999995</v>
          </cell>
          <cell r="S45">
            <v>4.5080110655999999</v>
          </cell>
          <cell r="T45">
            <v>10.305357000000001</v>
          </cell>
          <cell r="U45">
            <v>13.305866</v>
          </cell>
          <cell r="V45">
            <v>11.689049000000001</v>
          </cell>
          <cell r="W45">
            <v>10.013254000000002</v>
          </cell>
          <cell r="X45">
            <v>15.299014000000001</v>
          </cell>
          <cell r="Y45">
            <v>12.863732000000001</v>
          </cell>
          <cell r="Z45">
            <v>7.5981941699400002</v>
          </cell>
          <cell r="AA45">
            <v>36.180682410620001</v>
          </cell>
          <cell r="AB45">
            <v>39.112483089900003</v>
          </cell>
          <cell r="AC45">
            <v>54.260813999999996</v>
          </cell>
          <cell r="AD45">
            <v>69.709271999999999</v>
          </cell>
          <cell r="AE45">
            <v>93.2089</v>
          </cell>
          <cell r="AF45">
            <v>189.48645000000002</v>
          </cell>
          <cell r="AG45">
            <v>241.94681125081681</v>
          </cell>
          <cell r="AH45">
            <v>334.51711969195406</v>
          </cell>
          <cell r="AI45">
            <v>462.73174169765775</v>
          </cell>
          <cell r="AJ45">
            <v>470.81560152746692</v>
          </cell>
          <cell r="AK45">
            <v>454.04417938257973</v>
          </cell>
          <cell r="AL45">
            <v>556.50391813316992</v>
          </cell>
          <cell r="AM45">
            <v>519.4071524317925</v>
          </cell>
          <cell r="AN45">
            <v>697.76969003917702</v>
          </cell>
          <cell r="AO45">
            <v>842.91503212385646</v>
          </cell>
          <cell r="AP45">
            <v>715.69263641932184</v>
          </cell>
          <cell r="AQ45">
            <v>850</v>
          </cell>
          <cell r="AR45">
            <v>875.15690220282954</v>
          </cell>
          <cell r="AS45">
            <v>821.30685215703704</v>
          </cell>
          <cell r="AT45">
            <v>871.01428458060889</v>
          </cell>
          <cell r="AU45">
            <v>926.63413507195946</v>
          </cell>
          <cell r="AV45">
            <v>918.8224348024869</v>
          </cell>
          <cell r="AW45">
            <v>882.58692176298428</v>
          </cell>
          <cell r="AX45">
            <v>984.07292567501531</v>
          </cell>
          <cell r="AY45">
            <v>1016.6261403786109</v>
          </cell>
          <cell r="AZ45">
            <v>1045.7485115382115</v>
          </cell>
          <cell r="BA45">
            <v>1069.571386831462</v>
          </cell>
          <cell r="BB45">
            <v>1049.7211772372568</v>
          </cell>
          <cell r="BC45">
            <v>1083.1480283321112</v>
          </cell>
          <cell r="BD45">
            <v>1102.9630488635307</v>
          </cell>
          <cell r="BE45">
            <v>1045.2304305605144</v>
          </cell>
          <cell r="BF45">
            <v>1170.1268143649752</v>
          </cell>
        </row>
        <row r="46">
          <cell r="B46">
            <v>3.0761090766000003</v>
          </cell>
          <cell r="C46">
            <v>2.3210260416000001</v>
          </cell>
          <cell r="D46">
            <v>2.8565287254000005</v>
          </cell>
          <cell r="E46">
            <v>5.0181605964000005</v>
          </cell>
          <cell r="F46">
            <v>7.2128617973999996</v>
          </cell>
          <cell r="G46">
            <v>5.1731455229999996</v>
          </cell>
          <cell r="H46">
            <v>6.103055082600001</v>
          </cell>
          <cell r="I46">
            <v>5.6257544196000007</v>
          </cell>
          <cell r="J46">
            <v>6.4046473722000004</v>
          </cell>
          <cell r="K46">
            <v>0</v>
          </cell>
          <cell r="L46">
            <v>5.9709982248000006</v>
          </cell>
          <cell r="M46">
            <v>4.8193036920000001</v>
          </cell>
          <cell r="N46">
            <v>1.6591985172000001</v>
          </cell>
          <cell r="O46">
            <v>4.9348258848000004</v>
          </cell>
          <cell r="P46">
            <v>2.6640652248000003</v>
          </cell>
          <cell r="Q46">
            <v>1.6034215806000001</v>
          </cell>
          <cell r="R46">
            <v>3.2394715667999998</v>
          </cell>
          <cell r="S46">
            <v>7.7439552371999998</v>
          </cell>
          <cell r="T46">
            <v>12.956406000000001</v>
          </cell>
          <cell r="U46">
            <v>12.286648999999999</v>
          </cell>
          <cell r="V46">
            <v>12.148306</v>
          </cell>
          <cell r="W46">
            <v>10.780377</v>
          </cell>
          <cell r="X46">
            <v>12.746004000000001</v>
          </cell>
          <cell r="Y46">
            <v>13.360766</v>
          </cell>
          <cell r="Z46">
            <v>21.24846707148</v>
          </cell>
          <cell r="AA46">
            <v>54.962203952919999</v>
          </cell>
          <cell r="AB46">
            <v>34.996442117560001</v>
          </cell>
          <cell r="AC46">
            <v>71.898547000000008</v>
          </cell>
          <cell r="AD46">
            <v>107.935512</v>
          </cell>
          <cell r="AE46">
            <v>132.71839300000002</v>
          </cell>
          <cell r="AF46">
            <v>81.442381999999995</v>
          </cell>
          <cell r="AG46">
            <v>284.02442312238338</v>
          </cell>
          <cell r="AH46">
            <v>392.69387950963448</v>
          </cell>
          <cell r="AI46">
            <v>521.46756495730097</v>
          </cell>
          <cell r="AJ46">
            <v>530.95731029799708</v>
          </cell>
          <cell r="AK46">
            <v>515.61694195973973</v>
          </cell>
          <cell r="AL46">
            <v>568.5044604025594</v>
          </cell>
          <cell r="AM46">
            <v>583.65173041257844</v>
          </cell>
          <cell r="AN46">
            <v>766.9468721860045</v>
          </cell>
          <cell r="AO46">
            <v>811.24792783237945</v>
          </cell>
          <cell r="AP46">
            <v>796.68247838250102</v>
          </cell>
          <cell r="AQ46">
            <v>900</v>
          </cell>
          <cell r="AR46">
            <v>921.70580176269266</v>
          </cell>
          <cell r="AS46">
            <v>864.3166160327155</v>
          </cell>
          <cell r="AT46">
            <v>908.79056480205759</v>
          </cell>
          <cell r="AU46">
            <v>978.29909219599335</v>
          </cell>
          <cell r="AV46">
            <v>964.62241495869182</v>
          </cell>
          <cell r="AW46">
            <v>927.54689795043009</v>
          </cell>
          <cell r="AX46">
            <v>1028.7151171879777</v>
          </cell>
          <cell r="AY46">
            <v>1061.5948174190303</v>
          </cell>
          <cell r="AZ46">
            <v>1092.1556679424248</v>
          </cell>
          <cell r="BA46">
            <v>1064.926983091711</v>
          </cell>
          <cell r="BB46">
            <v>1084.9878967183147</v>
          </cell>
          <cell r="BC46">
            <v>1116.4760964718919</v>
          </cell>
          <cell r="BD46">
            <v>1134.0282923286745</v>
          </cell>
          <cell r="BE46">
            <v>1073.5149873106034</v>
          </cell>
          <cell r="BF46">
            <v>1194.7868511842394</v>
          </cell>
        </row>
        <row r="47">
          <cell r="B47">
            <v>2.7231490944000001</v>
          </cell>
          <cell r="C47">
            <v>1.9998126162000001</v>
          </cell>
          <cell r="D47">
            <v>4.0576067910000004</v>
          </cell>
          <cell r="E47">
            <v>6.3343199304000004</v>
          </cell>
          <cell r="F47">
            <v>3.3303019931999995</v>
          </cell>
          <cell r="G47">
            <v>8.5627518479999996</v>
          </cell>
          <cell r="H47">
            <v>3.6554837382000001</v>
          </cell>
          <cell r="I47">
            <v>5.422929195600001</v>
          </cell>
          <cell r="J47">
            <v>7.4390560146000011</v>
          </cell>
          <cell r="K47">
            <v>0.71672261220000011</v>
          </cell>
          <cell r="L47">
            <v>4.9118978160000006</v>
          </cell>
          <cell r="M47">
            <v>7.579710898200001</v>
          </cell>
          <cell r="N47">
            <v>4.0454813700000001</v>
          </cell>
          <cell r="O47">
            <v>6.7256403353999996</v>
          </cell>
          <cell r="P47">
            <v>6.7626779849999989</v>
          </cell>
          <cell r="Q47">
            <v>1.2830900040000002</v>
          </cell>
          <cell r="R47">
            <v>7.1965475946000002</v>
          </cell>
          <cell r="S47">
            <v>6.8382965195999992</v>
          </cell>
          <cell r="T47">
            <v>11.604548000000001</v>
          </cell>
          <cell r="U47">
            <v>7.5350510000000002</v>
          </cell>
          <cell r="V47">
            <v>9.6807049999999997</v>
          </cell>
          <cell r="W47">
            <v>9.783180999999999</v>
          </cell>
          <cell r="X47">
            <v>16.413758999999999</v>
          </cell>
          <cell r="Y47">
            <v>15.269354999999999</v>
          </cell>
          <cell r="Z47">
            <v>24.702782532339999</v>
          </cell>
          <cell r="AA47">
            <v>51.163998636739997</v>
          </cell>
          <cell r="AB47">
            <v>45.790398324000002</v>
          </cell>
          <cell r="AC47">
            <v>43.048353999999996</v>
          </cell>
          <cell r="AD47">
            <v>75.708606000000003</v>
          </cell>
          <cell r="AE47">
            <v>132.696729</v>
          </cell>
          <cell r="AF47">
            <v>189.76729699999999</v>
          </cell>
          <cell r="AG47">
            <v>306.29488282277254</v>
          </cell>
          <cell r="AH47">
            <v>423.48515133783371</v>
          </cell>
          <cell r="AI47">
            <v>552.55473285232529</v>
          </cell>
          <cell r="AJ47">
            <v>562.78857262283714</v>
          </cell>
          <cell r="AK47">
            <v>548.20561956344363</v>
          </cell>
          <cell r="AL47">
            <v>601.31954939162245</v>
          </cell>
          <cell r="AM47">
            <v>617.65452242598201</v>
          </cell>
          <cell r="AN47">
            <v>803.5603485375093</v>
          </cell>
          <cell r="AO47">
            <v>847.41454785664689</v>
          </cell>
          <cell r="AP47">
            <v>839.54805300416058</v>
          </cell>
          <cell r="AQ47">
            <v>980</v>
          </cell>
          <cell r="AR47">
            <v>967.63549436485971</v>
          </cell>
          <cell r="AS47">
            <v>912.63168875263523</v>
          </cell>
          <cell r="AT47">
            <v>959.44595679566044</v>
          </cell>
          <cell r="AU47">
            <v>1031.8522385834631</v>
          </cell>
          <cell r="AV47">
            <v>970.31307569932358</v>
          </cell>
          <cell r="AW47">
            <v>968.37569083918845</v>
          </cell>
          <cell r="AX47">
            <v>1068.5237301340542</v>
          </cell>
          <cell r="AY47">
            <v>1099.702138410338</v>
          </cell>
          <cell r="AZ47">
            <v>1127.7533747332734</v>
          </cell>
          <cell r="BA47">
            <v>1096.9336019632356</v>
          </cell>
          <cell r="BB47">
            <v>1122.2577072160179</v>
          </cell>
          <cell r="BC47">
            <v>1153.0341104913837</v>
          </cell>
          <cell r="BD47">
            <v>1169.9361865628496</v>
          </cell>
          <cell r="BE47">
            <v>1108.9829961933522</v>
          </cell>
          <cell r="BF47">
            <v>1280.2289204853678</v>
          </cell>
        </row>
        <row r="48">
          <cell r="B48">
            <v>4.1526259992000005</v>
          </cell>
          <cell r="C48">
            <v>2.6190909360000001</v>
          </cell>
          <cell r="D48">
            <v>4.0258602341999996</v>
          </cell>
          <cell r="E48">
            <v>5.0708510621999991</v>
          </cell>
          <cell r="F48">
            <v>5.0302860173999999</v>
          </cell>
          <cell r="G48">
            <v>6.8358714353999996</v>
          </cell>
          <cell r="H48">
            <v>2.3505679764000003</v>
          </cell>
          <cell r="I48">
            <v>8.8032761082000004</v>
          </cell>
          <cell r="J48">
            <v>1.9702706814000004</v>
          </cell>
          <cell r="K48">
            <v>4.6297062000000007E-2</v>
          </cell>
          <cell r="L48">
            <v>2.9980654578000001</v>
          </cell>
          <cell r="M48">
            <v>6.2675198838000004</v>
          </cell>
          <cell r="N48">
            <v>4.1733494460000005</v>
          </cell>
          <cell r="O48">
            <v>4.9742886186000002</v>
          </cell>
          <cell r="P48">
            <v>4.0781097755999998</v>
          </cell>
          <cell r="Q48">
            <v>1.4449092588000001</v>
          </cell>
          <cell r="R48">
            <v>5.6438323200000005</v>
          </cell>
          <cell r="S48">
            <v>7.1866267956000005</v>
          </cell>
          <cell r="T48">
            <v>17.959689999999998</v>
          </cell>
          <cell r="U48">
            <v>10.459327999999999</v>
          </cell>
          <cell r="V48">
            <v>13.146787</v>
          </cell>
          <cell r="W48">
            <v>10.393606</v>
          </cell>
          <cell r="X48">
            <v>17.301735000000001</v>
          </cell>
          <cell r="Y48">
            <v>24.142957000000003</v>
          </cell>
          <cell r="Z48">
            <v>29.812095204099997</v>
          </cell>
          <cell r="AA48">
            <v>29.132203623820001</v>
          </cell>
          <cell r="AB48">
            <v>38.542586615280001</v>
          </cell>
          <cell r="AC48">
            <v>67.424770999999993</v>
          </cell>
          <cell r="AD48">
            <v>73.368600999999998</v>
          </cell>
          <cell r="AE48">
            <v>116.094672</v>
          </cell>
          <cell r="AF48">
            <v>124.25082673828</v>
          </cell>
          <cell r="AG48">
            <v>381.24424212494222</v>
          </cell>
          <cell r="AH48">
            <v>527.11058730412208</v>
          </cell>
          <cell r="AI48">
            <v>657.17598214833083</v>
          </cell>
          <cell r="AJ48">
            <v>569.9140091482609</v>
          </cell>
          <cell r="AK48">
            <v>657.88007351555052</v>
          </cell>
          <cell r="AL48">
            <v>711.75597182124034</v>
          </cell>
          <cell r="AM48">
            <v>732.08805950492263</v>
          </cell>
          <cell r="AN48">
            <v>876.77992421256715</v>
          </cell>
          <cell r="AO48">
            <v>969.13026614047294</v>
          </cell>
          <cell r="AP48">
            <v>983.80853964138043</v>
          </cell>
          <cell r="AQ48">
            <v>983.80853964138043</v>
          </cell>
          <cell r="AR48">
            <v>1059.1230658281447</v>
          </cell>
          <cell r="AS48">
            <v>999.53006709278907</v>
          </cell>
          <cell r="AT48">
            <v>1049.0800956688333</v>
          </cell>
          <cell r="AU48">
            <v>1115.0700615745056</v>
          </cell>
          <cell r="AV48">
            <v>1091.3223659611306</v>
          </cell>
          <cell r="AW48">
            <v>1112.8251312250807</v>
          </cell>
          <cell r="AX48">
            <v>1123.5655443044677</v>
          </cell>
          <cell r="AY48">
            <v>1198.3726397468035</v>
          </cell>
          <cell r="AZ48">
            <v>1278.2311485623977</v>
          </cell>
          <cell r="BA48">
            <v>1210.8633659599759</v>
          </cell>
          <cell r="BB48">
            <v>1234.7715659597452</v>
          </cell>
          <cell r="BC48">
            <v>1259.160852906678</v>
          </cell>
          <cell r="BD48">
            <v>1286.2799146271202</v>
          </cell>
          <cell r="BE48">
            <v>1228.8613696031834</v>
          </cell>
          <cell r="BF48">
            <v>1393.9874138113405</v>
          </cell>
        </row>
        <row r="49">
          <cell r="B49">
            <v>2.0269294668</v>
          </cell>
          <cell r="C49">
            <v>1.5943826304000002</v>
          </cell>
          <cell r="D49">
            <v>2.6340823656000003</v>
          </cell>
          <cell r="E49">
            <v>6.6819888198000008</v>
          </cell>
          <cell r="F49">
            <v>5.7816211950000005</v>
          </cell>
          <cell r="G49">
            <v>6.6350303712000001</v>
          </cell>
          <cell r="H49">
            <v>3.6124936092</v>
          </cell>
          <cell r="I49">
            <v>7.2816460038000006</v>
          </cell>
          <cell r="J49">
            <v>3.6499721832000001</v>
          </cell>
          <cell r="K49">
            <v>0.62104201739999998</v>
          </cell>
          <cell r="L49">
            <v>5.6563986654000002</v>
          </cell>
          <cell r="M49">
            <v>6.0631514244</v>
          </cell>
          <cell r="N49">
            <v>1.2321632357999999</v>
          </cell>
          <cell r="O49">
            <v>5.9502747779999998</v>
          </cell>
          <cell r="P49">
            <v>5.1947508186000002</v>
          </cell>
          <cell r="Q49">
            <v>3.5829516744000003</v>
          </cell>
          <cell r="R49">
            <v>6.3195489629999999</v>
          </cell>
          <cell r="S49">
            <v>8.3270777561999996</v>
          </cell>
          <cell r="T49">
            <v>11.910538000000001</v>
          </cell>
          <cell r="U49">
            <v>9.5385869999999997</v>
          </cell>
          <cell r="V49">
            <v>12.106883</v>
          </cell>
          <cell r="W49">
            <v>14.654433999999998</v>
          </cell>
          <cell r="X49">
            <v>18.614433000000002</v>
          </cell>
          <cell r="Y49">
            <v>15.167149</v>
          </cell>
          <cell r="Z49">
            <v>26.213829080340002</v>
          </cell>
          <cell r="AA49">
            <v>34.523714269439999</v>
          </cell>
          <cell r="AB49">
            <v>84.586798430640002</v>
          </cell>
          <cell r="AC49">
            <v>111.91224100738</v>
          </cell>
          <cell r="AD49">
            <v>110.549975</v>
          </cell>
          <cell r="AE49">
            <v>153.10229199999998</v>
          </cell>
          <cell r="AF49">
            <v>241.81523061388</v>
          </cell>
          <cell r="AG49">
            <v>347.65901069116359</v>
          </cell>
          <cell r="AH49">
            <v>480.67544387183858</v>
          </cell>
          <cell r="AI49">
            <v>585.294609135771</v>
          </cell>
          <cell r="AJ49">
            <v>496.91049568731563</v>
          </cell>
          <cell r="AK49">
            <v>608.73433094149527</v>
          </cell>
          <cell r="AL49">
            <v>662.26878686661348</v>
          </cell>
          <cell r="AM49">
            <v>680.8097448886848</v>
          </cell>
          <cell r="AN49">
            <v>821.5645360524843</v>
          </cell>
          <cell r="AO49">
            <v>914.5887649755316</v>
          </cell>
          <cell r="AP49">
            <v>919.16460037930995</v>
          </cell>
          <cell r="AQ49">
            <v>950</v>
          </cell>
          <cell r="AR49">
            <v>957.22552925920206</v>
          </cell>
          <cell r="AS49">
            <v>937.50868613330545</v>
          </cell>
          <cell r="AT49">
            <v>985.69751614946983</v>
          </cell>
          <cell r="AU49">
            <v>1049.9192663842575</v>
          </cell>
          <cell r="AV49">
            <v>1026.0701995852469</v>
          </cell>
          <cell r="AW49">
            <v>1041.2842395022963</v>
          </cell>
          <cell r="AX49">
            <v>1058.0959815509152</v>
          </cell>
          <cell r="AY49">
            <v>1132.2134406344371</v>
          </cell>
          <cell r="AZ49">
            <v>1211.5166255314307</v>
          </cell>
          <cell r="BA49">
            <v>1193.8360973608651</v>
          </cell>
          <cell r="BB49">
            <v>1177.3892769159888</v>
          </cell>
          <cell r="BC49">
            <v>1204.6102843987276</v>
          </cell>
          <cell r="BD49">
            <v>1233.9131449682898</v>
          </cell>
          <cell r="BE49">
            <v>1179.2530858350606</v>
          </cell>
          <cell r="BF49">
            <v>1347.8003778957864</v>
          </cell>
        </row>
        <row r="54">
          <cell r="C54">
            <v>198.37872188819998</v>
          </cell>
          <cell r="D54">
            <v>298.73862688320003</v>
          </cell>
          <cell r="E54">
            <v>144.19109728800001</v>
          </cell>
          <cell r="F54">
            <v>146.51190286740001</v>
          </cell>
          <cell r="G54">
            <v>186.1860599172</v>
          </cell>
          <cell r="H54">
            <v>146.30577071040003</v>
          </cell>
          <cell r="I54">
            <v>150.50050498980002</v>
          </cell>
          <cell r="J54">
            <v>131.0996109276</v>
          </cell>
          <cell r="K54">
            <v>180.47190015539999</v>
          </cell>
          <cell r="L54">
            <v>118.3403611026</v>
          </cell>
          <cell r="M54">
            <v>146.58686001539999</v>
          </cell>
          <cell r="N54">
            <v>148.85651836440002</v>
          </cell>
          <cell r="O54">
            <v>178.1085453714</v>
          </cell>
          <cell r="P54">
            <v>123.5763383526</v>
          </cell>
          <cell r="Q54">
            <v>90.028164454199981</v>
          </cell>
          <cell r="R54">
            <v>167.86807618140003</v>
          </cell>
          <cell r="S54">
            <v>157.8251411226</v>
          </cell>
          <cell r="T54">
            <v>77.7453334434</v>
          </cell>
          <cell r="U54">
            <v>108.37390600000001</v>
          </cell>
          <cell r="V54">
            <v>105.95751799999999</v>
          </cell>
          <cell r="W54">
            <v>71.67964000000002</v>
          </cell>
          <cell r="X54">
            <v>81.032397000000003</v>
          </cell>
          <cell r="Y54">
            <v>83.426271999999997</v>
          </cell>
          <cell r="Z54">
            <v>68.533891999999994</v>
          </cell>
          <cell r="AA54">
            <v>46.475660358599995</v>
          </cell>
          <cell r="AB54">
            <v>51.29930939386</v>
          </cell>
          <cell r="AC54">
            <v>45.847866153540004</v>
          </cell>
          <cell r="AD54">
            <v>34.079207761939998</v>
          </cell>
          <cell r="AE54">
            <v>61.029720999999995</v>
          </cell>
          <cell r="AF54">
            <v>21.872464000000001</v>
          </cell>
          <cell r="AG54">
            <v>7.4103958198600006</v>
          </cell>
          <cell r="AH54">
            <v>13.151439343380563</v>
          </cell>
          <cell r="AI54">
            <v>13.598237224644857</v>
          </cell>
          <cell r="AJ54">
            <v>13.273786165673226</v>
          </cell>
          <cell r="AK54">
            <v>13.522454971144503</v>
          </cell>
          <cell r="AL54">
            <v>9.6736711141533149</v>
          </cell>
          <cell r="AM54">
            <v>8.407767382717676</v>
          </cell>
          <cell r="AN54">
            <v>9.0313698312852111</v>
          </cell>
          <cell r="AO54">
            <v>8.9962949012820879</v>
          </cell>
          <cell r="AP54">
            <v>8.9848415774956543</v>
          </cell>
          <cell r="AQ54">
            <v>6.7679397546249263</v>
          </cell>
          <cell r="AR54">
            <v>6.4419921152762782</v>
          </cell>
          <cell r="AS54">
            <v>6.661296860116666</v>
          </cell>
          <cell r="AT54">
            <v>6.7037396966606932</v>
          </cell>
          <cell r="AU54">
            <v>6.6798291544933424</v>
          </cell>
          <cell r="AV54">
            <v>6.6674643757826662</v>
          </cell>
          <cell r="AW54">
            <v>6.6509595162343818</v>
          </cell>
          <cell r="AX54">
            <v>6.6308644404659285</v>
          </cell>
          <cell r="AY54">
            <v>6.6726579206575494</v>
          </cell>
          <cell r="AZ54">
            <v>6.666571436727402</v>
          </cell>
          <cell r="BA54">
            <v>6.6603550815267738</v>
          </cell>
          <cell r="BB54">
            <v>6.6577035379735863</v>
          </cell>
          <cell r="BC54">
            <v>6.6562816791224062</v>
          </cell>
          <cell r="BD54">
            <v>6.657630483470248</v>
          </cell>
          <cell r="BE54">
            <v>6.6627139312015435</v>
          </cell>
          <cell r="BF54">
            <v>6.6597084437640826</v>
          </cell>
          <cell r="BG54">
            <v>6.6589369426589116</v>
          </cell>
        </row>
        <row r="55">
          <cell r="C55">
            <v>236.28962226240003</v>
          </cell>
          <cell r="D55">
            <v>164.57084351820001</v>
          </cell>
          <cell r="E55">
            <v>117.34210826100002</v>
          </cell>
          <cell r="F55">
            <v>146.48236093260002</v>
          </cell>
          <cell r="G55">
            <v>160.25750057520003</v>
          </cell>
          <cell r="H55">
            <v>113.03052901560001</v>
          </cell>
          <cell r="I55">
            <v>144.7237339632</v>
          </cell>
          <cell r="J55">
            <v>112.7866978224</v>
          </cell>
          <cell r="K55">
            <v>145.87719219360002</v>
          </cell>
          <cell r="L55">
            <v>74.286942912000001</v>
          </cell>
          <cell r="M55">
            <v>130.66904825100002</v>
          </cell>
          <cell r="N55">
            <v>131.38973918279999</v>
          </cell>
          <cell r="O55">
            <v>72.868489117199999</v>
          </cell>
          <cell r="P55">
            <v>138.29152881600001</v>
          </cell>
          <cell r="Q55">
            <v>67.474881394199997</v>
          </cell>
          <cell r="R55">
            <v>147.83269190760001</v>
          </cell>
          <cell r="S55">
            <v>135.57896190719998</v>
          </cell>
          <cell r="T55">
            <v>88.174518276600011</v>
          </cell>
          <cell r="U55">
            <v>111.52191000000001</v>
          </cell>
          <cell r="V55">
            <v>102.207998</v>
          </cell>
          <cell r="W55">
            <v>88.667594000000008</v>
          </cell>
          <cell r="X55">
            <v>114.07233099999999</v>
          </cell>
          <cell r="Y55">
            <v>90.01500999999999</v>
          </cell>
          <cell r="Z55">
            <v>75.689910999999995</v>
          </cell>
          <cell r="AA55">
            <v>68.09885330534</v>
          </cell>
          <cell r="AB55">
            <v>74.885028609160003</v>
          </cell>
          <cell r="AC55">
            <v>49.353445643259995</v>
          </cell>
          <cell r="AD55">
            <v>62.198101000000001</v>
          </cell>
          <cell r="AE55">
            <v>51.721870000000003</v>
          </cell>
          <cell r="AF55">
            <v>18.937753000000001</v>
          </cell>
          <cell r="AG55">
            <v>8.4249994223999991</v>
          </cell>
          <cell r="AH55">
            <v>15.790443486484387</v>
          </cell>
          <cell r="AI55">
            <v>15.227450117790974</v>
          </cell>
          <cell r="AJ55">
            <v>15.158548053327536</v>
          </cell>
          <cell r="AK55">
            <v>12.718499953807596</v>
          </cell>
          <cell r="AL55">
            <v>10.264488885268531</v>
          </cell>
          <cell r="AM55">
            <v>9.2855091081117926</v>
          </cell>
          <cell r="AN55">
            <v>9.8799186423827177</v>
          </cell>
          <cell r="AO55">
            <v>9.639153248970219</v>
          </cell>
          <cell r="AP55">
            <v>9.5511607738163633</v>
          </cell>
          <cell r="AQ55">
            <v>7.0619413416192085</v>
          </cell>
          <cell r="AR55">
            <v>6.9457472369356603</v>
          </cell>
          <cell r="AS55">
            <v>7.1712131234053107</v>
          </cell>
          <cell r="AT55">
            <v>7.1796535406206949</v>
          </cell>
          <cell r="AU55">
            <v>7.1239792455435449</v>
          </cell>
          <cell r="AV55">
            <v>7.1080717530744817</v>
          </cell>
          <cell r="AW55">
            <v>7.0965068976248835</v>
          </cell>
          <cell r="AX55">
            <v>7.1057329799159392</v>
          </cell>
          <cell r="AY55">
            <v>7.1358849120537835</v>
          </cell>
          <cell r="AZ55">
            <v>7.1227888833559092</v>
          </cell>
          <cell r="BA55">
            <v>7.114035157642526</v>
          </cell>
          <cell r="BB55">
            <v>7.1137970852049985</v>
          </cell>
          <cell r="BC55">
            <v>7.114989766118609</v>
          </cell>
          <cell r="BD55">
            <v>7.1184478036346315</v>
          </cell>
          <cell r="BE55">
            <v>7.1202991608751658</v>
          </cell>
          <cell r="BF55">
            <v>7.1168117391913359</v>
          </cell>
          <cell r="BG55">
            <v>7.116313794695186</v>
          </cell>
        </row>
        <row r="56">
          <cell r="C56">
            <v>264.31014742020005</v>
          </cell>
          <cell r="D56">
            <v>164.23926836940001</v>
          </cell>
          <cell r="E56">
            <v>111.83694666480001</v>
          </cell>
          <cell r="F56">
            <v>156.61436272020003</v>
          </cell>
          <cell r="G56">
            <v>214.5877642188</v>
          </cell>
          <cell r="H56">
            <v>178.74568112939997</v>
          </cell>
          <cell r="I56">
            <v>113.6374614522</v>
          </cell>
          <cell r="J56">
            <v>108.52119517680002</v>
          </cell>
          <cell r="K56">
            <v>135.11621174940001</v>
          </cell>
          <cell r="L56">
            <v>100.60153156619999</v>
          </cell>
          <cell r="M56">
            <v>87.923632292999997</v>
          </cell>
          <cell r="N56">
            <v>90.734966267399997</v>
          </cell>
          <cell r="O56">
            <v>133.83907422479999</v>
          </cell>
          <cell r="P56">
            <v>162.55339392600001</v>
          </cell>
          <cell r="Q56">
            <v>137.29680336960001</v>
          </cell>
          <cell r="R56">
            <v>107.51213968739999</v>
          </cell>
          <cell r="S56">
            <v>163.65460261500002</v>
          </cell>
          <cell r="T56">
            <v>99.100845370800002</v>
          </cell>
          <cell r="U56">
            <v>102.38233500000001</v>
          </cell>
          <cell r="V56">
            <v>92.231858999999986</v>
          </cell>
          <cell r="W56">
            <v>74.923978000000005</v>
          </cell>
          <cell r="X56">
            <v>85.295398999999989</v>
          </cell>
          <cell r="Y56">
            <v>72.725805000000008</v>
          </cell>
          <cell r="Z56">
            <v>73.853606000000013</v>
          </cell>
          <cell r="AA56">
            <v>74.340558017000006</v>
          </cell>
          <cell r="AB56">
            <v>84.050663506700005</v>
          </cell>
          <cell r="AC56">
            <v>61.349618614239994</v>
          </cell>
          <cell r="AD56">
            <v>71.983374999999995</v>
          </cell>
          <cell r="AE56">
            <v>44.634006999999997</v>
          </cell>
          <cell r="AF56">
            <v>21.787606</v>
          </cell>
          <cell r="AG56">
            <v>20.966072886439999</v>
          </cell>
          <cell r="AH56">
            <v>17.430872605168744</v>
          </cell>
          <cell r="AI56">
            <v>17.63051132182537</v>
          </cell>
          <cell r="AJ56">
            <v>17.062498054224818</v>
          </cell>
          <cell r="AK56">
            <v>14.144712990833282</v>
          </cell>
          <cell r="AL56">
            <v>13.242865674160177</v>
          </cell>
          <cell r="AM56">
            <v>12.032367980481686</v>
          </cell>
          <cell r="AN56">
            <v>11.358780092316055</v>
          </cell>
          <cell r="AO56">
            <v>11.40199323408082</v>
          </cell>
          <cell r="AP56">
            <v>11.306870798669337</v>
          </cell>
          <cell r="AQ56">
            <v>8.4791890870734559</v>
          </cell>
          <cell r="AR56">
            <v>8.4775539685297261</v>
          </cell>
          <cell r="AS56">
            <v>8.6177686093612671</v>
          </cell>
          <cell r="AT56">
            <v>8.5040645301115649</v>
          </cell>
          <cell r="AU56">
            <v>8.5205957113614001</v>
          </cell>
          <cell r="AV56">
            <v>8.5097713113272526</v>
          </cell>
          <cell r="AW56">
            <v>8.5198343812874846</v>
          </cell>
          <cell r="AX56">
            <v>8.5259508261382422</v>
          </cell>
          <cell r="AY56">
            <v>8.5344069086897942</v>
          </cell>
          <cell r="AZ56">
            <v>8.5160433520451893</v>
          </cell>
          <cell r="BA56">
            <v>8.522111827760833</v>
          </cell>
          <cell r="BB56">
            <v>8.5212013558975936</v>
          </cell>
          <cell r="BC56">
            <v>8.5236694591843065</v>
          </cell>
          <cell r="BD56">
            <v>8.5239428541063305</v>
          </cell>
          <cell r="BE56">
            <v>8.5234865807155433</v>
          </cell>
          <cell r="BF56">
            <v>8.5213937697988502</v>
          </cell>
          <cell r="BG56">
            <v>8.522882415532921</v>
          </cell>
        </row>
        <row r="57">
          <cell r="B57">
            <v>134.5121453214</v>
          </cell>
          <cell r="C57">
            <v>156.8319589116</v>
          </cell>
          <cell r="D57">
            <v>183.96049400820002</v>
          </cell>
          <cell r="E57">
            <v>122.57147164500002</v>
          </cell>
          <cell r="F57">
            <v>141.97611356460001</v>
          </cell>
          <cell r="G57">
            <v>155.74199379480001</v>
          </cell>
          <cell r="H57">
            <v>98.313354392400015</v>
          </cell>
          <cell r="I57">
            <v>93.362434767000011</v>
          </cell>
          <cell r="J57">
            <v>157.39744445459999</v>
          </cell>
          <cell r="K57">
            <v>122.90877881099999</v>
          </cell>
          <cell r="L57">
            <v>86.217916251600016</v>
          </cell>
          <cell r="M57">
            <v>100.22079334679999</v>
          </cell>
          <cell r="N57">
            <v>127.67142371760001</v>
          </cell>
          <cell r="O57">
            <v>133.8886782198</v>
          </cell>
          <cell r="P57">
            <v>126.43617401099999</v>
          </cell>
          <cell r="Q57">
            <v>109.09770382980001</v>
          </cell>
          <cell r="R57">
            <v>158.40054746460001</v>
          </cell>
          <cell r="S57">
            <v>190.7491865328</v>
          </cell>
          <cell r="T57">
            <v>136.408625</v>
          </cell>
          <cell r="U57">
            <v>111.473606</v>
          </cell>
          <cell r="V57">
            <v>139.27060499999999</v>
          </cell>
          <cell r="W57">
            <v>78.545389000000014</v>
          </cell>
          <cell r="X57">
            <v>95.046035000000003</v>
          </cell>
          <cell r="Y57">
            <v>92.767877999999996</v>
          </cell>
          <cell r="Z57">
            <v>97.543893000000011</v>
          </cell>
          <cell r="AA57">
            <v>52.541687720939997</v>
          </cell>
          <cell r="AB57">
            <v>52.896018656579997</v>
          </cell>
          <cell r="AC57">
            <v>42.615498000000002</v>
          </cell>
          <cell r="AD57">
            <v>54.945692999999999</v>
          </cell>
          <cell r="AE57">
            <v>59.854937999999997</v>
          </cell>
          <cell r="AF57">
            <v>11.039719000000002</v>
          </cell>
          <cell r="AG57">
            <v>9.3784093876000014</v>
          </cell>
          <cell r="AH57">
            <v>13.595082948822462</v>
          </cell>
          <cell r="AI57">
            <v>14.204871493569453</v>
          </cell>
          <cell r="AJ57">
            <v>14.361471309517317</v>
          </cell>
          <cell r="AK57">
            <v>12.484062672110806</v>
          </cell>
          <cell r="AL57">
            <v>8.7347590077101849</v>
          </cell>
          <cell r="AM57">
            <v>8.8308824567751785</v>
          </cell>
          <cell r="AN57">
            <v>9.054321061675747</v>
          </cell>
          <cell r="AO57">
            <v>9.0178533753358359</v>
          </cell>
          <cell r="AP57">
            <v>8.9109160846315376</v>
          </cell>
          <cell r="AQ57">
            <v>6.56207435094651</v>
          </cell>
          <cell r="AR57">
            <v>6.3641045694469263</v>
          </cell>
          <cell r="AS57">
            <v>6.6909548414786544</v>
          </cell>
          <cell r="AT57">
            <v>6.6515449070060937</v>
          </cell>
          <cell r="AU57">
            <v>6.6257476273834346</v>
          </cell>
          <cell r="AV57">
            <v>6.5961740162830722</v>
          </cell>
          <cell r="AW57">
            <v>6.5788852592523241</v>
          </cell>
          <cell r="AX57">
            <v>6.5857051923196366</v>
          </cell>
          <cell r="AY57">
            <v>6.6286613302807158</v>
          </cell>
          <cell r="AZ57">
            <v>6.6076114004489108</v>
          </cell>
          <cell r="BA57">
            <v>6.6030346851038351</v>
          </cell>
          <cell r="BB57">
            <v>6.5994074397169307</v>
          </cell>
          <cell r="BC57">
            <v>6.6007795734810841</v>
          </cell>
          <cell r="BD57">
            <v>6.6048840095740058</v>
          </cell>
          <cell r="BE57">
            <v>6.6078988858062955</v>
          </cell>
          <cell r="BF57">
            <v>6.6031434216649529</v>
          </cell>
        </row>
        <row r="58">
          <cell r="B58">
            <v>111.74082514560001</v>
          </cell>
          <cell r="C58">
            <v>179.25450788699999</v>
          </cell>
          <cell r="D58">
            <v>226.15431354180001</v>
          </cell>
          <cell r="E58">
            <v>81.425729410200006</v>
          </cell>
          <cell r="F58">
            <v>127.83941591399999</v>
          </cell>
          <cell r="G58">
            <v>203.81267419380001</v>
          </cell>
          <cell r="H58">
            <v>136.02385462679999</v>
          </cell>
          <cell r="I58">
            <v>112.6270831896</v>
          </cell>
          <cell r="J58">
            <v>136.02054769380001</v>
          </cell>
          <cell r="K58">
            <v>136.8697680882</v>
          </cell>
          <cell r="L58">
            <v>115.16879189339998</v>
          </cell>
          <cell r="M58">
            <v>103.14279934560001</v>
          </cell>
          <cell r="N58">
            <v>82.501364484000007</v>
          </cell>
          <cell r="O58">
            <v>91.92105290340001</v>
          </cell>
          <cell r="P58">
            <v>148.66846410780002</v>
          </cell>
          <cell r="Q58">
            <v>90.279711824399996</v>
          </cell>
          <cell r="R58">
            <v>135.42022912319999</v>
          </cell>
          <cell r="S58">
            <v>88.75014508080001</v>
          </cell>
          <cell r="T58">
            <v>101.58897</v>
          </cell>
          <cell r="U58">
            <v>58.914988999999998</v>
          </cell>
          <cell r="V58">
            <v>51.351087999999997</v>
          </cell>
          <cell r="W58">
            <v>79.307249000000013</v>
          </cell>
          <cell r="X58">
            <v>94.260412000000002</v>
          </cell>
          <cell r="Y58">
            <v>76.889313000000001</v>
          </cell>
          <cell r="Z58">
            <v>58.547085828659995</v>
          </cell>
          <cell r="AA58">
            <v>41.319629584419999</v>
          </cell>
          <cell r="AB58">
            <v>81.389195536439999</v>
          </cell>
          <cell r="AC58">
            <v>47.019734</v>
          </cell>
          <cell r="AD58">
            <v>65.972413000000003</v>
          </cell>
          <cell r="AE58">
            <v>18.482502</v>
          </cell>
          <cell r="AF58">
            <v>10.852567000000001</v>
          </cell>
          <cell r="AG58">
            <v>13.670784725774245</v>
          </cell>
          <cell r="AH58">
            <v>13.740309570415784</v>
          </cell>
          <cell r="AI58">
            <v>12.460656265646426</v>
          </cell>
          <cell r="AJ58">
            <v>11.843114087722128</v>
          </cell>
          <cell r="AK58">
            <v>7.9944306739287709</v>
          </cell>
          <cell r="AL58">
            <v>8.733066968996452</v>
          </cell>
          <cell r="AM58">
            <v>8.2357648722051522</v>
          </cell>
          <cell r="AN58">
            <v>7.8245110809585086</v>
          </cell>
          <cell r="AO58">
            <v>7.5795435182306043</v>
          </cell>
          <cell r="AP58">
            <v>7.4384812806351688</v>
          </cell>
          <cell r="AQ58">
            <v>5.5046341519526569</v>
          </cell>
          <cell r="AR58">
            <v>5.6873382458608397</v>
          </cell>
          <cell r="AS58">
            <v>5.7762528795761199</v>
          </cell>
          <cell r="AT58">
            <v>5.6724180462729636</v>
          </cell>
          <cell r="AU58">
            <v>5.6446323663980102</v>
          </cell>
          <cell r="AV58">
            <v>5.6398358633058283</v>
          </cell>
          <cell r="AW58">
            <v>5.6570551380121179</v>
          </cell>
          <cell r="AX58">
            <v>5.6840954802827524</v>
          </cell>
          <cell r="AY58">
            <v>5.6780388587130073</v>
          </cell>
          <cell r="AZ58">
            <v>5.659607378854334</v>
          </cell>
          <cell r="BA58">
            <v>5.6607315413423436</v>
          </cell>
          <cell r="BB58">
            <v>5.6637265438336071</v>
          </cell>
          <cell r="BC58">
            <v>5.6679056794409099</v>
          </cell>
          <cell r="BD58">
            <v>5.6692399606052089</v>
          </cell>
          <cell r="BE58">
            <v>5.6660020004368414</v>
          </cell>
          <cell r="BF58">
            <v>5.6642422208152805</v>
          </cell>
        </row>
        <row r="59">
          <cell r="B59">
            <v>188.95572653580001</v>
          </cell>
          <cell r="C59">
            <v>281.31483783060003</v>
          </cell>
          <cell r="D59">
            <v>218.19099841560003</v>
          </cell>
          <cell r="E59">
            <v>133.4819254608</v>
          </cell>
          <cell r="F59">
            <v>200.54101514580003</v>
          </cell>
          <cell r="G59">
            <v>179.79133334400001</v>
          </cell>
          <cell r="H59">
            <v>182.41020381779998</v>
          </cell>
          <cell r="I59">
            <v>143.4571786242</v>
          </cell>
          <cell r="J59">
            <v>133.03262349720001</v>
          </cell>
          <cell r="K59">
            <v>171.30067263540002</v>
          </cell>
          <cell r="L59">
            <v>121.6435462452</v>
          </cell>
          <cell r="M59">
            <v>101.63638113300001</v>
          </cell>
          <cell r="N59">
            <v>139.70799845100001</v>
          </cell>
          <cell r="O59">
            <v>134.34547589819999</v>
          </cell>
          <cell r="P59">
            <v>220.4811597492</v>
          </cell>
          <cell r="Q59">
            <v>94.975997608800014</v>
          </cell>
          <cell r="R59">
            <v>138.60965577060003</v>
          </cell>
          <cell r="S59">
            <v>184.33197281519998</v>
          </cell>
          <cell r="T59">
            <v>94.848122999999973</v>
          </cell>
          <cell r="U59">
            <v>110.678935</v>
          </cell>
          <cell r="V59">
            <v>120.32023899999999</v>
          </cell>
          <cell r="W59">
            <v>79.440314999999998</v>
          </cell>
          <cell r="X59">
            <v>53.493154000000004</v>
          </cell>
          <cell r="Y59">
            <v>91.149280000000005</v>
          </cell>
          <cell r="Z59">
            <v>61.499360813880003</v>
          </cell>
          <cell r="AA59">
            <v>63.720815292199994</v>
          </cell>
          <cell r="AB59">
            <v>99.890139500580005</v>
          </cell>
          <cell r="AC59">
            <v>48.530090999999999</v>
          </cell>
          <cell r="AD59">
            <v>76.096100000000007</v>
          </cell>
          <cell r="AE59">
            <v>8.8964769999999991</v>
          </cell>
          <cell r="AF59">
            <v>32.112745000000004</v>
          </cell>
          <cell r="AG59">
            <v>15.980778475228746</v>
          </cell>
          <cell r="AH59">
            <v>16.308161145430265</v>
          </cell>
          <cell r="AI59">
            <v>14.506961138731725</v>
          </cell>
          <cell r="AJ59">
            <v>14.417485419274721</v>
          </cell>
          <cell r="AK59">
            <v>10.142814987886545</v>
          </cell>
          <cell r="AL59">
            <v>13.02631947728964</v>
          </cell>
          <cell r="AM59">
            <v>9.8422346436623442</v>
          </cell>
          <cell r="AN59">
            <v>9.7716774526589862</v>
          </cell>
          <cell r="AO59">
            <v>9.5285870256684575</v>
          </cell>
          <cell r="AP59">
            <v>9.5334219967953722</v>
          </cell>
          <cell r="AQ59">
            <v>7.1334045800680874</v>
          </cell>
          <cell r="AR59">
            <v>7.3860343708678284</v>
          </cell>
          <cell r="AS59">
            <v>7.2330514261347227</v>
          </cell>
          <cell r="AT59">
            <v>7.2255209043431208</v>
          </cell>
          <cell r="AU59">
            <v>7.202558717564906</v>
          </cell>
          <cell r="AV59">
            <v>7.2208937396642128</v>
          </cell>
          <cell r="AW59">
            <v>7.2361139997957329</v>
          </cell>
          <cell r="AX59">
            <v>7.2536118317149567</v>
          </cell>
          <cell r="AY59">
            <v>7.2236277575005392</v>
          </cell>
          <cell r="AZ59">
            <v>7.2277398386165856</v>
          </cell>
          <cell r="BA59">
            <v>7.2273612092480697</v>
          </cell>
          <cell r="BB59">
            <v>7.2323974334584058</v>
          </cell>
          <cell r="BC59">
            <v>7.2336909273751759</v>
          </cell>
          <cell r="BD59">
            <v>7.2329476141077125</v>
          </cell>
          <cell r="BE59">
            <v>7.2289634332397563</v>
          </cell>
          <cell r="BF59">
            <v>7.2308274045611896</v>
          </cell>
        </row>
        <row r="60">
          <cell r="B60">
            <v>185.33243027879999</v>
          </cell>
          <cell r="C60">
            <v>224.70675873659999</v>
          </cell>
          <cell r="D60">
            <v>203.76130650120001</v>
          </cell>
          <cell r="E60">
            <v>195.8187148218</v>
          </cell>
          <cell r="F60">
            <v>208.19413995660003</v>
          </cell>
          <cell r="G60">
            <v>217.3516988202</v>
          </cell>
          <cell r="H60">
            <v>144.29912376600004</v>
          </cell>
          <cell r="I60">
            <v>95.326091582399997</v>
          </cell>
          <cell r="J60">
            <v>149.35079461680002</v>
          </cell>
          <cell r="K60">
            <v>148.5588943944</v>
          </cell>
          <cell r="L60">
            <v>174.39177314160003</v>
          </cell>
          <cell r="M60">
            <v>146.75308851420002</v>
          </cell>
          <cell r="N60">
            <v>127.8991611702</v>
          </cell>
          <cell r="O60">
            <v>175.86776757059999</v>
          </cell>
          <cell r="P60">
            <v>162.60035237460002</v>
          </cell>
          <cell r="Q60">
            <v>170.40184824600001</v>
          </cell>
          <cell r="R60">
            <v>130.55110097400001</v>
          </cell>
          <cell r="S60">
            <v>100.87865255159998</v>
          </cell>
          <cell r="T60">
            <v>124.09204800000001</v>
          </cell>
          <cell r="U60">
            <v>69.017726999999994</v>
          </cell>
          <cell r="V60">
            <v>51.140749</v>
          </cell>
          <cell r="W60">
            <v>49.572686999999995</v>
          </cell>
          <cell r="X60">
            <v>68.501115999999996</v>
          </cell>
          <cell r="Y60">
            <v>84.356483999999995</v>
          </cell>
          <cell r="Z60">
            <v>70.378099692340001</v>
          </cell>
          <cell r="AA60">
            <v>62.907641205200001</v>
          </cell>
          <cell r="AB60">
            <v>37.185080827180002</v>
          </cell>
          <cell r="AC60">
            <v>32.281410999999999</v>
          </cell>
          <cell r="AD60">
            <v>19.617772000000002</v>
          </cell>
          <cell r="AE60">
            <v>28.162583999999999</v>
          </cell>
          <cell r="AF60">
            <v>29.328465510080001</v>
          </cell>
          <cell r="AG60">
            <v>9.6892736455890862</v>
          </cell>
          <cell r="AH60">
            <v>9.0024248413558929</v>
          </cell>
          <cell r="AI60">
            <v>9.5117167373002296</v>
          </cell>
          <cell r="AJ60">
            <v>9.2453524334367323</v>
          </cell>
          <cell r="AK60">
            <v>9.8990021763083256</v>
          </cell>
          <cell r="AL60">
            <v>9.3206646634418853</v>
          </cell>
          <cell r="AM60">
            <v>6.5307268736538306</v>
          </cell>
          <cell r="AN60">
            <v>6.7113086931204382</v>
          </cell>
          <cell r="AO60">
            <v>6.8473019821755399</v>
          </cell>
          <cell r="AP60">
            <v>6.9511758066602019</v>
          </cell>
          <cell r="AQ60">
            <v>5.3603187802772752</v>
          </cell>
          <cell r="AR60">
            <v>5.1944540027216979</v>
          </cell>
          <cell r="AS60">
            <v>5.1159208635611506</v>
          </cell>
          <cell r="AT60">
            <v>5.177426544159192</v>
          </cell>
          <cell r="AU60">
            <v>5.2004420180110342</v>
          </cell>
          <cell r="AV60">
            <v>5.2123679995086603</v>
          </cell>
          <cell r="AW60">
            <v>5.2097124417460705</v>
          </cell>
          <cell r="AX60">
            <v>5.1801222855923479</v>
          </cell>
          <cell r="AY60">
            <v>5.1831739733972224</v>
          </cell>
          <cell r="AZ60">
            <v>5.1960142578034603</v>
          </cell>
          <cell r="BA60">
            <v>5.1971637436510676</v>
          </cell>
          <cell r="BB60">
            <v>5.1962781916095526</v>
          </cell>
          <cell r="BC60">
            <v>5.1932373404380341</v>
          </cell>
          <cell r="BD60">
            <v>5.1905504904107307</v>
          </cell>
          <cell r="BE60">
            <v>5.1931735013798681</v>
          </cell>
          <cell r="BF60">
            <v>5.1946488047825703</v>
          </cell>
        </row>
        <row r="61">
          <cell r="B61">
            <v>207.73491719400002</v>
          </cell>
          <cell r="C61">
            <v>291.96977595660002</v>
          </cell>
          <cell r="D61">
            <v>202.82676723540004</v>
          </cell>
          <cell r="E61">
            <v>144.15935073120002</v>
          </cell>
          <cell r="F61">
            <v>169.72524975420004</v>
          </cell>
          <cell r="G61">
            <v>160.89706141740001</v>
          </cell>
          <cell r="H61">
            <v>169.20385665119997</v>
          </cell>
          <cell r="I61">
            <v>105.97662046440001</v>
          </cell>
          <cell r="J61">
            <v>127.83478620780001</v>
          </cell>
          <cell r="K61">
            <v>133.25066061300001</v>
          </cell>
          <cell r="L61">
            <v>147.9184517034</v>
          </cell>
          <cell r="M61">
            <v>88.398948796200017</v>
          </cell>
          <cell r="N61">
            <v>157.00634451179997</v>
          </cell>
          <cell r="O61">
            <v>160.0789261932</v>
          </cell>
          <cell r="P61">
            <v>208.51116460020003</v>
          </cell>
          <cell r="Q61">
            <v>164.8382641668</v>
          </cell>
          <cell r="R61">
            <v>132.2984843712</v>
          </cell>
          <cell r="S61">
            <v>114.5462066406</v>
          </cell>
          <cell r="T61">
            <v>84.225138000000001</v>
          </cell>
          <cell r="U61">
            <v>66.047015999999999</v>
          </cell>
          <cell r="V61">
            <v>112.069042</v>
          </cell>
          <cell r="W61">
            <v>62.030646000000004</v>
          </cell>
          <cell r="X61">
            <v>51.198725999999994</v>
          </cell>
          <cell r="Y61">
            <v>74.030399000000003</v>
          </cell>
          <cell r="Z61">
            <v>59.411762043480003</v>
          </cell>
          <cell r="AA61">
            <v>50.012585135479995</v>
          </cell>
          <cell r="AB61">
            <v>52.084947777060002</v>
          </cell>
          <cell r="AC61">
            <v>27.790453999999997</v>
          </cell>
          <cell r="AD61">
            <v>41.473253</v>
          </cell>
          <cell r="AE61">
            <v>7.6566599999999996</v>
          </cell>
          <cell r="AF61">
            <v>30.713617232980003</v>
          </cell>
          <cell r="AG61">
            <v>9.6281443167342822</v>
          </cell>
          <cell r="AH61">
            <v>9.8096851947612933</v>
          </cell>
          <cell r="AI61">
            <v>9.366550020115854</v>
          </cell>
          <cell r="AJ61">
            <v>9.581275351501219</v>
          </cell>
          <cell r="AK61">
            <v>7.759685244163764</v>
          </cell>
          <cell r="AL61">
            <v>9.6447713289347341</v>
          </cell>
          <cell r="AM61">
            <v>6.3648745003139879</v>
          </cell>
          <cell r="AN61">
            <v>6.5945667342109795</v>
          </cell>
          <cell r="AO61">
            <v>6.5718702223122403</v>
          </cell>
          <cell r="AP61">
            <v>6.6575288598541142</v>
          </cell>
          <cell r="AQ61">
            <v>5.036695640445779</v>
          </cell>
          <cell r="AR61">
            <v>5.1190873779465784</v>
          </cell>
          <cell r="AS61">
            <v>4.9303477827058586</v>
          </cell>
          <cell r="AT61">
            <v>4.9966248057949487</v>
          </cell>
          <cell r="AU61">
            <v>4.9968582146937477</v>
          </cell>
          <cell r="AV61">
            <v>5.0138033375151148</v>
          </cell>
          <cell r="AW61">
            <v>5.0159227643173825</v>
          </cell>
          <cell r="AX61">
            <v>5.0113443037312502</v>
          </cell>
          <cell r="AY61">
            <v>4.9907113810054096</v>
          </cell>
          <cell r="AZ61">
            <v>5.0069106852104879</v>
          </cell>
          <cell r="BA61">
            <v>5.0057280002525815</v>
          </cell>
          <cell r="BB61">
            <v>5.0077384943559284</v>
          </cell>
          <cell r="BC61">
            <v>5.0061234269034225</v>
          </cell>
          <cell r="BD61">
            <v>5.0044865729111327</v>
          </cell>
          <cell r="BE61">
            <v>5.003442397545566</v>
          </cell>
          <cell r="BF61">
            <v>5.0061974359267118</v>
          </cell>
        </row>
        <row r="62">
          <cell r="B62">
            <v>186.02225650260002</v>
          </cell>
          <cell r="C62">
            <v>270.21985715340003</v>
          </cell>
          <cell r="D62">
            <v>192.96571349160001</v>
          </cell>
          <cell r="E62">
            <v>91.938248955000006</v>
          </cell>
          <cell r="F62">
            <v>201.1605139278</v>
          </cell>
          <cell r="G62">
            <v>134.53308923040001</v>
          </cell>
          <cell r="H62">
            <v>138.89757940380002</v>
          </cell>
          <cell r="I62">
            <v>99.539344686600003</v>
          </cell>
          <cell r="J62">
            <v>113.7708410832</v>
          </cell>
          <cell r="K62">
            <v>148.43256955379999</v>
          </cell>
          <cell r="L62">
            <v>161.20438572420002</v>
          </cell>
          <cell r="M62">
            <v>128.43157738319999</v>
          </cell>
          <cell r="N62">
            <v>121.74253377300001</v>
          </cell>
          <cell r="O62">
            <v>128.9679619158</v>
          </cell>
          <cell r="P62">
            <v>102.59120292119999</v>
          </cell>
          <cell r="Q62">
            <v>150.6978186588</v>
          </cell>
          <cell r="R62">
            <v>119.612868921</v>
          </cell>
          <cell r="S62">
            <v>84.728694090600015</v>
          </cell>
          <cell r="T62">
            <v>96.013490999999988</v>
          </cell>
          <cell r="U62">
            <v>54.353942999999994</v>
          </cell>
          <cell r="V62">
            <v>75.448513999999989</v>
          </cell>
          <cell r="W62">
            <v>69.268180999999998</v>
          </cell>
          <cell r="X62">
            <v>54.761858999999994</v>
          </cell>
          <cell r="Y62">
            <v>71.649692000000016</v>
          </cell>
          <cell r="Z62">
            <v>50.708669649660003</v>
          </cell>
          <cell r="AA62">
            <v>50.781184010700002</v>
          </cell>
          <cell r="AB62">
            <v>38.412683791020001</v>
          </cell>
          <cell r="AC62">
            <v>25.983144999999997</v>
          </cell>
          <cell r="AD62">
            <v>36.410565000000005</v>
          </cell>
          <cell r="AE62">
            <v>9.1337410000000006</v>
          </cell>
          <cell r="AF62">
            <v>52.869889500339994</v>
          </cell>
          <cell r="AG62">
            <v>8.6440967800137969</v>
          </cell>
          <cell r="AH62">
            <v>9.9995352132036892</v>
          </cell>
          <cell r="AI62">
            <v>10.626954264319266</v>
          </cell>
          <cell r="AJ62">
            <v>11.29681624174887</v>
          </cell>
          <cell r="AK62">
            <v>10.5435476273551</v>
          </cell>
          <cell r="AL62">
            <v>13.041835135647025</v>
          </cell>
          <cell r="AM62">
            <v>7.0497862243642366</v>
          </cell>
          <cell r="AN62">
            <v>7.9298126403248501</v>
          </cell>
          <cell r="AO62">
            <v>8.0859906912976154</v>
          </cell>
          <cell r="AP62">
            <v>8.3102996449066797</v>
          </cell>
          <cell r="AQ62">
            <v>6.3614962253166585</v>
          </cell>
          <cell r="AR62">
            <v>6.3453891909343429</v>
          </cell>
          <cell r="AS62">
            <v>5.9585345409805326</v>
          </cell>
          <cell r="AT62">
            <v>6.1721647321300228</v>
          </cell>
          <cell r="AU62">
            <v>6.1873606400180865</v>
          </cell>
          <cell r="AV62">
            <v>6.2152283126752952</v>
          </cell>
          <cell r="AW62">
            <v>6.2049890658759272</v>
          </cell>
          <cell r="AX62">
            <v>6.1757354833476557</v>
          </cell>
          <cell r="AY62">
            <v>6.1476554583359722</v>
          </cell>
          <cell r="AZ62">
            <v>6.1910956468093978</v>
          </cell>
          <cell r="BA62">
            <v>6.1861937920505881</v>
          </cell>
          <cell r="BB62">
            <v>6.1869407934088496</v>
          </cell>
          <cell r="BC62">
            <v>6.1811338892839078</v>
          </cell>
          <cell r="BD62">
            <v>6.1775242347904928</v>
          </cell>
          <cell r="BE62">
            <v>6.1786039159777433</v>
          </cell>
          <cell r="BF62">
            <v>6.184577671268646</v>
          </cell>
        </row>
        <row r="63">
          <cell r="B63">
            <v>113.59998287820001</v>
          </cell>
          <cell r="C63">
            <v>218.05387092720002</v>
          </cell>
          <cell r="D63">
            <v>157.00810820940004</v>
          </cell>
          <cell r="E63">
            <v>143.3661277356</v>
          </cell>
          <cell r="F63">
            <v>222.8628128958</v>
          </cell>
          <cell r="G63">
            <v>215.76679606440001</v>
          </cell>
          <cell r="H63">
            <v>133.62390311760001</v>
          </cell>
          <cell r="I63">
            <v>112.78890244440001</v>
          </cell>
          <cell r="J63">
            <v>175.272960555</v>
          </cell>
          <cell r="K63">
            <v>122.26547011140001</v>
          </cell>
          <cell r="L63">
            <v>107.36751648420001</v>
          </cell>
          <cell r="M63">
            <v>128.99375599320001</v>
          </cell>
          <cell r="N63">
            <v>178.78690756080002</v>
          </cell>
          <cell r="O63">
            <v>149.80119889140002</v>
          </cell>
          <cell r="P63">
            <v>132.44928051599999</v>
          </cell>
          <cell r="Q63">
            <v>135.80118780480001</v>
          </cell>
          <cell r="R63">
            <v>133.54740273420001</v>
          </cell>
          <cell r="S63">
            <v>84.48662659499999</v>
          </cell>
          <cell r="T63">
            <v>87.053148000000022</v>
          </cell>
          <cell r="U63">
            <v>72.955213000000001</v>
          </cell>
          <cell r="V63">
            <v>73.845016000000015</v>
          </cell>
          <cell r="W63">
            <v>47.288043999999999</v>
          </cell>
          <cell r="X63">
            <v>57.249624999999995</v>
          </cell>
          <cell r="Y63">
            <v>70.38873199999999</v>
          </cell>
          <cell r="Z63">
            <v>57.951154996459998</v>
          </cell>
          <cell r="AA63">
            <v>49.074411299099999</v>
          </cell>
          <cell r="AB63">
            <v>35.979770980779996</v>
          </cell>
          <cell r="AC63">
            <v>42.498005000000006</v>
          </cell>
          <cell r="AD63">
            <v>60.877988999999999</v>
          </cell>
          <cell r="AE63">
            <v>16.061709</v>
          </cell>
          <cell r="AF63">
            <v>30.930027141419998</v>
          </cell>
          <cell r="AG63">
            <v>10.998215173106487</v>
          </cell>
          <cell r="AH63">
            <v>11.445169960968057</v>
          </cell>
          <cell r="AI63">
            <v>12.889431711884736</v>
          </cell>
          <cell r="AJ63">
            <v>12.576034360060538</v>
          </cell>
          <cell r="AK63">
            <v>9.5097265816662979</v>
          </cell>
          <cell r="AL63">
            <v>11.004210756565611</v>
          </cell>
          <cell r="AM63">
            <v>7.919803832784293</v>
          </cell>
          <cell r="AN63">
            <v>8.2035104815921773</v>
          </cell>
          <cell r="AO63">
            <v>8.2921857296863806</v>
          </cell>
          <cell r="AP63">
            <v>8.20221433544482</v>
          </cell>
          <cell r="AQ63">
            <v>6.1267414612220117</v>
          </cell>
          <cell r="AR63">
            <v>6.2317035908676113</v>
          </cell>
          <cell r="AS63">
            <v>6.1175456590625812</v>
          </cell>
          <cell r="AT63">
            <v>6.1760592664688332</v>
          </cell>
          <cell r="AU63">
            <v>6.1712454311088356</v>
          </cell>
          <cell r="AV63">
            <v>6.1601745586998478</v>
          </cell>
          <cell r="AW63">
            <v>6.1646590817459748</v>
          </cell>
          <cell r="AX63">
            <v>6.1713457012415418</v>
          </cell>
          <cell r="AY63">
            <v>6.1579367994172145</v>
          </cell>
          <cell r="AZ63">
            <v>6.1686968078530073</v>
          </cell>
          <cell r="BA63">
            <v>6.1650723144426829</v>
          </cell>
          <cell r="BB63">
            <v>6.1645625897915179</v>
          </cell>
          <cell r="BC63">
            <v>6.1655421409400839</v>
          </cell>
          <cell r="BD63">
            <v>6.1655228425491924</v>
          </cell>
          <cell r="BE63">
            <v>6.1643621304889011</v>
          </cell>
          <cell r="BF63">
            <v>6.1658793391152962</v>
          </cell>
        </row>
        <row r="64">
          <cell r="B64">
            <v>173.89904012459999</v>
          </cell>
          <cell r="C64">
            <v>196.06056185519998</v>
          </cell>
          <cell r="D64">
            <v>113.4163378656</v>
          </cell>
          <cell r="E64">
            <v>180.83059215479997</v>
          </cell>
          <cell r="F64">
            <v>230.00667002460003</v>
          </cell>
          <cell r="G64">
            <v>121.04058212819999</v>
          </cell>
          <cell r="H64">
            <v>173.41799160420001</v>
          </cell>
          <cell r="I64">
            <v>89.098475356800023</v>
          </cell>
          <cell r="J64">
            <v>170.2272421836</v>
          </cell>
          <cell r="K64">
            <v>159.99801656580001</v>
          </cell>
          <cell r="L64">
            <v>215.2010900592</v>
          </cell>
          <cell r="M64">
            <v>128.99265368220003</v>
          </cell>
          <cell r="N64">
            <v>158.20257240900003</v>
          </cell>
          <cell r="O64">
            <v>216.9012945456</v>
          </cell>
          <cell r="P64">
            <v>112.38699985380001</v>
          </cell>
          <cell r="Q64">
            <v>147.76280539020001</v>
          </cell>
          <cell r="R64">
            <v>182.57841647639998</v>
          </cell>
          <cell r="S64">
            <v>106.55599512599998</v>
          </cell>
          <cell r="T64">
            <v>107.17499400000001</v>
          </cell>
          <cell r="U64">
            <v>78.652463999999995</v>
          </cell>
          <cell r="V64">
            <v>58.189368000000002</v>
          </cell>
          <cell r="W64">
            <v>60.603548000000004</v>
          </cell>
          <cell r="X64">
            <v>82.722227000000018</v>
          </cell>
          <cell r="Y64">
            <v>40.706610999999995</v>
          </cell>
          <cell r="Z64">
            <v>39.483507408179996</v>
          </cell>
          <cell r="AA64">
            <v>42.189449177700006</v>
          </cell>
          <cell r="AB64">
            <v>54.507593671960009</v>
          </cell>
          <cell r="AC64">
            <v>23.268996999999999</v>
          </cell>
          <cell r="AD64">
            <v>45.136781999999997</v>
          </cell>
          <cell r="AE64">
            <v>13.299626</v>
          </cell>
          <cell r="AF64">
            <v>25.498996477679999</v>
          </cell>
          <cell r="AG64">
            <v>9.5950433738434597</v>
          </cell>
          <cell r="AH64">
            <v>9.9320959930724779</v>
          </cell>
          <cell r="AI64">
            <v>9.329592222605303</v>
          </cell>
          <cell r="AJ64">
            <v>9.9847859023405601</v>
          </cell>
          <cell r="AK64">
            <v>7.8152130271942362</v>
          </cell>
          <cell r="AL64">
            <v>8.9805511030533793</v>
          </cell>
          <cell r="AM64">
            <v>6.4354111060766952</v>
          </cell>
          <cell r="AN64">
            <v>6.5774626068951365</v>
          </cell>
          <cell r="AO64">
            <v>6.5454697478877195</v>
          </cell>
          <cell r="AP64">
            <v>6.6322372909266676</v>
          </cell>
          <cell r="AQ64">
            <v>4.9573783078782503</v>
          </cell>
          <cell r="AR64">
            <v>5.0244474078342289</v>
          </cell>
          <cell r="AS64">
            <v>4.9180987988943894</v>
          </cell>
          <cell r="AT64">
            <v>4.9561658935703337</v>
          </cell>
          <cell r="AU64">
            <v>4.9548761564861037</v>
          </cell>
          <cell r="AV64">
            <v>4.9665614435819769</v>
          </cell>
          <cell r="AW64">
            <v>4.9621933129326612</v>
          </cell>
          <cell r="AX64">
            <v>4.9640299400734067</v>
          </cell>
          <cell r="AY64">
            <v>4.9515791210930935</v>
          </cell>
          <cell r="AZ64">
            <v>4.9607653493288959</v>
          </cell>
          <cell r="BA64">
            <v>4.9598479948334484</v>
          </cell>
          <cell r="BB64">
            <v>4.9610258334020063</v>
          </cell>
          <cell r="BC64">
            <v>4.9596831436523008</v>
          </cell>
          <cell r="BD64">
            <v>4.9594496477461698</v>
          </cell>
          <cell r="BE64">
            <v>4.9585802884619481</v>
          </cell>
          <cell r="BF64">
            <v>4.9601543937925641</v>
          </cell>
        </row>
        <row r="65">
          <cell r="B65">
            <v>161.22003854040005</v>
          </cell>
          <cell r="C65">
            <v>212.18626947420003</v>
          </cell>
          <cell r="D65">
            <v>121.2087947868</v>
          </cell>
          <cell r="E65">
            <v>141.31009725839999</v>
          </cell>
          <cell r="F65">
            <v>203.1722315028</v>
          </cell>
          <cell r="G65">
            <v>103.78721035620001</v>
          </cell>
          <cell r="H65">
            <v>155.27483439299999</v>
          </cell>
          <cell r="I65">
            <v>129.99068606160003</v>
          </cell>
          <cell r="J65">
            <v>122.5267178184</v>
          </cell>
          <cell r="K65">
            <v>118.39349249279999</v>
          </cell>
          <cell r="L65">
            <v>118.84257399420001</v>
          </cell>
          <cell r="M65">
            <v>123.50380628879999</v>
          </cell>
          <cell r="N65">
            <v>133.75860552180001</v>
          </cell>
          <cell r="O65">
            <v>188.2101233754</v>
          </cell>
          <cell r="P65">
            <v>90.687787356600012</v>
          </cell>
          <cell r="Q65">
            <v>114.50035050299999</v>
          </cell>
          <cell r="R65">
            <v>135.8937819288</v>
          </cell>
          <cell r="S65">
            <v>99.098640748800008</v>
          </cell>
          <cell r="T65">
            <v>85.616715999999997</v>
          </cell>
          <cell r="U65">
            <v>77.113579999999999</v>
          </cell>
          <cell r="V65">
            <v>60.653940000000006</v>
          </cell>
          <cell r="W65">
            <v>92.76478400000002</v>
          </cell>
          <cell r="X65">
            <v>86.013197000000005</v>
          </cell>
          <cell r="Y65">
            <v>66.852770000000007</v>
          </cell>
          <cell r="Z65">
            <v>53.310864206600002</v>
          </cell>
          <cell r="AA65">
            <v>40.805417401760003</v>
          </cell>
          <cell r="AB65">
            <v>51.796790715339995</v>
          </cell>
          <cell r="AC65">
            <v>27.045499929139996</v>
          </cell>
          <cell r="AD65">
            <v>53.401755000000001</v>
          </cell>
          <cell r="AE65">
            <v>17.622517999999999</v>
          </cell>
          <cell r="AF65">
            <v>9.6096806394599987</v>
          </cell>
          <cell r="AG65">
            <v>25.613785993409891</v>
          </cell>
          <cell r="AH65">
            <v>9.7947796969364163</v>
          </cell>
          <cell r="AI65">
            <v>10.647067481565813</v>
          </cell>
          <cell r="AJ65">
            <v>11.198832621172329</v>
          </cell>
          <cell r="AK65">
            <v>8.4658490936007809</v>
          </cell>
          <cell r="AL65">
            <v>9.332795884779074</v>
          </cell>
          <cell r="AM65">
            <v>9.0648710188531112</v>
          </cell>
          <cell r="AN65">
            <v>7.0627606825791958</v>
          </cell>
          <cell r="AO65">
            <v>7.4937563230724749</v>
          </cell>
          <cell r="AP65">
            <v>7.5208515501640818</v>
          </cell>
          <cell r="AQ65">
            <v>5.6481863185751848</v>
          </cell>
          <cell r="AR65">
            <v>5.7821479227782788</v>
          </cell>
          <cell r="AS65">
            <v>5.8090146147227557</v>
          </cell>
          <cell r="AT65">
            <v>5.5846171328615526</v>
          </cell>
          <cell r="AU65">
            <v>5.6918747169375621</v>
          </cell>
          <cell r="AV65">
            <v>5.6896532885815958</v>
          </cell>
          <cell r="AW65">
            <v>5.7031681411750696</v>
          </cell>
          <cell r="AX65">
            <v>5.7114615351763405</v>
          </cell>
          <cell r="AY65">
            <v>5.6956655788556958</v>
          </cell>
          <cell r="AZ65">
            <v>5.676154962946427</v>
          </cell>
          <cell r="BA65">
            <v>5.6983646521452442</v>
          </cell>
          <cell r="BB65">
            <v>5.6952207013470257</v>
          </cell>
          <cell r="BC65">
            <v>5.6969629740597583</v>
          </cell>
          <cell r="BD65">
            <v>5.695373486094141</v>
          </cell>
          <cell r="BE65">
            <v>5.6924737738708302</v>
          </cell>
          <cell r="BF65">
            <v>5.6924153553185164</v>
          </cell>
        </row>
        <row r="102">
          <cell r="G102">
            <v>2.1307777380854723E-2</v>
          </cell>
          <cell r="H102">
            <v>8.5231109523418891E-2</v>
          </cell>
          <cell r="I102">
            <v>1.5206695546224966E-2</v>
          </cell>
          <cell r="J102">
            <v>0.67537111601097266</v>
          </cell>
          <cell r="K102">
            <v>0.65605072868187031</v>
          </cell>
          <cell r="L102">
            <v>1.1444453693895269</v>
          </cell>
          <cell r="M102">
            <v>2.8030685567934825</v>
          </cell>
          <cell r="N102">
            <v>3.9338285160272832</v>
          </cell>
          <cell r="O102">
            <v>0</v>
          </cell>
          <cell r="P102">
            <v>4.2</v>
          </cell>
          <cell r="Q102">
            <v>18.5</v>
          </cell>
          <cell r="R102">
            <v>30</v>
          </cell>
          <cell r="S102">
            <v>9</v>
          </cell>
          <cell r="T102">
            <v>39</v>
          </cell>
          <cell r="U102">
            <v>44</v>
          </cell>
          <cell r="V102">
            <v>23</v>
          </cell>
          <cell r="W102">
            <v>28.74</v>
          </cell>
          <cell r="X102">
            <v>42</v>
          </cell>
          <cell r="Y102">
            <v>31.44</v>
          </cell>
          <cell r="Z102">
            <v>37.6</v>
          </cell>
          <cell r="AA102">
            <v>59.32</v>
          </cell>
          <cell r="AB102">
            <v>28.55</v>
          </cell>
          <cell r="AC102">
            <v>52</v>
          </cell>
          <cell r="AD102">
            <v>36.393954469162871</v>
          </cell>
          <cell r="AE102">
            <v>54.835067504636712</v>
          </cell>
          <cell r="AF102">
            <v>54.998405648361405</v>
          </cell>
          <cell r="AG102">
            <v>68.134126279084057</v>
          </cell>
          <cell r="AH102">
            <v>47.135956937618509</v>
          </cell>
          <cell r="AI102">
            <v>46.622592416000437</v>
          </cell>
          <cell r="AJ102">
            <v>49.894073259481878</v>
          </cell>
          <cell r="AK102">
            <v>39.634472526093234</v>
          </cell>
          <cell r="AL102">
            <v>44.843776609127467</v>
          </cell>
          <cell r="AM102">
            <v>43.28426563393802</v>
          </cell>
          <cell r="AN102">
            <v>43.549736323272917</v>
          </cell>
          <cell r="AO102">
            <v>46.109923404983782</v>
          </cell>
          <cell r="AP102">
            <v>42.811124258396063</v>
          </cell>
          <cell r="AQ102">
            <v>42.346991828021025</v>
          </cell>
          <cell r="AR102">
            <v>34.321023251767897</v>
          </cell>
          <cell r="AS102">
            <v>27.923325171337265</v>
          </cell>
          <cell r="AT102">
            <v>21.781415435889524</v>
          </cell>
          <cell r="AU102">
            <v>20.386610912149436</v>
          </cell>
          <cell r="AV102">
            <v>18.029534068799002</v>
          </cell>
          <cell r="AW102">
            <v>16.256023912842902</v>
          </cell>
          <cell r="AX102">
            <v>16.112547635178931</v>
          </cell>
          <cell r="AY102">
            <v>15.828783086400335</v>
          </cell>
          <cell r="AZ102">
            <v>16.048857089148093</v>
          </cell>
          <cell r="BA102">
            <v>16.279585006443579</v>
          </cell>
          <cell r="BB102">
            <v>16.344344880844396</v>
          </cell>
          <cell r="BC102">
            <v>16.361091867774544</v>
          </cell>
          <cell r="BD102">
            <v>16.410363744741634</v>
          </cell>
          <cell r="BE102">
            <v>16.527221910733722</v>
          </cell>
          <cell r="BF102">
            <v>16.623131018254771</v>
          </cell>
          <cell r="BG102">
            <v>16.691683303085316</v>
          </cell>
        </row>
        <row r="103">
          <cell r="G103">
            <v>2.1307777380854723E-2</v>
          </cell>
          <cell r="H103">
            <v>8.5231109523418891E-2</v>
          </cell>
          <cell r="I103">
            <v>1.5206695546224966E-2</v>
          </cell>
          <cell r="J103">
            <v>0.67537111601097266</v>
          </cell>
          <cell r="K103">
            <v>0.65605072868187031</v>
          </cell>
          <cell r="L103">
            <v>1.1444453693895269</v>
          </cell>
          <cell r="M103">
            <v>2.8030685567934825</v>
          </cell>
          <cell r="N103">
            <v>3.9338285160272832</v>
          </cell>
          <cell r="O103">
            <v>0</v>
          </cell>
          <cell r="P103">
            <v>4.0999999999999996</v>
          </cell>
          <cell r="Q103">
            <v>21.200000000000003</v>
          </cell>
          <cell r="R103">
            <v>42</v>
          </cell>
          <cell r="S103">
            <v>4</v>
          </cell>
          <cell r="T103">
            <v>31</v>
          </cell>
          <cell r="U103">
            <v>22</v>
          </cell>
          <cell r="V103">
            <v>12</v>
          </cell>
          <cell r="W103">
            <v>12.3</v>
          </cell>
          <cell r="X103">
            <v>24</v>
          </cell>
          <cell r="Y103">
            <v>24.93</v>
          </cell>
          <cell r="Z103">
            <v>33.51</v>
          </cell>
          <cell r="AA103">
            <v>30.37</v>
          </cell>
          <cell r="AB103">
            <v>26.33</v>
          </cell>
          <cell r="AC103">
            <v>33</v>
          </cell>
          <cell r="AD103">
            <v>32.371481818907306</v>
          </cell>
          <cell r="AE103">
            <v>59.214329663939431</v>
          </cell>
          <cell r="AF103">
            <v>57.781512307298065</v>
          </cell>
          <cell r="AG103">
            <v>77.269722505764918</v>
          </cell>
          <cell r="AH103">
            <v>47.265699322255031</v>
          </cell>
          <cell r="AI103">
            <v>48.647674428624029</v>
          </cell>
          <cell r="AJ103">
            <v>53.253674702685871</v>
          </cell>
          <cell r="AK103">
            <v>42.208130749821187</v>
          </cell>
          <cell r="AL103">
            <v>47.941533792129619</v>
          </cell>
          <cell r="AM103">
            <v>45.473501063277872</v>
          </cell>
          <cell r="AN103">
            <v>46.127430167226734</v>
          </cell>
          <cell r="AO103">
            <v>48.986266899578645</v>
          </cell>
          <cell r="AP103">
            <v>45.443082412853911</v>
          </cell>
          <cell r="AQ103">
            <v>44.912795093691152</v>
          </cell>
          <cell r="AR103">
            <v>36.341736283477623</v>
          </cell>
          <cell r="AS103">
            <v>29.6159257907001</v>
          </cell>
          <cell r="AT103">
            <v>23.109254177540464</v>
          </cell>
          <cell r="AU103">
            <v>21.622460112739407</v>
          </cell>
          <cell r="AV103">
            <v>19.115881435670865</v>
          </cell>
          <cell r="AW103">
            <v>17.233620373968403</v>
          </cell>
          <cell r="AX103">
            <v>17.088194892121862</v>
          </cell>
          <cell r="AY103">
            <v>16.786942257699589</v>
          </cell>
          <cell r="AZ103">
            <v>17.018605339911474</v>
          </cell>
          <cell r="BA103">
            <v>17.262484808023206</v>
          </cell>
          <cell r="BB103">
            <v>17.331602745251018</v>
          </cell>
          <cell r="BC103">
            <v>17.350239397891109</v>
          </cell>
          <cell r="BD103">
            <v>17.402180423134034</v>
          </cell>
          <cell r="BE103">
            <v>17.525798482493517</v>
          </cell>
          <cell r="BF103">
            <v>17.627487304922049</v>
          </cell>
          <cell r="BG103">
            <v>17.700323434082378</v>
          </cell>
        </row>
        <row r="104">
          <cell r="G104">
            <v>2.1307777380854723E-2</v>
          </cell>
          <cell r="H104">
            <v>8.5231109523418891E-2</v>
          </cell>
          <cell r="I104">
            <v>1.5206695546224966E-2</v>
          </cell>
          <cell r="J104">
            <v>0.67537111601097266</v>
          </cell>
          <cell r="K104">
            <v>0.65605072868187031</v>
          </cell>
          <cell r="L104">
            <v>1.1444453693895269</v>
          </cell>
          <cell r="M104">
            <v>2.8030685567934825</v>
          </cell>
          <cell r="N104">
            <v>3.9338285160272832</v>
          </cell>
          <cell r="O104">
            <v>0</v>
          </cell>
          <cell r="P104">
            <v>4.3</v>
          </cell>
          <cell r="Q104">
            <v>28.400000000000002</v>
          </cell>
          <cell r="R104">
            <v>39</v>
          </cell>
          <cell r="S104">
            <v>8</v>
          </cell>
          <cell r="T104">
            <v>27</v>
          </cell>
          <cell r="U104">
            <v>3</v>
          </cell>
          <cell r="V104">
            <v>8</v>
          </cell>
          <cell r="W104">
            <v>21</v>
          </cell>
          <cell r="X104">
            <v>33</v>
          </cell>
          <cell r="Y104">
            <v>23.31</v>
          </cell>
          <cell r="Z104">
            <v>30.27</v>
          </cell>
          <cell r="AA104">
            <v>21.36</v>
          </cell>
          <cell r="AB104">
            <v>21.31</v>
          </cell>
          <cell r="AC104">
            <v>38</v>
          </cell>
          <cell r="AD104">
            <v>46.93825971606968</v>
          </cell>
          <cell r="AE104">
            <v>76.13872767261681</v>
          </cell>
          <cell r="AF104">
            <v>55.560636930267734</v>
          </cell>
          <cell r="AG104">
            <v>87.068617408633443</v>
          </cell>
          <cell r="AH104">
            <v>110.49609142401417</v>
          </cell>
          <cell r="AI104">
            <v>60.358285511665045</v>
          </cell>
          <cell r="AJ104">
            <v>73.431576159248792</v>
          </cell>
          <cell r="AK104">
            <v>58.877863695657943</v>
          </cell>
          <cell r="AL104">
            <v>71.57248153253947</v>
          </cell>
          <cell r="AM104">
            <v>71.930018789724286</v>
          </cell>
          <cell r="AN104">
            <v>65.231480447628783</v>
          </cell>
          <cell r="AO104">
            <v>71.108550293496407</v>
          </cell>
          <cell r="AP104">
            <v>57.951763561935493</v>
          </cell>
          <cell r="AQ104">
            <v>61.718298894561769</v>
          </cell>
          <cell r="AR104">
            <v>49.3572439651739</v>
          </cell>
          <cell r="AS104">
            <v>40.740398133883652</v>
          </cell>
          <cell r="AT104">
            <v>31.596329443768504</v>
          </cell>
          <cell r="AU104">
            <v>29.118282266389077</v>
          </cell>
          <cell r="AV104">
            <v>26.109589659780013</v>
          </cell>
          <cell r="AW104">
            <v>23.489063061699081</v>
          </cell>
          <cell r="AX104">
            <v>23.31798618286787</v>
          </cell>
          <cell r="AY104">
            <v>22.85090707197725</v>
          </cell>
          <cell r="AZ104">
            <v>23.140443681732009</v>
          </cell>
          <cell r="BA104">
            <v>23.527866042913164</v>
          </cell>
          <cell r="BB104">
            <v>23.610776770736457</v>
          </cell>
          <cell r="BC104">
            <v>23.633777170981979</v>
          </cell>
          <cell r="BD104">
            <v>23.696177002780935</v>
          </cell>
          <cell r="BE104">
            <v>23.866029716275179</v>
          </cell>
          <cell r="BF104">
            <v>24.011589302010417</v>
          </cell>
          <cell r="BG104">
            <v>24.108071006941877</v>
          </cell>
        </row>
        <row r="105">
          <cell r="G105">
            <v>2.2604295359180345E-2</v>
          </cell>
          <cell r="H105">
            <v>9.0417181436721381E-2</v>
          </cell>
          <cell r="I105">
            <v>0.52005471140472548</v>
          </cell>
          <cell r="J105">
            <v>0.9140716241093565</v>
          </cell>
          <cell r="K105">
            <v>1.5832822062902128</v>
          </cell>
          <cell r="L105">
            <v>1.0866719043918909</v>
          </cell>
          <cell r="M105">
            <v>3.3751862022951546</v>
          </cell>
          <cell r="N105">
            <v>5.5238993951484829</v>
          </cell>
          <cell r="O105">
            <v>2.3166207529843894</v>
          </cell>
          <cell r="P105">
            <v>5.9</v>
          </cell>
          <cell r="Q105">
            <v>69</v>
          </cell>
          <cell r="R105">
            <v>23</v>
          </cell>
          <cell r="S105">
            <v>11</v>
          </cell>
          <cell r="T105">
            <v>26</v>
          </cell>
          <cell r="U105">
            <v>15</v>
          </cell>
          <cell r="V105">
            <v>5</v>
          </cell>
          <cell r="W105">
            <v>19</v>
          </cell>
          <cell r="X105">
            <v>22.98</v>
          </cell>
          <cell r="Y105">
            <v>27</v>
          </cell>
          <cell r="Z105">
            <v>21.0693969726562</v>
          </cell>
          <cell r="AA105">
            <v>24.38</v>
          </cell>
          <cell r="AB105">
            <v>20.756643763975227</v>
          </cell>
          <cell r="AC105">
            <v>34.87645999055772</v>
          </cell>
          <cell r="AD105">
            <v>52.167653173468828</v>
          </cell>
          <cell r="AE105">
            <v>66.012282677561259</v>
          </cell>
          <cell r="AF105">
            <v>72.590086245091967</v>
          </cell>
          <cell r="AG105">
            <v>54.101736595371186</v>
          </cell>
          <cell r="AH105">
            <v>57.424829574003461</v>
          </cell>
          <cell r="AI105">
            <v>57.385121295274779</v>
          </cell>
          <cell r="AJ105">
            <v>47.244650872732322</v>
          </cell>
          <cell r="AK105">
            <v>52.958304711680746</v>
          </cell>
          <cell r="AL105">
            <v>51.636595984784471</v>
          </cell>
          <cell r="AM105">
            <v>52.031375585001982</v>
          </cell>
          <cell r="AN105">
            <v>54.522954734444504</v>
          </cell>
          <cell r="AO105">
            <v>63.210449576800976</v>
          </cell>
          <cell r="AP105">
            <v>55.658545952128172</v>
          </cell>
          <cell r="AQ105">
            <v>55.05975861541085</v>
          </cell>
          <cell r="AR105">
            <v>37.490506827398484</v>
          </cell>
          <cell r="AS105">
            <v>29.925484744520894</v>
          </cell>
          <cell r="AT105">
            <v>28.992982213564769</v>
          </cell>
          <cell r="AU105">
            <v>26.961367478018175</v>
          </cell>
          <cell r="AV105">
            <v>21.920315133633</v>
          </cell>
          <cell r="AW105">
            <v>19.289542339558729</v>
          </cell>
          <cell r="AX105">
            <v>19.618694638671641</v>
          </cell>
          <cell r="AY105">
            <v>19.969844062933152</v>
          </cell>
          <cell r="AZ105">
            <v>19.967107373611903</v>
          </cell>
          <cell r="BA105">
            <v>19.938082176406709</v>
          </cell>
          <cell r="BB105">
            <v>20.050069773457764</v>
          </cell>
          <cell r="BC105">
            <v>20.202977727257853</v>
          </cell>
          <cell r="BD105">
            <v>20.320110578950143</v>
          </cell>
          <cell r="BE105">
            <v>20.389752494609123</v>
          </cell>
          <cell r="BF105">
            <v>20.474084936788788</v>
          </cell>
        </row>
        <row r="106">
          <cell r="G106">
            <v>2.2604295359180345E-2</v>
          </cell>
          <cell r="H106">
            <v>9.0417181436721381E-2</v>
          </cell>
          <cell r="I106">
            <v>0.52005471140472548</v>
          </cell>
          <cell r="J106">
            <v>0.9140716241093565</v>
          </cell>
          <cell r="K106">
            <v>1.5832822062902128</v>
          </cell>
          <cell r="L106">
            <v>1.0866719043918909</v>
          </cell>
          <cell r="M106">
            <v>3.3751862022951546</v>
          </cell>
          <cell r="N106">
            <v>5.5238993951484829</v>
          </cell>
          <cell r="O106">
            <v>1.4762779308233853</v>
          </cell>
          <cell r="P106">
            <v>5</v>
          </cell>
          <cell r="Q106">
            <v>42</v>
          </cell>
          <cell r="R106">
            <v>27</v>
          </cell>
          <cell r="S106">
            <v>11</v>
          </cell>
          <cell r="T106">
            <v>20</v>
          </cell>
          <cell r="U106">
            <v>28</v>
          </cell>
          <cell r="V106">
            <v>21</v>
          </cell>
          <cell r="W106">
            <v>9</v>
          </cell>
          <cell r="X106">
            <v>19.100000000000001</v>
          </cell>
          <cell r="Y106">
            <v>15.13</v>
          </cell>
          <cell r="Z106">
            <v>11.0693969726562</v>
          </cell>
          <cell r="AA106">
            <v>20.38</v>
          </cell>
          <cell r="AB106">
            <v>20.78</v>
          </cell>
          <cell r="AC106">
            <v>17.651621377404553</v>
          </cell>
          <cell r="AD106">
            <v>35.037082005240109</v>
          </cell>
          <cell r="AE106">
            <v>59.944033865187315</v>
          </cell>
          <cell r="AF106">
            <v>77.980262967164947</v>
          </cell>
          <cell r="AG106">
            <v>31.221500088957882</v>
          </cell>
          <cell r="AH106">
            <v>43.331346595465874</v>
          </cell>
          <cell r="AI106">
            <v>45.973909948524422</v>
          </cell>
          <cell r="AJ106">
            <v>38.593632203117032</v>
          </cell>
          <cell r="AK106">
            <v>42.530695146136786</v>
          </cell>
          <cell r="AL106">
            <v>38.232933470028335</v>
          </cell>
          <cell r="AM106">
            <v>40.702082917802407</v>
          </cell>
          <cell r="AN106">
            <v>42.996993735390781</v>
          </cell>
          <cell r="AO106">
            <v>39.978345426955819</v>
          </cell>
          <cell r="AP106">
            <v>38.230880491374677</v>
          </cell>
          <cell r="AQ106">
            <v>37.043883356829966</v>
          </cell>
          <cell r="AR106">
            <v>26.589521037753101</v>
          </cell>
          <cell r="AS106">
            <v>20.803922659013743</v>
          </cell>
          <cell r="AT106">
            <v>19.582646899560523</v>
          </cell>
          <cell r="AU106">
            <v>18.210439180151123</v>
          </cell>
          <cell r="AV106">
            <v>15.016127753190359</v>
          </cell>
          <cell r="AW106">
            <v>13.303425374248365</v>
          </cell>
          <cell r="AX106">
            <v>13.417213156142408</v>
          </cell>
          <cell r="AY106">
            <v>13.599582862875771</v>
          </cell>
          <cell r="AZ106">
            <v>13.627689684185118</v>
          </cell>
          <cell r="BA106">
            <v>13.645648808390856</v>
          </cell>
          <cell r="BB106">
            <v>13.719484927324473</v>
          </cell>
          <cell r="BC106">
            <v>13.802937541297771</v>
          </cell>
          <cell r="BD106">
            <v>13.880231540767955</v>
          </cell>
          <cell r="BE106">
            <v>13.936201405277037</v>
          </cell>
          <cell r="BF106">
            <v>13.997826585067125</v>
          </cell>
        </row>
        <row r="107">
          <cell r="G107">
            <v>2.2604295359180345E-2</v>
          </cell>
          <cell r="H107">
            <v>9.0417181436721381E-2</v>
          </cell>
          <cell r="I107">
            <v>0.52005471140472548</v>
          </cell>
          <cell r="J107">
            <v>0.9140716241093565</v>
          </cell>
          <cell r="K107">
            <v>1.5832822062902128</v>
          </cell>
          <cell r="L107">
            <v>1.0866719043918909</v>
          </cell>
          <cell r="M107">
            <v>3.3751862022951546</v>
          </cell>
          <cell r="N107">
            <v>5.5238993951484829</v>
          </cell>
          <cell r="O107">
            <v>1.6579736761554944</v>
          </cell>
          <cell r="P107">
            <v>5.3</v>
          </cell>
          <cell r="Q107">
            <v>35</v>
          </cell>
          <cell r="R107">
            <v>17</v>
          </cell>
          <cell r="S107">
            <v>27</v>
          </cell>
          <cell r="T107">
            <v>24</v>
          </cell>
          <cell r="U107">
            <v>53</v>
          </cell>
          <cell r="V107">
            <v>43</v>
          </cell>
          <cell r="W107">
            <v>34</v>
          </cell>
          <cell r="X107">
            <v>15.14</v>
          </cell>
          <cell r="Y107">
            <v>20</v>
          </cell>
          <cell r="Z107">
            <v>22.92</v>
          </cell>
          <cell r="AA107">
            <v>23.94</v>
          </cell>
          <cell r="AB107">
            <v>19.946638707440083</v>
          </cell>
          <cell r="AC107">
            <v>26.547811991464474</v>
          </cell>
          <cell r="AD107">
            <v>33.436403587412826</v>
          </cell>
          <cell r="AE107">
            <v>91.523085954609073</v>
          </cell>
          <cell r="AF107">
            <v>82.974981291108975</v>
          </cell>
          <cell r="AG107">
            <v>40.057585935498324</v>
          </cell>
          <cell r="AH107">
            <v>49.25280951064066</v>
          </cell>
          <cell r="AI107">
            <v>54.481856683624947</v>
          </cell>
          <cell r="AJ107">
            <v>46.549476264737095</v>
          </cell>
          <cell r="AK107">
            <v>48.62522641888178</v>
          </cell>
          <cell r="AL107">
            <v>45.343520175369292</v>
          </cell>
          <cell r="AM107">
            <v>47.624424409826936</v>
          </cell>
          <cell r="AN107">
            <v>50.659155360736754</v>
          </cell>
          <cell r="AO107">
            <v>47.043146287352194</v>
          </cell>
          <cell r="AP107">
            <v>44.753661970711342</v>
          </cell>
          <cell r="AQ107">
            <v>43.573825508621731</v>
          </cell>
          <cell r="AR107">
            <v>31.225151105612515</v>
          </cell>
          <cell r="AS107">
            <v>24.450887639520658</v>
          </cell>
          <cell r="AT107">
            <v>23.003188088640666</v>
          </cell>
          <cell r="AU107">
            <v>21.391294026098617</v>
          </cell>
          <cell r="AV107">
            <v>17.646850737061317</v>
          </cell>
          <cell r="AW107">
            <v>15.628769804122062</v>
          </cell>
          <cell r="AX107">
            <v>15.764303892049282</v>
          </cell>
          <cell r="AY107">
            <v>15.977257801112778</v>
          </cell>
          <cell r="AZ107">
            <v>16.010867739476673</v>
          </cell>
          <cell r="BA107">
            <v>16.032708239243174</v>
          </cell>
          <cell r="BB107">
            <v>16.118664388693873</v>
          </cell>
          <cell r="BC107">
            <v>16.216929285200603</v>
          </cell>
          <cell r="BD107">
            <v>16.307627924432854</v>
          </cell>
          <cell r="BE107">
            <v>16.373515996122745</v>
          </cell>
          <cell r="BF107">
            <v>16.44595551382708</v>
          </cell>
        </row>
        <row r="108">
          <cell r="G108">
            <v>4.9622322279865412E-2</v>
          </cell>
          <cell r="H108">
            <v>0.19848928911946165</v>
          </cell>
          <cell r="I108">
            <v>0.95689940873410884</v>
          </cell>
          <cell r="J108">
            <v>1.0785910554987204</v>
          </cell>
          <cell r="K108">
            <v>1.6012714425641592</v>
          </cell>
          <cell r="L108">
            <v>1.1456006815041579</v>
          </cell>
          <cell r="M108">
            <v>3.5372372167823034</v>
          </cell>
          <cell r="N108">
            <v>9.5729073487885774</v>
          </cell>
          <cell r="O108">
            <v>2.3847566574839303</v>
          </cell>
          <cell r="P108">
            <v>7.1</v>
          </cell>
          <cell r="Q108">
            <v>28</v>
          </cell>
          <cell r="R108">
            <v>28</v>
          </cell>
          <cell r="S108">
            <v>47</v>
          </cell>
          <cell r="T108">
            <v>45</v>
          </cell>
          <cell r="U108">
            <v>56</v>
          </cell>
          <cell r="V108">
            <v>33</v>
          </cell>
          <cell r="W108">
            <v>31</v>
          </cell>
          <cell r="X108">
            <v>38.04</v>
          </cell>
          <cell r="Y108">
            <v>44.6</v>
          </cell>
          <cell r="Z108">
            <v>42.93</v>
          </cell>
          <cell r="AA108">
            <v>25.88</v>
          </cell>
          <cell r="AB108">
            <v>24.05</v>
          </cell>
          <cell r="AC108">
            <v>21.363774467652096</v>
          </cell>
          <cell r="AD108">
            <v>34.742019646143326</v>
          </cell>
          <cell r="AE108">
            <v>72.594399409519482</v>
          </cell>
          <cell r="AF108">
            <v>66.115810659397127</v>
          </cell>
          <cell r="AG108">
            <v>48.156052094813937</v>
          </cell>
          <cell r="AH108">
            <v>43.812623456347282</v>
          </cell>
          <cell r="AI108">
            <v>49.093752261377922</v>
          </cell>
          <cell r="AJ108">
            <v>41.812107143990829</v>
          </cell>
          <cell r="AK108">
            <v>46.222181073404649</v>
          </cell>
          <cell r="AL108">
            <v>43.634616461651831</v>
          </cell>
          <cell r="AM108">
            <v>43.711860884206153</v>
          </cell>
          <cell r="AN108">
            <v>46.85984194245102</v>
          </cell>
          <cell r="AO108">
            <v>43.79624726374329</v>
          </cell>
          <cell r="AP108">
            <v>41.934977341168057</v>
          </cell>
          <cell r="AQ108">
            <v>40.712687757161348</v>
          </cell>
          <cell r="AR108">
            <v>29.017534542457842</v>
          </cell>
          <cell r="AS108">
            <v>22.793312686156721</v>
          </cell>
          <cell r="AT108">
            <v>21.476864094197989</v>
          </cell>
          <cell r="AU108">
            <v>19.971923579776192</v>
          </cell>
          <cell r="AV108">
            <v>16.458633010234298</v>
          </cell>
          <cell r="AW108">
            <v>14.566767243052919</v>
          </cell>
          <cell r="AX108">
            <v>14.706338298923907</v>
          </cell>
          <cell r="AY108">
            <v>14.907845987519362</v>
          </cell>
          <cell r="AZ108">
            <v>14.936731332826524</v>
          </cell>
          <cell r="BA108">
            <v>14.953994605239217</v>
          </cell>
          <cell r="BB108">
            <v>15.034350377079402</v>
          </cell>
          <cell r="BC108">
            <v>15.128165205839618</v>
          </cell>
          <cell r="BD108">
            <v>15.212691288490543</v>
          </cell>
          <cell r="BE108">
            <v>15.273477096947186</v>
          </cell>
          <cell r="BF108">
            <v>15.340737691147142</v>
          </cell>
        </row>
        <row r="109">
          <cell r="G109">
            <v>4.9622322279865412E-2</v>
          </cell>
          <cell r="H109">
            <v>0.19848928911946165</v>
          </cell>
          <cell r="I109">
            <v>0.95689940873410884</v>
          </cell>
          <cell r="J109">
            <v>1.0785910554987204</v>
          </cell>
          <cell r="K109">
            <v>1.6012714425641592</v>
          </cell>
          <cell r="L109">
            <v>1.1456006815041579</v>
          </cell>
          <cell r="M109">
            <v>3.5372372167823034</v>
          </cell>
          <cell r="N109">
            <v>9.5729073487885774</v>
          </cell>
          <cell r="O109">
            <v>2.6118763391490663</v>
          </cell>
          <cell r="P109">
            <v>14.2</v>
          </cell>
          <cell r="Q109">
            <v>49</v>
          </cell>
          <cell r="R109">
            <v>19</v>
          </cell>
          <cell r="S109">
            <v>36</v>
          </cell>
          <cell r="T109">
            <v>50</v>
          </cell>
          <cell r="U109">
            <v>61</v>
          </cell>
          <cell r="V109">
            <v>48</v>
          </cell>
          <cell r="W109">
            <v>49</v>
          </cell>
          <cell r="X109">
            <v>24</v>
          </cell>
          <cell r="Y109">
            <v>40.86</v>
          </cell>
          <cell r="Z109">
            <v>49.05</v>
          </cell>
          <cell r="AA109">
            <v>29.35</v>
          </cell>
          <cell r="AB109">
            <v>11.74</v>
          </cell>
          <cell r="AC109">
            <v>25.392375458331561</v>
          </cell>
          <cell r="AD109">
            <v>26.180596370130456</v>
          </cell>
          <cell r="AE109">
            <v>87.359508103225821</v>
          </cell>
          <cell r="AF109">
            <v>67.180565093294831</v>
          </cell>
          <cell r="AG109">
            <v>45.740814215433723</v>
          </cell>
          <cell r="AH109">
            <v>44.632878847082878</v>
          </cell>
          <cell r="AI109">
            <v>49.554604764202985</v>
          </cell>
          <cell r="AJ109">
            <v>43.656313026981003</v>
          </cell>
          <cell r="AK109">
            <v>45.365884377985871</v>
          </cell>
          <cell r="AL109">
            <v>43.629343741363684</v>
          </cell>
          <cell r="AM109">
            <v>44.173859924289445</v>
          </cell>
          <cell r="AN109">
            <v>47.281120942749837</v>
          </cell>
          <cell r="AO109">
            <v>44.177874055744489</v>
          </cell>
          <cell r="AP109">
            <v>42.013804959974863</v>
          </cell>
          <cell r="AQ109">
            <v>40.960436840017749</v>
          </cell>
          <cell r="AR109">
            <v>29.229338425969409</v>
          </cell>
          <cell r="AS109">
            <v>22.94419765431817</v>
          </cell>
          <cell r="AT109">
            <v>21.60731332991886</v>
          </cell>
          <cell r="AU109">
            <v>20.093231893477412</v>
          </cell>
          <cell r="AV109">
            <v>16.564554582479332</v>
          </cell>
          <cell r="AW109">
            <v>14.662407037561278</v>
          </cell>
          <cell r="AX109">
            <v>14.799608581731464</v>
          </cell>
          <cell r="AY109">
            <v>15.001312590092279</v>
          </cell>
          <cell r="AZ109">
            <v>15.031157755764031</v>
          </cell>
          <cell r="BA109">
            <v>15.04950947790125</v>
          </cell>
          <cell r="BB109">
            <v>15.130216896856746</v>
          </cell>
          <cell r="BC109">
            <v>15.224070829835696</v>
          </cell>
          <cell r="BD109">
            <v>15.309124885238381</v>
          </cell>
          <cell r="BE109">
            <v>15.37050595891121</v>
          </cell>
          <cell r="BF109">
            <v>15.438287827366356</v>
          </cell>
        </row>
        <row r="110">
          <cell r="G110">
            <v>4.9622322279865412E-2</v>
          </cell>
          <cell r="H110">
            <v>0.19848928911946165</v>
          </cell>
          <cell r="I110">
            <v>0.95689940873410884</v>
          </cell>
          <cell r="J110">
            <v>1.0785910554987204</v>
          </cell>
          <cell r="K110">
            <v>1.6012714425641592</v>
          </cell>
          <cell r="L110">
            <v>1.1456006815041579</v>
          </cell>
          <cell r="M110">
            <v>3.5372372167823034</v>
          </cell>
          <cell r="N110">
            <v>9.5729073487885774</v>
          </cell>
          <cell r="O110">
            <v>3.6112029384756661</v>
          </cell>
          <cell r="P110">
            <v>20.2</v>
          </cell>
          <cell r="Q110">
            <v>41</v>
          </cell>
          <cell r="R110">
            <v>9</v>
          </cell>
          <cell r="S110">
            <v>49</v>
          </cell>
          <cell r="T110">
            <v>28</v>
          </cell>
          <cell r="U110">
            <v>58</v>
          </cell>
          <cell r="V110">
            <v>20.81</v>
          </cell>
          <cell r="W110">
            <v>57</v>
          </cell>
          <cell r="X110">
            <v>35.75</v>
          </cell>
          <cell r="Y110">
            <v>34.43</v>
          </cell>
          <cell r="Z110">
            <v>51.06</v>
          </cell>
          <cell r="AA110">
            <v>22.5</v>
          </cell>
          <cell r="AB110">
            <v>21.4</v>
          </cell>
          <cell r="AC110">
            <v>32.680021748384746</v>
          </cell>
          <cell r="AD110">
            <v>44.125254716974446</v>
          </cell>
          <cell r="AE110">
            <v>82.546761291824581</v>
          </cell>
          <cell r="AF110">
            <v>68.630729380506381</v>
          </cell>
          <cell r="AG110">
            <v>53.008563740705867</v>
          </cell>
          <cell r="AH110">
            <v>49.882637314598924</v>
          </cell>
          <cell r="AI110">
            <v>54.698831074923909</v>
          </cell>
          <cell r="AJ110">
            <v>45.884008668347178</v>
          </cell>
          <cell r="AK110">
            <v>48.982237816283288</v>
          </cell>
          <cell r="AL110">
            <v>48.006654559391151</v>
          </cell>
          <cell r="AM110">
            <v>48.102017664413523</v>
          </cell>
          <cell r="AN110">
            <v>51.257507682935334</v>
          </cell>
          <cell r="AO110">
            <v>47.729995043959867</v>
          </cell>
          <cell r="AP110">
            <v>45.650741091761859</v>
          </cell>
          <cell r="AQ110">
            <v>44.563829956239964</v>
          </cell>
          <cell r="AR110">
            <v>31.734282898395076</v>
          </cell>
          <cell r="AS110">
            <v>24.898816722422143</v>
          </cell>
          <cell r="AT110">
            <v>23.451501209393864</v>
          </cell>
          <cell r="AU110">
            <v>21.80819266401069</v>
          </cell>
          <cell r="AV110">
            <v>17.992341772047325</v>
          </cell>
          <cell r="AW110">
            <v>15.916573370564102</v>
          </cell>
          <cell r="AX110">
            <v>16.064772970353889</v>
          </cell>
          <cell r="AY110">
            <v>16.284882105896006</v>
          </cell>
          <cell r="AZ110">
            <v>16.318136296160986</v>
          </cell>
          <cell r="BA110">
            <v>16.339134945746412</v>
          </cell>
          <cell r="BB110">
            <v>16.425066768502855</v>
          </cell>
          <cell r="BC110">
            <v>16.527084311184229</v>
          </cell>
          <cell r="BD110">
            <v>16.619726486755422</v>
          </cell>
          <cell r="BE110">
            <v>16.686500441109054</v>
          </cell>
          <cell r="BF110">
            <v>16.760077871106095</v>
          </cell>
        </row>
        <row r="111">
          <cell r="G111">
            <v>5.7415934117560415E-2</v>
          </cell>
          <cell r="H111">
            <v>0.22966373647024166</v>
          </cell>
          <cell r="I111">
            <v>1.5268457670641584</v>
          </cell>
          <cell r="J111">
            <v>1.8604760785047778</v>
          </cell>
          <cell r="K111">
            <v>1.713320493832488</v>
          </cell>
          <cell r="L111">
            <v>1.5243072771205481</v>
          </cell>
          <cell r="M111">
            <v>5.1128014590469082</v>
          </cell>
          <cell r="N111">
            <v>0</v>
          </cell>
          <cell r="O111">
            <v>3.0888276706458524</v>
          </cell>
          <cell r="P111">
            <v>27.1</v>
          </cell>
          <cell r="Q111">
            <v>54</v>
          </cell>
          <cell r="R111">
            <v>8</v>
          </cell>
          <cell r="S111">
            <v>64</v>
          </cell>
          <cell r="T111">
            <v>30</v>
          </cell>
          <cell r="U111">
            <v>50</v>
          </cell>
          <cell r="V111">
            <v>41.78</v>
          </cell>
          <cell r="W111">
            <v>47</v>
          </cell>
          <cell r="X111">
            <v>36.44</v>
          </cell>
          <cell r="Y111">
            <v>36.090000000000003</v>
          </cell>
          <cell r="Z111">
            <v>56.37</v>
          </cell>
          <cell r="AA111">
            <v>21.6</v>
          </cell>
          <cell r="AB111">
            <v>54.3</v>
          </cell>
          <cell r="AC111">
            <v>27.395879169331749</v>
          </cell>
          <cell r="AD111">
            <v>53.705097905498256</v>
          </cell>
          <cell r="AE111">
            <v>91.02308875409372</v>
          </cell>
          <cell r="AF111">
            <v>60.615335366791165</v>
          </cell>
          <cell r="AG111">
            <v>56.930209712583235</v>
          </cell>
          <cell r="AH111">
            <v>51.202438016039139</v>
          </cell>
          <cell r="AI111">
            <v>57.200677474681754</v>
          </cell>
          <cell r="AJ111">
            <v>46.704949334114836</v>
          </cell>
          <cell r="AK111">
            <v>48.85028140648074</v>
          </cell>
          <cell r="AL111">
            <v>49.481985176010973</v>
          </cell>
          <cell r="AM111">
            <v>49.256878502586702</v>
          </cell>
          <cell r="AN111">
            <v>52.447385436543513</v>
          </cell>
          <cell r="AO111">
            <v>48.619611031235642</v>
          </cell>
          <cell r="AP111">
            <v>46.50430015015835</v>
          </cell>
          <cell r="AQ111">
            <v>45.590651028288249</v>
          </cell>
          <cell r="AR111">
            <v>32.418499478575654</v>
          </cell>
          <cell r="AS111">
            <v>25.423316162821944</v>
          </cell>
          <cell r="AT111">
            <v>23.934139677422007</v>
          </cell>
          <cell r="AU111">
            <v>22.257011381577673</v>
          </cell>
          <cell r="AV111">
            <v>18.381410167190239</v>
          </cell>
          <cell r="AW111">
            <v>16.25236862516223</v>
          </cell>
          <cell r="AX111">
            <v>16.401423775062927</v>
          </cell>
          <cell r="AY111">
            <v>16.625679707761869</v>
          </cell>
          <cell r="AZ111">
            <v>16.661137483912313</v>
          </cell>
          <cell r="BA111">
            <v>16.684473356793674</v>
          </cell>
          <cell r="BB111">
            <v>16.770437628200067</v>
          </cell>
          <cell r="BC111">
            <v>16.874373696607446</v>
          </cell>
          <cell r="BD111">
            <v>16.969150086047062</v>
          </cell>
          <cell r="BE111">
            <v>17.037649783731318</v>
          </cell>
          <cell r="BF111">
            <v>17.112855991493525</v>
          </cell>
        </row>
        <row r="112">
          <cell r="G112">
            <v>5.7415934117560415E-2</v>
          </cell>
          <cell r="H112">
            <v>0.22966373647024166</v>
          </cell>
          <cell r="I112">
            <v>1.5268457670641584</v>
          </cell>
          <cell r="J112">
            <v>1.8604760785047778</v>
          </cell>
          <cell r="K112">
            <v>1.713320493832488</v>
          </cell>
          <cell r="L112">
            <v>1.5243072771205481</v>
          </cell>
          <cell r="M112">
            <v>5.1128014590469082</v>
          </cell>
          <cell r="N112">
            <v>0</v>
          </cell>
          <cell r="O112">
            <v>5.1556167737985916</v>
          </cell>
          <cell r="P112">
            <v>39.6</v>
          </cell>
          <cell r="Q112">
            <v>59</v>
          </cell>
          <cell r="R112">
            <v>7</v>
          </cell>
          <cell r="S112">
            <v>38</v>
          </cell>
          <cell r="T112">
            <v>44</v>
          </cell>
          <cell r="U112">
            <v>51</v>
          </cell>
          <cell r="V112">
            <v>35.36</v>
          </cell>
          <cell r="W112">
            <v>44</v>
          </cell>
          <cell r="X112">
            <v>31.66</v>
          </cell>
          <cell r="Y112">
            <v>38.590000000000003</v>
          </cell>
          <cell r="Z112">
            <v>54.14</v>
          </cell>
          <cell r="AA112">
            <v>23.94</v>
          </cell>
          <cell r="AB112">
            <v>44.12</v>
          </cell>
          <cell r="AC112">
            <v>24.758974566951753</v>
          </cell>
          <cell r="AD112">
            <v>41.34410230160276</v>
          </cell>
          <cell r="AE112">
            <v>103.63008670702204</v>
          </cell>
          <cell r="AF112">
            <v>67.478324706507806</v>
          </cell>
          <cell r="AG112">
            <v>58.267044237753538</v>
          </cell>
          <cell r="AH112">
            <v>51.787205673824744</v>
          </cell>
          <cell r="AI112">
            <v>59.090259846722283</v>
          </cell>
          <cell r="AJ112">
            <v>50.134852067708891</v>
          </cell>
          <cell r="AK112">
            <v>51.399005437650779</v>
          </cell>
          <cell r="AL112">
            <v>51.486190920481917</v>
          </cell>
          <cell r="AM112">
            <v>51.354875480608065</v>
          </cell>
          <cell r="AN112">
            <v>55.00803588124937</v>
          </cell>
          <cell r="AO112">
            <v>51.150248591432295</v>
          </cell>
          <cell r="AP112">
            <v>48.699651420330959</v>
          </cell>
          <cell r="AQ112">
            <v>47.698318713735752</v>
          </cell>
          <cell r="AR112">
            <v>33.95394942123766</v>
          </cell>
          <cell r="AS112">
            <v>26.652448111763057</v>
          </cell>
          <cell r="AT112">
            <v>25.089890313791933</v>
          </cell>
          <cell r="AU112">
            <v>23.331775522451185</v>
          </cell>
          <cell r="AV112">
            <v>19.253991828421832</v>
          </cell>
          <cell r="AW112">
            <v>17.031392083309296</v>
          </cell>
          <cell r="AX112">
            <v>17.190442047693715</v>
          </cell>
          <cell r="AY112">
            <v>17.424443048934837</v>
          </cell>
          <cell r="AZ112">
            <v>17.460518540516794</v>
          </cell>
          <cell r="BA112">
            <v>17.483608787556552</v>
          </cell>
          <cell r="BB112">
            <v>17.57528012291316</v>
          </cell>
          <cell r="BC112">
            <v>17.684398290451924</v>
          </cell>
          <cell r="BD112">
            <v>17.783379901575749</v>
          </cell>
          <cell r="BE112">
            <v>17.854960598777513</v>
          </cell>
          <cell r="BF112">
            <v>17.933747756860633</v>
          </cell>
        </row>
        <row r="113">
          <cell r="G113">
            <v>5.7415934117560415E-2</v>
          </cell>
          <cell r="H113">
            <v>0.22966373647024166</v>
          </cell>
          <cell r="I113">
            <v>1.5268457670641584</v>
          </cell>
          <cell r="J113">
            <v>1.8604760785047778</v>
          </cell>
          <cell r="K113">
            <v>1.713320493832488</v>
          </cell>
          <cell r="L113">
            <v>1.5243072771205481</v>
          </cell>
          <cell r="M113">
            <v>5.1128014590469082</v>
          </cell>
          <cell r="N113">
            <v>0</v>
          </cell>
          <cell r="O113">
            <v>3.9</v>
          </cell>
          <cell r="P113">
            <v>30.4</v>
          </cell>
          <cell r="Q113">
            <v>43</v>
          </cell>
          <cell r="R113">
            <v>11</v>
          </cell>
          <cell r="S113">
            <v>49</v>
          </cell>
          <cell r="T113">
            <v>49</v>
          </cell>
          <cell r="U113">
            <v>50</v>
          </cell>
          <cell r="V113">
            <v>45.95</v>
          </cell>
          <cell r="W113">
            <v>40</v>
          </cell>
          <cell r="X113">
            <v>29.07</v>
          </cell>
          <cell r="Y113">
            <v>32.880000000000003</v>
          </cell>
          <cell r="Z113">
            <v>49.28</v>
          </cell>
          <cell r="AA113">
            <v>24.25</v>
          </cell>
          <cell r="AB113">
            <v>27.41</v>
          </cell>
          <cell r="AC113">
            <v>25.388351974495912</v>
          </cell>
          <cell r="AD113">
            <v>51.602875113423359</v>
          </cell>
          <cell r="AE113">
            <v>114.22391630840667</v>
          </cell>
          <cell r="AF113">
            <v>49.541812152161917</v>
          </cell>
          <cell r="AG113">
            <v>54.830726464383638</v>
          </cell>
          <cell r="AH113">
            <v>51.155957392999042</v>
          </cell>
          <cell r="AI113">
            <v>58.280548204135329</v>
          </cell>
          <cell r="AJ113">
            <v>48.050318277688135</v>
          </cell>
          <cell r="AK113">
            <v>48.44763167502655</v>
          </cell>
          <cell r="AL113">
            <v>49.548654344293467</v>
          </cell>
          <cell r="AM113">
            <v>49.649810417907503</v>
          </cell>
          <cell r="AN113">
            <v>52.991459642563292</v>
          </cell>
          <cell r="AO113">
            <v>49.042222562377766</v>
          </cell>
          <cell r="AP113">
            <v>46.700950008089663</v>
          </cell>
          <cell r="AQ113">
            <v>45.88662813494156</v>
          </cell>
          <cell r="AR113">
            <v>32.664290934242842</v>
          </cell>
          <cell r="AS113">
            <v>25.615341698751479</v>
          </cell>
          <cell r="AT113">
            <v>24.099527386381453</v>
          </cell>
          <cell r="AU113">
            <v>22.410809937543984</v>
          </cell>
          <cell r="AV113">
            <v>18.510769851492398</v>
          </cell>
          <cell r="AW113">
            <v>16.370046773910644</v>
          </cell>
          <cell r="AX113">
            <v>16.518473929202088</v>
          </cell>
          <cell r="AY113">
            <v>16.742519416796767</v>
          </cell>
          <cell r="AZ113">
            <v>16.778747682754073</v>
          </cell>
          <cell r="BA113">
            <v>16.802903745342206</v>
          </cell>
          <cell r="BB113">
            <v>16.889704720139775</v>
          </cell>
          <cell r="BC113">
            <v>16.993954675677202</v>
          </cell>
          <cell r="BD113">
            <v>17.089236137085294</v>
          </cell>
          <cell r="BE113">
            <v>17.158386115012377</v>
          </cell>
          <cell r="BF113">
            <v>17.234218201156011</v>
          </cell>
        </row>
        <row r="118"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28.860490029874004</v>
          </cell>
          <cell r="Y118">
            <v>54.386776459977902</v>
          </cell>
          <cell r="Z118">
            <v>67.500721020744351</v>
          </cell>
          <cell r="AA118">
            <v>79.858667711728003</v>
          </cell>
          <cell r="AB118">
            <v>97.277860124849866</v>
          </cell>
          <cell r="AC118">
            <v>37.752600706340999</v>
          </cell>
          <cell r="AD118">
            <v>75</v>
          </cell>
          <cell r="AE118">
            <v>100</v>
          </cell>
          <cell r="AF118">
            <v>375</v>
          </cell>
          <cell r="AG118">
            <v>500</v>
          </cell>
          <cell r="AH118">
            <v>316.07711112140294</v>
          </cell>
          <cell r="AI118">
            <v>371.16488059115579</v>
          </cell>
          <cell r="AJ118">
            <v>344.24978270207123</v>
          </cell>
          <cell r="AK118">
            <v>327.45519985017461</v>
          </cell>
          <cell r="AL118">
            <v>305.50715072823766</v>
          </cell>
          <cell r="AM118">
            <v>312.89585736444991</v>
          </cell>
          <cell r="AN118">
            <v>335.06072539617043</v>
          </cell>
          <cell r="AO118">
            <v>405.28997508651315</v>
          </cell>
          <cell r="AP118">
            <v>405.32669571340415</v>
          </cell>
          <cell r="AQ118">
            <v>390.52930034280996</v>
          </cell>
          <cell r="AR118">
            <v>413.60023812434252</v>
          </cell>
          <cell r="AS118">
            <v>448.46117420252705</v>
          </cell>
          <cell r="AT118">
            <v>510.1457601373184</v>
          </cell>
          <cell r="AU118">
            <v>561.96250044088924</v>
          </cell>
          <cell r="AV118">
            <v>564.13509428692635</v>
          </cell>
          <cell r="AW118">
            <v>496.04784055432793</v>
          </cell>
          <cell r="AX118">
            <v>524.64876423520479</v>
          </cell>
          <cell r="AY118">
            <v>554.48785697975973</v>
          </cell>
          <cell r="AZ118">
            <v>602.66512736893947</v>
          </cell>
          <cell r="BA118">
            <v>614.69202595774993</v>
          </cell>
          <cell r="BB118">
            <v>611.13270869203541</v>
          </cell>
          <cell r="BC118">
            <v>582.33200084902489</v>
          </cell>
          <cell r="BD118">
            <v>606.32533002721823</v>
          </cell>
          <cell r="BE118">
            <v>628.08491973545824</v>
          </cell>
          <cell r="BF118">
            <v>650.78569447679547</v>
          </cell>
          <cell r="BG118">
            <v>678.95848034683331</v>
          </cell>
        </row>
        <row r="119">
          <cell r="T119">
            <v>0</v>
          </cell>
          <cell r="U119">
            <v>0</v>
          </cell>
          <cell r="V119">
            <v>0</v>
          </cell>
          <cell r="W119">
            <v>13.037149147701001</v>
          </cell>
          <cell r="X119">
            <v>27.325978607343956</v>
          </cell>
          <cell r="Y119">
            <v>72.8316047794778</v>
          </cell>
          <cell r="Z119">
            <v>60.709112119902564</v>
          </cell>
          <cell r="AA119">
            <v>75.388793860610406</v>
          </cell>
          <cell r="AB119">
            <v>81.877285241507678</v>
          </cell>
          <cell r="AC119">
            <v>77.58484638926069</v>
          </cell>
          <cell r="AD119">
            <v>75</v>
          </cell>
          <cell r="AE119">
            <v>100</v>
          </cell>
          <cell r="AF119">
            <v>400</v>
          </cell>
          <cell r="AG119">
            <v>600</v>
          </cell>
          <cell r="AH119">
            <v>358.32354911424227</v>
          </cell>
          <cell r="AI119">
            <v>483.90250354157808</v>
          </cell>
          <cell r="AJ119">
            <v>472.53545051048741</v>
          </cell>
          <cell r="AK119">
            <v>463.15570771495754</v>
          </cell>
          <cell r="AL119">
            <v>406.88919134065827</v>
          </cell>
          <cell r="AM119">
            <v>422.6172690424554</v>
          </cell>
          <cell r="AN119">
            <v>458.17566373278868</v>
          </cell>
          <cell r="AO119">
            <v>554.26343159889166</v>
          </cell>
          <cell r="AP119">
            <v>549.68736537818234</v>
          </cell>
          <cell r="AQ119">
            <v>530.78330960238009</v>
          </cell>
          <cell r="AR119">
            <v>563.24242354303544</v>
          </cell>
          <cell r="AS119">
            <v>610.60335966845719</v>
          </cell>
          <cell r="AT119">
            <v>694.0817847843042</v>
          </cell>
          <cell r="AU119">
            <v>765.13157235260962</v>
          </cell>
          <cell r="AV119">
            <v>767.77016351944201</v>
          </cell>
          <cell r="AW119">
            <v>674.53408929731177</v>
          </cell>
          <cell r="AX119">
            <v>713.60008036076727</v>
          </cell>
          <cell r="AY119">
            <v>754.31236974664694</v>
          </cell>
          <cell r="AZ119">
            <v>819.85307133716685</v>
          </cell>
          <cell r="BA119">
            <v>836.15191931042045</v>
          </cell>
          <cell r="BB119">
            <v>831.30922995202991</v>
          </cell>
          <cell r="BC119">
            <v>791.95322449985042</v>
          </cell>
          <cell r="BD119">
            <v>824.84123887476585</v>
          </cell>
          <cell r="BE119">
            <v>768.98243554535986</v>
          </cell>
          <cell r="BF119">
            <v>863.17753018778956</v>
          </cell>
          <cell r="BG119">
            <v>894.93847629292475</v>
          </cell>
        </row>
        <row r="120">
          <cell r="T120">
            <v>0</v>
          </cell>
          <cell r="U120">
            <v>0</v>
          </cell>
          <cell r="V120">
            <v>0</v>
          </cell>
          <cell r="W120">
            <v>31.503501753338767</v>
          </cell>
          <cell r="X120">
            <v>28.825589464110816</v>
          </cell>
          <cell r="Y120">
            <v>72.526709054455978</v>
          </cell>
          <cell r="Z120">
            <v>67.496394661781878</v>
          </cell>
          <cell r="AA120">
            <v>92.101193552873127</v>
          </cell>
          <cell r="AB120">
            <v>110.5976298761133</v>
          </cell>
          <cell r="AC120">
            <v>89.375390455784185</v>
          </cell>
          <cell r="AD120">
            <v>50</v>
          </cell>
          <cell r="AE120">
            <v>100</v>
          </cell>
          <cell r="AF120">
            <v>675</v>
          </cell>
          <cell r="AG120">
            <v>600</v>
          </cell>
          <cell r="AH120">
            <v>437.44164413812115</v>
          </cell>
          <cell r="AI120">
            <v>564.55129081704354</v>
          </cell>
          <cell r="AJ120">
            <v>547.14440642147326</v>
          </cell>
          <cell r="AK120">
            <v>501.05374143213902</v>
          </cell>
          <cell r="AL120">
            <v>464.61509911375396</v>
          </cell>
          <cell r="AM120">
            <v>480.12206841186713</v>
          </cell>
          <cell r="AN120">
            <v>517.08842078875</v>
          </cell>
          <cell r="AO120">
            <v>621.01096977031034</v>
          </cell>
          <cell r="AP120">
            <v>622.26936710717746</v>
          </cell>
          <cell r="AQ120">
            <v>599.57420890950209</v>
          </cell>
          <cell r="AR120">
            <v>634.81157348666079</v>
          </cell>
          <cell r="AS120">
            <v>688.34804807378021</v>
          </cell>
          <cell r="AT120">
            <v>783.83652774031191</v>
          </cell>
          <cell r="AU120">
            <v>863.55553172693305</v>
          </cell>
          <cell r="AV120">
            <v>866.07160247743639</v>
          </cell>
          <cell r="AW120">
            <v>760.7197882870347</v>
          </cell>
          <cell r="AX120">
            <v>805.09117360245955</v>
          </cell>
          <cell r="AY120">
            <v>850.922238397314</v>
          </cell>
          <cell r="AZ120">
            <v>924.83753838825692</v>
          </cell>
          <cell r="BA120">
            <v>943.23897282594987</v>
          </cell>
          <cell r="BB120">
            <v>937.78724684435849</v>
          </cell>
          <cell r="BC120">
            <v>893.27347784299559</v>
          </cell>
          <cell r="BD120">
            <v>930.50442482603853</v>
          </cell>
          <cell r="BE120">
            <v>722.90818611313466</v>
          </cell>
          <cell r="BF120">
            <v>936.29899625208577</v>
          </cell>
          <cell r="BG120">
            <v>960.80401125588025</v>
          </cell>
        </row>
        <row r="121">
          <cell r="T121">
            <v>0</v>
          </cell>
          <cell r="U121">
            <v>0</v>
          </cell>
          <cell r="V121">
            <v>0</v>
          </cell>
          <cell r="W121">
            <v>38.381831895093647</v>
          </cell>
          <cell r="X121">
            <v>28.678806735619354</v>
          </cell>
          <cell r="Y121">
            <v>49.110513653275483</v>
          </cell>
          <cell r="Z121">
            <v>36.183245852647666</v>
          </cell>
          <cell r="AA121">
            <v>68.619732100248754</v>
          </cell>
          <cell r="AB121">
            <v>90.45039095069238</v>
          </cell>
          <cell r="AC121">
            <v>51.040208645626954</v>
          </cell>
          <cell r="AD121">
            <v>75</v>
          </cell>
          <cell r="AE121">
            <v>125</v>
          </cell>
          <cell r="AF121">
            <v>525</v>
          </cell>
          <cell r="AG121">
            <v>600</v>
          </cell>
          <cell r="AH121">
            <v>293.8788300319053</v>
          </cell>
          <cell r="AI121">
            <v>382.0624995817891</v>
          </cell>
          <cell r="AJ121">
            <v>340.98420843447502</v>
          </cell>
          <cell r="AK121">
            <v>332.47013746613351</v>
          </cell>
          <cell r="AL121">
            <v>298.77762688306137</v>
          </cell>
          <cell r="AM121">
            <v>322.69159736203477</v>
          </cell>
          <cell r="AN121">
            <v>384.23077773261792</v>
          </cell>
          <cell r="AO121">
            <v>390.02643735570422</v>
          </cell>
          <cell r="AP121">
            <v>377.1778178764124</v>
          </cell>
          <cell r="AQ121">
            <v>397.01989617200491</v>
          </cell>
          <cell r="AR121">
            <v>429.60680242125864</v>
          </cell>
          <cell r="AS121">
            <v>490.44188341714522</v>
          </cell>
          <cell r="AT121">
            <v>539.95988972969099</v>
          </cell>
          <cell r="AU121">
            <v>541.56157814629455</v>
          </cell>
          <cell r="AV121">
            <v>476.87008672722703</v>
          </cell>
          <cell r="AW121">
            <v>504.44888758002793</v>
          </cell>
          <cell r="AX121">
            <v>533.03650458227162</v>
          </cell>
          <cell r="AY121">
            <v>579.15188511315887</v>
          </cell>
          <cell r="AZ121">
            <v>590.78430995459655</v>
          </cell>
          <cell r="BA121">
            <v>587.44781696084715</v>
          </cell>
          <cell r="BB121">
            <v>559.94324395975366</v>
          </cell>
          <cell r="BC121">
            <v>582.71732919380884</v>
          </cell>
          <cell r="BD121">
            <v>603.64726463824968</v>
          </cell>
          <cell r="BE121">
            <v>469.10354308256944</v>
          </cell>
          <cell r="BF121">
            <v>611.59756400229082</v>
          </cell>
        </row>
        <row r="122">
          <cell r="T122">
            <v>0</v>
          </cell>
          <cell r="U122">
            <v>0</v>
          </cell>
          <cell r="V122">
            <v>0</v>
          </cell>
          <cell r="W122">
            <v>28.977659061070604</v>
          </cell>
          <cell r="X122">
            <v>19.332084556775225</v>
          </cell>
          <cell r="Y122">
            <v>55.957853241346854</v>
          </cell>
          <cell r="Z122">
            <v>54.689500963959077</v>
          </cell>
          <cell r="AA122">
            <v>77.402048006572869</v>
          </cell>
          <cell r="AB122">
            <v>81.074456440409037</v>
          </cell>
          <cell r="AC122">
            <v>58.726461272240613</v>
          </cell>
          <cell r="AD122">
            <v>75</v>
          </cell>
          <cell r="AE122">
            <v>125</v>
          </cell>
          <cell r="AF122">
            <v>625</v>
          </cell>
          <cell r="AG122">
            <v>496.65310170710364</v>
          </cell>
          <cell r="AH122">
            <v>356.6087424929342</v>
          </cell>
          <cell r="AI122">
            <v>448.77110113223216</v>
          </cell>
          <cell r="AJ122">
            <v>400.15964739039293</v>
          </cell>
          <cell r="AK122">
            <v>380.30531976978318</v>
          </cell>
          <cell r="AL122">
            <v>349.66790211854095</v>
          </cell>
          <cell r="AM122">
            <v>377.94087655824882</v>
          </cell>
          <cell r="AN122">
            <v>447.48666602056727</v>
          </cell>
          <cell r="AO122">
            <v>452.8669050514431</v>
          </cell>
          <cell r="AP122">
            <v>439.72384420501589</v>
          </cell>
          <cell r="AQ122">
            <v>462.40157097311373</v>
          </cell>
          <cell r="AR122">
            <v>500.70074722207619</v>
          </cell>
          <cell r="AS122">
            <v>571.55411479109853</v>
          </cell>
          <cell r="AT122">
            <v>629.75970246156066</v>
          </cell>
          <cell r="AU122">
            <v>630.95435637644948</v>
          </cell>
          <cell r="AV122">
            <v>554.70798687161914</v>
          </cell>
          <cell r="AW122">
            <v>587.17404955527059</v>
          </cell>
          <cell r="AX122">
            <v>620.5095545360216</v>
          </cell>
          <cell r="AY122">
            <v>674.22746678173769</v>
          </cell>
          <cell r="AZ122">
            <v>687.73481445918878</v>
          </cell>
          <cell r="BA122">
            <v>683.82567292467263</v>
          </cell>
          <cell r="BB122">
            <v>651.46714417489352</v>
          </cell>
          <cell r="BC122">
            <v>678.41957660939056</v>
          </cell>
          <cell r="BD122">
            <v>702.77367976464359</v>
          </cell>
          <cell r="BE122">
            <v>546.13844258592894</v>
          </cell>
          <cell r="BF122">
            <v>712.30317332214156</v>
          </cell>
        </row>
        <row r="123">
          <cell r="T123">
            <v>0</v>
          </cell>
          <cell r="U123">
            <v>0</v>
          </cell>
          <cell r="V123">
            <v>0</v>
          </cell>
          <cell r="W123">
            <v>34.109140203688796</v>
          </cell>
          <cell r="X123">
            <v>59.54868713480213</v>
          </cell>
          <cell r="Y123">
            <v>41.771794577469485</v>
          </cell>
          <cell r="Z123">
            <v>61.383345946536373</v>
          </cell>
          <cell r="AA123">
            <v>67.293909184690293</v>
          </cell>
          <cell r="AB123">
            <v>100.17310005409709</v>
          </cell>
          <cell r="AC123">
            <v>69.295226688505878</v>
          </cell>
          <cell r="AD123">
            <v>75</v>
          </cell>
          <cell r="AE123">
            <v>125</v>
          </cell>
          <cell r="AF123">
            <v>475</v>
          </cell>
          <cell r="AG123">
            <v>524.32254147305207</v>
          </cell>
          <cell r="AH123">
            <v>306.53835674651322</v>
          </cell>
          <cell r="AI123">
            <v>396.7925023459041</v>
          </cell>
          <cell r="AJ123">
            <v>356.15768559798829</v>
          </cell>
          <cell r="AK123">
            <v>338.73198700796013</v>
          </cell>
          <cell r="AL123">
            <v>307.71311013825834</v>
          </cell>
          <cell r="AM123">
            <v>334.36748976897258</v>
          </cell>
          <cell r="AN123">
            <v>396.89432248159511</v>
          </cell>
          <cell r="AO123">
            <v>401.47682115990062</v>
          </cell>
          <cell r="AP123">
            <v>389.1962311056169</v>
          </cell>
          <cell r="AQ123">
            <v>409.80335850355038</v>
          </cell>
          <cell r="AR123">
            <v>443.3314434448364</v>
          </cell>
          <cell r="AS123">
            <v>505.63394386519764</v>
          </cell>
          <cell r="AT123">
            <v>556.87882974134959</v>
          </cell>
          <cell r="AU123">
            <v>558.69854991199543</v>
          </cell>
          <cell r="AV123">
            <v>492.23441402457343</v>
          </cell>
          <cell r="AW123">
            <v>520.58659084839974</v>
          </cell>
          <cell r="AX123">
            <v>550.06738097001198</v>
          </cell>
          <cell r="AY123">
            <v>597.62778991392577</v>
          </cell>
          <cell r="AZ123">
            <v>609.64734453950643</v>
          </cell>
          <cell r="BA123">
            <v>606.22289483835334</v>
          </cell>
          <cell r="BB123">
            <v>577.95298018292112</v>
          </cell>
          <cell r="BC123">
            <v>601.29836415703198</v>
          </cell>
          <cell r="BD123">
            <v>622.90318223622228</v>
          </cell>
          <cell r="BE123">
            <v>645.42608261931059</v>
          </cell>
          <cell r="BF123">
            <v>673.08990345016537</v>
          </cell>
        </row>
        <row r="124">
          <cell r="T124">
            <v>0</v>
          </cell>
          <cell r="U124">
            <v>0</v>
          </cell>
          <cell r="V124">
            <v>0</v>
          </cell>
          <cell r="W124">
            <v>33.591371737983302</v>
          </cell>
          <cell r="X124">
            <v>66.585590865872902</v>
          </cell>
          <cell r="Y124">
            <v>53.793041323555798</v>
          </cell>
          <cell r="Z124">
            <v>66.758015996256063</v>
          </cell>
          <cell r="AA124">
            <v>72.911270586895313</v>
          </cell>
          <cell r="AB124">
            <v>87.864616449569837</v>
          </cell>
          <cell r="AC124">
            <v>72.128994248112278</v>
          </cell>
          <cell r="AD124">
            <v>75</v>
          </cell>
          <cell r="AE124">
            <v>125</v>
          </cell>
          <cell r="AF124">
            <v>400</v>
          </cell>
          <cell r="AG124">
            <v>218.96395428572077</v>
          </cell>
          <cell r="AH124">
            <v>170.77904883743176</v>
          </cell>
          <cell r="AI124">
            <v>230.9236614514262</v>
          </cell>
          <cell r="AJ124">
            <v>195.05831335038721</v>
          </cell>
          <cell r="AK124">
            <v>179.14619992878045</v>
          </cell>
          <cell r="AL124">
            <v>170.46000630358967</v>
          </cell>
          <cell r="AM124">
            <v>185.33296777454584</v>
          </cell>
          <cell r="AN124">
            <v>216.60599915761921</v>
          </cell>
          <cell r="AO124">
            <v>218.93096332267893</v>
          </cell>
          <cell r="AP124">
            <v>213.85670538179477</v>
          </cell>
          <cell r="AQ124">
            <v>224.63325948452254</v>
          </cell>
          <cell r="AR124">
            <v>242.75280672758416</v>
          </cell>
          <cell r="AS124">
            <v>277.28452875723741</v>
          </cell>
          <cell r="AT124">
            <v>305.77271822750038</v>
          </cell>
          <cell r="AU124">
            <v>306.20722498238564</v>
          </cell>
          <cell r="AV124">
            <v>269.18977111552522</v>
          </cell>
          <cell r="AW124">
            <v>285.00231841364803</v>
          </cell>
          <cell r="AX124">
            <v>301.20850899433634</v>
          </cell>
          <cell r="AY124">
            <v>327.23348267092263</v>
          </cell>
          <cell r="AZ124">
            <v>333.782740372126</v>
          </cell>
          <cell r="BA124">
            <v>331.90773233717516</v>
          </cell>
          <cell r="BB124">
            <v>316.22519257231056</v>
          </cell>
          <cell r="BC124">
            <v>329.27201417376932</v>
          </cell>
          <cell r="BD124">
            <v>341.09262570108939</v>
          </cell>
          <cell r="BE124">
            <v>353.42912995529133</v>
          </cell>
          <cell r="BF124">
            <v>368.7526864384555</v>
          </cell>
        </row>
        <row r="125">
          <cell r="T125">
            <v>0</v>
          </cell>
          <cell r="U125">
            <v>0</v>
          </cell>
          <cell r="V125">
            <v>0</v>
          </cell>
          <cell r="W125">
            <v>34.090572022436625</v>
          </cell>
          <cell r="X125">
            <v>64.89347190235658</v>
          </cell>
          <cell r="Y125">
            <v>64.761071631144176</v>
          </cell>
          <cell r="Z125">
            <v>56.430429612878129</v>
          </cell>
          <cell r="AA125">
            <v>75.682872309464642</v>
          </cell>
          <cell r="AB125">
            <v>100.69880138627509</v>
          </cell>
          <cell r="AC125">
            <v>103.07605204529671</v>
          </cell>
          <cell r="AD125">
            <v>100</v>
          </cell>
          <cell r="AE125">
            <v>125</v>
          </cell>
          <cell r="AF125">
            <v>350</v>
          </cell>
          <cell r="AG125">
            <v>235.10900650674418</v>
          </cell>
          <cell r="AH125">
            <v>206.90240484558075</v>
          </cell>
          <cell r="AI125">
            <v>270.72509347002199</v>
          </cell>
          <cell r="AJ125">
            <v>235.64763871219873</v>
          </cell>
          <cell r="AK125">
            <v>214.95556868496823</v>
          </cell>
          <cell r="AL125">
            <v>204.02784457715569</v>
          </cell>
          <cell r="AM125">
            <v>221.04710842771001</v>
          </cell>
          <cell r="AN125">
            <v>260.22013161346774</v>
          </cell>
          <cell r="AO125">
            <v>262.04921764924427</v>
          </cell>
          <cell r="AP125">
            <v>255.93756011099194</v>
          </cell>
          <cell r="AQ125">
            <v>268.89230160019594</v>
          </cell>
          <cell r="AR125">
            <v>290.84300793993248</v>
          </cell>
          <cell r="AS125">
            <v>332.0094356365903</v>
          </cell>
          <cell r="AT125">
            <v>366.07790905025144</v>
          </cell>
          <cell r="AU125">
            <v>366.65827727881515</v>
          </cell>
          <cell r="AV125">
            <v>322.34472055192077</v>
          </cell>
          <cell r="AW125">
            <v>341.24213928968163</v>
          </cell>
          <cell r="AX125">
            <v>360.64821950952393</v>
          </cell>
          <cell r="AY125">
            <v>391.82013513609138</v>
          </cell>
          <cell r="AZ125">
            <v>399.66805158597418</v>
          </cell>
          <cell r="BA125">
            <v>397.41322977803128</v>
          </cell>
          <cell r="BB125">
            <v>378.62883688476711</v>
          </cell>
          <cell r="BC125">
            <v>394.26220023609363</v>
          </cell>
          <cell r="BD125">
            <v>408.41550432445752</v>
          </cell>
          <cell r="BE125">
            <v>423.18633036337133</v>
          </cell>
          <cell r="BF125">
            <v>441.54086994191584</v>
          </cell>
        </row>
        <row r="126">
          <cell r="T126">
            <v>0</v>
          </cell>
          <cell r="U126">
            <v>0</v>
          </cell>
          <cell r="V126">
            <v>0</v>
          </cell>
          <cell r="W126">
            <v>30.716606424826217</v>
          </cell>
          <cell r="X126">
            <v>59.087263612940056</v>
          </cell>
          <cell r="Y126">
            <v>46.915910438390988</v>
          </cell>
          <cell r="Z126">
            <v>30.817430434859904</v>
          </cell>
          <cell r="AA126">
            <v>76.374437000957158</v>
          </cell>
          <cell r="AB126">
            <v>127.8199417270128</v>
          </cell>
          <cell r="AC126">
            <v>110.22639911128921</v>
          </cell>
          <cell r="AD126">
            <v>100</v>
          </cell>
          <cell r="AE126">
            <v>150</v>
          </cell>
          <cell r="AF126">
            <v>475</v>
          </cell>
          <cell r="AG126">
            <v>241.67758809137351</v>
          </cell>
          <cell r="AH126">
            <v>240.0966162147725</v>
          </cell>
          <cell r="AI126">
            <v>300.16033475612727</v>
          </cell>
          <cell r="AJ126">
            <v>257.30466481178041</v>
          </cell>
          <cell r="AK126">
            <v>237.00496402052934</v>
          </cell>
          <cell r="AL126">
            <v>227.84614317751499</v>
          </cell>
          <cell r="AM126">
            <v>244.40077611017853</v>
          </cell>
          <cell r="AN126">
            <v>286.57366113481993</v>
          </cell>
          <cell r="AO126">
            <v>290.00171052081384</v>
          </cell>
          <cell r="AP126">
            <v>283.7929088978633</v>
          </cell>
          <cell r="AQ126">
            <v>297.44417463864437</v>
          </cell>
          <cell r="AR126">
            <v>321.41190172865538</v>
          </cell>
          <cell r="AS126">
            <v>366.99387992836137</v>
          </cell>
          <cell r="AT126">
            <v>404.70441837239213</v>
          </cell>
          <cell r="AU126">
            <v>405.50438704603033</v>
          </cell>
          <cell r="AV126">
            <v>357.00296120797714</v>
          </cell>
          <cell r="AW126">
            <v>377.76277416773621</v>
          </cell>
          <cell r="AX126">
            <v>399.20914754211361</v>
          </cell>
          <cell r="AY126">
            <v>433.66551467381191</v>
          </cell>
          <cell r="AZ126">
            <v>442.38082524616289</v>
          </cell>
          <cell r="BA126">
            <v>439.90862840801549</v>
          </cell>
          <cell r="BB126">
            <v>419.31492080036003</v>
          </cell>
          <cell r="BC126">
            <v>436.35095757215504</v>
          </cell>
          <cell r="BD126">
            <v>452.0288032458318</v>
          </cell>
          <cell r="BE126">
            <v>468.3761608522392</v>
          </cell>
          <cell r="BF126">
            <v>488.51827982934952</v>
          </cell>
        </row>
        <row r="127">
          <cell r="T127">
            <v>0</v>
          </cell>
          <cell r="U127">
            <v>0</v>
          </cell>
          <cell r="V127">
            <v>0</v>
          </cell>
          <cell r="W127">
            <v>33.3046651176642</v>
          </cell>
          <cell r="X127">
            <v>51.184029747087301</v>
          </cell>
          <cell r="Y127">
            <v>51.616293051080817</v>
          </cell>
          <cell r="Z127">
            <v>34.697875923006812</v>
          </cell>
          <cell r="AA127">
            <v>88.219588524448284</v>
          </cell>
          <cell r="AB127">
            <v>96.80553445978569</v>
          </cell>
          <cell r="AC127">
            <v>112.21608377214092</v>
          </cell>
          <cell r="AD127">
            <v>100</v>
          </cell>
          <cell r="AE127">
            <v>150</v>
          </cell>
          <cell r="AF127">
            <v>575</v>
          </cell>
          <cell r="AG127">
            <v>260.85025439870492</v>
          </cell>
          <cell r="AH127">
            <v>264.96181714365571</v>
          </cell>
          <cell r="AI127">
            <v>327.87978878909377</v>
          </cell>
          <cell r="AJ127">
            <v>284.99794504447999</v>
          </cell>
          <cell r="AK127">
            <v>260.38135762717855</v>
          </cell>
          <cell r="AL127">
            <v>250.53751149719091</v>
          </cell>
          <cell r="AM127">
            <v>268.13469411357505</v>
          </cell>
          <cell r="AN127">
            <v>315.30639164747714</v>
          </cell>
          <cell r="AO127">
            <v>318.98192191025998</v>
          </cell>
          <cell r="AP127">
            <v>312.017323782907</v>
          </cell>
          <cell r="AQ127">
            <v>326.72715476777677</v>
          </cell>
          <cell r="AR127">
            <v>353.39734986611029</v>
          </cell>
          <cell r="AS127">
            <v>403.69451348983461</v>
          </cell>
          <cell r="AT127">
            <v>445.20849263199085</v>
          </cell>
          <cell r="AU127">
            <v>445.78884013982275</v>
          </cell>
          <cell r="AV127">
            <v>392.17531752707725</v>
          </cell>
          <cell r="AW127">
            <v>415.13829407525981</v>
          </cell>
          <cell r="AX127">
            <v>438.73758193196318</v>
          </cell>
          <cell r="AY127">
            <v>476.60876362603926</v>
          </cell>
          <cell r="AZ127">
            <v>486.16528839603194</v>
          </cell>
          <cell r="BA127">
            <v>483.44024530302102</v>
          </cell>
          <cell r="BB127">
            <v>460.69198443720086</v>
          </cell>
          <cell r="BC127">
            <v>479.574562794869</v>
          </cell>
          <cell r="BD127">
            <v>496.79671346520882</v>
          </cell>
          <cell r="BE127">
            <v>514.76240289709608</v>
          </cell>
          <cell r="BF127">
            <v>537.00400149215398</v>
          </cell>
        </row>
        <row r="128">
          <cell r="T128">
            <v>0</v>
          </cell>
          <cell r="U128">
            <v>0</v>
          </cell>
          <cell r="V128">
            <v>0</v>
          </cell>
          <cell r="W128">
            <v>32.442012829507014</v>
          </cell>
          <cell r="X128">
            <v>65.204043611751729</v>
          </cell>
          <cell r="Y128">
            <v>65.4216696535388</v>
          </cell>
          <cell r="Z128">
            <v>34.750786316440831</v>
          </cell>
          <cell r="AA128">
            <v>54.649417553245236</v>
          </cell>
          <cell r="AB128">
            <v>80.260257719563043</v>
          </cell>
          <cell r="AC128">
            <v>80.611634529624979</v>
          </cell>
          <cell r="AD128">
            <v>100</v>
          </cell>
          <cell r="AE128">
            <v>325</v>
          </cell>
          <cell r="AF128">
            <v>475</v>
          </cell>
          <cell r="AG128">
            <v>246.63128005781343</v>
          </cell>
          <cell r="AH128">
            <v>291.63158007476477</v>
          </cell>
          <cell r="AI128">
            <v>364.91712072880676</v>
          </cell>
          <cell r="AJ128">
            <v>292.30168540948347</v>
          </cell>
          <cell r="AK128">
            <v>270.62521299003924</v>
          </cell>
          <cell r="AL128">
            <v>269.38335342854759</v>
          </cell>
          <cell r="AM128">
            <v>286.20170229485041</v>
          </cell>
          <cell r="AN128">
            <v>331.29073237779011</v>
          </cell>
          <cell r="AO128">
            <v>337.16330494131239</v>
          </cell>
          <cell r="AP128">
            <v>331.54095996326424</v>
          </cell>
          <cell r="AQ128">
            <v>346.61370803066387</v>
          </cell>
          <cell r="AR128">
            <v>373.64198319322696</v>
          </cell>
          <cell r="AS128">
            <v>427.05426828765917</v>
          </cell>
          <cell r="AT128">
            <v>471.10884928032488</v>
          </cell>
          <cell r="AU128">
            <v>472.06454344371684</v>
          </cell>
          <cell r="AV128">
            <v>416.08362120658876</v>
          </cell>
          <cell r="AW128">
            <v>440.16833451119624</v>
          </cell>
          <cell r="AX128">
            <v>465.12767499596328</v>
          </cell>
          <cell r="AY128">
            <v>505.18593579117646</v>
          </cell>
          <cell r="AZ128">
            <v>515.37276265634637</v>
          </cell>
          <cell r="BA128">
            <v>512.53502221884492</v>
          </cell>
          <cell r="BB128">
            <v>488.73540014158488</v>
          </cell>
          <cell r="BC128">
            <v>508.30830733792158</v>
          </cell>
          <cell r="BD128">
            <v>526.58676720373251</v>
          </cell>
          <cell r="BE128">
            <v>545.63323882606323</v>
          </cell>
          <cell r="BF128">
            <v>568.92396311996322</v>
          </cell>
        </row>
        <row r="129">
          <cell r="T129">
            <v>0</v>
          </cell>
          <cell r="U129">
            <v>0</v>
          </cell>
          <cell r="V129">
            <v>0</v>
          </cell>
          <cell r="W129">
            <v>29.831071531804508</v>
          </cell>
          <cell r="X129">
            <v>51.17467205245412</v>
          </cell>
          <cell r="Y129">
            <v>58.225950948197124</v>
          </cell>
          <cell r="Z129">
            <v>67.371270080021532</v>
          </cell>
          <cell r="AA129">
            <v>77.229949419772993</v>
          </cell>
          <cell r="AB129">
            <v>83.001945297577933</v>
          </cell>
          <cell r="AC129">
            <v>74.852014713039011</v>
          </cell>
          <cell r="AD129">
            <v>75</v>
          </cell>
          <cell r="AE129">
            <v>375</v>
          </cell>
          <cell r="AF129">
            <v>400</v>
          </cell>
          <cell r="AG129">
            <v>256.40592384759276</v>
          </cell>
          <cell r="AH129">
            <v>276.70085396157185</v>
          </cell>
          <cell r="AI129">
            <v>361.39325070144758</v>
          </cell>
          <cell r="AJ129">
            <v>288.42621638581289</v>
          </cell>
          <cell r="AK129">
            <v>262.5567065227188</v>
          </cell>
          <cell r="AL129">
            <v>262.08268353781978</v>
          </cell>
          <cell r="AM129">
            <v>303.77864396961928</v>
          </cell>
          <cell r="AN129">
            <v>330.37874666356441</v>
          </cell>
          <cell r="AO129">
            <v>337.41702656474268</v>
          </cell>
          <cell r="AP129">
            <v>333.92782150898324</v>
          </cell>
          <cell r="AQ129">
            <v>352.25832204640062</v>
          </cell>
          <cell r="AR129">
            <v>375.76981771967439</v>
          </cell>
          <cell r="AS129">
            <v>430.53768938369905</v>
          </cell>
          <cell r="AT129">
            <v>475.76564127376469</v>
          </cell>
          <cell r="AU129">
            <v>476.668025481303</v>
          </cell>
          <cell r="AV129">
            <v>419.14139826344257</v>
          </cell>
          <cell r="AW129">
            <v>443.83593387597938</v>
          </cell>
          <cell r="AX129">
            <v>469.14515270959663</v>
          </cell>
          <cell r="AY129">
            <v>509.50802600887829</v>
          </cell>
          <cell r="AZ129">
            <v>519.65083387416246</v>
          </cell>
          <cell r="BA129">
            <v>516.86084090381564</v>
          </cell>
          <cell r="BB129">
            <v>492.74557198444114</v>
          </cell>
          <cell r="BC129">
            <v>512.63133639693103</v>
          </cell>
          <cell r="BD129">
            <v>531.04599384560163</v>
          </cell>
          <cell r="BE129">
            <v>550.27024657880293</v>
          </cell>
          <cell r="BF129">
            <v>573.86672470235555</v>
          </cell>
        </row>
        <row r="134">
          <cell r="AB134">
            <v>10.792029312807884</v>
          </cell>
          <cell r="AC134">
            <v>23.48190659688013</v>
          </cell>
          <cell r="AD134">
            <v>29.086407451970452</v>
          </cell>
          <cell r="AE134">
            <v>15.135912126436786</v>
          </cell>
          <cell r="AF134">
            <v>14.890173785353896</v>
          </cell>
          <cell r="AG134">
            <v>7.7782595015328937</v>
          </cell>
          <cell r="AH134">
            <v>7.7652147652100485</v>
          </cell>
          <cell r="AI134">
            <v>9.3370651429232332</v>
          </cell>
          <cell r="AJ134">
            <v>11.296196854874779</v>
          </cell>
          <cell r="AK134">
            <v>8.2827145073818862</v>
          </cell>
          <cell r="AL134">
            <v>7.8338577511759979</v>
          </cell>
          <cell r="AM134">
            <v>8.4700143865562652</v>
          </cell>
          <cell r="AN134">
            <v>8.8026529085107992</v>
          </cell>
          <cell r="AO134">
            <v>9.9871205950748223</v>
          </cell>
          <cell r="AP134">
            <v>10.253131193810843</v>
          </cell>
          <cell r="AQ134">
            <v>10.718856850003039</v>
          </cell>
          <cell r="AR134">
            <v>11.376357189178274</v>
          </cell>
          <cell r="AS134">
            <v>11.125067183461884</v>
          </cell>
          <cell r="AT134">
            <v>12.028903159885303</v>
          </cell>
          <cell r="AU134">
            <v>13.262712014199469</v>
          </cell>
          <cell r="AV134">
            <v>14.62214027501474</v>
          </cell>
          <cell r="AW134">
            <v>16.120909961197963</v>
          </cell>
          <cell r="AX134">
            <v>17.773303571784382</v>
          </cell>
          <cell r="AY134">
            <v>19.595067562261185</v>
          </cell>
          <cell r="AZ134">
            <v>21.603562400134681</v>
          </cell>
          <cell r="BA134">
            <v>23.817928001196247</v>
          </cell>
          <cell r="BB134">
            <v>26.259266123009027</v>
          </cell>
          <cell r="BC134">
            <v>28.95084145373087</v>
          </cell>
          <cell r="BD134">
            <v>31.918303312545842</v>
          </cell>
          <cell r="BE134">
            <v>35.189930074394631</v>
          </cell>
          <cell r="BF134">
            <v>38.796898648245005</v>
          </cell>
          <cell r="BG134">
            <v>42.773581576890614</v>
          </cell>
        </row>
        <row r="135">
          <cell r="AB135">
            <v>13.073544826354683</v>
          </cell>
          <cell r="AC135">
            <v>32.034213280804593</v>
          </cell>
          <cell r="AD135">
            <v>4.306536314449918</v>
          </cell>
          <cell r="AE135">
            <v>20.227517614572815</v>
          </cell>
          <cell r="AF135">
            <v>9.4584876927019437</v>
          </cell>
          <cell r="AG135">
            <v>10.929638985977785</v>
          </cell>
          <cell r="AH135">
            <v>7.5459607956817907</v>
          </cell>
          <cell r="AI135">
            <v>8.5023384511321414</v>
          </cell>
          <cell r="AJ135">
            <v>11.801236075474495</v>
          </cell>
          <cell r="AK135">
            <v>8.0706445713321902</v>
          </cell>
          <cell r="AL135">
            <v>8.2067231509664165</v>
          </cell>
          <cell r="AM135">
            <v>8.4285813846788251</v>
          </cell>
          <cell r="AN135">
            <v>8.7867298605663517</v>
          </cell>
          <cell r="AO135">
            <v>10.097532900170057</v>
          </cell>
          <cell r="AP135">
            <v>10.309405968970674</v>
          </cell>
          <cell r="AQ135">
            <v>10.832836163856834</v>
          </cell>
          <cell r="AR135">
            <v>11.429029067653692</v>
          </cell>
          <cell r="AS135">
            <v>11.194120675972275</v>
          </cell>
          <cell r="AT135">
            <v>12.119443438891041</v>
          </cell>
          <cell r="AU135">
            <v>13.35411809492766</v>
          </cell>
          <cell r="AV135">
            <v>14.722915480942907</v>
          </cell>
          <cell r="AW135">
            <v>16.232014627856451</v>
          </cell>
          <cell r="AX135">
            <v>17.895796469115623</v>
          </cell>
          <cell r="AY135">
            <v>19.730115984149016</v>
          </cell>
          <cell r="AZ135">
            <v>21.752453288110615</v>
          </cell>
          <cell r="BA135">
            <v>23.982080208325886</v>
          </cell>
          <cell r="BB135">
            <v>26.440243934827084</v>
          </cell>
          <cell r="BC135">
            <v>29.150369495072315</v>
          </cell>
          <cell r="BD135">
            <v>32.138282982327553</v>
          </cell>
          <cell r="BE135">
            <v>35.43245766496252</v>
          </cell>
          <cell r="BF135">
            <v>39.064285321954593</v>
          </cell>
          <cell r="BG135">
            <v>43.068375390287542</v>
          </cell>
        </row>
        <row r="136">
          <cell r="AB136">
            <v>16.501487641625619</v>
          </cell>
          <cell r="AC136">
            <v>43.761222973694579</v>
          </cell>
          <cell r="AD136">
            <v>63.153919897372745</v>
          </cell>
          <cell r="AE136">
            <v>21.212760689897099</v>
          </cell>
          <cell r="AF136">
            <v>7.76396952480777</v>
          </cell>
          <cell r="AG136">
            <v>9.7711126053802086</v>
          </cell>
          <cell r="AH136">
            <v>6.1681446901565522</v>
          </cell>
          <cell r="AI136">
            <v>11.468006931012944</v>
          </cell>
          <cell r="AJ136">
            <v>12.000781034796971</v>
          </cell>
          <cell r="AK136">
            <v>7.9551611697323628</v>
          </cell>
          <cell r="AL136">
            <v>8.2816639018966214</v>
          </cell>
          <cell r="AM136">
            <v>8.7066963994591031</v>
          </cell>
          <cell r="AN136">
            <v>9.3202065625065877</v>
          </cell>
          <cell r="AO136">
            <v>10.32579643077116</v>
          </cell>
          <cell r="AP136">
            <v>10.552553683007936</v>
          </cell>
          <cell r="AQ136">
            <v>11.153820482440498</v>
          </cell>
          <cell r="AR136">
            <v>11.807359159593727</v>
          </cell>
          <cell r="AS136">
            <v>11.564868880743729</v>
          </cell>
          <cell r="AT136">
            <v>12.466283224058063</v>
          </cell>
          <cell r="AU136">
            <v>13.750800041781964</v>
          </cell>
          <cell r="AV136">
            <v>15.160257335705309</v>
          </cell>
          <cell r="AW136">
            <v>16.714184031943972</v>
          </cell>
          <cell r="AX136">
            <v>18.427388247278316</v>
          </cell>
          <cell r="AY136">
            <v>20.316195930770593</v>
          </cell>
          <cell r="AZ136">
            <v>22.398606441605828</v>
          </cell>
          <cell r="BA136">
            <v>24.694464073664637</v>
          </cell>
          <cell r="BB136">
            <v>27.225647161368393</v>
          </cell>
          <cell r="BC136">
            <v>30.01627656887749</v>
          </cell>
          <cell r="BD136">
            <v>33.092945549436834</v>
          </cell>
          <cell r="BE136">
            <v>36.484973165309093</v>
          </cell>
          <cell r="BF136">
            <v>40.224683683256409</v>
          </cell>
          <cell r="BG136">
            <v>44.347714608064912</v>
          </cell>
        </row>
        <row r="137">
          <cell r="AA137">
            <v>16.277353633004928</v>
          </cell>
          <cell r="AB137">
            <v>21.737832638226603</v>
          </cell>
          <cell r="AC137">
            <v>23.148190349753701</v>
          </cell>
          <cell r="AD137">
            <v>22.972943811986866</v>
          </cell>
          <cell r="AE137">
            <v>7.9712102916456775</v>
          </cell>
          <cell r="AF137">
            <v>11.22601211053639</v>
          </cell>
          <cell r="AG137">
            <v>8.242079722269688</v>
          </cell>
          <cell r="AH137">
            <v>9.0357376926531376</v>
          </cell>
          <cell r="AI137">
            <v>9.4575401505422061</v>
          </cell>
          <cell r="AJ137">
            <v>7.135440714279019</v>
          </cell>
          <cell r="AK137">
            <v>7.3149605211983042</v>
          </cell>
          <cell r="AL137">
            <v>7.8048355710296731</v>
          </cell>
          <cell r="AM137">
            <v>7.9486655801268808</v>
          </cell>
          <cell r="AN137">
            <v>8.9232577017387857</v>
          </cell>
          <cell r="AO137">
            <v>9.2563262003962823</v>
          </cell>
          <cell r="AP137">
            <v>9.7500181206451959</v>
          </cell>
          <cell r="AQ137">
            <v>10.303468516666628</v>
          </cell>
          <cell r="AR137">
            <v>10.046809105859356</v>
          </cell>
          <cell r="AS137">
            <v>10.863228705539949</v>
          </cell>
          <cell r="AT137">
            <v>12.000425741501097</v>
          </cell>
          <cell r="AU137">
            <v>13.230469632776552</v>
          </cell>
          <cell r="AV137">
            <v>14.586593048816834</v>
          </cell>
          <cell r="AW137">
            <v>16.081719143566023</v>
          </cell>
          <cell r="AX137">
            <v>17.730095694519669</v>
          </cell>
          <cell r="AY137">
            <v>19.547430876666727</v>
          </cell>
          <cell r="AZ137">
            <v>21.551042953263394</v>
          </cell>
          <cell r="BA137">
            <v>23.760025309914408</v>
          </cell>
          <cell r="BB137">
            <v>26.195428404651164</v>
          </cell>
          <cell r="BC137">
            <v>28.880460367896678</v>
          </cell>
          <cell r="BD137">
            <v>31.840708163931168</v>
          </cell>
          <cell r="BE137">
            <v>35.104381421412526</v>
          </cell>
          <cell r="BF137">
            <v>38.702581256530273</v>
          </cell>
        </row>
        <row r="138">
          <cell r="AA138">
            <v>12.819078615763548</v>
          </cell>
          <cell r="AB138">
            <v>18.106214632364534</v>
          </cell>
          <cell r="AC138">
            <v>25.609142987684734</v>
          </cell>
          <cell r="AD138">
            <v>26.93990452298851</v>
          </cell>
          <cell r="AE138">
            <v>4.5724565348636395</v>
          </cell>
          <cell r="AF138">
            <v>8.5265328684128558</v>
          </cell>
          <cell r="AG138">
            <v>7.0545600124767551</v>
          </cell>
          <cell r="AH138">
            <v>6.6485667868298703</v>
          </cell>
          <cell r="AI138">
            <v>7.7090578072929254</v>
          </cell>
          <cell r="AJ138">
            <v>5.4281149215297226</v>
          </cell>
          <cell r="AK138">
            <v>5.7339647358642454</v>
          </cell>
          <cell r="AL138">
            <v>6.1523890766793503</v>
          </cell>
          <cell r="AM138">
            <v>6.1823057176681999</v>
          </cell>
          <cell r="AN138">
            <v>6.9998998368587779</v>
          </cell>
          <cell r="AO138">
            <v>7.2176295965145432</v>
          </cell>
          <cell r="AP138">
            <v>7.6316567986972457</v>
          </cell>
          <cell r="AQ138">
            <v>8.0629011297741666</v>
          </cell>
          <cell r="AR138">
            <v>7.8523136532326685</v>
          </cell>
          <cell r="AS138">
            <v>8.4971903030498659</v>
          </cell>
          <cell r="AT138">
            <v>9.3818879788935163</v>
          </cell>
          <cell r="AU138">
            <v>10.343531694345987</v>
          </cell>
          <cell r="AV138">
            <v>11.40374391088797</v>
          </cell>
          <cell r="AW138">
            <v>12.57262790195734</v>
          </cell>
          <cell r="AX138">
            <v>13.861322526732168</v>
          </cell>
          <cell r="AY138">
            <v>15.282108377690903</v>
          </cell>
          <cell r="AZ138">
            <v>16.848524808299707</v>
          </cell>
          <cell r="BA138">
            <v>18.575498956040207</v>
          </cell>
          <cell r="BB138">
            <v>20.479487990300317</v>
          </cell>
          <cell r="BC138">
            <v>22.578635940676861</v>
          </cell>
          <cell r="BD138">
            <v>24.892946600182512</v>
          </cell>
          <cell r="BE138">
            <v>27.444474151035095</v>
          </cell>
          <cell r="BF138">
            <v>30.257533329594303</v>
          </cell>
        </row>
        <row r="139">
          <cell r="AA139">
            <v>15.696936357142858</v>
          </cell>
          <cell r="AB139">
            <v>19.23961051091954</v>
          </cell>
          <cell r="AC139">
            <v>23.233142261083749</v>
          </cell>
          <cell r="AD139">
            <v>27.304666888341547</v>
          </cell>
          <cell r="AE139">
            <v>21.323694997409511</v>
          </cell>
          <cell r="AF139">
            <v>11.387230213975666</v>
          </cell>
          <cell r="AG139">
            <v>9.9987160224028742</v>
          </cell>
          <cell r="AH139">
            <v>10.202931113859217</v>
          </cell>
          <cell r="AI139">
            <v>12.927763427596828</v>
          </cell>
          <cell r="AJ139">
            <v>9.94725271039996</v>
          </cell>
          <cell r="AK139">
            <v>9.038495685076315</v>
          </cell>
          <cell r="AL139">
            <v>9.9214099624570125</v>
          </cell>
          <cell r="AM139">
            <v>10.175881521389316</v>
          </cell>
          <cell r="AN139">
            <v>11.63792905071384</v>
          </cell>
          <cell r="AO139">
            <v>11.983287366229504</v>
          </cell>
          <cell r="AP139">
            <v>12.470451236876521</v>
          </cell>
          <cell r="AQ139">
            <v>13.253206145955122</v>
          </cell>
          <cell r="AR139">
            <v>12.948704765017384</v>
          </cell>
          <cell r="AS139">
            <v>14.016385206578493</v>
          </cell>
          <cell r="AT139">
            <v>15.453888057925139</v>
          </cell>
          <cell r="AU139">
            <v>17.037911909376241</v>
          </cell>
          <cell r="AV139">
            <v>18.784298238966251</v>
          </cell>
          <cell r="AW139">
            <v>20.709689204124334</v>
          </cell>
          <cell r="AX139">
            <v>22.832432783766695</v>
          </cell>
          <cell r="AY139">
            <v>25.172757625034919</v>
          </cell>
          <cell r="AZ139">
            <v>27.752965811828687</v>
          </cell>
          <cell r="BA139">
            <v>30.597645392117169</v>
          </cell>
          <cell r="BB139">
            <v>33.733904689304275</v>
          </cell>
          <cell r="BC139">
            <v>37.191630630513821</v>
          </cell>
          <cell r="BD139">
            <v>41.003773553529335</v>
          </cell>
          <cell r="BE139">
            <v>45.206661206451209</v>
          </cell>
          <cell r="BF139">
            <v>49.840344932325316</v>
          </cell>
        </row>
        <row r="140">
          <cell r="AA140">
            <v>16.354461628078823</v>
          </cell>
          <cell r="AB140">
            <v>16.645030616830869</v>
          </cell>
          <cell r="AC140">
            <v>17.461385500000002</v>
          </cell>
          <cell r="AD140">
            <v>30.240227413793107</v>
          </cell>
          <cell r="AE140">
            <v>10.647539098708354</v>
          </cell>
          <cell r="AF140">
            <v>8.4003853713305521</v>
          </cell>
          <cell r="AG140">
            <v>5.7897558204412585</v>
          </cell>
          <cell r="AH140">
            <v>7.0152186167288146</v>
          </cell>
          <cell r="AI140">
            <v>8.7871636137859284</v>
          </cell>
          <cell r="AJ140">
            <v>6.2093095477604239</v>
          </cell>
          <cell r="AK140">
            <v>5.9443254511417649</v>
          </cell>
          <cell r="AL140">
            <v>6.4164243219998545</v>
          </cell>
          <cell r="AM140">
            <v>6.6822986224730982</v>
          </cell>
          <cell r="AN140">
            <v>7.5928865667524601</v>
          </cell>
          <cell r="AO140">
            <v>7.7652426816595481</v>
          </cell>
          <cell r="AP140">
            <v>8.1315878299027169</v>
          </cell>
          <cell r="AQ140">
            <v>8.6300608806945913</v>
          </cell>
          <cell r="AR140">
            <v>8.4413685816341619</v>
          </cell>
          <cell r="AS140">
            <v>9.1264728633756675</v>
          </cell>
          <cell r="AT140">
            <v>10.058865348914075</v>
          </cell>
          <cell r="AU140">
            <v>11.089899259053201</v>
          </cell>
          <cell r="AV140">
            <v>12.226614166698825</v>
          </cell>
          <cell r="AW140">
            <v>13.479842376321379</v>
          </cell>
          <cell r="AX140">
            <v>14.861526503827681</v>
          </cell>
          <cell r="AY140">
            <v>16.384833283506556</v>
          </cell>
          <cell r="AZ140">
            <v>18.064279040188765</v>
          </cell>
          <cell r="BA140">
            <v>19.915868022305997</v>
          </cell>
          <cell r="BB140">
            <v>21.957244914091284</v>
          </cell>
          <cell r="BC140">
            <v>24.20786298028321</v>
          </cell>
          <cell r="BD140">
            <v>26.689169445665822</v>
          </cell>
          <cell r="BE140">
            <v>29.424809876015278</v>
          </cell>
          <cell r="BF140">
            <v>32.44085350809786</v>
          </cell>
        </row>
        <row r="141">
          <cell r="AA141">
            <v>18.934347522167492</v>
          </cell>
          <cell r="AB141">
            <v>22.984381253842368</v>
          </cell>
          <cell r="AC141">
            <v>12.736827789408869</v>
          </cell>
          <cell r="AD141">
            <v>49.615692541050912</v>
          </cell>
          <cell r="AE141">
            <v>15.558915372850256</v>
          </cell>
          <cell r="AF141">
            <v>3.0579129592028016</v>
          </cell>
          <cell r="AG141">
            <v>6.7903396673187579</v>
          </cell>
          <cell r="AH141">
            <v>8.0129928440117588</v>
          </cell>
          <cell r="AI141">
            <v>10.529289091729407</v>
          </cell>
          <cell r="AJ141">
            <v>6.8080984622790526</v>
          </cell>
          <cell r="AK141">
            <v>6.0766471401658064</v>
          </cell>
          <cell r="AL141">
            <v>7.1872760028776712</v>
          </cell>
          <cell r="AM141">
            <v>7.4394284181308512</v>
          </cell>
          <cell r="AN141">
            <v>8.4213112333707834</v>
          </cell>
          <cell r="AO141">
            <v>8.494848689002799</v>
          </cell>
          <cell r="AP141">
            <v>8.8923223766329418</v>
          </cell>
          <cell r="AQ141">
            <v>9.5373872976997252</v>
          </cell>
          <cell r="AR141">
            <v>9.3079160250578052</v>
          </cell>
          <cell r="AS141">
            <v>10.047338339306197</v>
          </cell>
          <cell r="AT141">
            <v>11.058922891862599</v>
          </cell>
          <cell r="AU141">
            <v>12.192462721218714</v>
          </cell>
          <cell r="AV141">
            <v>13.442190406960206</v>
          </cell>
          <cell r="AW141">
            <v>14.820015206813904</v>
          </cell>
          <cell r="AX141">
            <v>16.339067077674493</v>
          </cell>
          <cell r="AY141">
            <v>18.013821797294916</v>
          </cell>
          <cell r="AZ141">
            <v>19.860238910952717</v>
          </cell>
          <cell r="BA141">
            <v>21.895913817652545</v>
          </cell>
          <cell r="BB141">
            <v>24.14024544516765</v>
          </cell>
          <cell r="BC141">
            <v>26.61462111177665</v>
          </cell>
          <cell r="BD141">
            <v>29.342620336332214</v>
          </cell>
          <cell r="BE141">
            <v>32.350239538866077</v>
          </cell>
          <cell r="BF141">
            <v>35.666139773010805</v>
          </cell>
        </row>
        <row r="142">
          <cell r="AA142">
            <v>13.514027796798032</v>
          </cell>
          <cell r="AB142">
            <v>18.107548509425285</v>
          </cell>
          <cell r="AC142">
            <v>24.007075229885057</v>
          </cell>
          <cell r="AD142">
            <v>26.156035125205261</v>
          </cell>
          <cell r="AE142">
            <v>21.342467827372811</v>
          </cell>
          <cell r="AF142">
            <v>13.25763585433614</v>
          </cell>
          <cell r="AG142">
            <v>8.0433470363326833</v>
          </cell>
          <cell r="AH142">
            <v>10.056678967190219</v>
          </cell>
          <cell r="AI142">
            <v>12.666844661909179</v>
          </cell>
          <cell r="AJ142">
            <v>9.7747252251246124</v>
          </cell>
          <cell r="AK142">
            <v>8.8376207114504517</v>
          </cell>
          <cell r="AL142">
            <v>9.4522200163450485</v>
          </cell>
          <cell r="AM142">
            <v>9.9166010927329875</v>
          </cell>
          <cell r="AN142">
            <v>11.323531371682245</v>
          </cell>
          <cell r="AO142">
            <v>11.646298476548527</v>
          </cell>
          <cell r="AP142">
            <v>12.096805295086623</v>
          </cell>
          <cell r="AQ142">
            <v>12.839610030763129</v>
          </cell>
          <cell r="AR142">
            <v>12.579325664500146</v>
          </cell>
          <cell r="AS142">
            <v>13.609573889410465</v>
          </cell>
          <cell r="AT142">
            <v>14.999767522605957</v>
          </cell>
          <cell r="AU142">
            <v>16.537244009621453</v>
          </cell>
          <cell r="AV142">
            <v>18.232311868940752</v>
          </cell>
          <cell r="AW142">
            <v>20.101124219544428</v>
          </cell>
          <cell r="AX142">
            <v>22.161489875448808</v>
          </cell>
          <cell r="AY142">
            <v>24.433043054482006</v>
          </cell>
          <cell r="AZ142">
            <v>26.937430482213085</v>
          </cell>
          <cell r="BA142">
            <v>29.698517674037895</v>
          </cell>
          <cell r="BB142">
            <v>32.742616361183053</v>
          </cell>
          <cell r="BC142">
            <v>36.09873522788012</v>
          </cell>
          <cell r="BD142">
            <v>39.798856349105421</v>
          </cell>
          <cell r="BE142">
            <v>43.878239963194005</v>
          </cell>
          <cell r="BF142">
            <v>48.375760483652982</v>
          </cell>
        </row>
        <row r="143">
          <cell r="AA143">
            <v>16.940589394088672</v>
          </cell>
          <cell r="AB143">
            <v>19.574186840065678</v>
          </cell>
          <cell r="AC143">
            <v>29.966812771346476</v>
          </cell>
          <cell r="AD143">
            <v>27.350783575123156</v>
          </cell>
          <cell r="AE143">
            <v>9.6674932263797935</v>
          </cell>
          <cell r="AF143">
            <v>10.328003056377845</v>
          </cell>
          <cell r="AG143">
            <v>7.1171412311917583</v>
          </cell>
          <cell r="AH143">
            <v>8.6785255694628329</v>
          </cell>
          <cell r="AI143">
            <v>10.299228433790152</v>
          </cell>
          <cell r="AJ143">
            <v>7.6602123280664509</v>
          </cell>
          <cell r="AK143">
            <v>7.7269410631489235</v>
          </cell>
          <cell r="AL143">
            <v>7.9298611287404199</v>
          </cell>
          <cell r="AM143">
            <v>8.2641717097610066</v>
          </cell>
          <cell r="AN143">
            <v>9.3899073226138121</v>
          </cell>
          <cell r="AO143">
            <v>9.6882788183955153</v>
          </cell>
          <cell r="AP143">
            <v>10.163938284817487</v>
          </cell>
          <cell r="AQ143">
            <v>10.716958775278533</v>
          </cell>
          <cell r="AR143">
            <v>10.490940299390816</v>
          </cell>
          <cell r="AS143">
            <v>11.351522570314367</v>
          </cell>
          <cell r="AT143">
            <v>12.524170634890071</v>
          </cell>
          <cell r="AU143">
            <v>13.807898388769823</v>
          </cell>
          <cell r="AV143">
            <v>15.223208264462116</v>
          </cell>
          <cell r="AW143">
            <v>16.783587432224323</v>
          </cell>
          <cell r="AX143">
            <v>18.503905497549283</v>
          </cell>
          <cell r="AY143">
            <v>20.400556200806061</v>
          </cell>
          <cell r="AZ143">
            <v>22.491613641096862</v>
          </cell>
          <cell r="BA143">
            <v>24.797004513062564</v>
          </cell>
          <cell r="BB143">
            <v>27.338697997964474</v>
          </cell>
          <cell r="BC143">
            <v>30.140915118605921</v>
          </cell>
          <cell r="BD143">
            <v>33.23035955313776</v>
          </cell>
          <cell r="BE143">
            <v>36.636472107283787</v>
          </cell>
          <cell r="BF143">
            <v>40.391711269974614</v>
          </cell>
        </row>
        <row r="144">
          <cell r="AA144">
            <v>19.726233092364534</v>
          </cell>
          <cell r="AB144">
            <v>19.844348247832514</v>
          </cell>
          <cell r="AC144">
            <v>44.229376659688015</v>
          </cell>
          <cell r="AD144">
            <v>41.435548808702798</v>
          </cell>
          <cell r="AE144">
            <v>17.422927859589421</v>
          </cell>
          <cell r="AF144">
            <v>13.489609035269137</v>
          </cell>
          <cell r="AG144">
            <v>10.185303678800842</v>
          </cell>
          <cell r="AH144">
            <v>12.925989149014699</v>
          </cell>
          <cell r="AI144">
            <v>15.367484637954947</v>
          </cell>
          <cell r="AJ144">
            <v>11.400253492519445</v>
          </cell>
          <cell r="AK144">
            <v>11.135914765206467</v>
          </cell>
          <cell r="AL144">
            <v>11.651339132401688</v>
          </cell>
          <cell r="AM144">
            <v>12.183247677164111</v>
          </cell>
          <cell r="AN144">
            <v>13.822115801903282</v>
          </cell>
          <cell r="AO144">
            <v>14.230269343414765</v>
          </cell>
          <cell r="AP144">
            <v>14.897052187031981</v>
          </cell>
          <cell r="AQ144">
            <v>15.752248356135272</v>
          </cell>
          <cell r="AR144">
            <v>15.420974910131058</v>
          </cell>
          <cell r="AS144">
            <v>16.677991334308697</v>
          </cell>
          <cell r="AT144">
            <v>18.394622735625447</v>
          </cell>
          <cell r="AU144">
            <v>20.280071953483148</v>
          </cell>
          <cell r="AV144">
            <v>22.358779755885521</v>
          </cell>
          <cell r="AW144">
            <v>24.650555151819109</v>
          </cell>
          <cell r="AX144">
            <v>27.177237574108819</v>
          </cell>
          <cell r="AY144">
            <v>29.962904997904133</v>
          </cell>
          <cell r="AZ144">
            <v>33.034103391314517</v>
          </cell>
          <cell r="BA144">
            <v>36.42009968473981</v>
          </cell>
          <cell r="BB144">
            <v>40.153160669562304</v>
          </cell>
          <cell r="BC144">
            <v>44.26886048396063</v>
          </cell>
          <cell r="BD144">
            <v>48.806419616026041</v>
          </cell>
          <cell r="BE144">
            <v>53.809078654705267</v>
          </cell>
          <cell r="BF144">
            <v>59.324510350222887</v>
          </cell>
        </row>
        <row r="145">
          <cell r="AA145">
            <v>16.592145767241384</v>
          </cell>
          <cell r="AB145">
            <v>17.721312795812807</v>
          </cell>
          <cell r="AC145">
            <v>33.281363211412156</v>
          </cell>
          <cell r="AD145">
            <v>23.659600480295573</v>
          </cell>
          <cell r="AE145">
            <v>15.988581916867739</v>
          </cell>
          <cell r="AF145">
            <v>10.365185190129164</v>
          </cell>
          <cell r="AG145">
            <v>9.2156437916312246</v>
          </cell>
          <cell r="AH145">
            <v>11.709900940905104</v>
          </cell>
          <cell r="AI145">
            <v>14.385256209421996</v>
          </cell>
          <cell r="AJ145">
            <v>10.102598070016809</v>
          </cell>
          <cell r="AK145">
            <v>9.8070825892361846</v>
          </cell>
          <cell r="AL145">
            <v>10.50313635027673</v>
          </cell>
          <cell r="AM145">
            <v>10.977526518170174</v>
          </cell>
          <cell r="AN145">
            <v>12.444284479035781</v>
          </cell>
          <cell r="AO145">
            <v>12.729224645589287</v>
          </cell>
          <cell r="AP145">
            <v>13.346044585257264</v>
          </cell>
          <cell r="AQ145">
            <v>14.152161764845607</v>
          </cell>
          <cell r="AR145">
            <v>13.846854574275289</v>
          </cell>
          <cell r="AS145">
            <v>14.967030674403382</v>
          </cell>
          <cell r="AT145">
            <v>16.497962020538008</v>
          </cell>
          <cell r="AU145">
            <v>18.189003475148837</v>
          </cell>
          <cell r="AV145">
            <v>20.053376714476613</v>
          </cell>
          <cell r="AW145">
            <v>22.108848250105812</v>
          </cell>
          <cell r="AX145">
            <v>24.375005661432532</v>
          </cell>
          <cell r="AY145">
            <v>26.873444255153565</v>
          </cell>
          <cell r="AZ145">
            <v>29.627972857356998</v>
          </cell>
          <cell r="BA145">
            <v>32.664840699306438</v>
          </cell>
          <cell r="BB145">
            <v>36.012987559022918</v>
          </cell>
          <cell r="BC145">
            <v>39.704319542384205</v>
          </cell>
          <cell r="BD145">
            <v>43.774013131792586</v>
          </cell>
          <cell r="BE145">
            <v>48.26085039983753</v>
          </cell>
          <cell r="BF145">
            <v>53.207588582365808</v>
          </cell>
        </row>
        <row r="150">
          <cell r="Z150">
            <v>0.43287115888847899</v>
          </cell>
          <cell r="AA150">
            <v>0.5038592324479908</v>
          </cell>
          <cell r="AB150">
            <v>0.43797138097900512</v>
          </cell>
          <cell r="AC150">
            <v>0.26348485237148395</v>
          </cell>
          <cell r="AD150">
            <v>0.42863807886666794</v>
          </cell>
          <cell r="AE150">
            <v>1.5040203689264955</v>
          </cell>
          <cell r="AF150">
            <v>5.3964205662847258</v>
          </cell>
          <cell r="AG150">
            <v>16.172614219383085</v>
          </cell>
          <cell r="AH150">
            <v>29.380068370161059</v>
          </cell>
          <cell r="AI150">
            <v>89.413575220427973</v>
          </cell>
          <cell r="AJ150">
            <v>203.76746384712646</v>
          </cell>
          <cell r="AK150">
            <v>251.08792226340373</v>
          </cell>
          <cell r="AL150">
            <v>299.07018778883213</v>
          </cell>
          <cell r="AM150">
            <v>395.70269488405529</v>
          </cell>
          <cell r="AN150">
            <v>453.86835167525345</v>
          </cell>
          <cell r="AO150">
            <v>579.88620869343231</v>
          </cell>
          <cell r="AP150">
            <v>608.87153979517291</v>
          </cell>
          <cell r="AQ150">
            <v>655.0285987135527</v>
          </cell>
          <cell r="AR150">
            <v>655.0285987135527</v>
          </cell>
          <cell r="AS150">
            <v>684.3529235614601</v>
          </cell>
          <cell r="AT150">
            <v>530.9682220236773</v>
          </cell>
          <cell r="AU150">
            <v>577.97814165894647</v>
          </cell>
          <cell r="AV150">
            <v>648.35666669594173</v>
          </cell>
          <cell r="AW150">
            <v>646.98914368575709</v>
          </cell>
          <cell r="AX150">
            <v>643.09608177336645</v>
          </cell>
          <cell r="AY150">
            <v>670.59503913044239</v>
          </cell>
          <cell r="AZ150">
            <v>692.20266899380431</v>
          </cell>
          <cell r="BA150">
            <v>708.23508289660765</v>
          </cell>
          <cell r="BB150">
            <v>716.34874367608666</v>
          </cell>
          <cell r="BC150">
            <v>737.57513182189052</v>
          </cell>
          <cell r="BD150">
            <v>665.36628323703394</v>
          </cell>
          <cell r="BE150">
            <v>689.41135813823234</v>
          </cell>
          <cell r="BF150">
            <v>980.85918174803055</v>
          </cell>
          <cell r="BG150">
            <v>734.41201733994581</v>
          </cell>
        </row>
        <row r="151">
          <cell r="Z151">
            <v>0.17755996397466758</v>
          </cell>
          <cell r="AA151">
            <v>0.27202338561207651</v>
          </cell>
          <cell r="AB151">
            <v>0.17327074183260316</v>
          </cell>
          <cell r="AC151">
            <v>0.27471755030820766</v>
          </cell>
          <cell r="AD151">
            <v>0.29798186664277765</v>
          </cell>
          <cell r="AE151">
            <v>8.8152721487754673E-2</v>
          </cell>
          <cell r="AF151">
            <v>0</v>
          </cell>
          <cell r="AG151">
            <v>8.0106385082573368</v>
          </cell>
          <cell r="AH151">
            <v>30.151052050020763</v>
          </cell>
          <cell r="AI151">
            <v>80.228073923621992</v>
          </cell>
          <cell r="AJ151">
            <v>194.70565309369485</v>
          </cell>
          <cell r="AK151">
            <v>245.782914191868</v>
          </cell>
          <cell r="AL151">
            <v>275.19861844593061</v>
          </cell>
          <cell r="AM151">
            <v>373.78505215297338</v>
          </cell>
          <cell r="AN151">
            <v>432.14751189898999</v>
          </cell>
          <cell r="AO151">
            <v>551.78309348988716</v>
          </cell>
          <cell r="AP151">
            <v>574.33231471890406</v>
          </cell>
          <cell r="AQ151">
            <v>619.95100205383449</v>
          </cell>
          <cell r="AR151">
            <v>619.95100205383449</v>
          </cell>
          <cell r="AS151">
            <v>649.61272093794673</v>
          </cell>
          <cell r="AT151">
            <v>503.10499202422221</v>
          </cell>
          <cell r="AU151">
            <v>547.10874684267594</v>
          </cell>
          <cell r="AV151">
            <v>614.30657262834904</v>
          </cell>
          <cell r="AW151">
            <v>613.22555151448478</v>
          </cell>
          <cell r="AX151">
            <v>609.52137721596193</v>
          </cell>
          <cell r="AY151">
            <v>635.48452576257773</v>
          </cell>
          <cell r="AZ151">
            <v>656.04544996181573</v>
          </cell>
          <cell r="BA151">
            <v>671.23706173374512</v>
          </cell>
          <cell r="BB151">
            <v>678.91060383005481</v>
          </cell>
          <cell r="BC151">
            <v>699.03632953894225</v>
          </cell>
          <cell r="BD151">
            <v>520.53613510793309</v>
          </cell>
          <cell r="BE151">
            <v>521.1442899027885</v>
          </cell>
          <cell r="BF151">
            <v>329.36027983326329</v>
          </cell>
          <cell r="BG151">
            <v>328.80781857194728</v>
          </cell>
        </row>
        <row r="152">
          <cell r="Z152">
            <v>0.55936356052167635</v>
          </cell>
          <cell r="AA152">
            <v>0.54307571569582924</v>
          </cell>
          <cell r="AB152">
            <v>0.29363423213618228</v>
          </cell>
          <cell r="AC152">
            <v>0.29477359438173356</v>
          </cell>
          <cell r="AD152">
            <v>0.13182038655756723</v>
          </cell>
          <cell r="AE152">
            <v>1.0375116374861117</v>
          </cell>
          <cell r="AF152">
            <v>6.01339354492446</v>
          </cell>
          <cell r="AG152">
            <v>10.079269985986333</v>
          </cell>
          <cell r="AH152">
            <v>26.167748900013699</v>
          </cell>
          <cell r="AI152">
            <v>74.832384818218969</v>
          </cell>
          <cell r="AJ152">
            <v>180.17948646680057</v>
          </cell>
          <cell r="AK152">
            <v>212.33676931137919</v>
          </cell>
          <cell r="AL152">
            <v>251.74041230521198</v>
          </cell>
          <cell r="AM152">
            <v>339.91629152255615</v>
          </cell>
          <cell r="AN152">
            <v>389.84896445435817</v>
          </cell>
          <cell r="AO152">
            <v>494.45676649651972</v>
          </cell>
          <cell r="AP152">
            <v>519.91448078020392</v>
          </cell>
          <cell r="AQ152">
            <v>560.29758957463014</v>
          </cell>
          <cell r="AR152">
            <v>560.29758957463014</v>
          </cell>
          <cell r="AS152">
            <v>585.75407605190685</v>
          </cell>
          <cell r="AT152">
            <v>453.56265995538024</v>
          </cell>
          <cell r="AU152">
            <v>494.08863487768195</v>
          </cell>
          <cell r="AV152">
            <v>554.43828828466644</v>
          </cell>
          <cell r="AW152">
            <v>553.29717708613998</v>
          </cell>
          <cell r="AX152">
            <v>549.98786328031929</v>
          </cell>
          <cell r="AY152">
            <v>573.55038593872757</v>
          </cell>
          <cell r="AZ152">
            <v>592.03669502593675</v>
          </cell>
          <cell r="BA152">
            <v>605.72447485147256</v>
          </cell>
          <cell r="BB152">
            <v>612.66860488193061</v>
          </cell>
          <cell r="BC152">
            <v>630.8410802032289</v>
          </cell>
          <cell r="BD152">
            <v>979.71529898488893</v>
          </cell>
          <cell r="BE152">
            <v>980.85918174803055</v>
          </cell>
          <cell r="BF152">
            <v>301.93606883006066</v>
          </cell>
          <cell r="BG152">
            <v>301.43245827829924</v>
          </cell>
        </row>
        <row r="153">
          <cell r="Z153">
            <v>0.33663255947730464</v>
          </cell>
          <cell r="AA153">
            <v>0.37688050149609781</v>
          </cell>
          <cell r="AB153">
            <v>8.4990314119810742E-2</v>
          </cell>
          <cell r="AC153">
            <v>0.38914101406161966</v>
          </cell>
          <cell r="AD153">
            <v>0.35840301454430057</v>
          </cell>
          <cell r="AE153">
            <v>8.6507030793059797E-2</v>
          </cell>
          <cell r="AF153">
            <v>22.369901644371684</v>
          </cell>
          <cell r="AG153">
            <v>47.970183682359085</v>
          </cell>
          <cell r="AH153">
            <v>47.852749861550905</v>
          </cell>
          <cell r="AI153">
            <v>150.07245992432678</v>
          </cell>
          <cell r="AJ153">
            <v>171.62683044891904</v>
          </cell>
          <cell r="AK153">
            <v>222.86563817503836</v>
          </cell>
          <cell r="AL153">
            <v>259.14004324540804</v>
          </cell>
          <cell r="AM153">
            <v>295.0322006851427</v>
          </cell>
          <cell r="AN153">
            <v>368.86452327138653</v>
          </cell>
          <cell r="AO153">
            <v>393.61906885385235</v>
          </cell>
          <cell r="AP153">
            <v>426.3969991149944</v>
          </cell>
          <cell r="AQ153">
            <v>442.5425258021715</v>
          </cell>
          <cell r="AR153">
            <v>442.5425258021715</v>
          </cell>
          <cell r="AS153">
            <v>342.90494405430724</v>
          </cell>
          <cell r="AT153">
            <v>374.39308318824698</v>
          </cell>
          <cell r="AU153">
            <v>419.63007966181664</v>
          </cell>
          <cell r="AV153">
            <v>417.89977380560669</v>
          </cell>
          <cell r="AW153">
            <v>415.27861855857617</v>
          </cell>
          <cell r="AX153">
            <v>433.12336102183087</v>
          </cell>
          <cell r="AY153">
            <v>447.04494959808517</v>
          </cell>
          <cell r="AZ153">
            <v>457.31625001613816</v>
          </cell>
          <cell r="BA153">
            <v>462.60293951371472</v>
          </cell>
          <cell r="BB153">
            <v>476.33641610663767</v>
          </cell>
          <cell r="BC153">
            <v>502.38161781705429</v>
          </cell>
          <cell r="BD153">
            <v>328.97619924639667</v>
          </cell>
          <cell r="BE153">
            <v>329.36027983326329</v>
          </cell>
          <cell r="BF153">
            <v>443.07077128130345</v>
          </cell>
        </row>
        <row r="154">
          <cell r="Z154">
            <v>0.59119197968303205</v>
          </cell>
          <cell r="AA154">
            <v>0.37513252195866414</v>
          </cell>
          <cell r="AB154">
            <v>0</v>
          </cell>
          <cell r="AC154">
            <v>0.37477436267009545</v>
          </cell>
          <cell r="AD154">
            <v>1.7210134717713856</v>
          </cell>
          <cell r="AE154">
            <v>2.6255095999490408</v>
          </cell>
          <cell r="AF154">
            <v>3.392204164422203</v>
          </cell>
          <cell r="AG154">
            <v>41.618336889829777</v>
          </cell>
          <cell r="AH154">
            <v>93.442722282804766</v>
          </cell>
          <cell r="AI154">
            <v>286.5175186361347</v>
          </cell>
          <cell r="AJ154">
            <v>332.04096873572934</v>
          </cell>
          <cell r="AK154">
            <v>401.31526739426994</v>
          </cell>
          <cell r="AL154">
            <v>479.83023152043575</v>
          </cell>
          <cell r="AM154">
            <v>555.15003182519695</v>
          </cell>
          <cell r="AN154">
            <v>693.77822459247614</v>
          </cell>
          <cell r="AO154">
            <v>738.07960879815721</v>
          </cell>
          <cell r="AP154">
            <v>800.91951897749163</v>
          </cell>
          <cell r="AQ154">
            <v>830.91385484641103</v>
          </cell>
          <cell r="AR154">
            <v>830.91385484641103</v>
          </cell>
          <cell r="AS154">
            <v>642.75764340002388</v>
          </cell>
          <cell r="AT154">
            <v>702.16621064639344</v>
          </cell>
          <cell r="AU154">
            <v>788.3792806488384</v>
          </cell>
          <cell r="AV154">
            <v>785.76760196922601</v>
          </cell>
          <cell r="AW154">
            <v>781.33993793406557</v>
          </cell>
          <cell r="AX154">
            <v>815.26564704918167</v>
          </cell>
          <cell r="AY154">
            <v>841.45006689518152</v>
          </cell>
          <cell r="AZ154">
            <v>860.70753794192274</v>
          </cell>
          <cell r="BA154">
            <v>870.64844609309739</v>
          </cell>
          <cell r="BB154">
            <v>896.53976203807326</v>
          </cell>
          <cell r="BC154">
            <v>945.57331427469603</v>
          </cell>
          <cell r="BD154">
            <v>301.58323637338481</v>
          </cell>
          <cell r="BE154">
            <v>301.93606883006066</v>
          </cell>
          <cell r="BF154">
            <v>451.51921699129883</v>
          </cell>
        </row>
        <row r="155">
          <cell r="Z155">
            <v>0.25222942475345134</v>
          </cell>
          <cell r="AA155">
            <v>0.34798956550329674</v>
          </cell>
          <cell r="AB155">
            <v>0.62027212778301266</v>
          </cell>
          <cell r="AC155">
            <v>0.41681905894589433</v>
          </cell>
          <cell r="AD155">
            <v>1.8179295242456264</v>
          </cell>
          <cell r="AE155">
            <v>1.4612190479814073</v>
          </cell>
          <cell r="AF155">
            <v>16.680788494915358</v>
          </cell>
          <cell r="AG155">
            <v>20.376214881409457</v>
          </cell>
          <cell r="AH155">
            <v>31.076761203360235</v>
          </cell>
          <cell r="AI155">
            <v>95.826671195269086</v>
          </cell>
          <cell r="AJ155">
            <v>110.71975349253347</v>
          </cell>
          <cell r="AK155">
            <v>139.06066701150795</v>
          </cell>
          <cell r="AL155">
            <v>162.22915722045784</v>
          </cell>
          <cell r="AM155">
            <v>187.28179275140488</v>
          </cell>
          <cell r="AN155">
            <v>233.44703063171272</v>
          </cell>
          <cell r="AO155">
            <v>248.36850449286615</v>
          </cell>
          <cell r="AP155">
            <v>269.37712202186623</v>
          </cell>
          <cell r="AQ155">
            <v>279.53291047866793</v>
          </cell>
          <cell r="AR155">
            <v>279.53291047866793</v>
          </cell>
          <cell r="AS155">
            <v>216.7113783880902</v>
          </cell>
          <cell r="AT155">
            <v>236.45746019508516</v>
          </cell>
          <cell r="AU155">
            <v>265.16011105534278</v>
          </cell>
          <cell r="AV155">
            <v>264.06467478913231</v>
          </cell>
          <cell r="AW155">
            <v>262.42952744442641</v>
          </cell>
          <cell r="AX155">
            <v>273.74751039416878</v>
          </cell>
          <cell r="AY155">
            <v>282.5380287376683</v>
          </cell>
          <cell r="AZ155">
            <v>289.01957922853171</v>
          </cell>
          <cell r="BA155">
            <v>292.35711723846651</v>
          </cell>
          <cell r="BB155">
            <v>301.04365854554533</v>
          </cell>
          <cell r="BC155">
            <v>317.50897770363292</v>
          </cell>
          <cell r="BD155">
            <v>442.55491245314528</v>
          </cell>
          <cell r="BE155">
            <v>443.07077128130345</v>
          </cell>
          <cell r="BF155">
            <v>563.49606907366672</v>
          </cell>
        </row>
        <row r="156">
          <cell r="Z156">
            <v>0.48437428012607903</v>
          </cell>
          <cell r="AA156">
            <v>0.45438301494567934</v>
          </cell>
          <cell r="AB156">
            <v>2.7885286275132772</v>
          </cell>
          <cell r="AC156">
            <v>0.50484578423562843</v>
          </cell>
          <cell r="AD156">
            <v>0.26675294006356332</v>
          </cell>
          <cell r="AE156">
            <v>1.6470614917721711</v>
          </cell>
          <cell r="AF156">
            <v>11.390732569272336</v>
          </cell>
          <cell r="AG156">
            <v>14.621568182798407</v>
          </cell>
          <cell r="AH156">
            <v>28.485088686455278</v>
          </cell>
          <cell r="AI156">
            <v>92.826236018407755</v>
          </cell>
          <cell r="AJ156">
            <v>102.01642865504438</v>
          </cell>
          <cell r="AK156">
            <v>121.62759780080893</v>
          </cell>
          <cell r="AL156">
            <v>149.94343061117931</v>
          </cell>
          <cell r="AM156">
            <v>173.22256404979993</v>
          </cell>
          <cell r="AN156">
            <v>212.93158511895069</v>
          </cell>
          <cell r="AO156">
            <v>226.45366412679533</v>
          </cell>
          <cell r="AP156">
            <v>247.47598365588988</v>
          </cell>
          <cell r="AQ156">
            <v>256.40401758745696</v>
          </cell>
          <cell r="AR156">
            <v>256.40401758745696</v>
          </cell>
          <cell r="AS156">
            <v>198.1050892005791</v>
          </cell>
          <cell r="AT156">
            <v>216.42971446158734</v>
          </cell>
          <cell r="AU156">
            <v>243.09556145729348</v>
          </cell>
          <cell r="AV156">
            <v>242.00537496101293</v>
          </cell>
          <cell r="AW156">
            <v>240.49850796781993</v>
          </cell>
          <cell r="AX156">
            <v>250.95731002227092</v>
          </cell>
          <cell r="AY156">
            <v>259.04840074078385</v>
          </cell>
          <cell r="AZ156">
            <v>264.94857129718366</v>
          </cell>
          <cell r="BA156">
            <v>268.00180196694174</v>
          </cell>
          <cell r="BB156">
            <v>275.98369071404369</v>
          </cell>
          <cell r="BC156">
            <v>291.07902291469753</v>
          </cell>
          <cell r="BD156">
            <v>450.99023094225083</v>
          </cell>
          <cell r="BE156">
            <v>451.51921699129883</v>
          </cell>
          <cell r="BF156">
            <v>626.41558368883204</v>
          </cell>
        </row>
        <row r="157">
          <cell r="Z157">
            <v>0.17698514134990209</v>
          </cell>
          <cell r="AA157">
            <v>0.50317321849144137</v>
          </cell>
          <cell r="AB157">
            <v>0</v>
          </cell>
          <cell r="AC157">
            <v>0.57874470696285474</v>
          </cell>
          <cell r="AD157">
            <v>0.14871108881862471</v>
          </cell>
          <cell r="AE157">
            <v>0.90157652392391774</v>
          </cell>
          <cell r="AF157">
            <v>29.134521947502368</v>
          </cell>
          <cell r="AG157">
            <v>19.40490351961585</v>
          </cell>
          <cell r="AH157">
            <v>41.788006034630783</v>
          </cell>
          <cell r="AI157">
            <v>133.68247480931703</v>
          </cell>
          <cell r="AJ157">
            <v>150.85844815486243</v>
          </cell>
          <cell r="AK157">
            <v>180.79975492066626</v>
          </cell>
          <cell r="AL157">
            <v>219.22247412874023</v>
          </cell>
          <cell r="AM157">
            <v>253.07448966991467</v>
          </cell>
          <cell r="AN157">
            <v>313.74502856335721</v>
          </cell>
          <cell r="AO157">
            <v>332.31613045777777</v>
          </cell>
          <cell r="AP157">
            <v>363.2412708601982</v>
          </cell>
          <cell r="AQ157">
            <v>375.98701983204415</v>
          </cell>
          <cell r="AR157">
            <v>375.98701983204415</v>
          </cell>
          <cell r="AS157">
            <v>290.97751716403019</v>
          </cell>
          <cell r="AT157">
            <v>317.71546908938359</v>
          </cell>
          <cell r="AU157">
            <v>356.74093168999917</v>
          </cell>
          <cell r="AV157">
            <v>355.15932509781589</v>
          </cell>
          <cell r="AW157">
            <v>352.9299718432232</v>
          </cell>
          <cell r="AX157">
            <v>368.25769008773688</v>
          </cell>
          <cell r="AY157">
            <v>380.13597087579012</v>
          </cell>
          <cell r="AZ157">
            <v>388.79494407391803</v>
          </cell>
          <cell r="BA157">
            <v>393.27900808128135</v>
          </cell>
          <cell r="BB157">
            <v>404.98149814257135</v>
          </cell>
          <cell r="BC157">
            <v>427.13958616061223</v>
          </cell>
          <cell r="BD157">
            <v>562.83301808956526</v>
          </cell>
          <cell r="BE157">
            <v>563.49606907366672</v>
          </cell>
          <cell r="BF157">
            <v>770.57384448013408</v>
          </cell>
        </row>
        <row r="158">
          <cell r="Z158">
            <v>0.38212583958043367</v>
          </cell>
          <cell r="AA158">
            <v>0.46566217965133117</v>
          </cell>
          <cell r="AB158">
            <v>1.3398210160993334</v>
          </cell>
          <cell r="AC158">
            <v>0.63650391044099641</v>
          </cell>
          <cell r="AD158">
            <v>1.8967101578202876</v>
          </cell>
          <cell r="AE158">
            <v>1.7987708808025926</v>
          </cell>
          <cell r="AF158">
            <v>10.314314891357469</v>
          </cell>
          <cell r="AG158">
            <v>20.074790519097206</v>
          </cell>
          <cell r="AH158">
            <v>45.010842672990876</v>
          </cell>
          <cell r="AI158">
            <v>137.08546911830331</v>
          </cell>
          <cell r="AJ158">
            <v>151.98168459408603</v>
          </cell>
          <cell r="AK158">
            <v>180.75447380484061</v>
          </cell>
          <cell r="AL158">
            <v>225.82421771665219</v>
          </cell>
          <cell r="AM158">
            <v>257.41393690628269</v>
          </cell>
          <cell r="AN158">
            <v>318.34311127558095</v>
          </cell>
          <cell r="AO158">
            <v>338.59171139221286</v>
          </cell>
          <cell r="AP158">
            <v>370.39808748695918</v>
          </cell>
          <cell r="AQ158">
            <v>382.95077592032948</v>
          </cell>
          <cell r="AR158">
            <v>382.95077592032948</v>
          </cell>
          <cell r="AS158">
            <v>296.01443513588265</v>
          </cell>
          <cell r="AT158">
            <v>323.54341558507008</v>
          </cell>
          <cell r="AU158">
            <v>363.43964355199739</v>
          </cell>
          <cell r="AV158">
            <v>361.80160060167549</v>
          </cell>
          <cell r="AW158">
            <v>359.63425296194248</v>
          </cell>
          <cell r="AX158">
            <v>375.2923929026183</v>
          </cell>
          <cell r="AY158">
            <v>387.38879284105491</v>
          </cell>
          <cell r="AZ158">
            <v>396.1975039178941</v>
          </cell>
          <cell r="BA158">
            <v>400.77634287475189</v>
          </cell>
          <cell r="BB158">
            <v>412.70964448766671</v>
          </cell>
          <cell r="BC158">
            <v>435.28190326787268</v>
          </cell>
          <cell r="BD158">
            <v>625.676753666987</v>
          </cell>
          <cell r="BE158">
            <v>626.41558368883204</v>
          </cell>
          <cell r="BF158">
            <v>806.99593352000772</v>
          </cell>
        </row>
        <row r="159">
          <cell r="Z159">
            <v>0.25973480854901665</v>
          </cell>
          <cell r="AA159">
            <v>0.27085914273181466</v>
          </cell>
          <cell r="AB159">
            <v>3.3898878372153995</v>
          </cell>
          <cell r="AC159">
            <v>2.1972242871808643</v>
          </cell>
          <cell r="AD159">
            <v>1.076118519378586</v>
          </cell>
          <cell r="AE159">
            <v>1.4254180195265012</v>
          </cell>
          <cell r="AF159">
            <v>19.016661576831034</v>
          </cell>
          <cell r="AG159">
            <v>26.488351747899902</v>
          </cell>
          <cell r="AH159">
            <v>57.864069109231629</v>
          </cell>
          <cell r="AI159">
            <v>170.63179029725822</v>
          </cell>
          <cell r="AJ159">
            <v>189.52346688667882</v>
          </cell>
          <cell r="AK159">
            <v>225.37348275730679</v>
          </cell>
          <cell r="AL159">
            <v>283.67748527131863</v>
          </cell>
          <cell r="AM159">
            <v>321.84714030041619</v>
          </cell>
          <cell r="AN159">
            <v>397.43841473179816</v>
          </cell>
          <cell r="AO159">
            <v>422.27641873235143</v>
          </cell>
          <cell r="AP159">
            <v>462.59247246732787</v>
          </cell>
          <cell r="AQ159">
            <v>478.24830636431102</v>
          </cell>
          <cell r="AR159">
            <v>478.24830636431102</v>
          </cell>
          <cell r="AS159">
            <v>369.81767583696291</v>
          </cell>
          <cell r="AT159">
            <v>403.99384797116284</v>
          </cell>
          <cell r="AU159">
            <v>453.75464615193732</v>
          </cell>
          <cell r="AV159">
            <v>451.60776610187185</v>
          </cell>
          <cell r="AW159">
            <v>448.87346008280167</v>
          </cell>
          <cell r="AX159">
            <v>468.35975212769068</v>
          </cell>
          <cell r="AY159">
            <v>483.45195461426738</v>
          </cell>
          <cell r="AZ159">
            <v>494.44977334145136</v>
          </cell>
          <cell r="BA159">
            <v>500.17400389535214</v>
          </cell>
          <cell r="BB159">
            <v>515.06428827981404</v>
          </cell>
          <cell r="BC159">
            <v>543.22970644388397</v>
          </cell>
          <cell r="BD159">
            <v>769.68501136780333</v>
          </cell>
          <cell r="BE159">
            <v>770.57384448013408</v>
          </cell>
          <cell r="BF159">
            <v>688.34223797981929</v>
          </cell>
        </row>
        <row r="160">
          <cell r="Z160">
            <v>0.14942444580498951</v>
          </cell>
          <cell r="AA160">
            <v>0.49002933189162756</v>
          </cell>
          <cell r="AB160">
            <v>0.12287621517785861</v>
          </cell>
          <cell r="AC160">
            <v>0.81301424373526532</v>
          </cell>
          <cell r="AD160">
            <v>1.6303488896944403</v>
          </cell>
          <cell r="AE160">
            <v>4.5489854333885127</v>
          </cell>
          <cell r="AF160">
            <v>20.379066258223034</v>
          </cell>
          <cell r="AG160">
            <v>23.296781793083671</v>
          </cell>
          <cell r="AH160">
            <v>64.97399877864143</v>
          </cell>
          <cell r="AI160">
            <v>199.04348169687253</v>
          </cell>
          <cell r="AJ160">
            <v>205.19010555038619</v>
          </cell>
          <cell r="AK160">
            <v>247.51540626573663</v>
          </cell>
          <cell r="AL160">
            <v>317.67367335566246</v>
          </cell>
          <cell r="AM160">
            <v>359.38793718322739</v>
          </cell>
          <cell r="AN160">
            <v>438.71522129161849</v>
          </cell>
          <cell r="AO160">
            <v>469.07756021603234</v>
          </cell>
          <cell r="AP160">
            <v>515.6590475944073</v>
          </cell>
          <cell r="AQ160">
            <v>531.37868056468676</v>
          </cell>
          <cell r="AR160">
            <v>531.37868056468676</v>
          </cell>
          <cell r="AS160">
            <v>410.31127317526841</v>
          </cell>
          <cell r="AT160">
            <v>449.04948610848857</v>
          </cell>
          <cell r="AU160">
            <v>504.56201627328318</v>
          </cell>
          <cell r="AV160">
            <v>501.92917920377147</v>
          </cell>
          <cell r="AW160">
            <v>498.8425503721578</v>
          </cell>
          <cell r="AX160">
            <v>520.70432573714754</v>
          </cell>
          <cell r="AY160">
            <v>537.4826310009862</v>
          </cell>
          <cell r="AZ160">
            <v>549.64299416570077</v>
          </cell>
          <cell r="BA160">
            <v>556.00659773657662</v>
          </cell>
          <cell r="BB160">
            <v>572.5835343125126</v>
          </cell>
          <cell r="BC160">
            <v>603.89350467981546</v>
          </cell>
          <cell r="BD160">
            <v>806.07380375393325</v>
          </cell>
          <cell r="BE160">
            <v>806.99593352000772</v>
          </cell>
          <cell r="BF160">
            <v>517.65172994832244</v>
          </cell>
        </row>
        <row r="161">
          <cell r="Z161">
            <v>0.31835402210742042</v>
          </cell>
          <cell r="AA161">
            <v>0.49260579494150125</v>
          </cell>
          <cell r="AB161">
            <v>0.64132129598126819</v>
          </cell>
          <cell r="AC161">
            <v>0.4552701010529237</v>
          </cell>
          <cell r="AD161">
            <v>0.2385244062810723</v>
          </cell>
          <cell r="AE161">
            <v>3.268501774725578</v>
          </cell>
          <cell r="AF161">
            <v>33.848002657708911</v>
          </cell>
          <cell r="AG161">
            <v>25.829929573196463</v>
          </cell>
          <cell r="AH161">
            <v>74.580807574083664</v>
          </cell>
          <cell r="AI161">
            <v>240.43233327638276</v>
          </cell>
          <cell r="AJ161">
            <v>246.30106081993981</v>
          </cell>
          <cell r="AK161">
            <v>295.7482508930417</v>
          </cell>
          <cell r="AL161">
            <v>375.323308888734</v>
          </cell>
          <cell r="AM161">
            <v>465.15726243182814</v>
          </cell>
          <cell r="AN161">
            <v>533.64254306263933</v>
          </cell>
          <cell r="AO161">
            <v>572.49823932758102</v>
          </cell>
          <cell r="AP161">
            <v>633.95572043428967</v>
          </cell>
          <cell r="AQ161">
            <v>658.39543247249082</v>
          </cell>
          <cell r="AR161">
            <v>658.39543247249082</v>
          </cell>
          <cell r="AS161">
            <v>503.2014755441844</v>
          </cell>
          <cell r="AT161">
            <v>551.9148607425758</v>
          </cell>
          <cell r="AU161">
            <v>621.13456753083005</v>
          </cell>
          <cell r="AV161">
            <v>618.04888665516592</v>
          </cell>
          <cell r="AW161">
            <v>613.15982663265015</v>
          </cell>
          <cell r="AX161">
            <v>640.52075026891464</v>
          </cell>
          <cell r="AY161">
            <v>661.33244217728713</v>
          </cell>
          <cell r="AZ161">
            <v>676.20442213887929</v>
          </cell>
          <cell r="BA161">
            <v>683.8762411139104</v>
          </cell>
          <cell r="BB161">
            <v>704.37474946106317</v>
          </cell>
          <cell r="BC161">
            <v>742.92077425100047</v>
          </cell>
          <cell r="BD161">
            <v>763.95258184846148</v>
          </cell>
          <cell r="BE161">
            <v>688.34223797981929</v>
          </cell>
          <cell r="BF161">
            <v>390.20126767060481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</row>
        <row r="213">
          <cell r="S213" t="str">
            <v xml:space="preserve">10/11 </v>
          </cell>
          <cell r="T213" t="str">
            <v xml:space="preserve">11/12 </v>
          </cell>
          <cell r="U213" t="str">
            <v xml:space="preserve">12/13 </v>
          </cell>
          <cell r="V213" t="str">
            <v xml:space="preserve">13/14 </v>
          </cell>
          <cell r="W213" t="str">
            <v xml:space="preserve">14/15 </v>
          </cell>
          <cell r="X213" t="str">
            <v xml:space="preserve">15/16 </v>
          </cell>
          <cell r="Y213" t="str">
            <v xml:space="preserve">16/17 </v>
          </cell>
          <cell r="Z213" t="str">
            <v xml:space="preserve">17/18 </v>
          </cell>
          <cell r="AA213" t="str">
            <v xml:space="preserve">18/19 </v>
          </cell>
        </row>
        <row r="214">
          <cell r="S214">
            <v>168.93899999999999</v>
          </cell>
          <cell r="T214">
            <v>180</v>
          </cell>
          <cell r="U214">
            <v>180</v>
          </cell>
          <cell r="V214">
            <v>180</v>
          </cell>
          <cell r="W214">
            <v>180</v>
          </cell>
          <cell r="X214">
            <v>94.477999999999994</v>
          </cell>
          <cell r="Y214">
            <v>92.57</v>
          </cell>
          <cell r="Z214">
            <v>95.775000000000006</v>
          </cell>
          <cell r="AA214">
            <v>110.41500000000001</v>
          </cell>
        </row>
        <row r="215">
          <cell r="S215">
            <v>158.88800000000001</v>
          </cell>
          <cell r="T215">
            <v>175</v>
          </cell>
          <cell r="U215">
            <v>175</v>
          </cell>
          <cell r="V215">
            <v>175</v>
          </cell>
          <cell r="W215">
            <v>175</v>
          </cell>
          <cell r="X215">
            <v>92.335999999999999</v>
          </cell>
          <cell r="Y215">
            <v>85.897000000000006</v>
          </cell>
          <cell r="Z215">
            <v>94.802999999999997</v>
          </cell>
          <cell r="AA215">
            <v>101.56699999999999</v>
          </cell>
        </row>
        <row r="216">
          <cell r="R216">
            <v>186.8</v>
          </cell>
          <cell r="S216">
            <v>188.70099999999999</v>
          </cell>
          <cell r="T216">
            <v>185</v>
          </cell>
          <cell r="U216">
            <v>185</v>
          </cell>
          <cell r="V216">
            <v>185</v>
          </cell>
          <cell r="W216">
            <v>185</v>
          </cell>
          <cell r="X216">
            <v>90.866</v>
          </cell>
          <cell r="Y216">
            <v>89.8</v>
          </cell>
          <cell r="Z216">
            <v>96.158000000000001</v>
          </cell>
          <cell r="AA216">
            <v>106.214</v>
          </cell>
          <cell r="AB216">
            <v>100.782</v>
          </cell>
          <cell r="AC216">
            <v>90.846999999999994</v>
          </cell>
          <cell r="AD216">
            <v>93</v>
          </cell>
          <cell r="AE216">
            <v>119.997</v>
          </cell>
          <cell r="AF216">
            <v>82.706000000000003</v>
          </cell>
          <cell r="AG216">
            <v>65.438000000000002</v>
          </cell>
          <cell r="AH216">
            <v>318.30876476377648</v>
          </cell>
          <cell r="AI216">
            <v>1137.5848194295436</v>
          </cell>
          <cell r="AJ216">
            <v>1509.5153628843632</v>
          </cell>
          <cell r="AK216">
            <v>1957.4838145320998</v>
          </cell>
          <cell r="AL216">
            <v>2539.2011296632963</v>
          </cell>
          <cell r="AM216">
            <v>3250.4879001720374</v>
          </cell>
          <cell r="AN216">
            <v>3873.4219795480635</v>
          </cell>
          <cell r="AO216">
            <v>4671.8618922537353</v>
          </cell>
          <cell r="AP216">
            <v>5551.1238465478191</v>
          </cell>
          <cell r="AQ216">
            <v>6456.308424220274</v>
          </cell>
          <cell r="AR216">
            <v>7355.276974557326</v>
          </cell>
          <cell r="AS216">
            <v>8296.763610752836</v>
          </cell>
          <cell r="AT216">
            <v>9199.5514133122742</v>
          </cell>
          <cell r="AU216">
            <v>10185.957010738237</v>
          </cell>
          <cell r="AV216">
            <v>11251.90275631763</v>
          </cell>
          <cell r="AW216">
            <v>12231.583653136775</v>
          </cell>
          <cell r="AX216">
            <v>13239.57071627219</v>
          </cell>
          <cell r="AY216">
            <v>14294.20639939477</v>
          </cell>
          <cell r="AZ216">
            <v>15418.901323154272</v>
          </cell>
          <cell r="BA216">
            <v>16559.280080934979</v>
          </cell>
          <cell r="BB216">
            <v>17707.257216459042</v>
          </cell>
          <cell r="BC216">
            <v>18847.954144082549</v>
          </cell>
          <cell r="BD216">
            <v>20021.375982833408</v>
          </cell>
          <cell r="BE216">
            <v>21243.386237809493</v>
          </cell>
          <cell r="BF216">
            <v>22460.037592923971</v>
          </cell>
          <cell r="BG216">
            <v>23674.389388995445</v>
          </cell>
        </row>
        <row r="217">
          <cell r="R217">
            <v>182.51300000000001</v>
          </cell>
          <cell r="S217">
            <v>159.14699999999999</v>
          </cell>
          <cell r="T217">
            <v>190</v>
          </cell>
          <cell r="U217">
            <v>190</v>
          </cell>
          <cell r="V217">
            <v>190</v>
          </cell>
          <cell r="W217">
            <v>190</v>
          </cell>
          <cell r="X217">
            <v>87.804000000000002</v>
          </cell>
          <cell r="Y217">
            <v>103.11799999999999</v>
          </cell>
          <cell r="Z217">
            <v>107.914</v>
          </cell>
        </row>
        <row r="218">
          <cell r="R218">
            <v>154.482</v>
          </cell>
          <cell r="S218">
            <v>192.82400000000001</v>
          </cell>
          <cell r="T218">
            <v>215</v>
          </cell>
          <cell r="U218">
            <v>215</v>
          </cell>
          <cell r="V218">
            <v>215</v>
          </cell>
          <cell r="W218">
            <v>215</v>
          </cell>
          <cell r="X218">
            <v>84.623000000000005</v>
          </cell>
          <cell r="Y218">
            <v>88.44</v>
          </cell>
          <cell r="Z218">
            <v>101.21</v>
          </cell>
        </row>
        <row r="219">
          <cell r="R219">
            <v>176.28</v>
          </cell>
          <cell r="S219">
            <v>153.822</v>
          </cell>
          <cell r="T219">
            <v>220</v>
          </cell>
          <cell r="U219">
            <v>220</v>
          </cell>
          <cell r="V219">
            <v>220</v>
          </cell>
          <cell r="W219">
            <v>220</v>
          </cell>
          <cell r="X219">
            <v>81.600999999999999</v>
          </cell>
          <cell r="Y219">
            <v>78.27</v>
          </cell>
          <cell r="Z219">
            <v>89.311000000000007</v>
          </cell>
        </row>
        <row r="220">
          <cell r="R220">
            <v>170.19499999999999</v>
          </cell>
          <cell r="S220">
            <v>161.41499999999999</v>
          </cell>
          <cell r="T220">
            <v>180</v>
          </cell>
          <cell r="U220">
            <v>180</v>
          </cell>
          <cell r="V220">
            <v>180</v>
          </cell>
          <cell r="W220">
            <v>180</v>
          </cell>
          <cell r="X220">
            <v>76.974000000000004</v>
          </cell>
          <cell r="Y220">
            <v>71.125</v>
          </cell>
          <cell r="Z220">
            <v>90.778999999999996</v>
          </cell>
        </row>
        <row r="221">
          <cell r="R221">
            <v>141.54300000000001</v>
          </cell>
          <cell r="S221">
            <v>140.02600000000001</v>
          </cell>
          <cell r="T221">
            <v>145</v>
          </cell>
          <cell r="U221">
            <v>145</v>
          </cell>
          <cell r="V221">
            <v>145</v>
          </cell>
          <cell r="W221">
            <v>98.909000000000006</v>
          </cell>
          <cell r="X221">
            <v>71.353999999999999</v>
          </cell>
          <cell r="Y221">
            <v>73.611999999999995</v>
          </cell>
          <cell r="Z221">
            <v>85.192999999999998</v>
          </cell>
        </row>
        <row r="222">
          <cell r="R222">
            <v>167.19499999999999</v>
          </cell>
          <cell r="S222">
            <v>157.375</v>
          </cell>
          <cell r="T222">
            <v>160</v>
          </cell>
          <cell r="U222">
            <v>160</v>
          </cell>
          <cell r="V222">
            <v>160</v>
          </cell>
          <cell r="W222">
            <v>92.078999999999994</v>
          </cell>
          <cell r="X222">
            <v>78.061000000000007</v>
          </cell>
          <cell r="Y222">
            <v>75.152000000000001</v>
          </cell>
          <cell r="Z222">
            <v>80.741</v>
          </cell>
        </row>
        <row r="223">
          <cell r="R223">
            <v>152.703</v>
          </cell>
          <cell r="S223">
            <v>165.96100000000001</v>
          </cell>
          <cell r="T223">
            <v>160</v>
          </cell>
          <cell r="U223">
            <v>160</v>
          </cell>
          <cell r="V223">
            <v>160</v>
          </cell>
          <cell r="W223">
            <v>85.66</v>
          </cell>
          <cell r="X223">
            <v>81.100999999999999</v>
          </cell>
          <cell r="Y223">
            <v>80.78</v>
          </cell>
          <cell r="Z223">
            <v>99.888000000000005</v>
          </cell>
        </row>
        <row r="224">
          <cell r="R224">
            <v>172.85900000000001</v>
          </cell>
          <cell r="S224">
            <v>170</v>
          </cell>
          <cell r="T224">
            <v>160</v>
          </cell>
          <cell r="U224">
            <v>160</v>
          </cell>
          <cell r="V224">
            <v>160</v>
          </cell>
          <cell r="W224">
            <v>108.501</v>
          </cell>
          <cell r="X224">
            <v>82.903999999999996</v>
          </cell>
          <cell r="Y224">
            <v>84.328999999999994</v>
          </cell>
          <cell r="Z224">
            <v>102.239</v>
          </cell>
        </row>
        <row r="229">
          <cell r="AB229">
            <v>25.728300000000001</v>
          </cell>
          <cell r="AC229">
            <v>31.636399999999998</v>
          </cell>
          <cell r="AD229">
            <v>68.19047619047619</v>
          </cell>
          <cell r="AE229">
            <v>80.952380952380949</v>
          </cell>
          <cell r="AF229">
            <v>58.904761904761905</v>
          </cell>
          <cell r="AG229">
            <v>47.210526315789473</v>
          </cell>
          <cell r="AH229">
            <v>51</v>
          </cell>
          <cell r="AI229">
            <v>50</v>
          </cell>
          <cell r="AJ229">
            <v>43</v>
          </cell>
          <cell r="AK229">
            <v>43.25</v>
          </cell>
          <cell r="AL229">
            <v>43.25</v>
          </cell>
          <cell r="AM229">
            <v>47</v>
          </cell>
          <cell r="AN229">
            <v>47.75</v>
          </cell>
          <cell r="AO229">
            <v>52.25</v>
          </cell>
          <cell r="AP229">
            <v>45.75</v>
          </cell>
          <cell r="AQ229">
            <v>36</v>
          </cell>
          <cell r="AR229">
            <v>19.75</v>
          </cell>
          <cell r="AS229">
            <v>31</v>
          </cell>
          <cell r="AT229">
            <v>25</v>
          </cell>
          <cell r="AU229">
            <v>15.75</v>
          </cell>
          <cell r="AV229">
            <v>13.5</v>
          </cell>
          <cell r="AW229">
            <v>26</v>
          </cell>
          <cell r="AX229">
            <v>39.75</v>
          </cell>
          <cell r="AY229">
            <v>37.5</v>
          </cell>
          <cell r="AZ229">
            <v>28.75</v>
          </cell>
          <cell r="BA229">
            <v>34.75</v>
          </cell>
          <cell r="BB229">
            <v>20.75</v>
          </cell>
          <cell r="BC229">
            <v>32</v>
          </cell>
          <cell r="BD229">
            <v>21.75</v>
          </cell>
          <cell r="BE229">
            <v>46.5</v>
          </cell>
          <cell r="BF229">
            <v>36.5</v>
          </cell>
          <cell r="BG229">
            <v>46</v>
          </cell>
        </row>
        <row r="230">
          <cell r="AB230">
            <v>23.263200000000001</v>
          </cell>
          <cell r="AC230">
            <v>32</v>
          </cell>
          <cell r="AD230">
            <v>65.099999999999994</v>
          </cell>
          <cell r="AE230">
            <v>78.45</v>
          </cell>
          <cell r="AF230">
            <v>65.7</v>
          </cell>
          <cell r="AG230">
            <v>51</v>
          </cell>
          <cell r="AH230">
            <v>47.5</v>
          </cell>
          <cell r="AI230">
            <v>47.75</v>
          </cell>
          <cell r="AJ230">
            <v>40.25</v>
          </cell>
          <cell r="AK230">
            <v>40.75</v>
          </cell>
          <cell r="AL230">
            <v>40</v>
          </cell>
          <cell r="AM230">
            <v>41.25</v>
          </cell>
          <cell r="AN230">
            <v>38.75</v>
          </cell>
          <cell r="AO230">
            <v>49.5</v>
          </cell>
          <cell r="AP230">
            <v>38.75</v>
          </cell>
          <cell r="AQ230">
            <v>27</v>
          </cell>
          <cell r="AR230">
            <v>12</v>
          </cell>
          <cell r="AS230">
            <v>26.75</v>
          </cell>
          <cell r="AT230">
            <v>16.25</v>
          </cell>
          <cell r="AU230" t="e">
            <v>#NUM!</v>
          </cell>
          <cell r="AV230" t="e">
            <v>#NUM!</v>
          </cell>
          <cell r="AW230" t="e">
            <v>#NUM!</v>
          </cell>
          <cell r="AX230" t="e">
            <v>#NUM!</v>
          </cell>
          <cell r="AY230" t="e">
            <v>#NUM!</v>
          </cell>
          <cell r="AZ230" t="e">
            <v>#NUM!</v>
          </cell>
          <cell r="BA230" t="e">
            <v>#NUM!</v>
          </cell>
          <cell r="BB230" t="e">
            <v>#NUM!</v>
          </cell>
          <cell r="BC230" t="e">
            <v>#NUM!</v>
          </cell>
          <cell r="BD230" t="e">
            <v>#NUM!</v>
          </cell>
          <cell r="BE230" t="e">
            <v>#NUM!</v>
          </cell>
          <cell r="BF230" t="e">
            <v>#NUM!</v>
          </cell>
          <cell r="BG230" t="e">
            <v>#NUM!</v>
          </cell>
        </row>
        <row r="231">
          <cell r="AB231">
            <v>25.1905</v>
          </cell>
          <cell r="AC231">
            <v>35.545499999999997</v>
          </cell>
          <cell r="AD231">
            <v>55.547619047619051</v>
          </cell>
          <cell r="AE231">
            <v>80</v>
          </cell>
          <cell r="AF231">
            <v>68.304347826086953</v>
          </cell>
          <cell r="AG231">
            <v>46.68181818181818</v>
          </cell>
          <cell r="AH231">
            <v>35.25</v>
          </cell>
          <cell r="AI231">
            <v>43.5</v>
          </cell>
          <cell r="AJ231">
            <v>45</v>
          </cell>
          <cell r="AK231">
            <v>40.75</v>
          </cell>
          <cell r="AL231">
            <v>41.5</v>
          </cell>
          <cell r="AM231">
            <v>41.5</v>
          </cell>
          <cell r="AN231">
            <v>42</v>
          </cell>
          <cell r="AO231">
            <v>49.5</v>
          </cell>
          <cell r="AP231">
            <v>65.75</v>
          </cell>
          <cell r="AQ231">
            <v>65.25</v>
          </cell>
          <cell r="AR231">
            <v>48.25</v>
          </cell>
          <cell r="AS231">
            <v>40.5</v>
          </cell>
          <cell r="AT231">
            <v>36.25</v>
          </cell>
          <cell r="AU231">
            <v>11.25</v>
          </cell>
          <cell r="AV231">
            <v>10.75</v>
          </cell>
          <cell r="AW231">
            <v>32.75</v>
          </cell>
          <cell r="AX231">
            <v>46.25</v>
          </cell>
          <cell r="AY231">
            <v>39.75</v>
          </cell>
          <cell r="AZ231">
            <v>43.75</v>
          </cell>
          <cell r="BA231">
            <v>49</v>
          </cell>
          <cell r="BB231">
            <v>33.75</v>
          </cell>
          <cell r="BC231">
            <v>55.25</v>
          </cell>
          <cell r="BD231">
            <v>26.25</v>
          </cell>
          <cell r="BE231">
            <v>65</v>
          </cell>
          <cell r="BF231">
            <v>58</v>
          </cell>
          <cell r="BG231">
            <v>64.75</v>
          </cell>
        </row>
        <row r="232">
          <cell r="AA232">
            <v>26</v>
          </cell>
          <cell r="AB232">
            <v>30.428599999999999</v>
          </cell>
          <cell r="AC232">
            <v>39.736800000000002</v>
          </cell>
          <cell r="AD232">
            <v>66.387500000000003</v>
          </cell>
          <cell r="AE232">
            <v>76.666666666666671</v>
          </cell>
          <cell r="AF232">
            <v>68.95</v>
          </cell>
          <cell r="AG232">
            <v>45.75</v>
          </cell>
          <cell r="AH232">
            <v>43.75</v>
          </cell>
          <cell r="AI232">
            <v>48.75</v>
          </cell>
          <cell r="AJ232">
            <v>50.25</v>
          </cell>
          <cell r="AK232">
            <v>41.5</v>
          </cell>
          <cell r="AL232">
            <v>50.25</v>
          </cell>
          <cell r="AM232">
            <v>44.5</v>
          </cell>
          <cell r="AN232">
            <v>39.5</v>
          </cell>
          <cell r="AO232">
            <v>58</v>
          </cell>
          <cell r="AP232">
            <v>68.75</v>
          </cell>
          <cell r="AQ232">
            <v>67.5</v>
          </cell>
          <cell r="AR232">
            <v>54.25</v>
          </cell>
          <cell r="AS232">
            <v>39</v>
          </cell>
          <cell r="AT232">
            <v>36.25</v>
          </cell>
          <cell r="AU232">
            <v>7.5</v>
          </cell>
          <cell r="AV232">
            <v>9.75</v>
          </cell>
          <cell r="AW232">
            <v>32</v>
          </cell>
          <cell r="AX232">
            <v>43</v>
          </cell>
          <cell r="AY232">
            <v>34.25</v>
          </cell>
          <cell r="AZ232">
            <v>48</v>
          </cell>
          <cell r="BA232">
            <v>55.5</v>
          </cell>
          <cell r="BB232">
            <v>34.75</v>
          </cell>
          <cell r="BC232">
            <v>61.5</v>
          </cell>
          <cell r="BD232">
            <v>23</v>
          </cell>
          <cell r="BE232">
            <v>71.75</v>
          </cell>
          <cell r="BF232">
            <v>60.75</v>
          </cell>
        </row>
        <row r="233">
          <cell r="AA233">
            <v>26</v>
          </cell>
          <cell r="AB233">
            <v>34.289499999999997</v>
          </cell>
          <cell r="AC233">
            <v>43.947400000000002</v>
          </cell>
          <cell r="AD233">
            <v>70.279473684210529</v>
          </cell>
          <cell r="AE233">
            <v>74</v>
          </cell>
          <cell r="AF233">
            <v>59.43181818181818</v>
          </cell>
          <cell r="AG233">
            <v>44.586956521739133</v>
          </cell>
          <cell r="AH233">
            <v>45</v>
          </cell>
          <cell r="AI233">
            <v>50.5</v>
          </cell>
          <cell r="AJ233">
            <v>46</v>
          </cell>
          <cell r="AK233">
            <v>43.75</v>
          </cell>
          <cell r="AL233">
            <v>49.25</v>
          </cell>
          <cell r="AM233">
            <v>37.5</v>
          </cell>
          <cell r="AN233">
            <v>34</v>
          </cell>
          <cell r="AO233">
            <v>59.25</v>
          </cell>
          <cell r="AP233">
            <v>66.5</v>
          </cell>
          <cell r="AQ233">
            <v>63.5</v>
          </cell>
          <cell r="AR233">
            <v>53.25</v>
          </cell>
          <cell r="AS233">
            <v>35</v>
          </cell>
          <cell r="AT233">
            <v>34.25</v>
          </cell>
          <cell r="AU233">
            <v>17</v>
          </cell>
          <cell r="AV233">
            <v>13.25</v>
          </cell>
          <cell r="AW233">
            <v>32.5</v>
          </cell>
          <cell r="AX233">
            <v>41.25</v>
          </cell>
          <cell r="AY233">
            <v>33.5</v>
          </cell>
          <cell r="AZ233">
            <v>45.25</v>
          </cell>
          <cell r="BA233">
            <v>52.25</v>
          </cell>
          <cell r="BB233">
            <v>34.25</v>
          </cell>
          <cell r="BC233">
            <v>48.5</v>
          </cell>
          <cell r="BD233">
            <v>22.25</v>
          </cell>
          <cell r="BE233">
            <v>68</v>
          </cell>
          <cell r="BF233">
            <v>54.75</v>
          </cell>
        </row>
        <row r="234">
          <cell r="AA234">
            <v>26.047599999999999</v>
          </cell>
          <cell r="AB234">
            <v>30.863600000000002</v>
          </cell>
          <cell r="AC234">
            <v>50.434800000000003</v>
          </cell>
          <cell r="AD234">
            <v>73.586956521739125</v>
          </cell>
          <cell r="AE234">
            <v>74</v>
          </cell>
          <cell r="AF234">
            <v>50.875</v>
          </cell>
          <cell r="AG234">
            <v>42.815789473684212</v>
          </cell>
          <cell r="AH234">
            <v>50.25</v>
          </cell>
          <cell r="AI234">
            <v>53.5</v>
          </cell>
          <cell r="AJ234">
            <v>45.75</v>
          </cell>
          <cell r="AK234">
            <v>49.75</v>
          </cell>
          <cell r="AL234">
            <v>55.5</v>
          </cell>
          <cell r="AM234">
            <v>45.25</v>
          </cell>
          <cell r="AN234">
            <v>43.25</v>
          </cell>
          <cell r="AO234">
            <v>71.5</v>
          </cell>
          <cell r="AP234">
            <v>78.5</v>
          </cell>
          <cell r="AQ234">
            <v>75.5</v>
          </cell>
          <cell r="AR234">
            <v>63</v>
          </cell>
          <cell r="AS234">
            <v>45.5</v>
          </cell>
          <cell r="AT234">
            <v>46</v>
          </cell>
          <cell r="AU234">
            <v>35.25</v>
          </cell>
          <cell r="AV234">
            <v>29.25</v>
          </cell>
          <cell r="AW234">
            <v>46</v>
          </cell>
          <cell r="AX234">
            <v>52.5</v>
          </cell>
          <cell r="AY234">
            <v>45</v>
          </cell>
          <cell r="AZ234">
            <v>55</v>
          </cell>
          <cell r="BA234">
            <v>61.75</v>
          </cell>
          <cell r="BB234">
            <v>47.5</v>
          </cell>
          <cell r="BC234">
            <v>55</v>
          </cell>
          <cell r="BD234">
            <v>37.75</v>
          </cell>
          <cell r="BE234">
            <v>80.25</v>
          </cell>
          <cell r="BF234">
            <v>65.25</v>
          </cell>
        </row>
        <row r="235">
          <cell r="AA235">
            <v>27.666699999999999</v>
          </cell>
          <cell r="AB235">
            <v>30.774999999999999</v>
          </cell>
          <cell r="AC235">
            <v>53.476199999999999</v>
          </cell>
          <cell r="AD235">
            <v>74.25</v>
          </cell>
          <cell r="AE235">
            <v>68.666666666666671</v>
          </cell>
          <cell r="AF235">
            <v>45.05</v>
          </cell>
          <cell r="AG235">
            <v>43.357142857142854</v>
          </cell>
          <cell r="AH235">
            <v>50.75</v>
          </cell>
          <cell r="AI235">
            <v>54.5</v>
          </cell>
          <cell r="AJ235">
            <v>43</v>
          </cell>
          <cell r="AK235">
            <v>53.5</v>
          </cell>
          <cell r="AL235">
            <v>59.75</v>
          </cell>
          <cell r="AM235">
            <v>49</v>
          </cell>
          <cell r="AN235">
            <v>42.75</v>
          </cell>
          <cell r="AO235">
            <v>76.75</v>
          </cell>
          <cell r="AP235">
            <v>82.75</v>
          </cell>
          <cell r="AQ235">
            <v>77</v>
          </cell>
          <cell r="AR235">
            <v>67.75</v>
          </cell>
          <cell r="AS235">
            <v>48.25</v>
          </cell>
          <cell r="AT235">
            <v>49.75</v>
          </cell>
          <cell r="AU235">
            <v>46.75</v>
          </cell>
          <cell r="AV235">
            <v>38.25</v>
          </cell>
          <cell r="AW235">
            <v>52.75</v>
          </cell>
          <cell r="AX235">
            <v>57.25</v>
          </cell>
          <cell r="AY235">
            <v>50.5</v>
          </cell>
          <cell r="AZ235">
            <v>58.75</v>
          </cell>
          <cell r="BA235">
            <v>65</v>
          </cell>
          <cell r="BB235">
            <v>53.75</v>
          </cell>
          <cell r="BC235">
            <v>53</v>
          </cell>
          <cell r="BD235">
            <v>45</v>
          </cell>
          <cell r="BE235">
            <v>84.75</v>
          </cell>
          <cell r="BF235">
            <v>68</v>
          </cell>
        </row>
        <row r="236">
          <cell r="AA236">
            <v>28.284099999999999</v>
          </cell>
          <cell r="AB236">
            <v>33.65</v>
          </cell>
          <cell r="AC236">
            <v>54.95</v>
          </cell>
          <cell r="AD236">
            <v>80</v>
          </cell>
          <cell r="AE236">
            <v>66.900000000000006</v>
          </cell>
          <cell r="AF236">
            <v>41.428571428571431</v>
          </cell>
          <cell r="AG236">
            <v>46.261904761904759</v>
          </cell>
          <cell r="AH236">
            <v>49.75</v>
          </cell>
          <cell r="AI236">
            <v>53.5</v>
          </cell>
          <cell r="AJ236">
            <v>47.25</v>
          </cell>
          <cell r="AK236">
            <v>55.75</v>
          </cell>
          <cell r="AL236">
            <v>55.25</v>
          </cell>
          <cell r="AM236">
            <v>53</v>
          </cell>
          <cell r="AN236">
            <v>43</v>
          </cell>
          <cell r="AO236">
            <v>76.25</v>
          </cell>
          <cell r="AP236">
            <v>84.25</v>
          </cell>
          <cell r="AQ236">
            <v>76</v>
          </cell>
          <cell r="AR236">
            <v>69.75</v>
          </cell>
          <cell r="AS236">
            <v>48.25</v>
          </cell>
          <cell r="AT236">
            <v>51.25</v>
          </cell>
          <cell r="AU236">
            <v>56.25</v>
          </cell>
          <cell r="AV236">
            <v>45.25</v>
          </cell>
          <cell r="AW236">
            <v>57.25</v>
          </cell>
          <cell r="AX236">
            <v>60.5</v>
          </cell>
          <cell r="AY236">
            <v>54.5</v>
          </cell>
          <cell r="AZ236">
            <v>60.75</v>
          </cell>
          <cell r="BA236">
            <v>67</v>
          </cell>
          <cell r="BB236">
            <v>58.25</v>
          </cell>
          <cell r="BC236">
            <v>59</v>
          </cell>
          <cell r="BD236">
            <v>52.75</v>
          </cell>
          <cell r="BE236">
            <v>81.25</v>
          </cell>
          <cell r="BF236">
            <v>70.75</v>
          </cell>
        </row>
        <row r="237">
          <cell r="AA237">
            <v>29.25</v>
          </cell>
          <cell r="AB237">
            <v>24.954499999999999</v>
          </cell>
          <cell r="AC237">
            <v>58.409100000000002</v>
          </cell>
          <cell r="AD237">
            <v>80.952380952380949</v>
          </cell>
          <cell r="AE237">
            <v>59.289473684210527</v>
          </cell>
          <cell r="AF237">
            <v>40.6</v>
          </cell>
          <cell r="AG237">
            <v>51.94736842105263</v>
          </cell>
          <cell r="AH237">
            <v>48.25</v>
          </cell>
          <cell r="AI237">
            <v>52</v>
          </cell>
          <cell r="AJ237">
            <v>51.5</v>
          </cell>
          <cell r="AK237">
            <v>58.75</v>
          </cell>
          <cell r="AL237">
            <v>59.25</v>
          </cell>
          <cell r="AM237">
            <v>57</v>
          </cell>
          <cell r="AN237">
            <v>48.5</v>
          </cell>
          <cell r="AO237">
            <v>76.25</v>
          </cell>
          <cell r="AP237">
            <v>86.5</v>
          </cell>
          <cell r="AQ237">
            <v>77.5</v>
          </cell>
          <cell r="AR237">
            <v>74.5</v>
          </cell>
          <cell r="AS237">
            <v>49.5</v>
          </cell>
          <cell r="AT237">
            <v>54.25</v>
          </cell>
          <cell r="AU237">
            <v>56.25</v>
          </cell>
          <cell r="AV237">
            <v>50.25</v>
          </cell>
          <cell r="AW237">
            <v>59.75</v>
          </cell>
          <cell r="AX237">
            <v>61</v>
          </cell>
          <cell r="AY237">
            <v>53.75</v>
          </cell>
          <cell r="AZ237">
            <v>60.25</v>
          </cell>
          <cell r="BA237">
            <v>65.75</v>
          </cell>
          <cell r="BB237">
            <v>59.5</v>
          </cell>
          <cell r="BC237">
            <v>61.25</v>
          </cell>
          <cell r="BD237">
            <v>56.25</v>
          </cell>
          <cell r="BE237">
            <v>75</v>
          </cell>
          <cell r="BF237">
            <v>69.75</v>
          </cell>
        </row>
        <row r="238">
          <cell r="AA238">
            <v>30.340900000000001</v>
          </cell>
          <cell r="AB238">
            <v>23.462499999999999</v>
          </cell>
          <cell r="AC238">
            <v>61.761899999999997</v>
          </cell>
          <cell r="AD238">
            <v>78.45</v>
          </cell>
          <cell r="AE238">
            <v>53.978260869565219</v>
          </cell>
          <cell r="AF238">
            <v>41.65</v>
          </cell>
          <cell r="AG238">
            <v>49.452380952380949</v>
          </cell>
          <cell r="AH238">
            <v>46.75</v>
          </cell>
          <cell r="AI238">
            <v>50.25</v>
          </cell>
          <cell r="AJ238">
            <v>55</v>
          </cell>
          <cell r="AK238">
            <v>59</v>
          </cell>
          <cell r="AL238">
            <v>61.25</v>
          </cell>
          <cell r="AM238">
            <v>60.25</v>
          </cell>
          <cell r="AN238">
            <v>53.25</v>
          </cell>
          <cell r="AO238">
            <v>74.25</v>
          </cell>
          <cell r="AP238">
            <v>85.5</v>
          </cell>
          <cell r="AQ238">
            <v>76.75</v>
          </cell>
          <cell r="AR238">
            <v>77.75</v>
          </cell>
          <cell r="AS238">
            <v>50.5</v>
          </cell>
          <cell r="AT238">
            <v>56.75</v>
          </cell>
          <cell r="AU238">
            <v>56</v>
          </cell>
          <cell r="AV238">
            <v>55.5</v>
          </cell>
          <cell r="AW238">
            <v>61.75</v>
          </cell>
          <cell r="AX238">
            <v>60.75</v>
          </cell>
          <cell r="AY238">
            <v>53.5</v>
          </cell>
          <cell r="AZ238">
            <v>59.25</v>
          </cell>
          <cell r="BA238">
            <v>63.75</v>
          </cell>
          <cell r="BB238">
            <v>60.25</v>
          </cell>
          <cell r="BC238">
            <v>63</v>
          </cell>
          <cell r="BD238">
            <v>59.75</v>
          </cell>
          <cell r="BE238">
            <v>67.25</v>
          </cell>
          <cell r="BF238">
            <v>68</v>
          </cell>
        </row>
        <row r="239">
          <cell r="AA239">
            <v>30.795500000000001</v>
          </cell>
          <cell r="AB239">
            <v>30.095199999999998</v>
          </cell>
          <cell r="AC239">
            <v>66.295500000000004</v>
          </cell>
          <cell r="AD239">
            <v>80</v>
          </cell>
          <cell r="AE239">
            <v>52.368421052631582</v>
          </cell>
          <cell r="AF239">
            <v>41.727272727272727</v>
          </cell>
          <cell r="AG239">
            <v>46.384615384615387</v>
          </cell>
          <cell r="AH239">
            <v>50.5</v>
          </cell>
          <cell r="AI239">
            <v>40.5</v>
          </cell>
          <cell r="AJ239">
            <v>48</v>
          </cell>
          <cell r="AK239">
            <v>48.25</v>
          </cell>
          <cell r="AL239">
            <v>54.25</v>
          </cell>
          <cell r="AM239">
            <v>38</v>
          </cell>
          <cell r="AN239">
            <v>29</v>
          </cell>
          <cell r="AO239">
            <v>32.5</v>
          </cell>
          <cell r="AP239">
            <v>46.75</v>
          </cell>
          <cell r="AQ239">
            <v>15.75</v>
          </cell>
          <cell r="AR239">
            <v>20.75</v>
          </cell>
          <cell r="AS239">
            <v>15.75</v>
          </cell>
          <cell r="AT239">
            <v>13.25</v>
          </cell>
          <cell r="AU239">
            <v>13.5</v>
          </cell>
          <cell r="AV239">
            <v>16.5</v>
          </cell>
          <cell r="AW239">
            <v>22.75</v>
          </cell>
          <cell r="AX239">
            <v>22.25</v>
          </cell>
          <cell r="AY239">
            <v>12.75</v>
          </cell>
          <cell r="AZ239">
            <v>16</v>
          </cell>
          <cell r="BA239">
            <v>21</v>
          </cell>
          <cell r="BB239">
            <v>15.25</v>
          </cell>
          <cell r="BC239">
            <v>16.5</v>
          </cell>
          <cell r="BD239">
            <v>17.75</v>
          </cell>
          <cell r="BE239">
            <v>22</v>
          </cell>
          <cell r="BF239">
            <v>22</v>
          </cell>
        </row>
        <row r="240">
          <cell r="AA240">
            <v>27.85</v>
          </cell>
          <cell r="AB240">
            <v>31.166699999999999</v>
          </cell>
          <cell r="AC240">
            <v>62.428600000000003</v>
          </cell>
          <cell r="AD240">
            <v>76.666666666666671</v>
          </cell>
          <cell r="AE240">
            <v>56.31818181818182</v>
          </cell>
          <cell r="AF240">
            <v>41.795454545454547</v>
          </cell>
          <cell r="AG240">
            <v>60</v>
          </cell>
          <cell r="AH240">
            <v>41.25</v>
          </cell>
          <cell r="AI240">
            <v>40.25</v>
          </cell>
          <cell r="AJ240">
            <v>41.5</v>
          </cell>
          <cell r="AK240">
            <v>40.5</v>
          </cell>
          <cell r="AL240">
            <v>45.5</v>
          </cell>
          <cell r="AM240">
            <v>41.5</v>
          </cell>
          <cell r="AN240">
            <v>41.5</v>
          </cell>
          <cell r="AO240">
            <v>41</v>
          </cell>
          <cell r="AP240">
            <v>31.5</v>
          </cell>
          <cell r="AQ240">
            <v>9.75</v>
          </cell>
          <cell r="AR240">
            <v>16.25</v>
          </cell>
          <cell r="AS240">
            <v>16.75</v>
          </cell>
          <cell r="AT240">
            <v>9.75</v>
          </cell>
          <cell r="AU240">
            <v>6.75</v>
          </cell>
          <cell r="AV240">
            <v>14</v>
          </cell>
          <cell r="AW240">
            <v>20.5</v>
          </cell>
          <cell r="AX240">
            <v>16.5</v>
          </cell>
          <cell r="AY240">
            <v>7</v>
          </cell>
          <cell r="AZ240">
            <v>8.75</v>
          </cell>
          <cell r="BA240">
            <v>13.25</v>
          </cell>
          <cell r="BB240">
            <v>9</v>
          </cell>
          <cell r="BC240">
            <v>11.5</v>
          </cell>
          <cell r="BD240">
            <v>13.75</v>
          </cell>
          <cell r="BE240">
            <v>17.75</v>
          </cell>
          <cell r="BF240">
            <v>16</v>
          </cell>
        </row>
        <row r="405">
          <cell r="K405">
            <v>15.33142643047198</v>
          </cell>
          <cell r="L405">
            <v>22.362110148587831</v>
          </cell>
          <cell r="M405">
            <v>16.306650301049341</v>
          </cell>
          <cell r="N405">
            <v>17.746806482018236</v>
          </cell>
          <cell r="O405">
            <v>18.937486789118498</v>
          </cell>
          <cell r="P405">
            <v>33.083902818714506</v>
          </cell>
          <cell r="Q405">
            <v>29.09795874304076</v>
          </cell>
          <cell r="R405">
            <v>27.470695656670397</v>
          </cell>
          <cell r="S405">
            <v>39.16015081043372</v>
          </cell>
          <cell r="T405">
            <v>50.49051492727552</v>
          </cell>
          <cell r="U405">
            <v>44.0551713627098</v>
          </cell>
          <cell r="V405">
            <v>36.514196084408127</v>
          </cell>
          <cell r="W405">
            <v>31.025726859298331</v>
          </cell>
          <cell r="X405">
            <v>21.772439901261986</v>
          </cell>
          <cell r="Y405">
            <v>31.638076731521323</v>
          </cell>
          <cell r="Z405">
            <v>30.617493611149669</v>
          </cell>
          <cell r="AA405">
            <v>28.122734872463401</v>
          </cell>
        </row>
        <row r="406">
          <cell r="K406">
            <v>16.631721900625145</v>
          </cell>
          <cell r="L406">
            <v>25.996520038355786</v>
          </cell>
          <cell r="M406">
            <v>16.404925651653667</v>
          </cell>
          <cell r="N406">
            <v>17.992499394454018</v>
          </cell>
          <cell r="O406">
            <v>20.184866158461634</v>
          </cell>
          <cell r="P406">
            <v>34.898272810486333</v>
          </cell>
          <cell r="Q406">
            <v>18.483894291175538</v>
          </cell>
          <cell r="R406">
            <v>28.198330598170575</v>
          </cell>
          <cell r="S406">
            <v>45.321447395517239</v>
          </cell>
          <cell r="T406">
            <v>45.661641768974462</v>
          </cell>
          <cell r="U406">
            <v>38.441964200665694</v>
          </cell>
          <cell r="V406">
            <v>36.287399835436645</v>
          </cell>
          <cell r="W406">
            <v>31.14668637072478</v>
          </cell>
          <cell r="X406">
            <v>21.318847403319026</v>
          </cell>
          <cell r="Y406">
            <v>32.658659851892978</v>
          </cell>
          <cell r="Z406">
            <v>29.937104864235231</v>
          </cell>
          <cell r="AA406">
            <v>33.112252349835934</v>
          </cell>
        </row>
        <row r="407">
          <cell r="K407">
            <v>18.899684390339932</v>
          </cell>
          <cell r="L407">
            <v>25.779172121116456</v>
          </cell>
          <cell r="M407">
            <v>17.038068203982363</v>
          </cell>
          <cell r="N407">
            <v>17.60505882641106</v>
          </cell>
          <cell r="O407">
            <v>22.26383026205853</v>
          </cell>
          <cell r="P407">
            <v>33.310699067685981</v>
          </cell>
          <cell r="Q407">
            <v>15.904086959124966</v>
          </cell>
          <cell r="R407">
            <v>32.460213134042938</v>
          </cell>
          <cell r="S407">
            <v>47.882358064103506</v>
          </cell>
          <cell r="T407">
            <v>48.572195142750097</v>
          </cell>
          <cell r="U407">
            <v>39.008954823094392</v>
          </cell>
          <cell r="V407">
            <v>38.2529658145478</v>
          </cell>
          <cell r="W407">
            <v>32.658659851892978</v>
          </cell>
          <cell r="X407">
            <v>23.13321739509086</v>
          </cell>
          <cell r="Y407">
            <v>36.105962836259458</v>
          </cell>
          <cell r="Z407">
            <v>29.937104864235231</v>
          </cell>
          <cell r="AA407">
            <v>33.112252349835934</v>
          </cell>
        </row>
        <row r="408">
          <cell r="K408">
            <v>18.880787726875628</v>
          </cell>
          <cell r="L408">
            <v>21.923635888601314</v>
          </cell>
          <cell r="M408">
            <v>16.726223361646579</v>
          </cell>
          <cell r="N408">
            <v>17.463311170803884</v>
          </cell>
          <cell r="O408">
            <v>22.906421146119381</v>
          </cell>
          <cell r="P408">
            <v>35.833807337493681</v>
          </cell>
          <cell r="Q408">
            <v>21.517294121169073</v>
          </cell>
          <cell r="R408">
            <v>31.921572042735676</v>
          </cell>
          <cell r="S408">
            <v>53.467215695026184</v>
          </cell>
          <cell r="T408">
            <v>47.995756188589247</v>
          </cell>
          <cell r="U408">
            <v>40.460450816511859</v>
          </cell>
          <cell r="V408">
            <v>36.740992333379602</v>
          </cell>
          <cell r="W408">
            <v>31.297882358064104</v>
          </cell>
          <cell r="X408">
            <v>25.968170507234351</v>
          </cell>
          <cell r="Y408">
            <v>36.400797959922379</v>
          </cell>
          <cell r="Z408">
            <v>29.937104864235231</v>
          </cell>
        </row>
        <row r="409">
          <cell r="K409">
            <v>17.576709295289625</v>
          </cell>
          <cell r="L409">
            <v>18.398845697811236</v>
          </cell>
          <cell r="M409">
            <v>16.44272805043223</v>
          </cell>
          <cell r="N409">
            <v>16.981369141739492</v>
          </cell>
          <cell r="O409">
            <v>23.303314581819471</v>
          </cell>
          <cell r="P409">
            <v>39.774392163373136</v>
          </cell>
          <cell r="Q409">
            <v>20.269914751825937</v>
          </cell>
          <cell r="R409">
            <v>30.674192673392536</v>
          </cell>
          <cell r="S409">
            <v>52.900225072597486</v>
          </cell>
          <cell r="T409">
            <v>47.797309470739208</v>
          </cell>
          <cell r="U409">
            <v>41.220218250566312</v>
          </cell>
          <cell r="V409">
            <v>35.947205461979422</v>
          </cell>
          <cell r="W409">
            <v>28.746424557134965</v>
          </cell>
          <cell r="X409">
            <v>29.653609553020882</v>
          </cell>
          <cell r="Y409">
            <v>37.194584831322558</v>
          </cell>
          <cell r="Z409">
            <v>29.937104864235231</v>
          </cell>
        </row>
        <row r="410">
          <cell r="J410">
            <v>13.947969311745961</v>
          </cell>
          <cell r="K410">
            <v>17.378262577439578</v>
          </cell>
          <cell r="L410">
            <v>19.079234444725675</v>
          </cell>
          <cell r="M410">
            <v>17.599388920186772</v>
          </cell>
          <cell r="N410">
            <v>16.850961298580891</v>
          </cell>
          <cell r="O410">
            <v>23.836285766902446</v>
          </cell>
          <cell r="P410">
            <v>44.678861047381368</v>
          </cell>
          <cell r="Q410">
            <v>19.277681162575718</v>
          </cell>
          <cell r="R410">
            <v>34.331282188057635</v>
          </cell>
          <cell r="S410">
            <v>51.868302139777256</v>
          </cell>
          <cell r="T410">
            <v>49.305504526399538</v>
          </cell>
          <cell r="U410">
            <v>42.94953964897384</v>
          </cell>
          <cell r="V410">
            <v>41.0501210638377</v>
          </cell>
          <cell r="W410">
            <v>29.143317992835055</v>
          </cell>
          <cell r="X410">
            <v>33.021533850247344</v>
          </cell>
          <cell r="Y410">
            <v>36.105962836259458</v>
          </cell>
          <cell r="Z410">
            <v>29.937104864235231</v>
          </cell>
        </row>
        <row r="411">
          <cell r="J411">
            <v>13.522726344924438</v>
          </cell>
          <cell r="K411">
            <v>17.123116797346665</v>
          </cell>
          <cell r="L411">
            <v>20.252905033153077</v>
          </cell>
          <cell r="M411">
            <v>17.945253199868276</v>
          </cell>
          <cell r="N411">
            <v>16.215931801460751</v>
          </cell>
          <cell r="O411">
            <v>26.081568631720089</v>
          </cell>
          <cell r="P411">
            <v>42.439248088788013</v>
          </cell>
          <cell r="Q411">
            <v>24.040402390976777</v>
          </cell>
          <cell r="R411">
            <v>34.654466842841998</v>
          </cell>
          <cell r="S411">
            <v>53.070322259326097</v>
          </cell>
          <cell r="T411">
            <v>49.781776649239646</v>
          </cell>
          <cell r="U411">
            <v>43.147986366823886</v>
          </cell>
          <cell r="V411">
            <v>43.658277927009713</v>
          </cell>
          <cell r="W411">
            <v>27.57842387493185</v>
          </cell>
          <cell r="X411">
            <v>35.720409213007947</v>
          </cell>
          <cell r="Y411">
            <v>33.339048598807416</v>
          </cell>
          <cell r="Z411">
            <v>29.937104864235231</v>
          </cell>
        </row>
        <row r="412">
          <cell r="J412">
            <v>13.494376813803003</v>
          </cell>
          <cell r="K412">
            <v>16.873640923478039</v>
          </cell>
          <cell r="L412">
            <v>19.617875536032937</v>
          </cell>
          <cell r="M412">
            <v>17.661757888653927</v>
          </cell>
          <cell r="N412">
            <v>17.094767266225229</v>
          </cell>
          <cell r="O412">
            <v>30.685532485841112</v>
          </cell>
          <cell r="P412">
            <v>42.592335556843764</v>
          </cell>
          <cell r="Q412">
            <v>30.107202050963839</v>
          </cell>
          <cell r="R412">
            <v>34.898272810486333</v>
          </cell>
          <cell r="S412">
            <v>53.438866163904741</v>
          </cell>
          <cell r="T412">
            <v>50.008572898211121</v>
          </cell>
          <cell r="U412">
            <v>42.637694806638052</v>
          </cell>
          <cell r="V412">
            <v>45.631405293061576</v>
          </cell>
          <cell r="W412">
            <v>27.782540499006181</v>
          </cell>
          <cell r="X412">
            <v>36.514196084408127</v>
          </cell>
          <cell r="Y412">
            <v>35.550312026279336</v>
          </cell>
          <cell r="Z412">
            <v>29.937104864235231</v>
          </cell>
        </row>
        <row r="413">
          <cell r="J413">
            <v>16.924670079496622</v>
          </cell>
          <cell r="K413">
            <v>18.313797104446934</v>
          </cell>
          <cell r="L413">
            <v>18.342146635568366</v>
          </cell>
          <cell r="M413">
            <v>17.208165390710974</v>
          </cell>
          <cell r="N413">
            <v>17.440631545906736</v>
          </cell>
          <cell r="O413">
            <v>35.068369997214944</v>
          </cell>
          <cell r="P413">
            <v>46.039638541210245</v>
          </cell>
          <cell r="Q413">
            <v>32.857106569743024</v>
          </cell>
          <cell r="R413">
            <v>34.3029326569362</v>
          </cell>
          <cell r="S413">
            <v>55.973314246161024</v>
          </cell>
          <cell r="T413">
            <v>45.104104014202889</v>
          </cell>
          <cell r="U413">
            <v>45.926240416724504</v>
          </cell>
          <cell r="V413">
            <v>42.524296682152318</v>
          </cell>
          <cell r="W413">
            <v>30.390697362178187</v>
          </cell>
          <cell r="X413">
            <v>33.928718846133258</v>
          </cell>
          <cell r="Y413">
            <v>36.287399835436645</v>
          </cell>
          <cell r="Z413">
            <v>29.937104864235231</v>
          </cell>
        </row>
        <row r="414">
          <cell r="J414">
            <v>15.762339303517791</v>
          </cell>
          <cell r="K414">
            <v>17.417951921009589</v>
          </cell>
          <cell r="L414">
            <v>18.597292415661279</v>
          </cell>
          <cell r="M414">
            <v>16.919000173272337</v>
          </cell>
          <cell r="N414">
            <v>17.690107419775362</v>
          </cell>
          <cell r="O414">
            <v>34.189534532450459</v>
          </cell>
          <cell r="P414">
            <v>47.854008532982071</v>
          </cell>
          <cell r="Q414">
            <v>28.372210746332026</v>
          </cell>
          <cell r="R414">
            <v>32.930815350658754</v>
          </cell>
          <cell r="S414">
            <v>56.699062242869758</v>
          </cell>
          <cell r="T414">
            <v>44.678861047381368</v>
          </cell>
          <cell r="U414">
            <v>47.17361978606764</v>
          </cell>
          <cell r="V414">
            <v>39.764943831640984</v>
          </cell>
          <cell r="W414">
            <v>29.120638367937907</v>
          </cell>
          <cell r="X414">
            <v>31.808173918249931</v>
          </cell>
          <cell r="Y414">
            <v>36.287399835436645</v>
          </cell>
          <cell r="Z414">
            <v>29.937104864235231</v>
          </cell>
        </row>
        <row r="415">
          <cell r="J415">
            <v>15.87573742800353</v>
          </cell>
          <cell r="K415">
            <v>17.179815859589535</v>
          </cell>
          <cell r="L415">
            <v>17.718456950896801</v>
          </cell>
          <cell r="M415">
            <v>16.697873830525143</v>
          </cell>
          <cell r="N415">
            <v>18.597292415661279</v>
          </cell>
          <cell r="O415">
            <v>31.161804608681219</v>
          </cell>
          <cell r="P415">
            <v>40.99342200159483</v>
          </cell>
          <cell r="Q415">
            <v>32.772057976378719</v>
          </cell>
          <cell r="R415">
            <v>34.444680312543383</v>
          </cell>
          <cell r="S415">
            <v>52.888885260148911</v>
          </cell>
          <cell r="T415">
            <v>43.272724303758196</v>
          </cell>
          <cell r="U415">
            <v>44.633501797587073</v>
          </cell>
          <cell r="V415">
            <v>37.42138108029404</v>
          </cell>
          <cell r="W415">
            <v>29.181115855688645</v>
          </cell>
          <cell r="X415">
            <v>31.524678607035582</v>
          </cell>
          <cell r="Y415">
            <v>36.287399835436645</v>
          </cell>
          <cell r="Z415">
            <v>29.937104864235231</v>
          </cell>
        </row>
        <row r="416">
          <cell r="J416">
            <v>15.705640241274924</v>
          </cell>
          <cell r="K416">
            <v>18.370496166689801</v>
          </cell>
          <cell r="L416">
            <v>17.123116797346665</v>
          </cell>
          <cell r="M416">
            <v>17.576709295289625</v>
          </cell>
          <cell r="N416">
            <v>18.739040071268455</v>
          </cell>
          <cell r="O416">
            <v>31.89322251161424</v>
          </cell>
          <cell r="P416">
            <v>37.789924984872691</v>
          </cell>
          <cell r="Q416">
            <v>30.617493611149669</v>
          </cell>
          <cell r="R416">
            <v>35.062700090990653</v>
          </cell>
          <cell r="S416">
            <v>51.644744541241096</v>
          </cell>
          <cell r="T416">
            <v>45.586046043267288</v>
          </cell>
          <cell r="U416">
            <v>42.070704184209362</v>
          </cell>
          <cell r="V416">
            <v>35.15341859057925</v>
          </cell>
          <cell r="W416">
            <v>0</v>
          </cell>
          <cell r="X416">
            <v>32.341145103332906</v>
          </cell>
          <cell r="Y416">
            <v>33.112252349835934</v>
          </cell>
          <cell r="Z416">
            <v>29.029919868349314</v>
          </cell>
        </row>
      </sheetData>
      <sheetData sheetId="43"/>
      <sheetData sheetId="44"/>
      <sheetData sheetId="45"/>
      <sheetData sheetId="46"/>
      <sheetData sheetId="47">
        <row r="23">
          <cell r="C23">
            <v>103.1139985988265</v>
          </cell>
          <cell r="D23">
            <v>105.68980427357911</v>
          </cell>
          <cell r="E23">
            <v>103.15488440318765</v>
          </cell>
          <cell r="F23">
            <v>103.07311279446536</v>
          </cell>
          <cell r="G23">
            <v>106.05777651282948</v>
          </cell>
          <cell r="H23">
            <v>105.89423329538488</v>
          </cell>
          <cell r="I23">
            <v>93.832921008844892</v>
          </cell>
          <cell r="J23">
            <v>85.778417549697863</v>
          </cell>
          <cell r="K23">
            <v>91.093572116647692</v>
          </cell>
          <cell r="L23">
            <v>85.275000000000006</v>
          </cell>
          <cell r="M23">
            <v>97.574999999999989</v>
          </cell>
          <cell r="N23">
            <v>87.525000000000006</v>
          </cell>
          <cell r="O23">
            <v>93.824999999999989</v>
          </cell>
          <cell r="P23">
            <v>102.67500000000001</v>
          </cell>
          <cell r="Q23">
            <v>99.149999999999991</v>
          </cell>
          <cell r="R23">
            <v>98.774999999999991</v>
          </cell>
          <cell r="S23">
            <v>82.179337500000003</v>
          </cell>
          <cell r="T23">
            <v>96.804420486949212</v>
          </cell>
          <cell r="U23">
            <v>101.4734027519298</v>
          </cell>
          <cell r="V23">
            <v>107.52998699617405</v>
          </cell>
          <cell r="W23">
            <v>112.72585712387603</v>
          </cell>
          <cell r="X23">
            <v>113.916</v>
          </cell>
          <cell r="Y23">
            <v>117.76425</v>
          </cell>
          <cell r="Z23">
            <v>122.07750000000001</v>
          </cell>
          <cell r="AA23">
            <v>137.29425000000001</v>
          </cell>
          <cell r="AB23">
            <v>134.82075</v>
          </cell>
          <cell r="AC23">
            <v>133.81725</v>
          </cell>
          <cell r="AD23">
            <v>142.40775000000002</v>
          </cell>
          <cell r="AE23">
            <v>170.9205</v>
          </cell>
          <cell r="AF23">
            <v>188.107</v>
          </cell>
          <cell r="AG23">
            <v>203.65</v>
          </cell>
          <cell r="AH23">
            <v>209.68354195878882</v>
          </cell>
          <cell r="AI23">
            <v>237.59710119260586</v>
          </cell>
          <cell r="AJ23">
            <v>258.48967381908477</v>
          </cell>
          <cell r="AK23">
            <v>228.46765257878431</v>
          </cell>
          <cell r="AL23">
            <v>269.04307058418152</v>
          </cell>
          <cell r="AM23">
            <v>299.42219264875882</v>
          </cell>
          <cell r="AN23">
            <v>351.25281317328273</v>
          </cell>
          <cell r="AO23">
            <v>373.54829673562188</v>
          </cell>
          <cell r="AP23">
            <v>384.01821085452957</v>
          </cell>
          <cell r="AQ23">
            <v>388.25277554012217</v>
          </cell>
          <cell r="AR23">
            <v>392.93759714612895</v>
          </cell>
          <cell r="AS23">
            <v>397.87568147142844</v>
          </cell>
          <cell r="AT23">
            <v>402.28954393585713</v>
          </cell>
          <cell r="AU23">
            <v>406.85558019912418</v>
          </cell>
          <cell r="AV23">
            <v>411.8522185630024</v>
          </cell>
          <cell r="AW23">
            <v>416.83587977216541</v>
          </cell>
          <cell r="AX23">
            <v>421.89183533499528</v>
          </cell>
          <cell r="AY23">
            <v>426.92296201972817</v>
          </cell>
          <cell r="AZ23">
            <v>431.89129554868811</v>
          </cell>
          <cell r="BA23">
            <v>437.31885540173943</v>
          </cell>
          <cell r="BB23">
            <v>442.74327139547631</v>
          </cell>
          <cell r="BC23">
            <v>448.17054913116459</v>
          </cell>
          <cell r="BD23">
            <v>453.60275295762483</v>
          </cell>
          <cell r="BE23">
            <v>459.02530563756466</v>
          </cell>
          <cell r="BF23">
            <v>464.44445698318822</v>
          </cell>
          <cell r="BG23">
            <v>470.2886494987082</v>
          </cell>
        </row>
        <row r="24">
          <cell r="C24">
            <v>104.07032742155525</v>
          </cell>
          <cell r="D24">
            <v>98.708390177353337</v>
          </cell>
          <cell r="E24">
            <v>90.990450204638464</v>
          </cell>
          <cell r="F24">
            <v>89.000034106412002</v>
          </cell>
          <cell r="G24">
            <v>97.571009549795349</v>
          </cell>
          <cell r="H24">
            <v>105.24832878581171</v>
          </cell>
          <cell r="I24">
            <v>89.487482946794003</v>
          </cell>
          <cell r="J24">
            <v>86.887755798090041</v>
          </cell>
          <cell r="K24">
            <v>84.937960436562065</v>
          </cell>
          <cell r="L24">
            <v>78.375</v>
          </cell>
          <cell r="M24">
            <v>99.074999999999989</v>
          </cell>
          <cell r="N24">
            <v>81.675000000000011</v>
          </cell>
          <cell r="O24">
            <v>93.224999999999994</v>
          </cell>
          <cell r="P24">
            <v>94.275000000000006</v>
          </cell>
          <cell r="Q24">
            <v>88.949999999999989</v>
          </cell>
          <cell r="R24">
            <v>93.449999999999989</v>
          </cell>
          <cell r="S24">
            <v>89.152515000000008</v>
          </cell>
          <cell r="T24">
            <v>90.703301548696118</v>
          </cell>
          <cell r="U24">
            <v>97.736459939123606</v>
          </cell>
          <cell r="V24">
            <v>102.36116621816433</v>
          </cell>
          <cell r="W24">
            <v>108.39246922870937</v>
          </cell>
          <cell r="X24">
            <v>109.50075000000001</v>
          </cell>
          <cell r="Y24">
            <v>121.16250000000001</v>
          </cell>
          <cell r="Z24">
            <v>119.62575000000001</v>
          </cell>
          <cell r="AA24">
            <v>129.76724999999999</v>
          </cell>
          <cell r="AB24">
            <v>123.26400000000001</v>
          </cell>
          <cell r="AC24">
            <v>129.6705</v>
          </cell>
          <cell r="AD24">
            <v>140.3655</v>
          </cell>
          <cell r="AE24">
            <v>154.7535</v>
          </cell>
          <cell r="AF24">
            <v>178.71174999999999</v>
          </cell>
          <cell r="AG24">
            <v>203.875</v>
          </cell>
          <cell r="AH24">
            <v>197.891189951819</v>
          </cell>
          <cell r="AI24">
            <v>228.66811884784778</v>
          </cell>
          <cell r="AJ24">
            <v>247.4207355942801</v>
          </cell>
          <cell r="AK24">
            <v>218.04851123189007</v>
          </cell>
          <cell r="AL24">
            <v>259.00218631977702</v>
          </cell>
          <cell r="AM24">
            <v>288.37447476225623</v>
          </cell>
          <cell r="AN24">
            <v>336.00029641661274</v>
          </cell>
          <cell r="AO24">
            <v>358.66851321712903</v>
          </cell>
          <cell r="AP24">
            <v>368.23101126968277</v>
          </cell>
          <cell r="AQ24">
            <v>372.52603376083204</v>
          </cell>
          <cell r="AR24">
            <v>377.23960358873444</v>
          </cell>
          <cell r="AS24">
            <v>381.77590377491674</v>
          </cell>
          <cell r="AT24">
            <v>385.82678334199227</v>
          </cell>
          <cell r="AU24">
            <v>390.42879529649048</v>
          </cell>
          <cell r="AV24">
            <v>395.13514742496562</v>
          </cell>
          <cell r="AW24">
            <v>399.9767728527184</v>
          </cell>
          <cell r="AX24">
            <v>404.82072225571409</v>
          </cell>
          <cell r="AY24">
            <v>409.6075647710083</v>
          </cell>
          <cell r="AZ24">
            <v>414.37496128705368</v>
          </cell>
          <cell r="BA24">
            <v>419.61311606120921</v>
          </cell>
          <cell r="BB24">
            <v>424.80197702780208</v>
          </cell>
          <cell r="BC24">
            <v>430.0184185657846</v>
          </cell>
          <cell r="BD24">
            <v>435.22370357374075</v>
          </cell>
          <cell r="BE24">
            <v>440.42313327306687</v>
          </cell>
          <cell r="BF24">
            <v>445.62635484672052</v>
          </cell>
          <cell r="BG24">
            <v>451.23660200396779</v>
          </cell>
        </row>
        <row r="25">
          <cell r="C25">
            <v>105.83556629834253</v>
          </cell>
          <cell r="D25">
            <v>94.208908839778999</v>
          </cell>
          <cell r="E25">
            <v>91.900069060773475</v>
          </cell>
          <cell r="F25">
            <v>102.7021408839779</v>
          </cell>
          <cell r="G25">
            <v>109.38128453038674</v>
          </cell>
          <cell r="H25">
            <v>109.25759668508287</v>
          </cell>
          <cell r="I25">
            <v>85.138466850828721</v>
          </cell>
          <cell r="J25">
            <v>107.07244475138121</v>
          </cell>
          <cell r="K25">
            <v>85.798135359116017</v>
          </cell>
          <cell r="L25">
            <v>75.224999999999994</v>
          </cell>
          <cell r="M25">
            <v>105.52499999999999</v>
          </cell>
          <cell r="N25">
            <v>88.35</v>
          </cell>
          <cell r="O25">
            <v>87.9</v>
          </cell>
          <cell r="P25">
            <v>90.75</v>
          </cell>
          <cell r="Q25">
            <v>150.60000000000002</v>
          </cell>
          <cell r="R25">
            <v>92.324999999999989</v>
          </cell>
          <cell r="S25">
            <v>90.150022500000006</v>
          </cell>
          <cell r="T25">
            <v>102.4234757066243</v>
          </cell>
          <cell r="U25">
            <v>108.95091634868481</v>
          </cell>
          <cell r="V25">
            <v>117.99293288505058</v>
          </cell>
          <cell r="W25">
            <v>128.29392889890801</v>
          </cell>
          <cell r="X25">
            <v>127.92449999999999</v>
          </cell>
          <cell r="Y25">
            <v>126.75975</v>
          </cell>
          <cell r="Z25">
            <v>137.22900000000001</v>
          </cell>
          <cell r="AA25">
            <v>136.47300000000001</v>
          </cell>
          <cell r="AB25">
            <v>138.01500000000001</v>
          </cell>
          <cell r="AC25">
            <v>134.946</v>
          </cell>
          <cell r="AD25">
            <v>128.54175000000001</v>
          </cell>
          <cell r="AE25">
            <v>162.73949999999999</v>
          </cell>
          <cell r="AF25">
            <v>190.375</v>
          </cell>
          <cell r="AG25">
            <v>204.17500000000001</v>
          </cell>
          <cell r="AH25">
            <v>205.47502176345017</v>
          </cell>
          <cell r="AI25">
            <v>232.46360015000405</v>
          </cell>
          <cell r="AJ25">
            <v>251.85978083893596</v>
          </cell>
          <cell r="AK25">
            <v>225.13550124410924</v>
          </cell>
          <cell r="AL25">
            <v>265.81244890089857</v>
          </cell>
          <cell r="AM25">
            <v>294.48069653123622</v>
          </cell>
          <cell r="AN25">
            <v>344.67465560108008</v>
          </cell>
          <cell r="AO25">
            <v>366.82636047783717</v>
          </cell>
          <cell r="AP25">
            <v>377.27182091007694</v>
          </cell>
          <cell r="AQ25">
            <v>381.92423020692104</v>
          </cell>
          <cell r="AR25">
            <v>386.32682303921996</v>
          </cell>
          <cell r="AS25">
            <v>390.93990444619459</v>
          </cell>
          <cell r="AT25">
            <v>395.26849860602124</v>
          </cell>
          <cell r="AU25">
            <v>399.85065947064066</v>
          </cell>
          <cell r="AV25">
            <v>404.80228675259536</v>
          </cell>
          <cell r="AW25">
            <v>409.72839572995355</v>
          </cell>
          <cell r="AX25">
            <v>414.63124708776877</v>
          </cell>
          <cell r="AY25">
            <v>419.55787395254811</v>
          </cell>
          <cell r="AZ25">
            <v>424.45926371852187</v>
          </cell>
          <cell r="BA25">
            <v>429.81017922266159</v>
          </cell>
          <cell r="BB25">
            <v>435.14203567618438</v>
          </cell>
          <cell r="BC25">
            <v>440.47161742183374</v>
          </cell>
          <cell r="BD25">
            <v>445.80028038391345</v>
          </cell>
          <cell r="BE25">
            <v>451.13243025966892</v>
          </cell>
          <cell r="BF25">
            <v>456.46288368688539</v>
          </cell>
          <cell r="BG25">
            <v>462.2077884396133</v>
          </cell>
        </row>
        <row r="26">
          <cell r="B26">
            <v>93.631202906350921</v>
          </cell>
          <cell r="C26">
            <v>106.99496770721206</v>
          </cell>
          <cell r="D26">
            <v>99.23125672766416</v>
          </cell>
          <cell r="E26">
            <v>99.23125672766416</v>
          </cell>
          <cell r="F26">
            <v>101.43733853606028</v>
          </cell>
          <cell r="G26">
            <v>109.62529601722284</v>
          </cell>
          <cell r="H26">
            <v>87.394779332615713</v>
          </cell>
          <cell r="I26">
            <v>78.570452099031215</v>
          </cell>
          <cell r="J26">
            <v>104.74646124865447</v>
          </cell>
          <cell r="K26">
            <v>76.425000000000011</v>
          </cell>
          <cell r="L26">
            <v>85.5</v>
          </cell>
          <cell r="M26">
            <v>96.225000000000009</v>
          </cell>
          <cell r="N26">
            <v>92.699999999999989</v>
          </cell>
          <cell r="O26">
            <v>91.35</v>
          </cell>
          <cell r="P26">
            <v>107.17500000000001</v>
          </cell>
          <cell r="Q26">
            <v>109.42500000000001</v>
          </cell>
          <cell r="R26">
            <v>82.798387500000004</v>
          </cell>
          <cell r="S26">
            <v>80.947500000000005</v>
          </cell>
          <cell r="T26">
            <v>97.105386424499585</v>
          </cell>
          <cell r="U26">
            <v>100.42834905739076</v>
          </cell>
          <cell r="V26">
            <v>107.05185157209866</v>
          </cell>
          <cell r="W26">
            <v>110.91672397618352</v>
          </cell>
          <cell r="X26">
            <v>110.78700000000001</v>
          </cell>
          <cell r="Y26">
            <v>120.81375</v>
          </cell>
          <cell r="Z26">
            <v>124.04849999999999</v>
          </cell>
          <cell r="AA26">
            <v>130.05450000000002</v>
          </cell>
          <cell r="AB26">
            <v>131.39625000000001</v>
          </cell>
          <cell r="AC26">
            <v>127.19924999999999</v>
          </cell>
          <cell r="AD26">
            <v>119.08799999999999</v>
          </cell>
          <cell r="AE26">
            <v>158.34975</v>
          </cell>
          <cell r="AF26">
            <v>196.375</v>
          </cell>
          <cell r="AG26">
            <v>204.47500000000002</v>
          </cell>
          <cell r="AH26">
            <v>199.42772459611868</v>
          </cell>
          <cell r="AI26">
            <v>228.13303840235127</v>
          </cell>
          <cell r="AJ26">
            <v>248.01937793318936</v>
          </cell>
          <cell r="AK26">
            <v>223.22000133465241</v>
          </cell>
          <cell r="AL26">
            <v>263.87140065453741</v>
          </cell>
          <cell r="AM26">
            <v>290.314223396795</v>
          </cell>
          <cell r="AN26">
            <v>339.39839208484346</v>
          </cell>
          <cell r="AO26">
            <v>362.14798171102819</v>
          </cell>
          <cell r="AP26">
            <v>372.59273702424224</v>
          </cell>
          <cell r="AQ26">
            <v>377.33743799350736</v>
          </cell>
          <cell r="AR26">
            <v>381.4677692735396</v>
          </cell>
          <cell r="AS26">
            <v>385.76030813770086</v>
          </cell>
          <cell r="AT26">
            <v>390.14314917995654</v>
          </cell>
          <cell r="AU26">
            <v>394.812234063029</v>
          </cell>
          <cell r="AV26">
            <v>399.6829051779257</v>
          </cell>
          <cell r="AW26">
            <v>404.53124401869576</v>
          </cell>
          <cell r="AX26">
            <v>409.32107360636911</v>
          </cell>
          <cell r="AY26">
            <v>414.17655328220297</v>
          </cell>
          <cell r="AZ26">
            <v>419.05141354489166</v>
          </cell>
          <cell r="BA26">
            <v>424.34537790497239</v>
          </cell>
          <cell r="BB26">
            <v>429.59757550890612</v>
          </cell>
          <cell r="BC26">
            <v>434.85362810233772</v>
          </cell>
          <cell r="BD26">
            <v>440.10946259406353</v>
          </cell>
          <cell r="BE26">
            <v>445.3781727108647</v>
          </cell>
          <cell r="BF26">
            <v>450.64592843924709</v>
          </cell>
        </row>
        <row r="27">
          <cell r="B27">
            <v>96.630925464648413</v>
          </cell>
          <cell r="C27">
            <v>94.282257137382658</v>
          </cell>
          <cell r="D27">
            <v>94.450019160758785</v>
          </cell>
          <cell r="E27">
            <v>86.103858497796509</v>
          </cell>
          <cell r="F27">
            <v>94.450019160758771</v>
          </cell>
          <cell r="G27">
            <v>105.0190266334547</v>
          </cell>
          <cell r="H27">
            <v>85.978036980264434</v>
          </cell>
          <cell r="I27">
            <v>74.276635849779652</v>
          </cell>
          <cell r="J27">
            <v>96.924509005556629</v>
          </cell>
          <cell r="K27">
            <v>68.550000000000011</v>
          </cell>
          <cell r="L27">
            <v>86.775000000000006</v>
          </cell>
          <cell r="M27">
            <v>87.6</v>
          </cell>
          <cell r="N27">
            <v>82.5</v>
          </cell>
          <cell r="O27">
            <v>84.224999999999994</v>
          </cell>
          <cell r="P27">
            <v>96.675000000000011</v>
          </cell>
          <cell r="Q27">
            <v>104.69999999999999</v>
          </cell>
          <cell r="R27">
            <v>78.092700000000008</v>
          </cell>
          <cell r="S27">
            <v>75.660750000000007</v>
          </cell>
          <cell r="T27">
            <v>89.62221340182009</v>
          </cell>
          <cell r="U27">
            <v>93.542349648254842</v>
          </cell>
          <cell r="V27">
            <v>99.719876362949975</v>
          </cell>
          <cell r="W27">
            <v>104.06276221822939</v>
          </cell>
          <cell r="X27">
            <v>120.19125</v>
          </cell>
          <cell r="Y27">
            <v>118.3395</v>
          </cell>
          <cell r="Z27">
            <v>125.28</v>
          </cell>
          <cell r="AA27">
            <v>154.99349999999998</v>
          </cell>
          <cell r="AB27">
            <v>130.26375000000002</v>
          </cell>
          <cell r="AC27">
            <v>114.21299999999999</v>
          </cell>
          <cell r="AD27">
            <v>121.05674999999999</v>
          </cell>
          <cell r="AE27">
            <v>163.1865</v>
          </cell>
          <cell r="AF27">
            <v>199.67500000000001</v>
          </cell>
          <cell r="AG27">
            <v>202.37819826207709</v>
          </cell>
          <cell r="AH27">
            <v>198.33495520727666</v>
          </cell>
          <cell r="AI27">
            <v>226.72327759705303</v>
          </cell>
          <cell r="AJ27">
            <v>249.97363808538645</v>
          </cell>
          <cell r="AK27">
            <v>224.02021826210799</v>
          </cell>
          <cell r="AL27">
            <v>264.03194690849625</v>
          </cell>
          <cell r="AM27">
            <v>289.82877096227617</v>
          </cell>
          <cell r="AN27">
            <v>339.5188040009474</v>
          </cell>
          <cell r="AO27">
            <v>362.44260083108821</v>
          </cell>
          <cell r="AP27">
            <v>373.28887476607633</v>
          </cell>
          <cell r="AQ27">
            <v>377.56459836622003</v>
          </cell>
          <cell r="AR27">
            <v>381.65196707676921</v>
          </cell>
          <cell r="AS27">
            <v>385.94919763584886</v>
          </cell>
          <cell r="AT27">
            <v>390.46721983210898</v>
          </cell>
          <cell r="AU27">
            <v>395.1464787134459</v>
          </cell>
          <cell r="AV27">
            <v>400.02247845588579</v>
          </cell>
          <cell r="AW27">
            <v>404.79510643499867</v>
          </cell>
          <cell r="AX27">
            <v>409.60857757164769</v>
          </cell>
          <cell r="AY27">
            <v>414.4807773958488</v>
          </cell>
          <cell r="AZ27">
            <v>419.37626745206035</v>
          </cell>
          <cell r="BA27">
            <v>424.66626279545034</v>
          </cell>
          <cell r="BB27">
            <v>429.91661383904619</v>
          </cell>
          <cell r="BC27">
            <v>435.16880160909034</v>
          </cell>
          <cell r="BD27">
            <v>440.43621445958985</v>
          </cell>
          <cell r="BE27">
            <v>445.71066502588161</v>
          </cell>
          <cell r="BF27">
            <v>450.98301795528346</v>
          </cell>
        </row>
        <row r="28">
          <cell r="B28">
            <v>112.41277959394358</v>
          </cell>
          <cell r="C28">
            <v>113.82274604267036</v>
          </cell>
          <cell r="D28">
            <v>97.031327426015139</v>
          </cell>
          <cell r="E28">
            <v>94.168668272539577</v>
          </cell>
          <cell r="F28">
            <v>101.04759549208535</v>
          </cell>
          <cell r="G28">
            <v>118.05264538885066</v>
          </cell>
          <cell r="H28">
            <v>102.07302563661389</v>
          </cell>
          <cell r="I28">
            <v>83.786188059187893</v>
          </cell>
          <cell r="J28">
            <v>105.19204232622161</v>
          </cell>
          <cell r="K28">
            <v>82.65</v>
          </cell>
          <cell r="L28">
            <v>94.050000000000011</v>
          </cell>
          <cell r="M28">
            <v>94.425000000000011</v>
          </cell>
          <cell r="N28">
            <v>102.89999999999999</v>
          </cell>
          <cell r="O28">
            <v>98.475000000000009</v>
          </cell>
          <cell r="P28">
            <v>106.80000000000001</v>
          </cell>
          <cell r="Q28">
            <v>117.14999999999999</v>
          </cell>
          <cell r="R28">
            <v>84.599909999999994</v>
          </cell>
          <cell r="S28">
            <v>91.863</v>
          </cell>
          <cell r="T28">
            <v>102.42345762923486</v>
          </cell>
          <cell r="U28">
            <v>106.21777822048988</v>
          </cell>
          <cell r="V28">
            <v>112.74357642830432</v>
          </cell>
          <cell r="W28">
            <v>118.35104594511502</v>
          </cell>
          <cell r="X28">
            <v>145.65225000000001</v>
          </cell>
          <cell r="Y28">
            <v>130.85925</v>
          </cell>
          <cell r="Z28">
            <v>143.54625000000001</v>
          </cell>
          <cell r="AA28">
            <v>148.15350000000001</v>
          </cell>
          <cell r="AB28">
            <v>151.24275</v>
          </cell>
          <cell r="AC28">
            <v>158.22225</v>
          </cell>
          <cell r="AD28">
            <v>135.84525000000002</v>
          </cell>
          <cell r="AE28">
            <v>178.17525000000001</v>
          </cell>
          <cell r="AF28">
            <v>201.4</v>
          </cell>
          <cell r="AG28">
            <v>202.90192146933575</v>
          </cell>
          <cell r="AH28">
            <v>224.60839063095162</v>
          </cell>
          <cell r="AI28">
            <v>248.25825767230305</v>
          </cell>
          <cell r="AJ28">
            <v>266.44752225516311</v>
          </cell>
          <cell r="AK28">
            <v>238.73457212258768</v>
          </cell>
          <cell r="AL28">
            <v>280.34107234608769</v>
          </cell>
          <cell r="AM28">
            <v>310.75364775143117</v>
          </cell>
          <cell r="AN28">
            <v>367.33975509815531</v>
          </cell>
          <cell r="AO28">
            <v>388.43088753133554</v>
          </cell>
          <cell r="AP28">
            <v>399.56298041767093</v>
          </cell>
          <cell r="AQ28">
            <v>404.54742103178279</v>
          </cell>
          <cell r="AR28">
            <v>409.1359112763713</v>
          </cell>
          <cell r="AS28">
            <v>414.29580788155897</v>
          </cell>
          <cell r="AT28">
            <v>419.10628062762743</v>
          </cell>
          <cell r="AU28">
            <v>423.52374120561336</v>
          </cell>
          <cell r="AV28">
            <v>428.88364586389736</v>
          </cell>
          <cell r="AW28">
            <v>434.11092400019544</v>
          </cell>
          <cell r="AX28">
            <v>439.32582163668832</v>
          </cell>
          <cell r="AY28">
            <v>444.58355243321176</v>
          </cell>
          <cell r="AZ28">
            <v>449.76168512980405</v>
          </cell>
          <cell r="BA28">
            <v>455.37701982508651</v>
          </cell>
          <cell r="BB28">
            <v>461.06077793010661</v>
          </cell>
          <cell r="BC28">
            <v>466.7069525505932</v>
          </cell>
          <cell r="BD28">
            <v>472.35773030320075</v>
          </cell>
          <cell r="BE28">
            <v>478.00782038841481</v>
          </cell>
          <cell r="BF28">
            <v>483.64920197309601</v>
          </cell>
        </row>
        <row r="29">
          <cell r="B29">
            <v>103.30269159374174</v>
          </cell>
          <cell r="C29">
            <v>99.402877220896329</v>
          </cell>
          <cell r="D29">
            <v>101.56473084062584</v>
          </cell>
          <cell r="E29">
            <v>94.909612834791844</v>
          </cell>
          <cell r="F29">
            <v>105.93082736674624</v>
          </cell>
          <cell r="G29">
            <v>117.20637761866881</v>
          </cell>
          <cell r="H29">
            <v>86.219809069212431</v>
          </cell>
          <cell r="I29">
            <v>83.549284009546554</v>
          </cell>
          <cell r="J29">
            <v>106.60905595332805</v>
          </cell>
          <cell r="K29">
            <v>80.925000000000011</v>
          </cell>
          <cell r="L29">
            <v>94.875</v>
          </cell>
          <cell r="M29">
            <v>92.85</v>
          </cell>
          <cell r="N29">
            <v>89.625</v>
          </cell>
          <cell r="O29">
            <v>94.35</v>
          </cell>
          <cell r="P29">
            <v>107.85000000000001</v>
          </cell>
          <cell r="Q29">
            <v>111.07499999999999</v>
          </cell>
          <cell r="R29">
            <v>91.400085000000004</v>
          </cell>
          <cell r="S29">
            <v>81.470249999999993</v>
          </cell>
          <cell r="T29">
            <v>99.285057111888676</v>
          </cell>
          <cell r="U29">
            <v>103.50476798677231</v>
          </cell>
          <cell r="V29">
            <v>110.10770756607741</v>
          </cell>
          <cell r="W29">
            <v>114.69415588094566</v>
          </cell>
          <cell r="X29">
            <v>125.47574999999999</v>
          </cell>
          <cell r="Y29">
            <v>118.581</v>
          </cell>
          <cell r="Z29">
            <v>131.32425000000001</v>
          </cell>
          <cell r="AA29">
            <v>137.43299999999999</v>
          </cell>
          <cell r="AB29">
            <v>117.58575</v>
          </cell>
          <cell r="AC29">
            <v>146.99025</v>
          </cell>
          <cell r="AD29">
            <v>128.15474999999998</v>
          </cell>
          <cell r="AE29">
            <v>159.61949999999999</v>
          </cell>
          <cell r="AF29">
            <v>202.3</v>
          </cell>
          <cell r="AG29">
            <v>204.21922351446898</v>
          </cell>
          <cell r="AH29">
            <v>205.48400734616536</v>
          </cell>
          <cell r="AI29">
            <v>238.27152021547138</v>
          </cell>
          <cell r="AJ29">
            <v>254.25352240033703</v>
          </cell>
          <cell r="AK29">
            <v>228.45319923479309</v>
          </cell>
          <cell r="AL29">
            <v>270.75925459734111</v>
          </cell>
          <cell r="AM29">
            <v>297.52588550578639</v>
          </cell>
          <cell r="AN29">
            <v>349.48395858758937</v>
          </cell>
          <cell r="AO29">
            <v>372.46311389560606</v>
          </cell>
          <cell r="AP29">
            <v>382.32574323435591</v>
          </cell>
          <cell r="AQ29">
            <v>387.47495708562866</v>
          </cell>
          <cell r="AR29">
            <v>391.83028957549851</v>
          </cell>
          <cell r="AS29">
            <v>396.2765039201592</v>
          </cell>
          <cell r="AT29">
            <v>400.92056792515916</v>
          </cell>
          <cell r="AU29">
            <v>405.5400436368169</v>
          </cell>
          <cell r="AV29">
            <v>410.48053013549276</v>
          </cell>
          <cell r="AW29">
            <v>415.54256448711834</v>
          </cell>
          <cell r="AX29">
            <v>420.47364913508625</v>
          </cell>
          <cell r="AY29">
            <v>425.46570211913814</v>
          </cell>
          <cell r="AZ29">
            <v>430.47221692784882</v>
          </cell>
          <cell r="BA29">
            <v>435.88040220426581</v>
          </cell>
          <cell r="BB29">
            <v>441.28252764308007</v>
          </cell>
          <cell r="BC29">
            <v>446.69552198086268</v>
          </cell>
          <cell r="BD29">
            <v>452.09259933526039</v>
          </cell>
          <cell r="BE29">
            <v>457.50353138002578</v>
          </cell>
          <cell r="BF29">
            <v>462.91217669851778</v>
          </cell>
        </row>
        <row r="30">
          <cell r="B30">
            <v>108.58212853119399</v>
          </cell>
          <cell r="C30">
            <v>112.90169838695913</v>
          </cell>
          <cell r="D30">
            <v>109.55614918494494</v>
          </cell>
          <cell r="E30">
            <v>93.167192967483146</v>
          </cell>
          <cell r="F30">
            <v>101.63693778270888</v>
          </cell>
          <cell r="G30">
            <v>119.16930955022619</v>
          </cell>
          <cell r="H30">
            <v>99.646547751130825</v>
          </cell>
          <cell r="I30">
            <v>90.922710591448322</v>
          </cell>
          <cell r="J30">
            <v>114.89208841853717</v>
          </cell>
          <cell r="K30">
            <v>84.6</v>
          </cell>
          <cell r="L30">
            <v>90.974999999999994</v>
          </cell>
          <cell r="M30">
            <v>99.375</v>
          </cell>
          <cell r="N30">
            <v>96.600000000000009</v>
          </cell>
          <cell r="O30">
            <v>102.07499999999999</v>
          </cell>
          <cell r="P30">
            <v>107.17500000000001</v>
          </cell>
          <cell r="Q30">
            <v>110.32499999999999</v>
          </cell>
          <cell r="R30">
            <v>88.242779999999996</v>
          </cell>
          <cell r="S30">
            <v>83.117249999999999</v>
          </cell>
          <cell r="T30">
            <v>101.31729614319629</v>
          </cell>
          <cell r="U30">
            <v>104.52453766059303</v>
          </cell>
          <cell r="V30">
            <v>109.90522641392624</v>
          </cell>
          <cell r="W30">
            <v>116.48925</v>
          </cell>
          <cell r="X30">
            <v>125.04299999999999</v>
          </cell>
          <cell r="Y30">
            <v>128.37225000000001</v>
          </cell>
          <cell r="Z30">
            <v>139.91550000000001</v>
          </cell>
          <cell r="AA30">
            <v>140.34825000000001</v>
          </cell>
          <cell r="AB30">
            <v>102.82124999999999</v>
          </cell>
          <cell r="AC30">
            <v>136.68450000000001</v>
          </cell>
          <cell r="AD30">
            <v>134.24549999999999</v>
          </cell>
          <cell r="AE30">
            <v>163.62524999999999</v>
          </cell>
          <cell r="AF30">
            <v>202.82500000000002</v>
          </cell>
          <cell r="AG30">
            <v>205.56174124485867</v>
          </cell>
          <cell r="AH30">
            <v>201.54975164142945</v>
          </cell>
          <cell r="AI30">
            <v>238.74118099934304</v>
          </cell>
          <cell r="AJ30">
            <v>256.52252259481423</v>
          </cell>
          <cell r="AK30">
            <v>228.99807708577563</v>
          </cell>
          <cell r="AL30">
            <v>270.9239668786646</v>
          </cell>
          <cell r="AM30">
            <v>297.70792498104163</v>
          </cell>
          <cell r="AN30">
            <v>349.34208775675899</v>
          </cell>
          <cell r="AO30">
            <v>373.51189054970212</v>
          </cell>
          <cell r="AP30">
            <v>383.1498554757539</v>
          </cell>
          <cell r="AQ30">
            <v>387.93383252714688</v>
          </cell>
          <cell r="AR30">
            <v>392.31704888204172</v>
          </cell>
          <cell r="AS30">
            <v>396.80182395997087</v>
          </cell>
          <cell r="AT30">
            <v>401.49029486520499</v>
          </cell>
          <cell r="AU30">
            <v>406.24253180559151</v>
          </cell>
          <cell r="AV30">
            <v>411.08085957237512</v>
          </cell>
          <cell r="AW30">
            <v>416.11768027448392</v>
          </cell>
          <cell r="AX30">
            <v>421.07857648519428</v>
          </cell>
          <cell r="AY30">
            <v>426.08918693288479</v>
          </cell>
          <cell r="AZ30">
            <v>431.11229558507898</v>
          </cell>
          <cell r="BA30">
            <v>436.53214397475779</v>
          </cell>
          <cell r="BB30">
            <v>441.92142302272367</v>
          </cell>
          <cell r="BC30">
            <v>447.34532732859208</v>
          </cell>
          <cell r="BD30">
            <v>452.75578436900247</v>
          </cell>
          <cell r="BE30">
            <v>458.17599971922175</v>
          </cell>
          <cell r="BF30">
            <v>463.59271298281107</v>
          </cell>
        </row>
        <row r="31">
          <cell r="B31">
            <v>108.17054370268409</v>
          </cell>
          <cell r="C31">
            <v>108.12868203716448</v>
          </cell>
          <cell r="D31">
            <v>95.360874053682025</v>
          </cell>
          <cell r="E31">
            <v>94.774810736407417</v>
          </cell>
          <cell r="F31">
            <v>106.20304542326221</v>
          </cell>
          <cell r="G31">
            <v>117.88245010323466</v>
          </cell>
          <cell r="H31">
            <v>97.03534067446661</v>
          </cell>
          <cell r="I31">
            <v>82.593066070199569</v>
          </cell>
          <cell r="J31">
            <v>100.76102890571231</v>
          </cell>
          <cell r="K31">
            <v>84.15</v>
          </cell>
          <cell r="L31">
            <v>90.974999999999994</v>
          </cell>
          <cell r="M31">
            <v>93</v>
          </cell>
          <cell r="N31">
            <v>89.775000000000006</v>
          </cell>
          <cell r="O31">
            <v>107.47500000000001</v>
          </cell>
          <cell r="P31">
            <v>105.375</v>
          </cell>
          <cell r="Q31">
            <v>100.125</v>
          </cell>
          <cell r="R31">
            <v>99.409214999999989</v>
          </cell>
          <cell r="S31">
            <v>87.854249999999993</v>
          </cell>
          <cell r="T31">
            <v>100.86364104213372</v>
          </cell>
          <cell r="U31">
            <v>106.50532367627086</v>
          </cell>
          <cell r="V31">
            <v>110.67871963902937</v>
          </cell>
          <cell r="W31">
            <v>130.47525000000002</v>
          </cell>
          <cell r="X31">
            <v>136.35900000000001</v>
          </cell>
          <cell r="Y31">
            <v>137.96475000000001</v>
          </cell>
          <cell r="Z31">
            <v>149.76525000000001</v>
          </cell>
          <cell r="AA31">
            <v>144.804</v>
          </cell>
          <cell r="AB31">
            <v>129.98400000000001</v>
          </cell>
          <cell r="AC31">
            <v>150.98474999999999</v>
          </cell>
          <cell r="AD31">
            <v>160.54425000000001</v>
          </cell>
          <cell r="AE31">
            <v>172.30425</v>
          </cell>
          <cell r="AF31">
            <v>202.97500000000002</v>
          </cell>
          <cell r="AG31">
            <v>204.14150826029959</v>
          </cell>
          <cell r="AH31">
            <v>222.40467647004814</v>
          </cell>
          <cell r="AI31">
            <v>252.33812018786466</v>
          </cell>
          <cell r="AJ31">
            <v>271.9404379402244</v>
          </cell>
          <cell r="AK31">
            <v>238.46757854218089</v>
          </cell>
          <cell r="AL31">
            <v>282.83744819649206</v>
          </cell>
          <cell r="AM31">
            <v>312.94865936157385</v>
          </cell>
          <cell r="AN31">
            <v>370.14166184805879</v>
          </cell>
          <cell r="AO31">
            <v>392.474615424261</v>
          </cell>
          <cell r="AP31">
            <v>403.03528872921299</v>
          </cell>
          <cell r="AQ31">
            <v>407.42283801037536</v>
          </cell>
          <cell r="AR31">
            <v>412.65214834447704</v>
          </cell>
          <cell r="AS31">
            <v>417.70392270391085</v>
          </cell>
          <cell r="AT31">
            <v>422.66292701955302</v>
          </cell>
          <cell r="AU31">
            <v>427.16151538072216</v>
          </cell>
          <cell r="AV31">
            <v>432.41017456157783</v>
          </cell>
          <cell r="AW31">
            <v>437.67381912016356</v>
          </cell>
          <cell r="AX31">
            <v>443.02617415024969</v>
          </cell>
          <cell r="AY31">
            <v>448.29385876137837</v>
          </cell>
          <cell r="AZ31">
            <v>453.53268265607687</v>
          </cell>
          <cell r="BA31">
            <v>459.18252011788741</v>
          </cell>
          <cell r="BB31">
            <v>464.89571681773737</v>
          </cell>
          <cell r="BC31">
            <v>470.60115810425759</v>
          </cell>
          <cell r="BD31">
            <v>476.30898906356106</v>
          </cell>
          <cell r="BE31">
            <v>481.9989563257148</v>
          </cell>
          <cell r="BF31">
            <v>487.68933973672875</v>
          </cell>
        </row>
        <row r="32">
          <cell r="B32">
            <v>102.63244871235268</v>
          </cell>
          <cell r="C32">
            <v>103.49093845482321</v>
          </cell>
          <cell r="D32">
            <v>104.64989960715843</v>
          </cell>
          <cell r="E32">
            <v>100.44329986905281</v>
          </cell>
          <cell r="F32">
            <v>107.99800960279353</v>
          </cell>
          <cell r="G32">
            <v>114.69422959406373</v>
          </cell>
          <cell r="H32">
            <v>94.906041030117848</v>
          </cell>
          <cell r="I32">
            <v>86.278219118288945</v>
          </cell>
          <cell r="J32">
            <v>92.416420776953288</v>
          </cell>
          <cell r="K32">
            <v>84.300000000000011</v>
          </cell>
          <cell r="L32">
            <v>94.574999999999989</v>
          </cell>
          <cell r="M32">
            <v>90.525000000000006</v>
          </cell>
          <cell r="N32">
            <v>96.675000000000011</v>
          </cell>
          <cell r="O32">
            <v>99.524999999999991</v>
          </cell>
          <cell r="P32">
            <v>110.39999999999999</v>
          </cell>
          <cell r="Q32">
            <v>101.77499999999999</v>
          </cell>
          <cell r="R32">
            <v>96.337260000000001</v>
          </cell>
          <cell r="S32">
            <v>84.081000000000003</v>
          </cell>
          <cell r="T32">
            <v>101.3764453614658</v>
          </cell>
          <cell r="U32">
            <v>104.77645810044459</v>
          </cell>
          <cell r="V32">
            <v>110.75553562735081</v>
          </cell>
          <cell r="W32">
            <v>116.42775</v>
          </cell>
          <cell r="X32">
            <v>118.90649999999999</v>
          </cell>
          <cell r="Y32">
            <v>120.61725000000001</v>
          </cell>
          <cell r="Z32">
            <v>135.74025</v>
          </cell>
          <cell r="AA32">
            <v>133.40100000000001</v>
          </cell>
          <cell r="AB32">
            <v>134.73750000000001</v>
          </cell>
          <cell r="AC32">
            <v>136.12275</v>
          </cell>
          <cell r="AD32">
            <v>135.92475000000002</v>
          </cell>
          <cell r="AE32">
            <v>153.93975</v>
          </cell>
          <cell r="AF32">
            <v>203.125</v>
          </cell>
          <cell r="AG32">
            <v>200.53635390015404</v>
          </cell>
          <cell r="AH32">
            <v>207.98894274581716</v>
          </cell>
          <cell r="AI32">
            <v>234.97617815558908</v>
          </cell>
          <cell r="AJ32">
            <v>254.74444228590824</v>
          </cell>
          <cell r="AK32">
            <v>226.34306003685694</v>
          </cell>
          <cell r="AL32">
            <v>269.98527399140687</v>
          </cell>
          <cell r="AM32">
            <v>295.92271503896251</v>
          </cell>
          <cell r="AN32">
            <v>348.55462393554365</v>
          </cell>
          <cell r="AO32">
            <v>370.35656688518645</v>
          </cell>
          <cell r="AP32">
            <v>380.98104037554418</v>
          </cell>
          <cell r="AQ32">
            <v>385.55550708021036</v>
          </cell>
          <cell r="AR32">
            <v>390.24715430328234</v>
          </cell>
          <cell r="AS32">
            <v>394.52615431318179</v>
          </cell>
          <cell r="AT32">
            <v>399.24263114305484</v>
          </cell>
          <cell r="AU32">
            <v>403.71143339441289</v>
          </cell>
          <cell r="AV32">
            <v>408.74634923173568</v>
          </cell>
          <cell r="AW32">
            <v>413.70610647511188</v>
          </cell>
          <cell r="AX32">
            <v>418.67557214932788</v>
          </cell>
          <cell r="AY32">
            <v>423.6144169889954</v>
          </cell>
          <cell r="AZ32">
            <v>428.61121669923432</v>
          </cell>
          <cell r="BA32">
            <v>433.98191479381057</v>
          </cell>
          <cell r="BB32">
            <v>439.37650542010164</v>
          </cell>
          <cell r="BC32">
            <v>444.75465791875678</v>
          </cell>
          <cell r="BD32">
            <v>450.13715981420387</v>
          </cell>
          <cell r="BE32">
            <v>455.51852375557883</v>
          </cell>
          <cell r="BF32">
            <v>460.90608841114368</v>
          </cell>
        </row>
        <row r="33">
          <cell r="B33">
            <v>110.95478170478168</v>
          </cell>
          <cell r="C33">
            <v>112.04751819126818</v>
          </cell>
          <cell r="D33">
            <v>98.724538721413708</v>
          </cell>
          <cell r="E33">
            <v>93.933309511434487</v>
          </cell>
          <cell r="F33">
            <v>100.99406834719332</v>
          </cell>
          <cell r="G33">
            <v>115.07355769230767</v>
          </cell>
          <cell r="H33">
            <v>97.25354729729726</v>
          </cell>
          <cell r="I33">
            <v>96.833264033264015</v>
          </cell>
          <cell r="J33">
            <v>92.504346413721393</v>
          </cell>
          <cell r="K33">
            <v>83.324999999999989</v>
          </cell>
          <cell r="L33">
            <v>99.824999999999989</v>
          </cell>
          <cell r="M33">
            <v>97.350000000000009</v>
          </cell>
          <cell r="N33">
            <v>91.199999999999989</v>
          </cell>
          <cell r="O33">
            <v>101.02499999999999</v>
          </cell>
          <cell r="P33">
            <v>95.775000000000006</v>
          </cell>
          <cell r="Q33">
            <v>88.574999999999989</v>
          </cell>
          <cell r="R33">
            <v>83.64846</v>
          </cell>
          <cell r="S33">
            <v>88.31366897765507</v>
          </cell>
          <cell r="T33">
            <v>92.440430210184999</v>
          </cell>
          <cell r="U33">
            <v>97.371238637040022</v>
          </cell>
          <cell r="V33">
            <v>100.61716238372152</v>
          </cell>
          <cell r="W33">
            <v>120.69449999999999</v>
          </cell>
          <cell r="X33">
            <v>129.74250000000001</v>
          </cell>
          <cell r="Y33">
            <v>125.92274999999999</v>
          </cell>
          <cell r="Z33">
            <v>140.60550000000001</v>
          </cell>
          <cell r="AA33">
            <v>139.16024999999999</v>
          </cell>
          <cell r="AB33">
            <v>128.83875</v>
          </cell>
          <cell r="AC33">
            <v>131.79374999999999</v>
          </cell>
          <cell r="AD33">
            <v>135.27224999999999</v>
          </cell>
          <cell r="AE33">
            <v>158.53275000000002</v>
          </cell>
          <cell r="AF33">
            <v>203.27500000000001</v>
          </cell>
          <cell r="AG33">
            <v>200.37620540420895</v>
          </cell>
          <cell r="AH33">
            <v>206.31782857857837</v>
          </cell>
          <cell r="AI33">
            <v>234.86327143874016</v>
          </cell>
          <cell r="AJ33">
            <v>255.38284351625958</v>
          </cell>
          <cell r="AK33">
            <v>226.97619742581276</v>
          </cell>
          <cell r="AL33">
            <v>269.70195401652728</v>
          </cell>
          <cell r="AM33">
            <v>295.74571995455261</v>
          </cell>
          <cell r="AN33">
            <v>348.3223192900893</v>
          </cell>
          <cell r="AO33">
            <v>370.55830787118907</v>
          </cell>
          <cell r="AP33">
            <v>381.13908352135974</v>
          </cell>
          <cell r="AQ33">
            <v>385.59180272887289</v>
          </cell>
          <cell r="AR33">
            <v>390.16918088629751</v>
          </cell>
          <cell r="AS33">
            <v>394.52322644616748</v>
          </cell>
          <cell r="AT33">
            <v>399.26089408326061</v>
          </cell>
          <cell r="AU33">
            <v>403.77764736426184</v>
          </cell>
          <cell r="AV33">
            <v>408.7739476064333</v>
          </cell>
          <cell r="AW33">
            <v>413.71446563638017</v>
          </cell>
          <cell r="AX33">
            <v>418.68210957201228</v>
          </cell>
          <cell r="AY33">
            <v>423.63906012764306</v>
          </cell>
          <cell r="AZ33">
            <v>428.63784066278981</v>
          </cell>
          <cell r="BA33">
            <v>434.00989336565641</v>
          </cell>
          <cell r="BB33">
            <v>439.39618525127179</v>
          </cell>
          <cell r="BC33">
            <v>444.77442116838415</v>
          </cell>
          <cell r="BD33">
            <v>450.15929928941262</v>
          </cell>
          <cell r="BE33">
            <v>455.54343457991212</v>
          </cell>
          <cell r="BF33">
            <v>460.93046428423264</v>
          </cell>
        </row>
        <row r="34">
          <cell r="B34">
            <v>108.08557231278874</v>
          </cell>
          <cell r="C34">
            <v>104.29674832185509</v>
          </cell>
          <cell r="D34">
            <v>91.431400924069379</v>
          </cell>
          <cell r="E34">
            <v>98.759236335105896</v>
          </cell>
          <cell r="F34">
            <v>109.2513643099991</v>
          </cell>
          <cell r="G34">
            <v>111.49967744747623</v>
          </cell>
          <cell r="H34">
            <v>92.72209920669512</v>
          </cell>
          <cell r="I34">
            <v>83.22922151512509</v>
          </cell>
          <cell r="J34">
            <v>86.976410077586948</v>
          </cell>
          <cell r="K34">
            <v>84.6</v>
          </cell>
          <cell r="L34">
            <v>102.60000000000001</v>
          </cell>
          <cell r="M34">
            <v>94.724999999999994</v>
          </cell>
          <cell r="N34">
            <v>93.224999999999994</v>
          </cell>
          <cell r="O34">
            <v>91.275000000000006</v>
          </cell>
          <cell r="P34">
            <v>95.775000000000006</v>
          </cell>
          <cell r="Q34">
            <v>96.449999999999989</v>
          </cell>
          <cell r="R34">
            <v>86.661360000000002</v>
          </cell>
          <cell r="S34">
            <v>161.80096227234492</v>
          </cell>
          <cell r="T34">
            <v>93.07572993330632</v>
          </cell>
          <cell r="U34">
            <v>113.25962172300547</v>
          </cell>
          <cell r="V34">
            <v>119.67781040715272</v>
          </cell>
          <cell r="W34">
            <v>127.45349999999999</v>
          </cell>
          <cell r="X34">
            <v>137.34375</v>
          </cell>
          <cell r="Y34">
            <v>129.23024999999998</v>
          </cell>
          <cell r="Z34">
            <v>146.84550000000002</v>
          </cell>
          <cell r="AA34">
            <v>141.744</v>
          </cell>
          <cell r="AB34">
            <v>139.97999999999999</v>
          </cell>
          <cell r="AC34">
            <v>139.6095</v>
          </cell>
          <cell r="AD34">
            <v>150.98925</v>
          </cell>
          <cell r="AE34">
            <v>158.65725</v>
          </cell>
          <cell r="AF34">
            <v>203.42500000000001</v>
          </cell>
          <cell r="AG34">
            <v>208.70984794459673</v>
          </cell>
          <cell r="AH34">
            <v>215.83396910955662</v>
          </cell>
          <cell r="AI34">
            <v>243.96633514082714</v>
          </cell>
          <cell r="AJ34">
            <v>264.94550273641653</v>
          </cell>
          <cell r="AK34">
            <v>233.13543090044914</v>
          </cell>
          <cell r="AL34">
            <v>278.68997660558944</v>
          </cell>
          <cell r="AM34">
            <v>306.97508910532952</v>
          </cell>
          <cell r="AN34">
            <v>360.97063220703831</v>
          </cell>
          <cell r="AO34">
            <v>383.5708648700147</v>
          </cell>
          <cell r="AP34">
            <v>394.4033534214941</v>
          </cell>
          <cell r="AQ34">
            <v>398.86856566838014</v>
          </cell>
          <cell r="AR34">
            <v>404.02450660763861</v>
          </cell>
          <cell r="AS34">
            <v>408.571565308961</v>
          </cell>
          <cell r="AT34">
            <v>413.32120944020426</v>
          </cell>
          <cell r="AU34">
            <v>417.94933946985111</v>
          </cell>
          <cell r="AV34">
            <v>423.1294566541128</v>
          </cell>
          <cell r="AW34">
            <v>428.26704119801525</v>
          </cell>
          <cell r="AX34">
            <v>433.46464101494621</v>
          </cell>
          <cell r="AY34">
            <v>438.56849121541109</v>
          </cell>
          <cell r="AZ34">
            <v>443.7188607879516</v>
          </cell>
          <cell r="BA34">
            <v>449.28231433250312</v>
          </cell>
          <cell r="BB34">
            <v>454.86539046756388</v>
          </cell>
          <cell r="BC34">
            <v>460.43894611834276</v>
          </cell>
          <cell r="BD34">
            <v>466.01602385642673</v>
          </cell>
          <cell r="BE34">
            <v>471.58202694408465</v>
          </cell>
          <cell r="BF34">
            <v>477.15737400214584</v>
          </cell>
        </row>
        <row r="39">
          <cell r="C39">
            <v>9.3255510599999994E-2</v>
          </cell>
          <cell r="D39">
            <v>0.59114734307999994</v>
          </cell>
          <cell r="E39">
            <v>0.34775707427999997</v>
          </cell>
          <cell r="F39">
            <v>0.16733080980000001</v>
          </cell>
          <cell r="G39">
            <v>0</v>
          </cell>
          <cell r="H39">
            <v>0</v>
          </cell>
          <cell r="I39">
            <v>1.3227731999999999E-2</v>
          </cell>
          <cell r="J39">
            <v>3.8757254760000012E-2</v>
          </cell>
          <cell r="K39">
            <v>3.5935338599999991E-2</v>
          </cell>
          <cell r="L39">
            <v>0</v>
          </cell>
          <cell r="M39">
            <v>1.9841597999999999E-3</v>
          </cell>
          <cell r="N39">
            <v>6.3934038E-3</v>
          </cell>
          <cell r="O39">
            <v>0</v>
          </cell>
          <cell r="P39">
            <v>9.7003368000000006E-3</v>
          </cell>
          <cell r="Q39">
            <v>0</v>
          </cell>
          <cell r="R39">
            <v>0</v>
          </cell>
          <cell r="S39">
            <v>9.1888999999999998E-2</v>
          </cell>
          <cell r="T39">
            <v>0</v>
          </cell>
          <cell r="U39">
            <v>4.7E-2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1</v>
          </cell>
          <cell r="AW39">
            <v>2</v>
          </cell>
          <cell r="AX39">
            <v>3</v>
          </cell>
          <cell r="AY39">
            <v>4</v>
          </cell>
          <cell r="AZ39">
            <v>5</v>
          </cell>
          <cell r="BA39">
            <v>6</v>
          </cell>
          <cell r="BB39">
            <v>7</v>
          </cell>
          <cell r="BC39">
            <v>8</v>
          </cell>
          <cell r="BD39">
            <v>9</v>
          </cell>
          <cell r="BE39">
            <v>10</v>
          </cell>
          <cell r="BF39">
            <v>11</v>
          </cell>
          <cell r="BG39">
            <v>12</v>
          </cell>
        </row>
        <row r="40">
          <cell r="C40">
            <v>0.12460523544</v>
          </cell>
          <cell r="D40">
            <v>0.50701896755999998</v>
          </cell>
          <cell r="E40">
            <v>0.46535161176000006</v>
          </cell>
          <cell r="F40">
            <v>0.16799219640000002</v>
          </cell>
          <cell r="G40">
            <v>0</v>
          </cell>
          <cell r="H40">
            <v>8.7038476559999994E-2</v>
          </cell>
          <cell r="I40">
            <v>2.3148531000000003E-2</v>
          </cell>
          <cell r="J40">
            <v>1.05821856E-2</v>
          </cell>
          <cell r="K40">
            <v>1.4330043000000001E-2</v>
          </cell>
          <cell r="L40">
            <v>0</v>
          </cell>
          <cell r="M40">
            <v>0</v>
          </cell>
          <cell r="N40">
            <v>8.1571014000000001E-3</v>
          </cell>
          <cell r="O40">
            <v>1.4550505199999999E-2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1</v>
          </cell>
          <cell r="AW40">
            <v>2</v>
          </cell>
          <cell r="AX40">
            <v>3</v>
          </cell>
          <cell r="AY40">
            <v>4</v>
          </cell>
          <cell r="AZ40">
            <v>5</v>
          </cell>
          <cell r="BA40">
            <v>6</v>
          </cell>
          <cell r="BB40">
            <v>7</v>
          </cell>
          <cell r="BC40">
            <v>8</v>
          </cell>
          <cell r="BD40">
            <v>9</v>
          </cell>
          <cell r="BE40">
            <v>10</v>
          </cell>
          <cell r="BF40">
            <v>11</v>
          </cell>
          <cell r="BG40">
            <v>12</v>
          </cell>
        </row>
        <row r="41">
          <cell r="C41">
            <v>0.21799302336000001</v>
          </cell>
          <cell r="D41">
            <v>0.57143802239999986</v>
          </cell>
          <cell r="E41">
            <v>0.32915006460000001</v>
          </cell>
          <cell r="F41">
            <v>0.4761542595599999</v>
          </cell>
          <cell r="G41">
            <v>0</v>
          </cell>
          <cell r="H41">
            <v>0</v>
          </cell>
          <cell r="I41">
            <v>5.7320172000000008E-3</v>
          </cell>
          <cell r="J41">
            <v>9.2594124E-3</v>
          </cell>
          <cell r="K41">
            <v>8.329061916000001E-2</v>
          </cell>
          <cell r="L41">
            <v>0</v>
          </cell>
          <cell r="M41">
            <v>0</v>
          </cell>
          <cell r="N41">
            <v>2.11643712E-2</v>
          </cell>
          <cell r="O41">
            <v>1.38891186E-2</v>
          </cell>
          <cell r="P41">
            <v>0</v>
          </cell>
          <cell r="Q41">
            <v>1.27868076E-2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4.1520000000000001E-2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1</v>
          </cell>
          <cell r="AW41">
            <v>2</v>
          </cell>
          <cell r="AX41">
            <v>3</v>
          </cell>
          <cell r="AY41">
            <v>4</v>
          </cell>
          <cell r="AZ41">
            <v>5</v>
          </cell>
          <cell r="BA41">
            <v>6</v>
          </cell>
          <cell r="BB41">
            <v>7</v>
          </cell>
          <cell r="BC41">
            <v>8</v>
          </cell>
          <cell r="BD41">
            <v>9</v>
          </cell>
          <cell r="BE41">
            <v>10</v>
          </cell>
          <cell r="BF41">
            <v>11</v>
          </cell>
          <cell r="BG41">
            <v>12</v>
          </cell>
        </row>
        <row r="42">
          <cell r="B42">
            <v>8.0821442520000009E-2</v>
          </cell>
          <cell r="C42">
            <v>0.57937466160000006</v>
          </cell>
          <cell r="D42">
            <v>0.42963673536000002</v>
          </cell>
          <cell r="E42">
            <v>0.43836703848000003</v>
          </cell>
          <cell r="F42">
            <v>0</v>
          </cell>
          <cell r="G42">
            <v>0</v>
          </cell>
          <cell r="H42">
            <v>0</v>
          </cell>
          <cell r="I42">
            <v>8.2144215720000011E-2</v>
          </cell>
          <cell r="J42">
            <v>5.9524794000000002E-3</v>
          </cell>
          <cell r="K42">
            <v>0.29462568408000001</v>
          </cell>
          <cell r="L42">
            <v>0</v>
          </cell>
          <cell r="M42">
            <v>3.0864707999999999E-3</v>
          </cell>
          <cell r="N42">
            <v>6.1729415999999997E-3</v>
          </cell>
          <cell r="O42">
            <v>4.3651515599999996E-2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1</v>
          </cell>
          <cell r="AW42">
            <v>2</v>
          </cell>
          <cell r="AX42">
            <v>3</v>
          </cell>
          <cell r="AY42">
            <v>4</v>
          </cell>
          <cell r="AZ42">
            <v>5</v>
          </cell>
          <cell r="BA42">
            <v>6</v>
          </cell>
          <cell r="BB42">
            <v>7</v>
          </cell>
          <cell r="BC42">
            <v>8</v>
          </cell>
          <cell r="BD42">
            <v>9</v>
          </cell>
          <cell r="BE42">
            <v>10</v>
          </cell>
          <cell r="BF42">
            <v>11</v>
          </cell>
        </row>
        <row r="43">
          <cell r="B43">
            <v>0.49167479843999995</v>
          </cell>
          <cell r="C43">
            <v>0.29630119679999994</v>
          </cell>
          <cell r="D43">
            <v>0.26865523691999998</v>
          </cell>
          <cell r="E43">
            <v>0.46799715816000004</v>
          </cell>
          <cell r="F43">
            <v>5.2778650680000004E-2</v>
          </cell>
          <cell r="G43">
            <v>2.7910514520000002E-2</v>
          </cell>
          <cell r="H43">
            <v>0</v>
          </cell>
          <cell r="I43">
            <v>3.6729002519999991E-2</v>
          </cell>
          <cell r="J43">
            <v>9.3035048400000001E-2</v>
          </cell>
          <cell r="K43">
            <v>0.29220059988000002</v>
          </cell>
          <cell r="L43">
            <v>0</v>
          </cell>
          <cell r="M43">
            <v>0</v>
          </cell>
          <cell r="N43">
            <v>1.3007269800000002E-2</v>
          </cell>
          <cell r="O43">
            <v>1.6534665E-2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1</v>
          </cell>
          <cell r="AW43">
            <v>2</v>
          </cell>
          <cell r="AX43">
            <v>3</v>
          </cell>
          <cell r="AY43">
            <v>4</v>
          </cell>
          <cell r="AZ43">
            <v>5</v>
          </cell>
          <cell r="BA43">
            <v>6</v>
          </cell>
          <cell r="BB43">
            <v>7</v>
          </cell>
          <cell r="BC43">
            <v>8</v>
          </cell>
          <cell r="BD43">
            <v>9</v>
          </cell>
          <cell r="BE43">
            <v>10</v>
          </cell>
          <cell r="BF43">
            <v>11</v>
          </cell>
        </row>
        <row r="44">
          <cell r="B44">
            <v>0.15926189327999998</v>
          </cell>
          <cell r="C44">
            <v>0.13254187464</v>
          </cell>
          <cell r="D44">
            <v>0</v>
          </cell>
          <cell r="E44">
            <v>0.50794490879999998</v>
          </cell>
          <cell r="F44">
            <v>0</v>
          </cell>
          <cell r="G44">
            <v>8.7038476559999994E-2</v>
          </cell>
          <cell r="H44">
            <v>1.1904958799999999E-2</v>
          </cell>
          <cell r="I44">
            <v>0.17072592768</v>
          </cell>
          <cell r="J44">
            <v>0.39480370775999996</v>
          </cell>
          <cell r="K44">
            <v>0.2982853566</v>
          </cell>
          <cell r="L44">
            <v>0</v>
          </cell>
          <cell r="M44">
            <v>0</v>
          </cell>
          <cell r="N44">
            <v>1.2566345400000001E-2</v>
          </cell>
          <cell r="O44">
            <v>2.0502984600000003E-2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4.8523999999999998E-2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1</v>
          </cell>
          <cell r="AW44">
            <v>2</v>
          </cell>
          <cell r="AX44">
            <v>3</v>
          </cell>
          <cell r="AY44">
            <v>4</v>
          </cell>
          <cell r="AZ44">
            <v>5</v>
          </cell>
          <cell r="BA44">
            <v>6</v>
          </cell>
          <cell r="BB44">
            <v>7</v>
          </cell>
          <cell r="BC44">
            <v>8</v>
          </cell>
          <cell r="BD44">
            <v>9</v>
          </cell>
          <cell r="BE44">
            <v>10</v>
          </cell>
          <cell r="BF44">
            <v>11</v>
          </cell>
        </row>
        <row r="45">
          <cell r="B45">
            <v>0.28122158232000005</v>
          </cell>
          <cell r="C45">
            <v>0.10211809104000001</v>
          </cell>
          <cell r="D45">
            <v>0.19352171915999999</v>
          </cell>
          <cell r="E45">
            <v>0.38082640428000014</v>
          </cell>
          <cell r="F45">
            <v>0.21640569552000002</v>
          </cell>
          <cell r="G45">
            <v>0</v>
          </cell>
          <cell r="H45">
            <v>5.5159642440000003E-2</v>
          </cell>
          <cell r="I45">
            <v>9.7488384840000011E-2</v>
          </cell>
          <cell r="J45">
            <v>0.12932312652000003</v>
          </cell>
          <cell r="K45">
            <v>0.51495560676000007</v>
          </cell>
          <cell r="L45">
            <v>3.0864707999999999E-3</v>
          </cell>
          <cell r="M45">
            <v>0</v>
          </cell>
          <cell r="N45">
            <v>0</v>
          </cell>
          <cell r="O45">
            <v>0</v>
          </cell>
          <cell r="P45">
            <v>1.7416513800000002E-2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4.9294999999999999E-2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1</v>
          </cell>
          <cell r="AW45">
            <v>2</v>
          </cell>
          <cell r="AX45">
            <v>3</v>
          </cell>
          <cell r="AY45">
            <v>4</v>
          </cell>
          <cell r="AZ45">
            <v>5</v>
          </cell>
          <cell r="BA45">
            <v>6</v>
          </cell>
          <cell r="BB45">
            <v>7</v>
          </cell>
          <cell r="BC45">
            <v>8</v>
          </cell>
          <cell r="BD45">
            <v>9</v>
          </cell>
          <cell r="BE45">
            <v>10</v>
          </cell>
          <cell r="BF45">
            <v>11</v>
          </cell>
        </row>
        <row r="46">
          <cell r="B46">
            <v>0.21891896459999999</v>
          </cell>
          <cell r="C46">
            <v>0.87660179964000007</v>
          </cell>
          <cell r="D46">
            <v>0.95186759472000004</v>
          </cell>
          <cell r="E46">
            <v>0.38091458916000009</v>
          </cell>
          <cell r="F46">
            <v>5.6085583679999995E-2</v>
          </cell>
          <cell r="G46">
            <v>0</v>
          </cell>
          <cell r="H46">
            <v>0</v>
          </cell>
          <cell r="I46">
            <v>0.77095631340000004</v>
          </cell>
          <cell r="J46">
            <v>9.523967039999999E-2</v>
          </cell>
          <cell r="K46">
            <v>6.5080441440000011E-2</v>
          </cell>
          <cell r="L46">
            <v>2.8660086000000004E-3</v>
          </cell>
          <cell r="M46">
            <v>0</v>
          </cell>
          <cell r="N46">
            <v>0</v>
          </cell>
          <cell r="O46">
            <v>5.2910928000000001E-3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1</v>
          </cell>
          <cell r="AW46">
            <v>2</v>
          </cell>
          <cell r="AX46">
            <v>3</v>
          </cell>
          <cell r="AY46">
            <v>4</v>
          </cell>
          <cell r="AZ46">
            <v>5</v>
          </cell>
          <cell r="BA46">
            <v>6</v>
          </cell>
          <cell r="BB46">
            <v>7</v>
          </cell>
          <cell r="BC46">
            <v>8</v>
          </cell>
          <cell r="BD46">
            <v>9</v>
          </cell>
          <cell r="BE46">
            <v>10</v>
          </cell>
          <cell r="BF46">
            <v>11</v>
          </cell>
        </row>
        <row r="47">
          <cell r="B47">
            <v>0.10476363744000002</v>
          </cell>
          <cell r="C47">
            <v>1.1739612150000001</v>
          </cell>
          <cell r="D47">
            <v>0.34431786396000003</v>
          </cell>
          <cell r="E47">
            <v>0.16151060772</v>
          </cell>
          <cell r="F47">
            <v>8.9154913679999989E-2</v>
          </cell>
          <cell r="G47">
            <v>2.8175069160000003E-2</v>
          </cell>
          <cell r="H47">
            <v>0</v>
          </cell>
          <cell r="I47">
            <v>0.66636904572</v>
          </cell>
          <cell r="J47">
            <v>0.34339192272000002</v>
          </cell>
          <cell r="K47">
            <v>1.2345883199999999E-2</v>
          </cell>
          <cell r="L47">
            <v>1.01412612E-2</v>
          </cell>
          <cell r="M47">
            <v>4.6297062E-3</v>
          </cell>
          <cell r="N47">
            <v>7.4957147999999999E-3</v>
          </cell>
          <cell r="O47">
            <v>1.03617234E-2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1</v>
          </cell>
          <cell r="AW47">
            <v>2</v>
          </cell>
          <cell r="AX47">
            <v>3</v>
          </cell>
          <cell r="AY47">
            <v>4</v>
          </cell>
          <cell r="AZ47">
            <v>5</v>
          </cell>
          <cell r="BA47">
            <v>6</v>
          </cell>
          <cell r="BB47">
            <v>7</v>
          </cell>
          <cell r="BC47">
            <v>8</v>
          </cell>
          <cell r="BD47">
            <v>9</v>
          </cell>
          <cell r="BE47">
            <v>10</v>
          </cell>
          <cell r="BF47">
            <v>11</v>
          </cell>
        </row>
        <row r="48">
          <cell r="B48">
            <v>0.30556060920000006</v>
          </cell>
          <cell r="C48">
            <v>1.1545164489599999</v>
          </cell>
          <cell r="D48">
            <v>0.70212801455999985</v>
          </cell>
          <cell r="E48">
            <v>0.60358141115999997</v>
          </cell>
          <cell r="F48">
            <v>0</v>
          </cell>
          <cell r="G48">
            <v>0</v>
          </cell>
          <cell r="H48">
            <v>0.47408191487999995</v>
          </cell>
          <cell r="I48">
            <v>0.47562515027999996</v>
          </cell>
          <cell r="J48">
            <v>0.25758803448000001</v>
          </cell>
          <cell r="K48">
            <v>6.3934038E-3</v>
          </cell>
          <cell r="L48">
            <v>0</v>
          </cell>
          <cell r="M48">
            <v>4.6297062E-3</v>
          </cell>
          <cell r="N48">
            <v>4.6297062E-3</v>
          </cell>
          <cell r="O48">
            <v>7.9366391999999997E-3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9.8147999999999999E-2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1</v>
          </cell>
          <cell r="AW48">
            <v>2</v>
          </cell>
          <cell r="AX48">
            <v>3</v>
          </cell>
          <cell r="AY48">
            <v>4</v>
          </cell>
          <cell r="AZ48">
            <v>5</v>
          </cell>
          <cell r="BA48">
            <v>6</v>
          </cell>
          <cell r="BB48">
            <v>7</v>
          </cell>
          <cell r="BC48">
            <v>8</v>
          </cell>
          <cell r="BD48">
            <v>9</v>
          </cell>
          <cell r="BE48">
            <v>10</v>
          </cell>
          <cell r="BF48">
            <v>11</v>
          </cell>
        </row>
        <row r="49">
          <cell r="B49">
            <v>6.4286777520000005E-2</v>
          </cell>
          <cell r="C49">
            <v>0.36852461352000004</v>
          </cell>
          <cell r="D49">
            <v>0.27434316168</v>
          </cell>
          <cell r="E49">
            <v>0.90993568427999993</v>
          </cell>
          <cell r="F49">
            <v>2.7645959879999994E-2</v>
          </cell>
          <cell r="G49">
            <v>0.44961061067999997</v>
          </cell>
          <cell r="H49">
            <v>0.18849518100000001</v>
          </cell>
          <cell r="I49">
            <v>0.24784360523999999</v>
          </cell>
          <cell r="J49">
            <v>0.94763472047999997</v>
          </cell>
          <cell r="K49">
            <v>0</v>
          </cell>
          <cell r="L49">
            <v>3.0864707999999999E-3</v>
          </cell>
          <cell r="M49">
            <v>0</v>
          </cell>
          <cell r="N49">
            <v>0</v>
          </cell>
          <cell r="O49">
            <v>8.3775636000000004E-3</v>
          </cell>
          <cell r="P49">
            <v>1.1243572199999999E-2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4.8634000000000004E-2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1</v>
          </cell>
          <cell r="AW49">
            <v>2</v>
          </cell>
          <cell r="AX49">
            <v>3</v>
          </cell>
          <cell r="AY49">
            <v>4</v>
          </cell>
          <cell r="AZ49">
            <v>5</v>
          </cell>
          <cell r="BA49">
            <v>6</v>
          </cell>
          <cell r="BB49">
            <v>7</v>
          </cell>
          <cell r="BC49">
            <v>8</v>
          </cell>
          <cell r="BD49">
            <v>9</v>
          </cell>
          <cell r="BE49">
            <v>10</v>
          </cell>
          <cell r="BF49">
            <v>11</v>
          </cell>
        </row>
        <row r="50">
          <cell r="B50">
            <v>0</v>
          </cell>
          <cell r="C50">
            <v>0.10793829311999999</v>
          </cell>
          <cell r="D50">
            <v>0.13664247155999998</v>
          </cell>
          <cell r="E50">
            <v>0.36005886504000001</v>
          </cell>
          <cell r="F50">
            <v>0</v>
          </cell>
          <cell r="G50">
            <v>0.24709403376</v>
          </cell>
          <cell r="H50">
            <v>8.6112535319999975E-2</v>
          </cell>
          <cell r="I50">
            <v>8.0424610559999984E-2</v>
          </cell>
          <cell r="J50">
            <v>0.63365245524000002</v>
          </cell>
          <cell r="K50">
            <v>0</v>
          </cell>
          <cell r="L50">
            <v>0</v>
          </cell>
          <cell r="M50">
            <v>0</v>
          </cell>
          <cell r="N50">
            <v>2.3589455399999997E-2</v>
          </cell>
          <cell r="O50">
            <v>0</v>
          </cell>
          <cell r="P50">
            <v>2.2046220000000003E-3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1</v>
          </cell>
          <cell r="AW50">
            <v>2</v>
          </cell>
          <cell r="AX50">
            <v>3</v>
          </cell>
          <cell r="AY50">
            <v>4</v>
          </cell>
          <cell r="AZ50">
            <v>5</v>
          </cell>
          <cell r="BA50">
            <v>6</v>
          </cell>
          <cell r="BB50">
            <v>7</v>
          </cell>
          <cell r="BC50">
            <v>8</v>
          </cell>
          <cell r="BD50">
            <v>9</v>
          </cell>
          <cell r="BE50">
            <v>10</v>
          </cell>
          <cell r="BF50">
            <v>11</v>
          </cell>
        </row>
        <row r="55">
          <cell r="C55">
            <v>7.4965473999999999</v>
          </cell>
          <cell r="D55">
            <v>12.680695999999999</v>
          </cell>
          <cell r="E55">
            <v>13.6371406</v>
          </cell>
          <cell r="F55">
            <v>7.409778000000002</v>
          </cell>
          <cell r="G55">
            <v>19.0933356</v>
          </cell>
          <cell r="H55">
            <v>14.975495800000001</v>
          </cell>
          <cell r="I55">
            <v>18.665267399999998</v>
          </cell>
          <cell r="J55">
            <v>19.825533799999999</v>
          </cell>
          <cell r="K55">
            <v>26.073147200000001</v>
          </cell>
          <cell r="L55">
            <v>19.558738400000003</v>
          </cell>
          <cell r="M55">
            <v>36.048304399999999</v>
          </cell>
          <cell r="N55">
            <v>21.416680400000001</v>
          </cell>
          <cell r="O55">
            <v>31.203038599999999</v>
          </cell>
          <cell r="P55">
            <v>31.735969799999999</v>
          </cell>
          <cell r="Q55">
            <v>39.147607999999998</v>
          </cell>
          <cell r="R55">
            <v>44.103896800000001</v>
          </cell>
          <cell r="S55">
            <v>33.660361799999997</v>
          </cell>
          <cell r="T55">
            <v>50.578083200000002</v>
          </cell>
          <cell r="U55">
            <v>9.3130490000000012</v>
          </cell>
          <cell r="V55">
            <v>12.748198</v>
          </cell>
          <cell r="W55">
            <v>22.281108000000003</v>
          </cell>
          <cell r="X55">
            <v>0.6787029999999995</v>
          </cell>
          <cell r="Y55">
            <v>0.41612500000000002</v>
          </cell>
          <cell r="Z55">
            <v>3.3569360000000006</v>
          </cell>
          <cell r="AA55">
            <v>0</v>
          </cell>
          <cell r="AB55">
            <v>9.9561000000001509E-2</v>
          </cell>
          <cell r="AC55">
            <v>1.7635800000000164</v>
          </cell>
          <cell r="AD55">
            <v>0</v>
          </cell>
          <cell r="AE55">
            <v>7.9999999999999996E-6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</row>
        <row r="56">
          <cell r="C56">
            <v>3.1052086000000001</v>
          </cell>
          <cell r="D56">
            <v>11.132200000000001</v>
          </cell>
          <cell r="E56">
            <v>8.2615473999999995</v>
          </cell>
          <cell r="F56">
            <v>15.378100399999999</v>
          </cell>
          <cell r="G56">
            <v>18.8054086</v>
          </cell>
          <cell r="H56">
            <v>11.074321199999998</v>
          </cell>
          <cell r="I56">
            <v>14.464293800000002</v>
          </cell>
          <cell r="J56">
            <v>24.373298999999999</v>
          </cell>
          <cell r="K56">
            <v>17.617680400000001</v>
          </cell>
          <cell r="L56">
            <v>25.510186999999998</v>
          </cell>
          <cell r="M56">
            <v>30.188843599999998</v>
          </cell>
          <cell r="N56">
            <v>14.431745399999999</v>
          </cell>
          <cell r="O56">
            <v>25.918546800000001</v>
          </cell>
          <cell r="P56">
            <v>27.709254399999999</v>
          </cell>
          <cell r="Q56">
            <v>37.427969600000004</v>
          </cell>
          <cell r="R56">
            <v>40.027461600000002</v>
          </cell>
          <cell r="S56">
            <v>45.119225</v>
          </cell>
          <cell r="T56">
            <v>27.855888400000005</v>
          </cell>
          <cell r="U56">
            <v>9.9673979999999993</v>
          </cell>
          <cell r="V56">
            <v>10.816357</v>
          </cell>
          <cell r="W56">
            <v>11.279121000000002</v>
          </cell>
          <cell r="X56">
            <v>1.1262129999999997</v>
          </cell>
          <cell r="Y56">
            <v>0.44140499999999883</v>
          </cell>
          <cell r="Z56">
            <v>1.1022570000000014</v>
          </cell>
          <cell r="AA56">
            <v>0</v>
          </cell>
          <cell r="AB56">
            <v>1.9192970000000023</v>
          </cell>
          <cell r="AC56">
            <v>5.1742999999998575E-2</v>
          </cell>
          <cell r="AD56">
            <v>1.4269E-2</v>
          </cell>
          <cell r="AE56">
            <v>2.0000000000000002E-5</v>
          </cell>
          <cell r="AF56">
            <v>6.0000000000000002E-6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</row>
        <row r="57">
          <cell r="C57">
            <v>4.0522483999999999</v>
          </cell>
          <cell r="D57">
            <v>10.954512999999999</v>
          </cell>
          <cell r="E57">
            <v>10.730396200000001</v>
          </cell>
          <cell r="F57">
            <v>9.0108049999999977</v>
          </cell>
          <cell r="G57">
            <v>11.0970964</v>
          </cell>
          <cell r="H57">
            <v>18.491057000000001</v>
          </cell>
          <cell r="I57">
            <v>15.589051800000002</v>
          </cell>
          <cell r="J57">
            <v>25.206603599999998</v>
          </cell>
          <cell r="K57">
            <v>26.026597800000005</v>
          </cell>
          <cell r="L57">
            <v>14.699047800000001</v>
          </cell>
          <cell r="M57">
            <v>32.292296</v>
          </cell>
          <cell r="N57">
            <v>20.918333199999999</v>
          </cell>
          <cell r="O57">
            <v>12.968240999999999</v>
          </cell>
          <cell r="P57">
            <v>25.031354200000003</v>
          </cell>
          <cell r="Q57">
            <v>42.626382400000004</v>
          </cell>
          <cell r="R57">
            <v>49.928059599999997</v>
          </cell>
          <cell r="S57">
            <v>58.224336000000001</v>
          </cell>
          <cell r="T57">
            <v>29.331755999999999</v>
          </cell>
          <cell r="U57">
            <v>5.8197969999999994</v>
          </cell>
          <cell r="V57">
            <v>8.5278220000000005</v>
          </cell>
          <cell r="W57">
            <v>9.9567189999999997</v>
          </cell>
          <cell r="X57">
            <v>5.9839950000000002</v>
          </cell>
          <cell r="Y57">
            <v>2.2114370000000019</v>
          </cell>
          <cell r="Z57">
            <v>2.0375000000000001E-2</v>
          </cell>
          <cell r="AA57">
            <v>0</v>
          </cell>
          <cell r="AB57">
            <v>0.14566100000000734</v>
          </cell>
          <cell r="AC57">
            <v>0</v>
          </cell>
          <cell r="AD57">
            <v>3.1179999999999997E-3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</row>
        <row r="58">
          <cell r="B58">
            <v>5.2572450000000002</v>
          </cell>
          <cell r="C58">
            <v>5.0647913999999998</v>
          </cell>
          <cell r="D58">
            <v>13.706608199999998</v>
          </cell>
          <cell r="E58">
            <v>6.3043317999999999</v>
          </cell>
          <cell r="F58">
            <v>8.3593410000000006</v>
          </cell>
          <cell r="G58">
            <v>25.727497199999998</v>
          </cell>
          <cell r="H58">
            <v>19.508209399999998</v>
          </cell>
          <cell r="I58">
            <v>11.350890600000001</v>
          </cell>
          <cell r="J58">
            <v>33.281841</v>
          </cell>
          <cell r="K58">
            <v>14.8461052</v>
          </cell>
          <cell r="L58">
            <v>11.846365</v>
          </cell>
          <cell r="M58">
            <v>29.416793999999999</v>
          </cell>
          <cell r="N58">
            <v>30.392674800000002</v>
          </cell>
          <cell r="O58">
            <v>23.847986200000005</v>
          </cell>
          <cell r="P58">
            <v>20.955961599999998</v>
          </cell>
          <cell r="Q58">
            <v>47.538215600000001</v>
          </cell>
          <cell r="R58">
            <v>35.535426000000008</v>
          </cell>
          <cell r="S58">
            <v>31.786594400000002</v>
          </cell>
          <cell r="T58">
            <v>33.571137999999998</v>
          </cell>
          <cell r="U58">
            <v>6.7921000000000005</v>
          </cell>
          <cell r="V58">
            <v>14.044165000000001</v>
          </cell>
          <cell r="W58">
            <v>17.375809</v>
          </cell>
          <cell r="X58">
            <v>3.0263139999999984</v>
          </cell>
          <cell r="Y58">
            <v>1.9718000000000756E-2</v>
          </cell>
          <cell r="Z58">
            <v>1.8739310000000005</v>
          </cell>
          <cell r="AA58">
            <v>0</v>
          </cell>
          <cell r="AB58">
            <v>4.0765999999999622E-2</v>
          </cell>
          <cell r="AC58">
            <v>0.21979100000000107</v>
          </cell>
          <cell r="AD58">
            <v>3.009E-3</v>
          </cell>
          <cell r="AE58">
            <v>3.2400000000000001E-4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</row>
        <row r="59">
          <cell r="B59">
            <v>4.8997683999999992</v>
          </cell>
          <cell r="C59">
            <v>5.6009534000000007</v>
          </cell>
          <cell r="D59">
            <v>7.9677742000000009</v>
          </cell>
          <cell r="E59">
            <v>6.6271883999999988</v>
          </cell>
          <cell r="F59">
            <v>12.108802800000001</v>
          </cell>
          <cell r="G59">
            <v>20.614224999999998</v>
          </cell>
          <cell r="H59">
            <v>17.869311199999999</v>
          </cell>
          <cell r="I59">
            <v>13.6647052</v>
          </cell>
          <cell r="J59">
            <v>27.4287052</v>
          </cell>
          <cell r="K59">
            <v>10.008353799999998</v>
          </cell>
          <cell r="L59">
            <v>28.544608</v>
          </cell>
          <cell r="M59">
            <v>25.640727599999998</v>
          </cell>
          <cell r="N59">
            <v>14.3490894</v>
          </cell>
          <cell r="O59">
            <v>11.637076599999999</v>
          </cell>
          <cell r="P59">
            <v>20.425881799999999</v>
          </cell>
          <cell r="Q59">
            <v>22.082503199999998</v>
          </cell>
          <cell r="R59">
            <v>12.231121999999999</v>
          </cell>
          <cell r="S59">
            <v>23.280301999999999</v>
          </cell>
          <cell r="T59">
            <v>29.087367</v>
          </cell>
          <cell r="U59">
            <v>5.0952270000000004</v>
          </cell>
          <cell r="V59">
            <v>4.6496100000000009</v>
          </cell>
          <cell r="W59">
            <v>2.1039560000000002</v>
          </cell>
          <cell r="X59">
            <v>3.310274000000001</v>
          </cell>
          <cell r="Y59">
            <v>5.0226000000000569E-2</v>
          </cell>
          <cell r="Z59">
            <v>0</v>
          </cell>
          <cell r="AA59">
            <v>1.9841620000000002</v>
          </cell>
          <cell r="AB59">
            <v>0.10348500000000058</v>
          </cell>
          <cell r="AC59">
            <v>9.4496999999999998E-2</v>
          </cell>
          <cell r="AD59">
            <v>6.0419999999999996E-3</v>
          </cell>
          <cell r="AE59">
            <v>7.9999999999999996E-6</v>
          </cell>
          <cell r="AF59">
            <v>6.0000000000000002E-6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</row>
        <row r="60">
          <cell r="B60">
            <v>5.8715216000000003</v>
          </cell>
          <cell r="C60">
            <v>6.5946649999999991</v>
          </cell>
          <cell r="D60">
            <v>7.7740607999999991</v>
          </cell>
          <cell r="E60">
            <v>5.5133936000000006</v>
          </cell>
          <cell r="F60">
            <v>13.2210462</v>
          </cell>
          <cell r="G60">
            <v>32.709788000000003</v>
          </cell>
          <cell r="H60">
            <v>12.896461199999999</v>
          </cell>
          <cell r="I60">
            <v>14.471616599999999</v>
          </cell>
          <cell r="J60">
            <v>25.619820600000001</v>
          </cell>
          <cell r="K60">
            <v>20.817233999999999</v>
          </cell>
          <cell r="L60">
            <v>28.217601200000001</v>
          </cell>
          <cell r="M60">
            <v>30.2081406</v>
          </cell>
          <cell r="N60">
            <v>21.5016994</v>
          </cell>
          <cell r="O60">
            <v>15.414433000000001</v>
          </cell>
          <cell r="P60">
            <v>36.217129399999997</v>
          </cell>
          <cell r="Q60">
            <v>45.596609399999998</v>
          </cell>
          <cell r="R60">
            <v>36.6171328</v>
          </cell>
          <cell r="S60">
            <v>49.18505059999999</v>
          </cell>
          <cell r="T60">
            <v>12.824416999999999</v>
          </cell>
          <cell r="U60">
            <v>7.6287959999999995</v>
          </cell>
          <cell r="V60">
            <v>2.2694159999999992</v>
          </cell>
          <cell r="W60">
            <v>10.271275000000001</v>
          </cell>
          <cell r="X60">
            <v>0.24659600000000045</v>
          </cell>
          <cell r="Y60">
            <v>1.8137010000000009</v>
          </cell>
          <cell r="Z60">
            <v>7.8467989999999919</v>
          </cell>
          <cell r="AA60">
            <v>1.2531000000002677E-2</v>
          </cell>
          <cell r="AB60">
            <v>6.0096000000005007E-2</v>
          </cell>
          <cell r="AC60">
            <v>0.40104100000000109</v>
          </cell>
          <cell r="AD60">
            <v>0</v>
          </cell>
          <cell r="AE60">
            <v>3.9999999999999998E-6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</row>
        <row r="61">
          <cell r="B61">
            <v>6.7854537999999991</v>
          </cell>
          <cell r="C61">
            <v>5.253927599999999</v>
          </cell>
          <cell r="D61">
            <v>6.6257745999999997</v>
          </cell>
          <cell r="E61">
            <v>8.0979865999999987</v>
          </cell>
          <cell r="F61">
            <v>11.021668200000001</v>
          </cell>
          <cell r="G61">
            <v>13.2113116</v>
          </cell>
          <cell r="H61">
            <v>27.8272628</v>
          </cell>
          <cell r="I61">
            <v>13.5168596</v>
          </cell>
          <cell r="J61">
            <v>13.3682292</v>
          </cell>
          <cell r="K61">
            <v>12.808631200000001</v>
          </cell>
          <cell r="L61">
            <v>32.658864799999996</v>
          </cell>
          <cell r="M61">
            <v>30.487179599999997</v>
          </cell>
          <cell r="N61">
            <v>39.724097</v>
          </cell>
          <cell r="O61">
            <v>23.607832800000004</v>
          </cell>
          <cell r="P61">
            <v>24.706526399999998</v>
          </cell>
          <cell r="Q61">
            <v>34.098773800000004</v>
          </cell>
          <cell r="R61">
            <v>47.635305000000002</v>
          </cell>
          <cell r="S61">
            <v>36.064815000000003</v>
          </cell>
          <cell r="T61">
            <v>13.375339999999998</v>
          </cell>
          <cell r="U61">
            <v>12.952866999999999</v>
          </cell>
          <cell r="V61">
            <v>24.041142000000004</v>
          </cell>
          <cell r="W61">
            <v>6.1381600000000001</v>
          </cell>
          <cell r="X61">
            <v>4.691495999999999</v>
          </cell>
          <cell r="Y61">
            <v>2.2546229999999996</v>
          </cell>
          <cell r="Z61">
            <v>2.0382000000001427E-2</v>
          </cell>
          <cell r="AA61">
            <v>0</v>
          </cell>
          <cell r="AB61">
            <v>0.51851000000000935</v>
          </cell>
          <cell r="AC61">
            <v>5.5776999999998224E-2</v>
          </cell>
          <cell r="AD61">
            <v>6.0000000000000002E-6</v>
          </cell>
          <cell r="AE61">
            <v>1.2E-5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</row>
        <row r="62">
          <cell r="B62">
            <v>5.8267938000000008</v>
          </cell>
          <cell r="C62">
            <v>9.1238457999999998</v>
          </cell>
          <cell r="D62">
            <v>8.1981769999999994</v>
          </cell>
          <cell r="E62">
            <v>14.687245600000001</v>
          </cell>
          <cell r="F62">
            <v>9.5748876000000021</v>
          </cell>
          <cell r="G62">
            <v>15.159974800000001</v>
          </cell>
          <cell r="H62">
            <v>11.198953800000002</v>
          </cell>
          <cell r="I62">
            <v>11.356316199999998</v>
          </cell>
          <cell r="J62">
            <v>15.465337999999999</v>
          </cell>
          <cell r="K62">
            <v>19.863634400000002</v>
          </cell>
          <cell r="L62">
            <v>28.542260800000001</v>
          </cell>
          <cell r="M62">
            <v>17.405684800000003</v>
          </cell>
          <cell r="N62">
            <v>33.068521599999997</v>
          </cell>
          <cell r="O62">
            <v>18.101077400000001</v>
          </cell>
          <cell r="P62">
            <v>16.349109200000001</v>
          </cell>
          <cell r="Q62">
            <v>38.659594000000006</v>
          </cell>
          <cell r="R62">
            <v>52.665006999999996</v>
          </cell>
          <cell r="S62">
            <v>33.844164000000006</v>
          </cell>
          <cell r="T62">
            <v>9.8615960000000022</v>
          </cell>
          <cell r="U62">
            <v>15.384626000000001</v>
          </cell>
          <cell r="V62">
            <v>2.7069130000000006</v>
          </cell>
          <cell r="W62">
            <v>3.844239</v>
          </cell>
          <cell r="X62">
            <v>0.52155900000000111</v>
          </cell>
          <cell r="Y62">
            <v>3.0961999999999535E-2</v>
          </cell>
          <cell r="Z62">
            <v>2.2046239999999964</v>
          </cell>
          <cell r="AA62">
            <v>0</v>
          </cell>
          <cell r="AB62">
            <v>1.6659990000000107</v>
          </cell>
          <cell r="AC62">
            <v>0</v>
          </cell>
          <cell r="AD62">
            <v>4.542E-3</v>
          </cell>
          <cell r="AE62">
            <v>0</v>
          </cell>
          <cell r="AF62">
            <v>6.0000000000000002E-6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</row>
        <row r="63">
          <cell r="B63">
            <v>5.1245145999999995</v>
          </cell>
          <cell r="C63">
            <v>10.949038400000001</v>
          </cell>
          <cell r="D63">
            <v>8.6692147999999989</v>
          </cell>
          <cell r="E63">
            <v>7.8392457999999996</v>
          </cell>
          <cell r="F63">
            <v>26.816328800000001</v>
          </cell>
          <cell r="G63">
            <v>6.2545082000000001</v>
          </cell>
          <cell r="H63">
            <v>7.9641687999999995</v>
          </cell>
          <cell r="I63">
            <v>10.652598399999999</v>
          </cell>
          <cell r="J63">
            <v>14.071539599999999</v>
          </cell>
          <cell r="K63">
            <v>27.718328400000001</v>
          </cell>
          <cell r="L63">
            <v>24.292610199999999</v>
          </cell>
          <cell r="M63">
            <v>19.910438199999998</v>
          </cell>
          <cell r="N63">
            <v>32.230607200000001</v>
          </cell>
          <cell r="O63">
            <v>31.286397399999998</v>
          </cell>
          <cell r="P63">
            <v>33.901189399999993</v>
          </cell>
          <cell r="Q63">
            <v>33.318575600000003</v>
          </cell>
          <cell r="R63">
            <v>34.512059800000003</v>
          </cell>
          <cell r="S63">
            <v>35.699511000000001</v>
          </cell>
          <cell r="T63">
            <v>15.384641</v>
          </cell>
          <cell r="U63">
            <v>5.603060000000001</v>
          </cell>
          <cell r="V63">
            <v>3.6180680000000009</v>
          </cell>
          <cell r="W63">
            <v>0.97492000000000012</v>
          </cell>
          <cell r="X63">
            <v>0.20222800000000279</v>
          </cell>
          <cell r="Y63">
            <v>9.0748999999999802E-2</v>
          </cell>
          <cell r="Z63">
            <v>0</v>
          </cell>
          <cell r="AA63">
            <v>7.9532000000006514E-2</v>
          </cell>
          <cell r="AB63">
            <v>2.1705000000001747E-2</v>
          </cell>
          <cell r="AC63">
            <v>6.3778000000000251E-2</v>
          </cell>
          <cell r="AD63">
            <v>5.0279999999999995E-3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</row>
        <row r="64">
          <cell r="B64">
            <v>6.3047353999999993</v>
          </cell>
          <cell r="C64">
            <v>10.122449</v>
          </cell>
          <cell r="D64">
            <v>7.5136185999999991</v>
          </cell>
          <cell r="E64">
            <v>10.504941000000001</v>
          </cell>
          <cell r="F64">
            <v>17.240402999999997</v>
          </cell>
          <cell r="G64">
            <v>19.439984599999999</v>
          </cell>
          <cell r="H64">
            <v>13.946711000000001</v>
          </cell>
          <cell r="I64">
            <v>14.755062800000001</v>
          </cell>
          <cell r="J64">
            <v>39.047104599999997</v>
          </cell>
          <cell r="K64">
            <v>16.638950600000001</v>
          </cell>
          <cell r="L64">
            <v>29.171581200000002</v>
          </cell>
          <cell r="M64">
            <v>32.4092488</v>
          </cell>
          <cell r="N64">
            <v>28.401090000000003</v>
          </cell>
          <cell r="O64">
            <v>21.115149000000002</v>
          </cell>
          <cell r="P64">
            <v>18.186762999999999</v>
          </cell>
          <cell r="Q64">
            <v>29.516944200000001</v>
          </cell>
          <cell r="R64">
            <v>44.439111199999999</v>
          </cell>
          <cell r="S64">
            <v>33.042713000000006</v>
          </cell>
          <cell r="T64">
            <v>10.497249</v>
          </cell>
          <cell r="U64">
            <v>1.4212070000000003</v>
          </cell>
          <cell r="V64">
            <v>6.8010280000000005</v>
          </cell>
          <cell r="W64">
            <v>5.9804070000000014</v>
          </cell>
          <cell r="X64">
            <v>3.9723500000000005</v>
          </cell>
          <cell r="Y64">
            <v>4.9998999999999794E-2</v>
          </cell>
          <cell r="Z64">
            <v>2.3120509999999994</v>
          </cell>
          <cell r="AA64">
            <v>0</v>
          </cell>
          <cell r="AB64">
            <v>5.1667999999990569E-2</v>
          </cell>
          <cell r="AC64">
            <v>0</v>
          </cell>
          <cell r="AD64">
            <v>3.0000000000000001E-3</v>
          </cell>
          <cell r="AE64">
            <v>6.9999999999999999E-6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</row>
        <row r="65">
          <cell r="B65">
            <v>5.8987528000000005</v>
          </cell>
          <cell r="C65">
            <v>12.2602064</v>
          </cell>
          <cell r="D65">
            <v>9.5340693999999999</v>
          </cell>
          <cell r="E65">
            <v>11.7168668</v>
          </cell>
          <cell r="F65">
            <v>24.7875798</v>
          </cell>
          <cell r="G65">
            <v>20.178775600000002</v>
          </cell>
          <cell r="H65">
            <v>19.661441200000002</v>
          </cell>
          <cell r="I65">
            <v>21.287685999999997</v>
          </cell>
          <cell r="J65">
            <v>21.925375799999998</v>
          </cell>
          <cell r="K65">
            <v>22.3374898</v>
          </cell>
          <cell r="L65">
            <v>32.335723600000001</v>
          </cell>
          <cell r="M65">
            <v>26.182926200000001</v>
          </cell>
          <cell r="N65">
            <v>20.3674398</v>
          </cell>
          <cell r="O65">
            <v>44.163709000000004</v>
          </cell>
          <cell r="P65">
            <v>40.930656000000006</v>
          </cell>
          <cell r="Q65">
            <v>51.928450000000005</v>
          </cell>
          <cell r="R65">
            <v>42.215434000000002</v>
          </cell>
          <cell r="S65">
            <v>18.084205399999998</v>
          </cell>
          <cell r="T65">
            <v>8.9488970000000005</v>
          </cell>
          <cell r="U65">
            <v>17.577958000000002</v>
          </cell>
          <cell r="V65">
            <v>3.9211139999999998</v>
          </cell>
          <cell r="W65">
            <v>9.3631660000000014</v>
          </cell>
          <cell r="X65">
            <v>4.1014329999999992</v>
          </cell>
          <cell r="Y65">
            <v>4.9998999999999794E-2</v>
          </cell>
          <cell r="Z65">
            <v>0</v>
          </cell>
          <cell r="AA65">
            <v>0.20399599999999918</v>
          </cell>
          <cell r="AB65">
            <v>0.38253600000000004</v>
          </cell>
          <cell r="AC65">
            <v>0.22896100000000025</v>
          </cell>
          <cell r="AD65">
            <v>7.0130000000000001E-3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</row>
        <row r="66">
          <cell r="B66">
            <v>5.5850961999999997</v>
          </cell>
          <cell r="C66">
            <v>12.954799</v>
          </cell>
          <cell r="D66">
            <v>10.366847600000002</v>
          </cell>
          <cell r="E66">
            <v>6.4633984</v>
          </cell>
          <cell r="F66">
            <v>24.743987199999999</v>
          </cell>
          <cell r="G66">
            <v>13.6477232</v>
          </cell>
          <cell r="H66">
            <v>14.890946599999999</v>
          </cell>
          <cell r="I66">
            <v>8.7039323999999993</v>
          </cell>
          <cell r="J66">
            <v>20.433125200000003</v>
          </cell>
          <cell r="K66">
            <v>17.252216000000001</v>
          </cell>
          <cell r="L66">
            <v>35.093860400000004</v>
          </cell>
          <cell r="M66">
            <v>30.487160599999999</v>
          </cell>
          <cell r="N66">
            <v>26.539469199999996</v>
          </cell>
          <cell r="O66">
            <v>22.717389000000001</v>
          </cell>
          <cell r="P66">
            <v>22.615577800000004</v>
          </cell>
          <cell r="Q66">
            <v>32.053999400000002</v>
          </cell>
          <cell r="R66">
            <v>12.850733799999999</v>
          </cell>
          <cell r="S66">
            <v>15.916010200000004</v>
          </cell>
          <cell r="T66">
            <v>8.7765249999999995</v>
          </cell>
          <cell r="U66">
            <v>4.1436289999999998</v>
          </cell>
          <cell r="V66">
            <v>6.0306720000000027</v>
          </cell>
          <cell r="W66">
            <v>0.88720200000000027</v>
          </cell>
          <cell r="X66">
            <v>0.60744700000000007</v>
          </cell>
          <cell r="Y66">
            <v>3.3069369999999982</v>
          </cell>
          <cell r="Z66">
            <v>0</v>
          </cell>
          <cell r="AA66">
            <v>0</v>
          </cell>
          <cell r="AB66">
            <v>0.1099490000000078</v>
          </cell>
          <cell r="AC66">
            <v>0</v>
          </cell>
          <cell r="AD66">
            <v>2.5000000000000001E-3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4.3499999999999996</v>
          </cell>
          <cell r="Q103">
            <v>2.5499999999999998</v>
          </cell>
          <cell r="R103">
            <v>10</v>
          </cell>
          <cell r="S103">
            <v>9.5</v>
          </cell>
          <cell r="T103">
            <v>21</v>
          </cell>
          <cell r="U103">
            <v>30</v>
          </cell>
          <cell r="V103">
            <v>53.5</v>
          </cell>
          <cell r="W103">
            <v>48.005000000000003</v>
          </cell>
          <cell r="X103">
            <v>10.8</v>
          </cell>
          <cell r="Y103">
            <v>48.068999999999996</v>
          </cell>
          <cell r="Z103">
            <v>45.542000000000002</v>
          </cell>
          <cell r="AA103">
            <v>51.726499999999994</v>
          </cell>
          <cell r="AB103">
            <v>52.276499999999999</v>
          </cell>
          <cell r="AC103">
            <v>42.444000000000003</v>
          </cell>
          <cell r="AD103">
            <v>46.165559674440175</v>
          </cell>
          <cell r="AE103">
            <v>63.967341280755541</v>
          </cell>
          <cell r="AF103">
            <v>74.219484723305129</v>
          </cell>
          <cell r="AG103">
            <v>77.914177156123372</v>
          </cell>
          <cell r="AH103">
            <v>72.666843144495061</v>
          </cell>
          <cell r="AI103">
            <v>67.210323046441303</v>
          </cell>
          <cell r="AJ103">
            <v>73.035734021947704</v>
          </cell>
          <cell r="AK103">
            <v>30.07278465834062</v>
          </cell>
          <cell r="AL103">
            <v>34.762276206256246</v>
          </cell>
          <cell r="AM103">
            <v>32.539938997243986</v>
          </cell>
          <cell r="AN103">
            <v>32.584377383928519</v>
          </cell>
          <cell r="AO103">
            <v>34.736386990510276</v>
          </cell>
          <cell r="AP103">
            <v>32.433535427918905</v>
          </cell>
          <cell r="AQ103">
            <v>32.071996147983008</v>
          </cell>
          <cell r="AR103">
            <v>10.651093990722188</v>
          </cell>
          <cell r="AS103">
            <v>7.7795082573112522</v>
          </cell>
          <cell r="AT103">
            <v>5.3036264842545489</v>
          </cell>
          <cell r="AU103">
            <v>4.1396910488013567</v>
          </cell>
          <cell r="AV103">
            <v>4.1396910488013567</v>
          </cell>
          <cell r="AW103">
            <v>4.1396910488013567</v>
          </cell>
          <cell r="AX103">
            <v>4.1396910488013567</v>
          </cell>
          <cell r="AY103">
            <v>4.1396910488013567</v>
          </cell>
          <cell r="AZ103">
            <v>4.1396910488013567</v>
          </cell>
          <cell r="BA103">
            <v>4.1396910488013567</v>
          </cell>
          <cell r="BB103">
            <v>4.1396910488013567</v>
          </cell>
          <cell r="BC103">
            <v>4.1396910488013567</v>
          </cell>
          <cell r="BD103">
            <v>4.1396910488013567</v>
          </cell>
          <cell r="BE103">
            <v>4.1396910488013567</v>
          </cell>
          <cell r="BF103">
            <v>4.1396910488013567</v>
          </cell>
          <cell r="BG103">
            <v>4.1396910488013567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2.35</v>
          </cell>
          <cell r="Q104">
            <v>2.65</v>
          </cell>
          <cell r="R104">
            <v>7.5</v>
          </cell>
          <cell r="S104">
            <v>6.5</v>
          </cell>
          <cell r="T104">
            <v>19.5</v>
          </cell>
          <cell r="U104">
            <v>18</v>
          </cell>
          <cell r="V104">
            <v>45.5</v>
          </cell>
          <cell r="W104">
            <v>36.6</v>
          </cell>
          <cell r="X104">
            <v>10.3</v>
          </cell>
          <cell r="Y104">
            <v>41.125</v>
          </cell>
          <cell r="Z104">
            <v>45.975999999999999</v>
          </cell>
          <cell r="AA104">
            <v>48.093499999999999</v>
          </cell>
          <cell r="AB104">
            <v>49.823999999999998</v>
          </cell>
          <cell r="AC104">
            <v>44.016000000000005</v>
          </cell>
          <cell r="AD104">
            <v>53.828698087944829</v>
          </cell>
          <cell r="AE104">
            <v>78.070150259732515</v>
          </cell>
          <cell r="AF104">
            <v>62.745399999999989</v>
          </cell>
          <cell r="AG104">
            <v>87.90179999999998</v>
          </cell>
          <cell r="AH104">
            <v>78.830937577096506</v>
          </cell>
          <cell r="AI104">
            <v>71.798370279888516</v>
          </cell>
          <cell r="AJ104">
            <v>77.465216077104671</v>
          </cell>
          <cell r="AK104">
            <v>31.227320394770501</v>
          </cell>
          <cell r="AL104">
            <v>37.188666275893951</v>
          </cell>
          <cell r="AM104">
            <v>34.617273482523913</v>
          </cell>
          <cell r="AN104">
            <v>34.531740686572924</v>
          </cell>
          <cell r="AO104">
            <v>36.769034865719696</v>
          </cell>
          <cell r="AP104">
            <v>34.321277623602832</v>
          </cell>
          <cell r="AQ104">
            <v>34.061703012220576</v>
          </cell>
          <cell r="AR104">
            <v>11.29495143798821</v>
          </cell>
          <cell r="AS104">
            <v>8.2444901672772808</v>
          </cell>
          <cell r="AT104">
            <v>5.620288672996292</v>
          </cell>
          <cell r="AU104">
            <v>4.3882962858207506</v>
          </cell>
          <cell r="AV104">
            <v>4.3882962858207506</v>
          </cell>
          <cell r="AW104">
            <v>4.3882962858207506</v>
          </cell>
          <cell r="AX104">
            <v>4.3882962858207506</v>
          </cell>
          <cell r="AY104">
            <v>4.3882962858207506</v>
          </cell>
          <cell r="AZ104">
            <v>4.3882962858207506</v>
          </cell>
          <cell r="BA104">
            <v>4.3882962858207506</v>
          </cell>
          <cell r="BB104">
            <v>4.3882962858207506</v>
          </cell>
          <cell r="BC104">
            <v>4.3882962858207506</v>
          </cell>
          <cell r="BD104">
            <v>4.3882962858207506</v>
          </cell>
          <cell r="BE104">
            <v>4.3882962858207506</v>
          </cell>
          <cell r="BF104">
            <v>4.3882962858207506</v>
          </cell>
          <cell r="BG104">
            <v>4.3882962858207506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2.15</v>
          </cell>
          <cell r="Q105">
            <v>2.5</v>
          </cell>
          <cell r="R105">
            <v>8</v>
          </cell>
          <cell r="S105">
            <v>12.5</v>
          </cell>
          <cell r="T105">
            <v>17.5</v>
          </cell>
          <cell r="U105">
            <v>22.5</v>
          </cell>
          <cell r="V105">
            <v>42</v>
          </cell>
          <cell r="W105">
            <v>45.625</v>
          </cell>
          <cell r="X105">
            <v>10.600000000000001</v>
          </cell>
          <cell r="Y105">
            <v>39.350499999999997</v>
          </cell>
          <cell r="Z105">
            <v>43.448999999999998</v>
          </cell>
          <cell r="AA105">
            <v>49.031500000000001</v>
          </cell>
          <cell r="AB105">
            <v>51.056999999999995</v>
          </cell>
          <cell r="AC105">
            <v>33.798000000000002</v>
          </cell>
          <cell r="AD105">
            <v>35.146070213186242</v>
          </cell>
          <cell r="AE105">
            <v>88.836230750994446</v>
          </cell>
          <cell r="AF105">
            <v>67.641389947012399</v>
          </cell>
          <cell r="AG105">
            <v>85.762208602791759</v>
          </cell>
          <cell r="AH105">
            <v>138.9916184205581</v>
          </cell>
          <cell r="AI105">
            <v>69.41783941947493</v>
          </cell>
          <cell r="AJ105">
            <v>88.129374180408774</v>
          </cell>
          <cell r="AK105">
            <v>35.54625076682786</v>
          </cell>
          <cell r="AL105">
            <v>43.15735240346406</v>
          </cell>
          <cell r="AM105">
            <v>43.284496419713648</v>
          </cell>
          <cell r="AN105">
            <v>38.941503664050295</v>
          </cell>
          <cell r="AO105">
            <v>42.744616709172405</v>
          </cell>
          <cell r="AP105">
            <v>34.848005770990483</v>
          </cell>
          <cell r="AQ105">
            <v>37.08349381334579</v>
          </cell>
          <cell r="AR105">
            <v>12.20235121715262</v>
          </cell>
          <cell r="AS105">
            <v>9.0336275667592698</v>
          </cell>
          <cell r="AT105">
            <v>6.1183280228550396</v>
          </cell>
          <cell r="AU105">
            <v>4.6962285769256722</v>
          </cell>
          <cell r="AV105">
            <v>4.6962285769256722</v>
          </cell>
          <cell r="AW105">
            <v>4.6962285769256722</v>
          </cell>
          <cell r="AX105">
            <v>4.6962285769256722</v>
          </cell>
          <cell r="AY105">
            <v>4.6962285769256722</v>
          </cell>
          <cell r="AZ105">
            <v>4.6962285769256722</v>
          </cell>
          <cell r="BA105">
            <v>4.6962285769256722</v>
          </cell>
          <cell r="BB105">
            <v>4.6962285769256722</v>
          </cell>
          <cell r="BC105">
            <v>4.6962285769256722</v>
          </cell>
          <cell r="BD105">
            <v>4.6962285769256722</v>
          </cell>
          <cell r="BE105">
            <v>4.6962285769256722</v>
          </cell>
          <cell r="BF105">
            <v>4.6962285769256722</v>
          </cell>
          <cell r="BG105">
            <v>4.6962285769256722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1.3831037649219464</v>
          </cell>
          <cell r="P106">
            <v>2.35</v>
          </cell>
          <cell r="Q106">
            <v>1.5814999999999999</v>
          </cell>
          <cell r="R106">
            <v>4</v>
          </cell>
          <cell r="S106">
            <v>9</v>
          </cell>
          <cell r="T106">
            <v>18.5</v>
          </cell>
          <cell r="U106">
            <v>27</v>
          </cell>
          <cell r="V106">
            <v>30</v>
          </cell>
          <cell r="W106">
            <v>26</v>
          </cell>
          <cell r="X106">
            <v>9.266</v>
          </cell>
          <cell r="Y106">
            <v>29.508499999999998</v>
          </cell>
          <cell r="Z106">
            <v>35.951999999999998</v>
          </cell>
          <cell r="AA106">
            <v>42.283499999999997</v>
          </cell>
          <cell r="AB106">
            <v>51.75</v>
          </cell>
          <cell r="AC106">
            <v>57.918396720756782</v>
          </cell>
          <cell r="AD106">
            <v>33.991983513605518</v>
          </cell>
          <cell r="AE106">
            <v>72.007290448412817</v>
          </cell>
          <cell r="AF106">
            <v>84.496769542782744</v>
          </cell>
          <cell r="AG106">
            <v>40.567466353453</v>
          </cell>
          <cell r="AH106">
            <v>54.599791828859559</v>
          </cell>
          <cell r="AI106">
            <v>50.664016987984006</v>
          </cell>
          <cell r="AJ106">
            <v>43.383545019357591</v>
          </cell>
          <cell r="AK106">
            <v>24.150786395970275</v>
          </cell>
          <cell r="AL106">
            <v>22.596344051239615</v>
          </cell>
          <cell r="AM106">
            <v>23.592697071787722</v>
          </cell>
          <cell r="AN106">
            <v>24.511085063739309</v>
          </cell>
          <cell r="AO106">
            <v>28.515082481793542</v>
          </cell>
          <cell r="AP106">
            <v>25.019118815251922</v>
          </cell>
          <cell r="AQ106">
            <v>24.676624850246455</v>
          </cell>
          <cell r="AR106">
            <v>6.9520867616279842</v>
          </cell>
          <cell r="AS106">
            <v>4.9717558074961259</v>
          </cell>
          <cell r="AT106">
            <v>4.2002458802920275</v>
          </cell>
          <cell r="AU106">
            <v>3.2592516029468928</v>
          </cell>
          <cell r="AV106">
            <v>2.529071229176072</v>
          </cell>
          <cell r="AW106">
            <v>1.9624754580048263</v>
          </cell>
          <cell r="AX106">
            <v>1.5228159171008968</v>
          </cell>
          <cell r="AY106">
            <v>1.1816546840965094</v>
          </cell>
          <cell r="AZ106">
            <v>0.91692487369417652</v>
          </cell>
          <cell r="BA106">
            <v>0.71150331422070068</v>
          </cell>
          <cell r="BB106">
            <v>0.55210299193594259</v>
          </cell>
          <cell r="BC106">
            <v>0.42841362452187864</v>
          </cell>
          <cell r="BD106">
            <v>0.33243477459232484</v>
          </cell>
          <cell r="BE106">
            <v>0.25795836787773785</v>
          </cell>
          <cell r="BF106">
            <v>0.20016714448646208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0.88138965411692682</v>
          </cell>
          <cell r="P107">
            <v>2</v>
          </cell>
          <cell r="Q107">
            <v>2.1324999999999998</v>
          </cell>
          <cell r="R107">
            <v>4.5</v>
          </cell>
          <cell r="S107">
            <v>9.5</v>
          </cell>
          <cell r="T107">
            <v>20.5</v>
          </cell>
          <cell r="U107">
            <v>29.5</v>
          </cell>
          <cell r="V107">
            <v>38</v>
          </cell>
          <cell r="W107">
            <v>38</v>
          </cell>
          <cell r="X107">
            <v>10.911000000000001</v>
          </cell>
          <cell r="Y107">
            <v>28.692999999999998</v>
          </cell>
          <cell r="Z107">
            <v>43.102499999999999</v>
          </cell>
          <cell r="AA107">
            <v>43.26</v>
          </cell>
          <cell r="AB107">
            <v>40.729500000000002</v>
          </cell>
          <cell r="AC107">
            <v>47.463641938422867</v>
          </cell>
          <cell r="AD107">
            <v>66.407360338419011</v>
          </cell>
          <cell r="AE107">
            <v>72.602999063759327</v>
          </cell>
          <cell r="AF107">
            <v>75.290850642285818</v>
          </cell>
          <cell r="AG107">
            <v>45.673207058255549</v>
          </cell>
          <cell r="AH107">
            <v>58.953945942822429</v>
          </cell>
          <cell r="AI107">
            <v>57.832568793723063</v>
          </cell>
          <cell r="AJ107">
            <v>45.65225975337497</v>
          </cell>
          <cell r="AK107">
            <v>25.909289905612919</v>
          </cell>
          <cell r="AL107">
            <v>24.666753529132126</v>
          </cell>
          <cell r="AM107">
            <v>25.607067573444617</v>
          </cell>
          <cell r="AN107">
            <v>26.666710266200763</v>
          </cell>
          <cell r="AO107">
            <v>24.726650391951821</v>
          </cell>
          <cell r="AP107">
            <v>23.862514101467138</v>
          </cell>
          <cell r="AQ107">
            <v>23.237729296889128</v>
          </cell>
          <cell r="AR107">
            <v>6.8300363620683591</v>
          </cell>
          <cell r="AS107">
            <v>4.785526323191708</v>
          </cell>
          <cell r="AT107">
            <v>3.9304671941262024</v>
          </cell>
          <cell r="AU107">
            <v>3.0499122832055114</v>
          </cell>
          <cell r="AV107">
            <v>2.3666308547617358</v>
          </cell>
          <cell r="AW107">
            <v>1.8364271108884405</v>
          </cell>
          <cell r="AX107">
            <v>1.4250065771011815</v>
          </cell>
          <cell r="AY107">
            <v>1.1057578777516661</v>
          </cell>
          <cell r="AZ107">
            <v>0.8580314672632221</v>
          </cell>
          <cell r="BA107">
            <v>0.66580398261401263</v>
          </cell>
          <cell r="BB107">
            <v>0.51664182512864509</v>
          </cell>
          <cell r="BC107">
            <v>0.40089693429634932</v>
          </cell>
          <cell r="BD107">
            <v>0.31108273490670668</v>
          </cell>
          <cell r="BE107">
            <v>0.24138989270868461</v>
          </cell>
          <cell r="BF107">
            <v>0.18731055685036679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0.98986838077747152</v>
          </cell>
          <cell r="P108">
            <v>4</v>
          </cell>
          <cell r="Q108">
            <v>3.2054999999999998</v>
          </cell>
          <cell r="R108">
            <v>9.5</v>
          </cell>
          <cell r="S108">
            <v>16.5</v>
          </cell>
          <cell r="T108">
            <v>30.5</v>
          </cell>
          <cell r="U108">
            <v>38.5</v>
          </cell>
          <cell r="V108">
            <v>46.5</v>
          </cell>
          <cell r="W108">
            <v>46</v>
          </cell>
          <cell r="X108">
            <v>10.977</v>
          </cell>
          <cell r="Y108">
            <v>40.480999999999995</v>
          </cell>
          <cell r="Z108">
            <v>48.275500000000001</v>
          </cell>
          <cell r="AA108">
            <v>42.328999999999994</v>
          </cell>
          <cell r="AB108">
            <v>46.359000000000002</v>
          </cell>
          <cell r="AC108">
            <v>48.278881514989934</v>
          </cell>
          <cell r="AD108">
            <v>50.921997882325236</v>
          </cell>
          <cell r="AE108">
            <v>68.768182648755925</v>
          </cell>
          <cell r="AF108">
            <v>64.430659939008848</v>
          </cell>
          <cell r="AG108">
            <v>47.724248743055725</v>
          </cell>
          <cell r="AH108">
            <v>49.048919454188123</v>
          </cell>
          <cell r="AI108">
            <v>50.642619848996674</v>
          </cell>
          <cell r="AJ108">
            <v>40.817446287893681</v>
          </cell>
          <cell r="AK108">
            <v>22.729375646840079</v>
          </cell>
          <cell r="AL108">
            <v>22.179003358502161</v>
          </cell>
          <cell r="AM108">
            <v>22.396304608867911</v>
          </cell>
          <cell r="AN108">
            <v>23.578397761606816</v>
          </cell>
          <cell r="AO108">
            <v>21.901441916687059</v>
          </cell>
          <cell r="AP108">
            <v>21.097270731135129</v>
          </cell>
          <cell r="AQ108">
            <v>20.576788666433664</v>
          </cell>
          <cell r="AR108">
            <v>6.0295985088830477</v>
          </cell>
          <cell r="AS108">
            <v>4.2334715097494264</v>
          </cell>
          <cell r="AT108">
            <v>3.477703878058696</v>
          </cell>
          <cell r="AU108">
            <v>2.6985829549458114</v>
          </cell>
          <cell r="AV108">
            <v>2.0940109394216679</v>
          </cell>
          <cell r="AW108">
            <v>1.624883091468895</v>
          </cell>
          <cell r="AX108">
            <v>1.2608554288024429</v>
          </cell>
          <cell r="AY108">
            <v>0.97838202679766439</v>
          </cell>
          <cell r="AZ108">
            <v>0.75919202828026167</v>
          </cell>
          <cell r="BA108">
            <v>0.5891078535966352</v>
          </cell>
          <cell r="BB108">
            <v>0.45712817079412094</v>
          </cell>
          <cell r="BC108">
            <v>0.35471631087209893</v>
          </cell>
          <cell r="BD108">
            <v>0.27524810159945129</v>
          </cell>
          <cell r="BE108">
            <v>0.21358340485622443</v>
          </cell>
          <cell r="BF108">
            <v>0.16573364381042041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1.423783287419651</v>
          </cell>
          <cell r="P109">
            <v>5.25</v>
          </cell>
          <cell r="Q109">
            <v>10</v>
          </cell>
          <cell r="R109">
            <v>7.5</v>
          </cell>
          <cell r="S109">
            <v>26</v>
          </cell>
          <cell r="T109">
            <v>33.5</v>
          </cell>
          <cell r="U109">
            <v>42</v>
          </cell>
          <cell r="V109">
            <v>43</v>
          </cell>
          <cell r="W109">
            <v>52</v>
          </cell>
          <cell r="X109">
            <v>11.780000000000001</v>
          </cell>
          <cell r="Y109">
            <v>46.459000000000003</v>
          </cell>
          <cell r="Z109">
            <v>48.835499999999996</v>
          </cell>
          <cell r="AA109">
            <v>46.868499999999997</v>
          </cell>
          <cell r="AB109">
            <v>32.112000000000002</v>
          </cell>
          <cell r="AC109">
            <v>51.649920859690404</v>
          </cell>
          <cell r="AD109">
            <v>45.367528867878633</v>
          </cell>
          <cell r="AE109">
            <v>78.166729154430655</v>
          </cell>
          <cell r="AF109">
            <v>58.941792968356985</v>
          </cell>
          <cell r="AG109">
            <v>61.307295953891277</v>
          </cell>
          <cell r="AH109">
            <v>50.433484489096763</v>
          </cell>
          <cell r="AI109">
            <v>51.803569818516635</v>
          </cell>
          <cell r="AJ109">
            <v>42.878980111976844</v>
          </cell>
          <cell r="AK109">
            <v>24.58613583673641</v>
          </cell>
          <cell r="AL109">
            <v>24.174858905426387</v>
          </cell>
          <cell r="AM109">
            <v>23.566467346877367</v>
          </cell>
          <cell r="AN109">
            <v>24.961845714837462</v>
          </cell>
          <cell r="AO109">
            <v>23.37376797218608</v>
          </cell>
          <cell r="AP109">
            <v>22.56775807283384</v>
          </cell>
          <cell r="AQ109">
            <v>21.962000892871099</v>
          </cell>
          <cell r="AR109">
            <v>6.4115398117378994</v>
          </cell>
          <cell r="AS109">
            <v>4.5135316884244379</v>
          </cell>
          <cell r="AT109">
            <v>3.7125724995418441</v>
          </cell>
          <cell r="AU109">
            <v>2.8808332214463181</v>
          </cell>
          <cell r="AV109">
            <v>2.2354311062781798</v>
          </cell>
          <cell r="AW109">
            <v>1.734620454150162</v>
          </cell>
          <cell r="AX109">
            <v>1.3460079854421074</v>
          </cell>
          <cell r="AY109">
            <v>1.0444575887129961</v>
          </cell>
          <cell r="AZ109">
            <v>0.8104644745193349</v>
          </cell>
          <cell r="BA109">
            <v>0.62889357266032231</v>
          </cell>
          <cell r="BB109">
            <v>0.48800057025081689</v>
          </cell>
          <cell r="BC109">
            <v>0.37867226970969375</v>
          </cell>
          <cell r="BD109">
            <v>0.293837131734071</v>
          </cell>
          <cell r="BE109">
            <v>0.22800787618247809</v>
          </cell>
          <cell r="BF109">
            <v>0.1769265555188381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1.5593816957453319</v>
          </cell>
          <cell r="P110">
            <v>6.15</v>
          </cell>
          <cell r="Q110">
            <v>9.5830000000000002</v>
          </cell>
          <cell r="R110">
            <v>10.5</v>
          </cell>
          <cell r="S110">
            <v>20.5</v>
          </cell>
          <cell r="T110">
            <v>30.5</v>
          </cell>
          <cell r="U110">
            <v>46</v>
          </cell>
          <cell r="V110">
            <v>52.5</v>
          </cell>
          <cell r="W110">
            <v>55</v>
          </cell>
          <cell r="X110">
            <v>10.586</v>
          </cell>
          <cell r="Y110">
            <v>45.982999999999997</v>
          </cell>
          <cell r="Z110">
            <v>53.907000000000004</v>
          </cell>
          <cell r="AA110">
            <v>48.408499999999997</v>
          </cell>
          <cell r="AB110">
            <v>23.030999999999999</v>
          </cell>
          <cell r="AC110">
            <v>58.839501926674096</v>
          </cell>
          <cell r="AD110">
            <v>64.232913074375588</v>
          </cell>
          <cell r="AE110">
            <v>95.158821715922812</v>
          </cell>
          <cell r="AF110">
            <v>52.904294467407297</v>
          </cell>
          <cell r="AG110">
            <v>63.17857267717455</v>
          </cell>
          <cell r="AH110">
            <v>57.775870368585871</v>
          </cell>
          <cell r="AI110">
            <v>59.502968914284303</v>
          </cell>
          <cell r="AJ110">
            <v>47.537852932976655</v>
          </cell>
          <cell r="AK110">
            <v>25.448497774085517</v>
          </cell>
          <cell r="AL110">
            <v>26.36395287208039</v>
          </cell>
          <cell r="AM110">
            <v>26.030467553373157</v>
          </cell>
          <cell r="AN110">
            <v>27.374729020440544</v>
          </cell>
          <cell r="AO110">
            <v>25.394297412670902</v>
          </cell>
          <cell r="AP110">
            <v>24.427354525167807</v>
          </cell>
          <cell r="AQ110">
            <v>23.985802103302063</v>
          </cell>
          <cell r="AR110">
            <v>7.0043806248231659</v>
          </cell>
          <cell r="AS110">
            <v>4.9187290173734066</v>
          </cell>
          <cell r="AT110">
            <v>4.0393181669266829</v>
          </cell>
          <cell r="AU110">
            <v>3.1343770306734928</v>
          </cell>
          <cell r="AV110">
            <v>2.4321726995544943</v>
          </cell>
          <cell r="AW110">
            <v>1.8872854103282921</v>
          </cell>
          <cell r="AX110">
            <v>1.4644709319738931</v>
          </cell>
          <cell r="AY110">
            <v>1.1363809092464812</v>
          </cell>
          <cell r="AZ110">
            <v>0.88179392482668972</v>
          </cell>
          <cell r="BA110">
            <v>0.68424286217272656</v>
          </cell>
          <cell r="BB110">
            <v>0.53094978458412945</v>
          </cell>
          <cell r="BC110">
            <v>0.41199943665436467</v>
          </cell>
          <cell r="BD110">
            <v>0.31969790878899557</v>
          </cell>
          <cell r="BE110">
            <v>0.24807498212625081</v>
          </cell>
          <cell r="BF110">
            <v>0.19249796468815061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2.1560146923783288</v>
          </cell>
          <cell r="P111">
            <v>13.45</v>
          </cell>
          <cell r="Q111">
            <v>25.460999999999999</v>
          </cell>
          <cell r="R111">
            <v>14.5</v>
          </cell>
          <cell r="S111">
            <v>25</v>
          </cell>
          <cell r="T111">
            <v>32</v>
          </cell>
          <cell r="U111">
            <v>47</v>
          </cell>
          <cell r="V111">
            <v>43.104999999999997</v>
          </cell>
          <cell r="W111">
            <v>65</v>
          </cell>
          <cell r="X111">
            <v>11.292000000000002</v>
          </cell>
          <cell r="Y111">
            <v>49.776999999999994</v>
          </cell>
          <cell r="Z111">
            <v>52.4895</v>
          </cell>
          <cell r="AA111">
            <v>41.705999999999996</v>
          </cell>
          <cell r="AB111">
            <v>31.360499999999998</v>
          </cell>
          <cell r="AC111">
            <v>60.79137019173163</v>
          </cell>
          <cell r="AD111">
            <v>26.850872769300096</v>
          </cell>
          <cell r="AE111">
            <v>64.83784880686008</v>
          </cell>
          <cell r="AF111">
            <v>88.354894857696223</v>
          </cell>
          <cell r="AG111">
            <v>62.178340452886097</v>
          </cell>
          <cell r="AH111">
            <v>52.05216393873566</v>
          </cell>
          <cell r="AI111">
            <v>52.185156508504498</v>
          </cell>
          <cell r="AJ111">
            <v>46.019670680660909</v>
          </cell>
          <cell r="AK111">
            <v>26.835785586983889</v>
          </cell>
          <cell r="AL111">
            <v>25.228345711455155</v>
          </cell>
          <cell r="AM111">
            <v>24.745927776519434</v>
          </cell>
          <cell r="AN111">
            <v>26.300347786673839</v>
          </cell>
          <cell r="AO111">
            <v>24.83313425557143</v>
          </cell>
          <cell r="AP111">
            <v>23.932623491693697</v>
          </cell>
          <cell r="AQ111">
            <v>23.150566364511146</v>
          </cell>
          <cell r="AR111">
            <v>6.7728409817185051</v>
          </cell>
          <cell r="AS111">
            <v>4.7750637800770956</v>
          </cell>
          <cell r="AT111">
            <v>3.9320132574448268</v>
          </cell>
          <cell r="AU111">
            <v>3.0511119771027491</v>
          </cell>
          <cell r="AV111">
            <v>2.367561777466991</v>
          </cell>
          <cell r="AW111">
            <v>1.8371494760560512</v>
          </cell>
          <cell r="AX111">
            <v>1.4255671085313759</v>
          </cell>
          <cell r="AY111">
            <v>1.1061928315649501</v>
          </cell>
          <cell r="AZ111">
            <v>0.85836897700754566</v>
          </cell>
          <cell r="BA111">
            <v>0.66606587899021241</v>
          </cell>
          <cell r="BB111">
            <v>0.5168450480370802</v>
          </cell>
          <cell r="BC111">
            <v>0.40105462853829371</v>
          </cell>
          <cell r="BD111">
            <v>0.31120510041231775</v>
          </cell>
          <cell r="BE111">
            <v>0.24148484428572908</v>
          </cell>
          <cell r="BF111">
            <v>0.18738423612736738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1.8441383532292621</v>
          </cell>
          <cell r="P112">
            <v>8.4</v>
          </cell>
          <cell r="Q112">
            <v>22.5</v>
          </cell>
          <cell r="R112">
            <v>14.5</v>
          </cell>
          <cell r="S112">
            <v>22.5</v>
          </cell>
          <cell r="T112">
            <v>32.5</v>
          </cell>
          <cell r="U112">
            <v>50.5</v>
          </cell>
          <cell r="V112">
            <v>49.185000000000002</v>
          </cell>
          <cell r="W112">
            <v>64</v>
          </cell>
          <cell r="X112">
            <v>12.968000000000002</v>
          </cell>
          <cell r="Y112">
            <v>47.256999999999998</v>
          </cell>
          <cell r="Z112">
            <v>53.371499999999997</v>
          </cell>
          <cell r="AA112">
            <v>41.334999999999994</v>
          </cell>
          <cell r="AB112">
            <v>36.787500000000001</v>
          </cell>
          <cell r="AC112">
            <v>57.166418897531109</v>
          </cell>
          <cell r="AD112">
            <v>58.881039538933926</v>
          </cell>
          <cell r="AE112">
            <v>43.849605166057344</v>
          </cell>
          <cell r="AF112">
            <v>71.204236258041561</v>
          </cell>
          <cell r="AG112">
            <v>59.420824140423832</v>
          </cell>
          <cell r="AH112">
            <v>50.371259735162212</v>
          </cell>
          <cell r="AI112">
            <v>50.77309836143769</v>
          </cell>
          <cell r="AJ112">
            <v>39.954703323573554</v>
          </cell>
          <cell r="AK112">
            <v>24.082777008376485</v>
          </cell>
          <cell r="AL112">
            <v>23.475912394265759</v>
          </cell>
          <cell r="AM112">
            <v>22.912742142824655</v>
          </cell>
          <cell r="AN112">
            <v>24.141190884797162</v>
          </cell>
          <cell r="AO112">
            <v>22.540884486049215</v>
          </cell>
          <cell r="AP112">
            <v>21.913595753186062</v>
          </cell>
          <cell r="AQ112">
            <v>21.286936344318558</v>
          </cell>
          <cell r="AR112">
            <v>6.2128982165165194</v>
          </cell>
          <cell r="AS112">
            <v>4.371316228965501</v>
          </cell>
          <cell r="AT112">
            <v>3.5970580758835293</v>
          </cell>
          <cell r="AU112">
            <v>2.7911978569457827</v>
          </cell>
          <cell r="AV112">
            <v>2.1658770340273459</v>
          </cell>
          <cell r="AW112">
            <v>1.6806487991718937</v>
          </cell>
          <cell r="AX112">
            <v>1.3041277698511602</v>
          </cell>
          <cell r="AY112">
            <v>1.0119599293647614</v>
          </cell>
          <cell r="AZ112">
            <v>0.78524736786857086</v>
          </cell>
          <cell r="BA112">
            <v>0.60932593361832621</v>
          </cell>
          <cell r="BB112">
            <v>0.4728167308444729</v>
          </cell>
          <cell r="BC112">
            <v>0.36689011353730938</v>
          </cell>
          <cell r="BD112">
            <v>0.28469456901620827</v>
          </cell>
          <cell r="BE112">
            <v>0.22091355050667624</v>
          </cell>
          <cell r="BF112">
            <v>0.17142159390714387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3.0780838689929597</v>
          </cell>
          <cell r="P113">
            <v>4.2</v>
          </cell>
          <cell r="Q113">
            <v>21.594000000000001</v>
          </cell>
          <cell r="R113">
            <v>15</v>
          </cell>
          <cell r="S113">
            <v>23.5</v>
          </cell>
          <cell r="T113">
            <v>35</v>
          </cell>
          <cell r="U113">
            <v>48.5</v>
          </cell>
          <cell r="V113">
            <v>52.045000000000002</v>
          </cell>
          <cell r="W113">
            <v>58</v>
          </cell>
          <cell r="X113">
            <v>12.728000000000002</v>
          </cell>
          <cell r="Y113">
            <v>47.302500000000002</v>
          </cell>
          <cell r="Z113">
            <v>51.572499999999998</v>
          </cell>
          <cell r="AA113">
            <v>40.347999999999999</v>
          </cell>
          <cell r="AB113">
            <v>36.085500000000003</v>
          </cell>
          <cell r="AC113">
            <v>45.526242486599088</v>
          </cell>
          <cell r="AD113">
            <v>40.03881507936002</v>
          </cell>
          <cell r="AE113">
            <v>32.448262970948669</v>
          </cell>
          <cell r="AF113">
            <v>82.466326974637994</v>
          </cell>
          <cell r="AG113">
            <v>55.064699107413823</v>
          </cell>
          <cell r="AH113">
            <v>43.588556696381225</v>
          </cell>
          <cell r="AI113">
            <v>44.545325912901752</v>
          </cell>
          <cell r="AJ113">
            <v>36.604816548916155</v>
          </cell>
          <cell r="AK113">
            <v>23.032145467587995</v>
          </cell>
          <cell r="AL113">
            <v>21.356010696828385</v>
          </cell>
          <cell r="AM113">
            <v>20.747605082288526</v>
          </cell>
          <cell r="AN113">
            <v>22.056582395139539</v>
          </cell>
          <cell r="AO113">
            <v>20.753842587382469</v>
          </cell>
          <cell r="AP113">
            <v>20.190663996260142</v>
          </cell>
          <cell r="AQ113">
            <v>19.459898657969607</v>
          </cell>
          <cell r="AR113">
            <v>5.6852887297793933</v>
          </cell>
          <cell r="AS113">
            <v>4.0093685617378059</v>
          </cell>
          <cell r="AT113">
            <v>3.3028360170267437</v>
          </cell>
          <cell r="AU113">
            <v>2.5628912900729306</v>
          </cell>
          <cell r="AV113">
            <v>1.9887187044316721</v>
          </cell>
          <cell r="AW113">
            <v>1.5431798066018803</v>
          </cell>
          <cell r="AX113">
            <v>1.1974563874705269</v>
          </cell>
          <cell r="AY113">
            <v>0.92918647182887359</v>
          </cell>
          <cell r="AZ113">
            <v>0.7210179080121536</v>
          </cell>
          <cell r="BA113">
            <v>0.5594860013953854</v>
          </cell>
          <cell r="BB113">
            <v>0.43414259518242199</v>
          </cell>
          <cell r="BC113">
            <v>0.33688026596134762</v>
          </cell>
          <cell r="BD113">
            <v>0.26140792185227013</v>
          </cell>
          <cell r="BE113">
            <v>0.20284388404918607</v>
          </cell>
          <cell r="BF113">
            <v>0.15740013158213448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2.25</v>
          </cell>
          <cell r="P114">
            <v>4.55</v>
          </cell>
          <cell r="Q114">
            <v>10.742000000000001</v>
          </cell>
          <cell r="R114">
            <v>13.5</v>
          </cell>
          <cell r="S114">
            <v>25</v>
          </cell>
          <cell r="T114">
            <v>32.5</v>
          </cell>
          <cell r="U114">
            <v>54</v>
          </cell>
          <cell r="V114">
            <v>52.4</v>
          </cell>
          <cell r="W114">
            <v>54</v>
          </cell>
          <cell r="X114">
            <v>11.712000000000002</v>
          </cell>
          <cell r="Y114">
            <v>44.547999999999995</v>
          </cell>
          <cell r="Z114">
            <v>47.564999999999998</v>
          </cell>
          <cell r="AA114">
            <v>40.256999999999998</v>
          </cell>
          <cell r="AB114">
            <v>38.159999999999997</v>
          </cell>
          <cell r="AC114">
            <v>52.622750103950253</v>
          </cell>
          <cell r="AD114">
            <v>56.14870594015045</v>
          </cell>
          <cell r="AE114">
            <v>42.040646131264424</v>
          </cell>
          <cell r="AF114">
            <v>73.324983249021813</v>
          </cell>
          <cell r="AG114">
            <v>62.403255906979275</v>
          </cell>
          <cell r="AH114">
            <v>50.996288182537079</v>
          </cell>
          <cell r="AI114">
            <v>52.322647990601155</v>
          </cell>
          <cell r="AJ114">
            <v>41.790663763271823</v>
          </cell>
          <cell r="AK114">
            <v>25.501585877309967</v>
          </cell>
          <cell r="AL114">
            <v>24.411017142200748</v>
          </cell>
          <cell r="AM114">
            <v>23.761771850209289</v>
          </cell>
          <cell r="AN114">
            <v>25.165025005353822</v>
          </cell>
          <cell r="AO114">
            <v>23.551903236429023</v>
          </cell>
          <cell r="AP114">
            <v>22.89045099830771</v>
          </cell>
          <cell r="AQ114">
            <v>22.174545463880367</v>
          </cell>
          <cell r="AR114">
            <v>6.4746974323470523</v>
          </cell>
          <cell r="AS114">
            <v>4.5602864588957113</v>
          </cell>
          <cell r="AT114">
            <v>3.7530768751798664</v>
          </cell>
          <cell r="AU114">
            <v>2.9122632745877333</v>
          </cell>
          <cell r="AV114">
            <v>2.2598197858939408</v>
          </cell>
          <cell r="AW114">
            <v>1.7535452612678588</v>
          </cell>
          <cell r="AX114">
            <v>1.360693008579259</v>
          </cell>
          <cell r="AY114">
            <v>1.0558526799917347</v>
          </cell>
          <cell r="AZ114">
            <v>0.81930668770742865</v>
          </cell>
          <cell r="BA114">
            <v>0.63575483705489366</v>
          </cell>
          <cell r="BB114">
            <v>0.49332468403214969</v>
          </cell>
          <cell r="BC114">
            <v>0.38280360555779275</v>
          </cell>
          <cell r="BD114">
            <v>0.29704291143578038</v>
          </cell>
          <cell r="BE114">
            <v>0.23049545498840371</v>
          </cell>
          <cell r="BF114">
            <v>0.17885683423149909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8.8824043025948303</v>
          </cell>
          <cell r="U119">
            <v>4.2107719761425146</v>
          </cell>
          <cell r="V119">
            <v>17.020806703633642</v>
          </cell>
          <cell r="W119">
            <v>21.372944646371508</v>
          </cell>
          <cell r="X119">
            <v>12.240490621491988</v>
          </cell>
          <cell r="Y119">
            <v>12.287952426892769</v>
          </cell>
          <cell r="Z119">
            <v>15.250869837712099</v>
          </cell>
          <cell r="AA119">
            <v>26.774014316896825</v>
          </cell>
          <cell r="AB119">
            <v>23.160976922762881</v>
          </cell>
          <cell r="AC119">
            <v>14.749481696811479</v>
          </cell>
          <cell r="AD119">
            <v>50</v>
          </cell>
          <cell r="AE119">
            <v>75</v>
          </cell>
          <cell r="AF119">
            <v>125</v>
          </cell>
          <cell r="AG119">
            <v>100</v>
          </cell>
          <cell r="AH119">
            <v>123.34888153710327</v>
          </cell>
          <cell r="AI119">
            <v>131.2971820842246</v>
          </cell>
          <cell r="AJ119">
            <v>136.38238078680033</v>
          </cell>
          <cell r="AK119">
            <v>130.62962273430745</v>
          </cell>
          <cell r="AL119">
            <v>144.59303847765591</v>
          </cell>
          <cell r="AM119">
            <v>148.40693893478141</v>
          </cell>
          <cell r="AN119">
            <v>158.58096527623385</v>
          </cell>
          <cell r="AO119">
            <v>187.50883421560738</v>
          </cell>
          <cell r="AP119">
            <v>188.96517146286442</v>
          </cell>
          <cell r="AQ119">
            <v>183.18757635030266</v>
          </cell>
          <cell r="AR119">
            <v>203.47160879447657</v>
          </cell>
          <cell r="AS119">
            <v>211.87235438672045</v>
          </cell>
          <cell r="AT119">
            <v>232.26649370591295</v>
          </cell>
          <cell r="AU119">
            <v>240.34686288303652</v>
          </cell>
          <cell r="AV119">
            <v>275.5387087452911</v>
          </cell>
          <cell r="AW119">
            <v>228.66414782228114</v>
          </cell>
          <cell r="AX119">
            <v>236.34180459754108</v>
          </cell>
          <cell r="AY119">
            <v>228.34338825506174</v>
          </cell>
          <cell r="AZ119">
            <v>247.96004342011543</v>
          </cell>
          <cell r="BA119">
            <v>266.57805394247066</v>
          </cell>
          <cell r="BB119">
            <v>270.86294529032875</v>
          </cell>
          <cell r="BC119">
            <v>247.51191814287867</v>
          </cell>
          <cell r="BD119">
            <v>274.71446826888121</v>
          </cell>
          <cell r="BE119">
            <v>260.57365069991096</v>
          </cell>
          <cell r="BF119">
            <v>257.47378395039885</v>
          </cell>
          <cell r="BG119">
            <v>256.62611163112439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5.6983091842514657</v>
          </cell>
          <cell r="U120">
            <v>5.6601069108634032</v>
          </cell>
          <cell r="V120">
            <v>17.337071880346528</v>
          </cell>
          <cell r="W120">
            <v>21.011707926349015</v>
          </cell>
          <cell r="X120">
            <v>11.589664088172265</v>
          </cell>
          <cell r="Y120">
            <v>16.455310517678047</v>
          </cell>
          <cell r="Z120">
            <v>13.716398179201171</v>
          </cell>
          <cell r="AA120">
            <v>29.759923597743516</v>
          </cell>
          <cell r="AB120">
            <v>19.494239609538901</v>
          </cell>
          <cell r="AC120">
            <v>30.311455379446894</v>
          </cell>
          <cell r="AD120">
            <v>50</v>
          </cell>
          <cell r="AE120">
            <v>75</v>
          </cell>
          <cell r="AF120">
            <v>125</v>
          </cell>
          <cell r="AG120">
            <v>75</v>
          </cell>
          <cell r="AH120">
            <v>123.34888153710327</v>
          </cell>
          <cell r="AI120">
            <v>131.2971820842246</v>
          </cell>
          <cell r="AJ120">
            <v>136.38238078680033</v>
          </cell>
          <cell r="AK120">
            <v>133.2751715228103</v>
          </cell>
          <cell r="AL120">
            <v>145.96871899738207</v>
          </cell>
          <cell r="AM120">
            <v>151.24638608664188</v>
          </cell>
          <cell r="AN120">
            <v>162.68382051288688</v>
          </cell>
          <cell r="AO120">
            <v>191.09377392956114</v>
          </cell>
          <cell r="AP120">
            <v>192.70249168557777</v>
          </cell>
          <cell r="AQ120">
            <v>186.85097237297913</v>
          </cell>
          <cell r="AR120">
            <v>197.46327138355346</v>
          </cell>
          <cell r="AS120">
            <v>213.39184027333758</v>
          </cell>
          <cell r="AT120">
            <v>233.38834380062423</v>
          </cell>
          <cell r="AU120">
            <v>240.56282109960057</v>
          </cell>
          <cell r="AV120">
            <v>274.26505617307583</v>
          </cell>
          <cell r="AW120">
            <v>298.90232960772721</v>
          </cell>
          <cell r="AX120">
            <v>258.86920298679024</v>
          </cell>
          <cell r="AY120">
            <v>253.63882137191138</v>
          </cell>
          <cell r="AZ120">
            <v>282.31946383650336</v>
          </cell>
          <cell r="BA120">
            <v>305.73883449521435</v>
          </cell>
          <cell r="BB120">
            <v>302.83321257930459</v>
          </cell>
          <cell r="BC120">
            <v>299.27076713866171</v>
          </cell>
          <cell r="BD120">
            <v>299.45385729316359</v>
          </cell>
          <cell r="BE120">
            <v>299.1865773172014</v>
          </cell>
          <cell r="BF120">
            <v>297.11567256957738</v>
          </cell>
          <cell r="BG120">
            <v>301.99932573507425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8.526341497961873</v>
          </cell>
          <cell r="U121">
            <v>2.4902021323003884</v>
          </cell>
          <cell r="V121">
            <v>20.524799664076969</v>
          </cell>
          <cell r="W121">
            <v>25.386776280576132</v>
          </cell>
          <cell r="X121">
            <v>12.225688376364936</v>
          </cell>
          <cell r="Y121">
            <v>16.3864234754944</v>
          </cell>
          <cell r="Z121">
            <v>15.249892355747313</v>
          </cell>
          <cell r="AA121">
            <v>36.35718709682908</v>
          </cell>
          <cell r="AB121">
            <v>26.33229339117192</v>
          </cell>
          <cell r="AC121">
            <v>30.838368458826825</v>
          </cell>
          <cell r="AD121">
            <v>75</v>
          </cell>
          <cell r="AE121">
            <v>50</v>
          </cell>
          <cell r="AF121">
            <v>125</v>
          </cell>
          <cell r="AG121">
            <v>75</v>
          </cell>
          <cell r="AH121">
            <v>123.34888153710327</v>
          </cell>
          <cell r="AI121">
            <v>131.2971820842246</v>
          </cell>
          <cell r="AJ121">
            <v>136.38238078680033</v>
          </cell>
          <cell r="AK121">
            <v>126.47696475230289</v>
          </cell>
          <cell r="AL121">
            <v>139.26018358953567</v>
          </cell>
          <cell r="AM121">
            <v>140.59146442389357</v>
          </cell>
          <cell r="AN121">
            <v>152.47330169000017</v>
          </cell>
          <cell r="AO121">
            <v>180.06636303335463</v>
          </cell>
          <cell r="AP121">
            <v>181.35003656724183</v>
          </cell>
          <cell r="AQ121">
            <v>175.23227724460455</v>
          </cell>
          <cell r="AR121">
            <v>185.44163551577063</v>
          </cell>
          <cell r="AS121">
            <v>200.61362354425003</v>
          </cell>
          <cell r="AT121">
            <v>213.73391206976993</v>
          </cell>
          <cell r="AU121">
            <v>222.94230699803856</v>
          </cell>
          <cell r="AV121">
            <v>256.28773490553954</v>
          </cell>
          <cell r="AW121">
            <v>212.6628586749668</v>
          </cell>
          <cell r="AX121">
            <v>222.67288091241602</v>
          </cell>
          <cell r="AY121">
            <v>211.18024474526706</v>
          </cell>
          <cell r="AZ121">
            <v>229.38447574191196</v>
          </cell>
          <cell r="BA121">
            <v>243.1536356128131</v>
          </cell>
          <cell r="BB121">
            <v>251.61483062866776</v>
          </cell>
          <cell r="BC121">
            <v>248.2980536049528</v>
          </cell>
          <cell r="BD121">
            <v>244.74203308741426</v>
          </cell>
          <cell r="BE121">
            <v>242.132942987023</v>
          </cell>
          <cell r="BF121">
            <v>239.78520181646854</v>
          </cell>
          <cell r="BG121">
            <v>263.96916587398988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5.7048261151196629</v>
          </cell>
          <cell r="U122">
            <v>1.3473893162576318</v>
          </cell>
          <cell r="V122">
            <v>15.544652565699014</v>
          </cell>
          <cell r="W122">
            <v>16.278741381773653</v>
          </cell>
          <cell r="X122">
            <v>10.347996065878531</v>
          </cell>
          <cell r="Y122">
            <v>11.095852608138969</v>
          </cell>
          <cell r="Z122">
            <v>8.1751122722834051</v>
          </cell>
          <cell r="AA122">
            <v>16.337736352138798</v>
          </cell>
          <cell r="AB122">
            <v>19.971992887716258</v>
          </cell>
          <cell r="AC122">
            <v>20.786729519783734</v>
          </cell>
          <cell r="AD122">
            <v>75</v>
          </cell>
          <cell r="AE122">
            <v>50</v>
          </cell>
          <cell r="AF122">
            <v>100</v>
          </cell>
          <cell r="AG122">
            <v>75</v>
          </cell>
          <cell r="AH122">
            <v>123.34888153710327</v>
          </cell>
          <cell r="AI122">
            <v>131.2971820842246</v>
          </cell>
          <cell r="AJ122">
            <v>136.38238078680033</v>
          </cell>
          <cell r="AK122">
            <v>80.122683202411352</v>
          </cell>
          <cell r="AL122">
            <v>87.345942179266274</v>
          </cell>
          <cell r="AM122">
            <v>91.138320741735626</v>
          </cell>
          <cell r="AN122">
            <v>109.59245982051941</v>
          </cell>
          <cell r="AO122">
            <v>109.00371666103732</v>
          </cell>
          <cell r="AP122">
            <v>106.37263833309977</v>
          </cell>
          <cell r="AQ122">
            <v>112.06821821636801</v>
          </cell>
          <cell r="AR122">
            <v>121.24983879125631</v>
          </cell>
          <cell r="AS122">
            <v>138.05812950296726</v>
          </cell>
          <cell r="AT122">
            <v>137.27219712101501</v>
          </cell>
          <cell r="AU122">
            <v>123.9578199275501</v>
          </cell>
          <cell r="AV122">
            <v>134.80635500726612</v>
          </cell>
          <cell r="AW122">
            <v>132.08469220192174</v>
          </cell>
          <cell r="AX122">
            <v>136.94576856532376</v>
          </cell>
          <cell r="AY122">
            <v>124.18306459172706</v>
          </cell>
          <cell r="AZ122">
            <v>125.04066511894717</v>
          </cell>
          <cell r="BA122">
            <v>133.76072417279278</v>
          </cell>
          <cell r="BB122">
            <v>137.48333485098081</v>
          </cell>
          <cell r="BC122">
            <v>151.00991908449839</v>
          </cell>
          <cell r="BD122">
            <v>142.4648297089374</v>
          </cell>
          <cell r="BE122">
            <v>138.92388921415602</v>
          </cell>
          <cell r="BF122">
            <v>132.0250220077649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2.2584476280938217</v>
          </cell>
          <cell r="U123">
            <v>1.0926792618496848</v>
          </cell>
          <cell r="V123">
            <v>18.124699644732438</v>
          </cell>
          <cell r="W123">
            <v>12.290185080110216</v>
          </cell>
          <cell r="X123">
            <v>6.0695702336788457</v>
          </cell>
          <cell r="Y123">
            <v>12.642915857436659</v>
          </cell>
          <cell r="Z123">
            <v>12.356348911213049</v>
          </cell>
          <cell r="AA123">
            <v>18.428726180386725</v>
          </cell>
          <cell r="AB123">
            <v>16.457847927105902</v>
          </cell>
          <cell r="AC123">
            <v>10.984261722250752</v>
          </cell>
          <cell r="AD123">
            <v>25</v>
          </cell>
          <cell r="AE123">
            <v>50</v>
          </cell>
          <cell r="AF123">
            <v>100</v>
          </cell>
          <cell r="AG123">
            <v>75</v>
          </cell>
          <cell r="AH123">
            <v>123.34888153710327</v>
          </cell>
          <cell r="AI123">
            <v>131.2971820842246</v>
          </cell>
          <cell r="AJ123">
            <v>136.38238078680033</v>
          </cell>
          <cell r="AK123">
            <v>53.902845500355916</v>
          </cell>
          <cell r="AL123">
            <v>63.204468520581422</v>
          </cell>
          <cell r="AM123">
            <v>68.152070322156803</v>
          </cell>
          <cell r="AN123">
            <v>79.52710808033865</v>
          </cell>
          <cell r="AO123">
            <v>78.172134384447887</v>
          </cell>
          <cell r="AP123">
            <v>77.425039017862957</v>
          </cell>
          <cell r="AQ123">
            <v>81.690854334158033</v>
          </cell>
          <cell r="AR123">
            <v>88.00263821821045</v>
          </cell>
          <cell r="AS123">
            <v>100.17949171289139</v>
          </cell>
          <cell r="AT123">
            <v>95.802336837868111</v>
          </cell>
          <cell r="AU123">
            <v>82.23057855153634</v>
          </cell>
          <cell r="AV123">
            <v>87.852146416128292</v>
          </cell>
          <cell r="AW123">
            <v>90.446408510175061</v>
          </cell>
          <cell r="AX123">
            <v>92.281959567686783</v>
          </cell>
          <cell r="AY123">
            <v>89.696553890578457</v>
          </cell>
          <cell r="AZ123">
            <v>77.157939973322428</v>
          </cell>
          <cell r="BA123">
            <v>88.682105705280563</v>
          </cell>
          <cell r="BB123">
            <v>99.282171958738445</v>
          </cell>
          <cell r="BC123">
            <v>109.43428662861541</v>
          </cell>
          <cell r="BD123">
            <v>97.611867807344453</v>
          </cell>
          <cell r="BE123">
            <v>96.002714589611486</v>
          </cell>
          <cell r="BF123">
            <v>86.012734229710063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7.2446281232443672</v>
          </cell>
          <cell r="U124">
            <v>1.817144230058624</v>
          </cell>
          <cell r="V124">
            <v>21.889634705714048</v>
          </cell>
          <cell r="W124">
            <v>14.466580793958567</v>
          </cell>
          <cell r="X124">
            <v>13.454215936751391</v>
          </cell>
          <cell r="Y124">
            <v>9.437768846837276</v>
          </cell>
          <cell r="Z124">
            <v>13.868732142078613</v>
          </cell>
          <cell r="AA124">
            <v>16.022069931110323</v>
          </cell>
          <cell r="AB124">
            <v>20.334809747245913</v>
          </cell>
          <cell r="AC124">
            <v>22.026843396563571</v>
          </cell>
          <cell r="AD124">
            <v>50</v>
          </cell>
          <cell r="AE124">
            <v>100</v>
          </cell>
          <cell r="AF124">
            <v>125</v>
          </cell>
          <cell r="AG124">
            <v>100</v>
          </cell>
          <cell r="AH124">
            <v>123.34888153710327</v>
          </cell>
          <cell r="AI124">
            <v>131.2971820842246</v>
          </cell>
          <cell r="AJ124">
            <v>136.38238078680033</v>
          </cell>
          <cell r="AK124">
            <v>92.474520590908881</v>
          </cell>
          <cell r="AL124">
            <v>104.83858328606671</v>
          </cell>
          <cell r="AM124">
            <v>112.94428724090949</v>
          </cell>
          <cell r="AN124">
            <v>132.53068874969537</v>
          </cell>
          <cell r="AO124">
            <v>130.92071130459072</v>
          </cell>
          <cell r="AP124">
            <v>128.93181590609456</v>
          </cell>
          <cell r="AQ124">
            <v>136.1532458180636</v>
          </cell>
          <cell r="AR124">
            <v>136.68354565296255</v>
          </cell>
          <cell r="AS124">
            <v>164.07255956489215</v>
          </cell>
          <cell r="AT124">
            <v>165.47555730249502</v>
          </cell>
          <cell r="AU124">
            <v>151.29122770047542</v>
          </cell>
          <cell r="AV124">
            <v>147.76659357931052</v>
          </cell>
          <cell r="AW124">
            <v>155.22320815786082</v>
          </cell>
          <cell r="AX124">
            <v>160.38878861442041</v>
          </cell>
          <cell r="AY124">
            <v>173.42431317124726</v>
          </cell>
          <cell r="AZ124">
            <v>179.86651191170981</v>
          </cell>
          <cell r="BA124">
            <v>173.07391802283914</v>
          </cell>
          <cell r="BB124">
            <v>177.93828720982012</v>
          </cell>
          <cell r="BC124">
            <v>197.17161136441598</v>
          </cell>
          <cell r="BD124">
            <v>189.4115308305154</v>
          </cell>
          <cell r="BE124">
            <v>197.71975003673057</v>
          </cell>
          <cell r="BF124">
            <v>198.20196455592051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4.9000883273697333</v>
          </cell>
          <cell r="U125">
            <v>1.5766091162560103</v>
          </cell>
          <cell r="V125">
            <v>19.645369717813068</v>
          </cell>
          <cell r="W125">
            <v>14.246981610368405</v>
          </cell>
          <cell r="X125">
            <v>15.044108625898959</v>
          </cell>
          <cell r="Y125">
            <v>12.15380604820643</v>
          </cell>
          <cell r="Z125">
            <v>15.08306573895581</v>
          </cell>
          <cell r="AA125">
            <v>17.359512774079008</v>
          </cell>
          <cell r="AB125">
            <v>17.836228069729785</v>
          </cell>
          <cell r="AC125">
            <v>22.927611851197486</v>
          </cell>
          <cell r="AD125">
            <v>75</v>
          </cell>
          <cell r="AE125">
            <v>100</v>
          </cell>
          <cell r="AF125">
            <v>150</v>
          </cell>
          <cell r="AG125">
            <v>89.64451920295302</v>
          </cell>
          <cell r="AH125">
            <v>123.34888153710327</v>
          </cell>
          <cell r="AI125">
            <v>131.2971820842246</v>
          </cell>
          <cell r="AJ125">
            <v>136.38238078680033</v>
          </cell>
          <cell r="AK125">
            <v>124.40650210405526</v>
          </cell>
          <cell r="AL125">
            <v>129.73860214524331</v>
          </cell>
          <cell r="AM125">
            <v>139.99300131569976</v>
          </cell>
          <cell r="AN125">
            <v>166.89890450422115</v>
          </cell>
          <cell r="AO125">
            <v>166.21584474581931</v>
          </cell>
          <cell r="AP125">
            <v>161.24188217576568</v>
          </cell>
          <cell r="AQ125">
            <v>170.65639409053472</v>
          </cell>
          <cell r="AR125">
            <v>184.68716855470115</v>
          </cell>
          <cell r="AS125">
            <v>210.29703156302068</v>
          </cell>
          <cell r="AT125">
            <v>216.84178938688339</v>
          </cell>
          <cell r="AU125">
            <v>228.73765281675909</v>
          </cell>
          <cell r="AV125">
            <v>200.23145023822752</v>
          </cell>
          <cell r="AW125">
            <v>210.78722278912821</v>
          </cell>
          <cell r="AX125">
            <v>221.3550540150969</v>
          </cell>
          <cell r="AY125">
            <v>242.58767341728802</v>
          </cell>
          <cell r="AZ125">
            <v>246.96963286255911</v>
          </cell>
          <cell r="BA125">
            <v>238.25723641571932</v>
          </cell>
          <cell r="BB125">
            <v>241.94881791479841</v>
          </cell>
          <cell r="BC125">
            <v>244.00673517212135</v>
          </cell>
          <cell r="BD125">
            <v>252.74252462808195</v>
          </cell>
          <cell r="BE125">
            <v>261.97796433520938</v>
          </cell>
          <cell r="BF125">
            <v>275.49420985499592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5.1706518324601261</v>
          </cell>
          <cell r="U126">
            <v>1.4886983059054109</v>
          </cell>
          <cell r="V126">
            <v>23.802788172265959</v>
          </cell>
          <cell r="W126">
            <v>14.458705541381773</v>
          </cell>
          <cell r="X126">
            <v>14.661797360592907</v>
          </cell>
          <cell r="Y126">
            <v>14.631883320087802</v>
          </cell>
          <cell r="Z126">
            <v>12.515748830597143</v>
          </cell>
          <cell r="AA126">
            <v>18.019406026799928</v>
          </cell>
          <cell r="AB126">
            <v>20.441525388150914</v>
          </cell>
          <cell r="AC126">
            <v>22.214094747103474</v>
          </cell>
          <cell r="AD126">
            <v>75</v>
          </cell>
          <cell r="AE126">
            <v>100</v>
          </cell>
          <cell r="AF126">
            <v>100</v>
          </cell>
          <cell r="AG126">
            <v>104.95725218879051</v>
          </cell>
          <cell r="AH126">
            <v>123.34888153710327</v>
          </cell>
          <cell r="AI126">
            <v>131.2971820842246</v>
          </cell>
          <cell r="AJ126">
            <v>136.38238078680033</v>
          </cell>
          <cell r="AK126">
            <v>111.59105840248056</v>
          </cell>
          <cell r="AL126">
            <v>116.59605149057018</v>
          </cell>
          <cell r="AM126">
            <v>126.14395813183528</v>
          </cell>
          <cell r="AN126">
            <v>150.40994511343038</v>
          </cell>
          <cell r="AO126">
            <v>149.40513301673985</v>
          </cell>
          <cell r="AP126">
            <v>145.0873847400776</v>
          </cell>
          <cell r="AQ126">
            <v>153.64426009205712</v>
          </cell>
          <cell r="AR126">
            <v>166.23997608867617</v>
          </cell>
          <cell r="AS126">
            <v>189.24360209919743</v>
          </cell>
          <cell r="AT126">
            <v>198.64900525650015</v>
          </cell>
          <cell r="AU126">
            <v>206.7559066771345</v>
          </cell>
          <cell r="AV126">
            <v>181.1642052828756</v>
          </cell>
          <cell r="AW126">
            <v>190.97114725263714</v>
          </cell>
          <cell r="AX126">
            <v>200.89668803179677</v>
          </cell>
          <cell r="AY126">
            <v>219.67285680346257</v>
          </cell>
          <cell r="AZ126">
            <v>223.74867724201442</v>
          </cell>
          <cell r="BA126">
            <v>217.26943169982562</v>
          </cell>
          <cell r="BB126">
            <v>220.53987878409768</v>
          </cell>
          <cell r="BC126">
            <v>221.73916192402731</v>
          </cell>
          <cell r="BD126">
            <v>229.87972583444667</v>
          </cell>
          <cell r="BE126">
            <v>238.51322570144382</v>
          </cell>
          <cell r="BF126">
            <v>250.72408322993206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4.7463244849662853</v>
          </cell>
          <cell r="U127">
            <v>2.4633428912315978</v>
          </cell>
          <cell r="V127">
            <v>22.926322567193292</v>
          </cell>
          <cell r="W127">
            <v>13.027718256964997</v>
          </cell>
          <cell r="X127">
            <v>13.349963567805368</v>
          </cell>
          <cell r="Y127">
            <v>10.600011860521741</v>
          </cell>
          <cell r="Z127">
            <v>6.7118682947690012</v>
          </cell>
          <cell r="AA127">
            <v>18.18406131259362</v>
          </cell>
          <cell r="AB127">
            <v>25.947027650329339</v>
          </cell>
          <cell r="AC127">
            <v>25.939171000907059</v>
          </cell>
          <cell r="AD127">
            <v>100</v>
          </cell>
          <cell r="AE127">
            <v>100</v>
          </cell>
          <cell r="AF127">
            <v>125</v>
          </cell>
          <cell r="AG127">
            <v>110.41494070833262</v>
          </cell>
          <cell r="AH127">
            <v>123.34888153710327</v>
          </cell>
          <cell r="AI127">
            <v>131.2971820842246</v>
          </cell>
          <cell r="AJ127">
            <v>136.38238078680033</v>
          </cell>
          <cell r="AK127">
            <v>131.52265697908527</v>
          </cell>
          <cell r="AL127">
            <v>136.67170431645829</v>
          </cell>
          <cell r="AM127">
            <v>145.73029490303603</v>
          </cell>
          <cell r="AN127">
            <v>174.34543276226202</v>
          </cell>
          <cell r="AO127">
            <v>174.29176167682152</v>
          </cell>
          <cell r="AP127">
            <v>168.9679598756185</v>
          </cell>
          <cell r="AQ127">
            <v>178.53259084835807</v>
          </cell>
          <cell r="AR127">
            <v>193.23549579713827</v>
          </cell>
          <cell r="AS127">
            <v>219.99338889417893</v>
          </cell>
          <cell r="AT127">
            <v>232.44143784666437</v>
          </cell>
          <cell r="AU127">
            <v>240.7862707249692</v>
          </cell>
          <cell r="AV127">
            <v>211.41401702073534</v>
          </cell>
          <cell r="AW127">
            <v>222.85853117445075</v>
          </cell>
          <cell r="AX127">
            <v>234.56121033034168</v>
          </cell>
          <cell r="AY127">
            <v>256.24108353210539</v>
          </cell>
          <cell r="AZ127">
            <v>261.06780548492014</v>
          </cell>
          <cell r="BA127">
            <v>254.38363472310607</v>
          </cell>
          <cell r="BB127">
            <v>256.01664581422813</v>
          </cell>
          <cell r="BC127">
            <v>258.52035581287896</v>
          </cell>
          <cell r="BD127">
            <v>267.98816997437649</v>
          </cell>
          <cell r="BE127">
            <v>277.99756159966807</v>
          </cell>
          <cell r="BF127">
            <v>291.81765329552769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8.8148835398873828</v>
          </cell>
          <cell r="U128">
            <v>17.485459870750717</v>
          </cell>
          <cell r="V128">
            <v>19.423424488093847</v>
          </cell>
          <cell r="W128">
            <v>14.125381814470867</v>
          </cell>
          <cell r="X128">
            <v>11.564335367655078</v>
          </cell>
          <cell r="Y128">
            <v>11.661999381981659</v>
          </cell>
          <cell r="Z128">
            <v>0</v>
          </cell>
          <cell r="AA128">
            <v>21.004284544581896</v>
          </cell>
          <cell r="AB128">
            <v>19.651205010697758</v>
          </cell>
          <cell r="AC128">
            <v>41.370437561614104</v>
          </cell>
          <cell r="AD128">
            <v>75</v>
          </cell>
          <cell r="AE128">
            <v>100</v>
          </cell>
          <cell r="AF128">
            <v>125</v>
          </cell>
          <cell r="AG128">
            <v>113.22206283943144</v>
          </cell>
          <cell r="AH128">
            <v>123.34888153710327</v>
          </cell>
          <cell r="AI128">
            <v>131.2971820842246</v>
          </cell>
          <cell r="AJ128">
            <v>136.38238078680033</v>
          </cell>
          <cell r="AK128">
            <v>130.39821382023618</v>
          </cell>
          <cell r="AL128">
            <v>132.84480197670743</v>
          </cell>
          <cell r="AM128">
            <v>143.05691875102127</v>
          </cell>
          <cell r="AN128">
            <v>171.13241068402502</v>
          </cell>
          <cell r="AO128">
            <v>171.26691845627872</v>
          </cell>
          <cell r="AP128">
            <v>165.52836579913716</v>
          </cell>
          <cell r="AQ128">
            <v>175.08958240156551</v>
          </cell>
          <cell r="AR128">
            <v>214.59036914085442</v>
          </cell>
          <cell r="AS128">
            <v>223.06681052364573</v>
          </cell>
          <cell r="AT128">
            <v>237.74698424527031</v>
          </cell>
          <cell r="AU128">
            <v>248.48197121614882</v>
          </cell>
          <cell r="AV128">
            <v>220.70167665444521</v>
          </cell>
          <cell r="AW128">
            <v>229.02267179397265</v>
          </cell>
          <cell r="AX128">
            <v>241.94467681675184</v>
          </cell>
          <cell r="AY128">
            <v>264.9100108219983</v>
          </cell>
          <cell r="AZ128">
            <v>269.0303856534432</v>
          </cell>
          <cell r="BA128">
            <v>267.38216605544113</v>
          </cell>
          <cell r="BB128">
            <v>254.9622723452722</v>
          </cell>
          <cell r="BC128">
            <v>265.64955456579634</v>
          </cell>
          <cell r="BD128">
            <v>274.9540260179964</v>
          </cell>
          <cell r="BE128">
            <v>284.90769719415738</v>
          </cell>
          <cell r="BF128">
            <v>297.27048192876072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6.5408812051064924</v>
          </cell>
          <cell r="U129">
            <v>13.689587867155181</v>
          </cell>
          <cell r="V129">
            <v>2.3938217756891342</v>
          </cell>
          <cell r="W129">
            <v>13.759508357995713</v>
          </cell>
          <cell r="X129">
            <v>14.73196681424667</v>
          </cell>
          <cell r="Y129">
            <v>14.781136458457897</v>
          </cell>
          <cell r="Z129">
            <v>8.9285023063293796</v>
          </cell>
          <cell r="AA129">
            <v>13.011531063375138</v>
          </cell>
          <cell r="AB129">
            <v>16.292568265441115</v>
          </cell>
          <cell r="AC129">
            <v>45.632908645469719</v>
          </cell>
          <cell r="AD129">
            <v>75</v>
          </cell>
          <cell r="AE129">
            <v>150</v>
          </cell>
          <cell r="AF129">
            <v>125</v>
          </cell>
          <cell r="AG129">
            <v>90.835665531798995</v>
          </cell>
          <cell r="AH129">
            <v>123.34888153710327</v>
          </cell>
          <cell r="AI129">
            <v>131.2971820842246</v>
          </cell>
          <cell r="AJ129">
            <v>136.38238078680033</v>
          </cell>
          <cell r="AK129">
            <v>138.33662070584177</v>
          </cell>
          <cell r="AL129">
            <v>143.54554356342723</v>
          </cell>
          <cell r="AM129">
            <v>155.25596233107979</v>
          </cell>
          <cell r="AN129">
            <v>184.34922903811037</v>
          </cell>
          <cell r="AO129">
            <v>184.11537196614816</v>
          </cell>
          <cell r="AP129">
            <v>178.67896933702406</v>
          </cell>
          <cell r="AQ129">
            <v>189.21660225613144</v>
          </cell>
          <cell r="AR129">
            <v>229.29388322192924</v>
          </cell>
          <cell r="AS129">
            <v>234.59665509701389</v>
          </cell>
          <cell r="AT129">
            <v>264.69525488733547</v>
          </cell>
          <cell r="AU129">
            <v>267.96939831539214</v>
          </cell>
          <cell r="AV129">
            <v>238.45006818056498</v>
          </cell>
          <cell r="AW129">
            <v>247.80403927478514</v>
          </cell>
          <cell r="AX129">
            <v>263.44312954863284</v>
          </cell>
          <cell r="AY129">
            <v>286.70517728102033</v>
          </cell>
          <cell r="AZ129">
            <v>292.46969964915809</v>
          </cell>
          <cell r="BA129">
            <v>290.14334745444359</v>
          </cell>
          <cell r="BB129">
            <v>277.05174458078909</v>
          </cell>
          <cell r="BC129">
            <v>288.20888590138367</v>
          </cell>
          <cell r="BD129">
            <v>298.50322670723767</v>
          </cell>
          <cell r="BE129">
            <v>309.21442611132869</v>
          </cell>
          <cell r="BF129">
            <v>322.50061686853155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4.1559170348885024</v>
          </cell>
          <cell r="U130">
            <v>15.041891060161495</v>
          </cell>
          <cell r="V130">
            <v>8.1976276281633229</v>
          </cell>
          <cell r="W130">
            <v>12.652139687723238</v>
          </cell>
          <cell r="X130">
            <v>11.562221123826664</v>
          </cell>
          <cell r="Y130">
            <v>13.155361685915388</v>
          </cell>
          <cell r="Z130">
            <v>19.946238833301759</v>
          </cell>
          <cell r="AA130">
            <v>18.387751066499593</v>
          </cell>
          <cell r="AB130">
            <v>16.849121823783744</v>
          </cell>
          <cell r="AC130">
            <v>13.049667802948235</v>
          </cell>
          <cell r="AD130">
            <v>75</v>
          </cell>
          <cell r="AE130">
            <v>150</v>
          </cell>
          <cell r="AF130">
            <v>100</v>
          </cell>
          <cell r="AG130">
            <v>123.34888153710327</v>
          </cell>
          <cell r="AH130">
            <v>123.34888153710327</v>
          </cell>
          <cell r="AI130">
            <v>131.2971820842246</v>
          </cell>
          <cell r="AJ130">
            <v>136.38238078680033</v>
          </cell>
          <cell r="AK130">
            <v>119.1249976558982</v>
          </cell>
          <cell r="AL130">
            <v>125.95692890807793</v>
          </cell>
          <cell r="AM130">
            <v>135.17911565067729</v>
          </cell>
          <cell r="AN130">
            <v>159.93637730661575</v>
          </cell>
          <cell r="AO130">
            <v>160.18857400179684</v>
          </cell>
          <cell r="AP130">
            <v>155.59109866182126</v>
          </cell>
          <cell r="AQ130">
            <v>164.49498403282655</v>
          </cell>
          <cell r="AR130">
            <v>202.66863218071276</v>
          </cell>
          <cell r="AS130">
            <v>209.50190730629885</v>
          </cell>
          <cell r="AT130">
            <v>232.90519040299799</v>
          </cell>
          <cell r="AU130">
            <v>236.18688370924244</v>
          </cell>
          <cell r="AV130">
            <v>210.69128047648047</v>
          </cell>
          <cell r="AW130">
            <v>219.06551809340755</v>
          </cell>
          <cell r="AX130">
            <v>232.37443794634055</v>
          </cell>
          <cell r="AY130">
            <v>253.10426261401147</v>
          </cell>
          <cell r="AZ130">
            <v>258.30741310909622</v>
          </cell>
          <cell r="BA130">
            <v>256.1985627522721</v>
          </cell>
          <cell r="BB130">
            <v>240.50488619157829</v>
          </cell>
          <cell r="BC130">
            <v>253.44664442022813</v>
          </cell>
          <cell r="BD130">
            <v>262.23779072607607</v>
          </cell>
          <cell r="BE130">
            <v>271.28190226602044</v>
          </cell>
          <cell r="BF130">
            <v>282.52976598535145</v>
          </cell>
        </row>
        <row r="135"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</row>
        <row r="136"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</row>
        <row r="137"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</row>
        <row r="138"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</row>
        <row r="139"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</row>
        <row r="140"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</row>
        <row r="141"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</row>
        <row r="143"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</row>
        <row r="144"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</row>
        <row r="145"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</row>
        <row r="146"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</row>
        <row r="151">
          <cell r="Z151">
            <v>9.7801350872666379E-2</v>
          </cell>
          <cell r="AA151">
            <v>0.16892761537119866</v>
          </cell>
          <cell r="AB151">
            <v>0.16892761537119866</v>
          </cell>
          <cell r="AC151">
            <v>0.10427701672987416</v>
          </cell>
          <cell r="AD151">
            <v>0.10294032555981057</v>
          </cell>
          <cell r="AE151">
            <v>0.28575871924444529</v>
          </cell>
          <cell r="AF151">
            <v>1.1280152766948717</v>
          </cell>
          <cell r="AG151">
            <v>3.2345228438766171</v>
          </cell>
          <cell r="AH151">
            <v>11.465552061284942</v>
          </cell>
          <cell r="AI151">
            <v>31.629475417555931</v>
          </cell>
          <cell r="AJ151">
            <v>80.727115143629007</v>
          </cell>
          <cell r="AK151">
            <v>100.16490980572851</v>
          </cell>
          <cell r="AL151">
            <v>141.54649757752281</v>
          </cell>
          <cell r="AM151">
            <v>187.68233677055562</v>
          </cell>
          <cell r="AN151">
            <v>214.81145315343338</v>
          </cell>
          <cell r="AO151">
            <v>268.28639654016507</v>
          </cell>
          <cell r="AP151">
            <v>283.85871479239023</v>
          </cell>
          <cell r="AQ151">
            <v>291.89473431694557</v>
          </cell>
          <cell r="AR151">
            <v>370.33593130628378</v>
          </cell>
          <cell r="AS151">
            <v>275.93745713931389</v>
          </cell>
          <cell r="AT151">
            <v>263.15019528075192</v>
          </cell>
          <cell r="AU151">
            <v>277.29695619799338</v>
          </cell>
          <cell r="AV151">
            <v>316.00684841054129</v>
          </cell>
          <cell r="AW151">
            <v>296.44926453509953</v>
          </cell>
          <cell r="AX151">
            <v>302.08713430075875</v>
          </cell>
          <cell r="AY151">
            <v>285.05566137765192</v>
          </cell>
          <cell r="AZ151">
            <v>281.39565893479102</v>
          </cell>
          <cell r="BA151">
            <v>310.66427734403459</v>
          </cell>
          <cell r="BB151">
            <v>306.90407457614032</v>
          </cell>
          <cell r="BC151">
            <v>305.65858809126274</v>
          </cell>
          <cell r="BD151">
            <v>335.21670037073284</v>
          </cell>
          <cell r="BE151">
            <v>304.79848009383704</v>
          </cell>
          <cell r="BF151">
            <v>303.73742358492575</v>
          </cell>
          <cell r="BG151">
            <v>311.66451577071643</v>
          </cell>
        </row>
        <row r="152">
          <cell r="Z152">
            <v>4.1762220474374397E-2</v>
          </cell>
          <cell r="AA152">
            <v>0.12280551365552017</v>
          </cell>
          <cell r="AB152">
            <v>4.420144354778803E-2</v>
          </cell>
          <cell r="AC152">
            <v>0.13169711160666761</v>
          </cell>
          <cell r="AD152">
            <v>0.21250191205515812</v>
          </cell>
          <cell r="AE152">
            <v>0.1269497402674665</v>
          </cell>
          <cell r="AF152">
            <v>0</v>
          </cell>
          <cell r="AG152">
            <v>0</v>
          </cell>
          <cell r="AH152">
            <v>9.0670541645236273</v>
          </cell>
          <cell r="AI152">
            <v>21.729151368461039</v>
          </cell>
          <cell r="AJ152">
            <v>59.41103228114887</v>
          </cell>
          <cell r="AK152">
            <v>70.725156789942972</v>
          </cell>
          <cell r="AL152">
            <v>98.725625205340251</v>
          </cell>
          <cell r="AM152">
            <v>133.77029868995936</v>
          </cell>
          <cell r="AN152">
            <v>153.44203943111958</v>
          </cell>
          <cell r="AO152">
            <v>190.23862610120148</v>
          </cell>
          <cell r="AP152">
            <v>201.34220844922308</v>
          </cell>
          <cell r="AQ152">
            <v>207.32853348748213</v>
          </cell>
          <cell r="AR152">
            <v>250.51756119871723</v>
          </cell>
          <cell r="AS152">
            <v>193.40599464233071</v>
          </cell>
          <cell r="AT152">
            <v>183.96795176540795</v>
          </cell>
          <cell r="AU152">
            <v>193.14236592944889</v>
          </cell>
          <cell r="AV152">
            <v>209.0581873642015</v>
          </cell>
          <cell r="AW152">
            <v>270.09362830773006</v>
          </cell>
          <cell r="AX152">
            <v>230.5316061783914</v>
          </cell>
          <cell r="AY152">
            <v>210.5964019264446</v>
          </cell>
          <cell r="AZ152">
            <v>221.14298647047096</v>
          </cell>
          <cell r="BA152">
            <v>248.2435690784838</v>
          </cell>
          <cell r="BB152">
            <v>234.6482220534696</v>
          </cell>
          <cell r="BC152">
            <v>253.62140297454448</v>
          </cell>
          <cell r="BD152">
            <v>247.34858132902662</v>
          </cell>
          <cell r="BE152">
            <v>252.81204444284964</v>
          </cell>
          <cell r="BF152">
            <v>241.24838890523284</v>
          </cell>
          <cell r="BG152">
            <v>255.47493234939554</v>
          </cell>
        </row>
        <row r="153">
          <cell r="Z153">
            <v>0.12189212213401737</v>
          </cell>
          <cell r="AA153">
            <v>0.21882390735604623</v>
          </cell>
          <cell r="AB153">
            <v>6.6578742492441723E-2</v>
          </cell>
          <cell r="AC153">
            <v>0.12030372116911527</v>
          </cell>
          <cell r="AD153">
            <v>0.19152978681375291</v>
          </cell>
          <cell r="AE153">
            <v>8.4169249005550908E-2</v>
          </cell>
          <cell r="AF153">
            <v>5.2510052987586014E-2</v>
          </cell>
          <cell r="AG153">
            <v>1.1135913972082334</v>
          </cell>
          <cell r="AH153">
            <v>7.0971353650999527</v>
          </cell>
          <cell r="AI153">
            <v>15.741837091441441</v>
          </cell>
          <cell r="AJ153">
            <v>43.64420393691455</v>
          </cell>
          <cell r="AK153">
            <v>53.598462334704315</v>
          </cell>
          <cell r="AL153">
            <v>75.4547497517853</v>
          </cell>
          <cell r="AM153">
            <v>99.535789647768837</v>
          </cell>
          <cell r="AN153">
            <v>114.95434123261407</v>
          </cell>
          <cell r="AO153">
            <v>143.37110929488387</v>
          </cell>
          <cell r="AP153">
            <v>151.5204107501711</v>
          </cell>
          <cell r="AQ153">
            <v>155.56558311218541</v>
          </cell>
          <cell r="AR153">
            <v>171.11092237416051</v>
          </cell>
          <cell r="AS153">
            <v>145.40599609442197</v>
          </cell>
          <cell r="AT153">
            <v>134.72642968816322</v>
          </cell>
          <cell r="AU153">
            <v>143.13816140004002</v>
          </cell>
          <cell r="AV153">
            <v>163.73158967388079</v>
          </cell>
          <cell r="AW153">
            <v>153.75174018425483</v>
          </cell>
          <cell r="AX153">
            <v>158.63311010346214</v>
          </cell>
          <cell r="AY153">
            <v>146.93052844551326</v>
          </cell>
          <cell r="AZ153">
            <v>140.23589045703272</v>
          </cell>
          <cell r="BA153">
            <v>157.93728100159888</v>
          </cell>
          <cell r="BB153">
            <v>149.25904258461833</v>
          </cell>
          <cell r="BC153">
            <v>159.94801106269372</v>
          </cell>
          <cell r="BD153">
            <v>151.32953796092997</v>
          </cell>
          <cell r="BE153">
            <v>158.3837563641799</v>
          </cell>
          <cell r="BF153">
            <v>150.43385899523119</v>
          </cell>
          <cell r="BG153">
            <v>178.61851480628999</v>
          </cell>
        </row>
        <row r="154">
          <cell r="Z154">
            <v>8.4614569534010226E-2</v>
          </cell>
          <cell r="AA154">
            <v>9.4356204636204921E-2</v>
          </cell>
          <cell r="AB154">
            <v>2.1931662614175115E-2</v>
          </cell>
          <cell r="AC154">
            <v>0.14357375945947565</v>
          </cell>
          <cell r="AD154">
            <v>0.34301648639447607</v>
          </cell>
          <cell r="AE154">
            <v>8.0705951587173322E-2</v>
          </cell>
          <cell r="AF154">
            <v>0.36743045721726447</v>
          </cell>
          <cell r="AG154">
            <v>4.2609336465469871</v>
          </cell>
          <cell r="AH154">
            <v>13.18880930180595</v>
          </cell>
          <cell r="AI154">
            <v>29.917055099761967</v>
          </cell>
          <cell r="AJ154">
            <v>40.57490473130683</v>
          </cell>
          <cell r="AK154">
            <v>53.708862577231507</v>
          </cell>
          <cell r="AL154">
            <v>75.758119742028143</v>
          </cell>
          <cell r="AM154">
            <v>83.326431661049995</v>
          </cell>
          <cell r="AN154">
            <v>105.20961044397551</v>
          </cell>
          <cell r="AO154">
            <v>110.00777727945768</v>
          </cell>
          <cell r="AP154">
            <v>120.25355581234157</v>
          </cell>
          <cell r="AQ154">
            <v>118.67215015750044</v>
          </cell>
          <cell r="AR154">
            <v>106.45754640820215</v>
          </cell>
          <cell r="AS154">
            <v>115.92975959567562</v>
          </cell>
          <cell r="AT154">
            <v>106.68115189459905</v>
          </cell>
          <cell r="AU154">
            <v>95.652917414251647</v>
          </cell>
          <cell r="AV154">
            <v>117.39506930397309</v>
          </cell>
          <cell r="AW154">
            <v>113.40884524590113</v>
          </cell>
          <cell r="AX154">
            <v>114.85313609793687</v>
          </cell>
          <cell r="AY154">
            <v>98.058790577024993</v>
          </cell>
          <cell r="AZ154">
            <v>87.910825098284121</v>
          </cell>
          <cell r="BA154">
            <v>98.460874529972358</v>
          </cell>
          <cell r="BB154">
            <v>103.35018045201014</v>
          </cell>
          <cell r="BC154">
            <v>109.89579888066535</v>
          </cell>
          <cell r="BD154">
            <v>92.993570689463539</v>
          </cell>
          <cell r="BE154">
            <v>90.557169585378432</v>
          </cell>
          <cell r="BF154">
            <v>92.764232415142956</v>
          </cell>
        </row>
        <row r="155">
          <cell r="Z155">
            <v>0.14413680154326911</v>
          </cell>
          <cell r="AA155">
            <v>9.0952438964156446E-2</v>
          </cell>
          <cell r="AB155">
            <v>0</v>
          </cell>
          <cell r="AC155">
            <v>6.889633932638714E-2</v>
          </cell>
          <cell r="AD155">
            <v>0.32153966158098868</v>
          </cell>
          <cell r="AE155">
            <v>1.2252135984706538</v>
          </cell>
          <cell r="AF155">
            <v>0.55294935771417408</v>
          </cell>
          <cell r="AG155">
            <v>0.54275266630755248</v>
          </cell>
          <cell r="AH155">
            <v>14.156896373172625</v>
          </cell>
          <cell r="AI155">
            <v>40.192821648931265</v>
          </cell>
          <cell r="AJ155">
            <v>50.685667199707375</v>
          </cell>
          <cell r="AK155">
            <v>56.880705398447361</v>
          </cell>
          <cell r="AL155">
            <v>86.732052269056652</v>
          </cell>
          <cell r="AM155">
            <v>100.10725580371903</v>
          </cell>
          <cell r="AN155">
            <v>123.29792157072991</v>
          </cell>
          <cell r="AO155">
            <v>127.40444868418062</v>
          </cell>
          <cell r="AP155">
            <v>141.02311217421348</v>
          </cell>
          <cell r="AQ155">
            <v>139.4548885523071</v>
          </cell>
          <cell r="AR155">
            <v>124.26745023797054</v>
          </cell>
          <cell r="AS155">
            <v>135.37986602870677</v>
          </cell>
          <cell r="AT155">
            <v>119.93237596101396</v>
          </cell>
          <cell r="AU155">
            <v>102.40697106532335</v>
          </cell>
          <cell r="AV155">
            <v>123.74509156659866</v>
          </cell>
          <cell r="AW155">
            <v>125.58090708057007</v>
          </cell>
          <cell r="AX155">
            <v>125.1401537394711</v>
          </cell>
          <cell r="AY155">
            <v>114.50512455320502</v>
          </cell>
          <cell r="AZ155">
            <v>97.679278595694939</v>
          </cell>
          <cell r="BA155">
            <v>106.26798626322656</v>
          </cell>
          <cell r="BB155">
            <v>124.10331085279083</v>
          </cell>
          <cell r="BC155">
            <v>133.03560000345064</v>
          </cell>
          <cell r="BD155">
            <v>106.23660012206628</v>
          </cell>
          <cell r="BE155">
            <v>99.098305107453314</v>
          </cell>
          <cell r="BF155">
            <v>98.457995650431201</v>
          </cell>
        </row>
        <row r="156">
          <cell r="Z156">
            <v>6.2858025480158911E-2</v>
          </cell>
          <cell r="AA156">
            <v>8.9173715669647699E-2</v>
          </cell>
          <cell r="AB156">
            <v>0.13614383971210442</v>
          </cell>
          <cell r="AC156">
            <v>0.11477508844649882</v>
          </cell>
          <cell r="AD156">
            <v>0.43750211767475772</v>
          </cell>
          <cell r="AE156">
            <v>0.59987705124408441</v>
          </cell>
          <cell r="AF156">
            <v>0.9541400609911318</v>
          </cell>
          <cell r="AG156">
            <v>4.3896811828724625</v>
          </cell>
          <cell r="AH156">
            <v>9.0918163406496966</v>
          </cell>
          <cell r="AI156">
            <v>24.873763903245798</v>
          </cell>
          <cell r="AJ156">
            <v>31.099822677451314</v>
          </cell>
          <cell r="AK156">
            <v>37.963844597407387</v>
          </cell>
          <cell r="AL156">
            <v>65.271856967821691</v>
          </cell>
          <cell r="AM156">
            <v>63.260960597940212</v>
          </cell>
          <cell r="AN156">
            <v>77.952477532925229</v>
          </cell>
          <cell r="AO156">
            <v>80.992424867568474</v>
          </cell>
          <cell r="AP156">
            <v>89.238483649169083</v>
          </cell>
          <cell r="AQ156">
            <v>88.228528806933994</v>
          </cell>
          <cell r="AR156">
            <v>83.495728808195295</v>
          </cell>
          <cell r="AS156">
            <v>84.40058131469263</v>
          </cell>
          <cell r="AT156">
            <v>78.791857057403064</v>
          </cell>
          <cell r="AU156">
            <v>71.506662846122495</v>
          </cell>
          <cell r="AV156">
            <v>78.780183222124677</v>
          </cell>
          <cell r="AW156">
            <v>81.623244884892429</v>
          </cell>
          <cell r="AX156">
            <v>82.382511187681942</v>
          </cell>
          <cell r="AY156">
            <v>83.869965330712006</v>
          </cell>
          <cell r="AZ156">
            <v>86.255202095509389</v>
          </cell>
          <cell r="BA156">
            <v>75.946614560474941</v>
          </cell>
          <cell r="BB156">
            <v>77.753633260000143</v>
          </cell>
          <cell r="BC156">
            <v>82.874511511249437</v>
          </cell>
          <cell r="BD156">
            <v>70.151414500764801</v>
          </cell>
          <cell r="BE156">
            <v>70.726948366159775</v>
          </cell>
          <cell r="BF156">
            <v>84.097837261441057</v>
          </cell>
        </row>
        <row r="157">
          <cell r="Z157">
            <v>0.11181933400620157</v>
          </cell>
          <cell r="AA157">
            <v>0.11924815000457538</v>
          </cell>
          <cell r="AB157">
            <v>0.59845482178249021</v>
          </cell>
          <cell r="AC157">
            <v>0.14046728911211664</v>
          </cell>
          <cell r="AD157">
            <v>0.30297113212137133</v>
          </cell>
          <cell r="AE157">
            <v>0.53744664556931587</v>
          </cell>
          <cell r="AF157">
            <v>0.91630703164302041</v>
          </cell>
          <cell r="AG157">
            <v>4.2715247134771266</v>
          </cell>
          <cell r="AH157">
            <v>18.542925656432757</v>
          </cell>
          <cell r="AI157">
            <v>48.310035658519794</v>
          </cell>
          <cell r="AJ157">
            <v>63.849127020443952</v>
          </cell>
          <cell r="AK157">
            <v>84.463215003907166</v>
          </cell>
          <cell r="AL157">
            <v>114.12325688707324</v>
          </cell>
          <cell r="AM157">
            <v>130.84529389521319</v>
          </cell>
          <cell r="AN157">
            <v>164.06770093583589</v>
          </cell>
          <cell r="AO157">
            <v>171.92719799594559</v>
          </cell>
          <cell r="AP157">
            <v>186.58986318308646</v>
          </cell>
          <cell r="AQ157">
            <v>185.05334389752525</v>
          </cell>
          <cell r="AR157">
            <v>165.79093499820451</v>
          </cell>
          <cell r="AS157">
            <v>180.55814136845387</v>
          </cell>
          <cell r="AT157">
            <v>172.39365514352062</v>
          </cell>
          <cell r="AU157">
            <v>180.77869142638968</v>
          </cell>
          <cell r="AV157">
            <v>178.89002554209313</v>
          </cell>
          <cell r="AW157">
            <v>185.60759334402508</v>
          </cell>
          <cell r="AX157">
            <v>190.3720214609836</v>
          </cell>
          <cell r="AY157">
            <v>196.41406179346774</v>
          </cell>
          <cell r="AZ157">
            <v>198.29757094236865</v>
          </cell>
          <cell r="BA157">
            <v>188.11262299409165</v>
          </cell>
          <cell r="BB157">
            <v>202.70909202751568</v>
          </cell>
          <cell r="BC157">
            <v>198.48799084782354</v>
          </cell>
          <cell r="BD157">
            <v>193.72833231306097</v>
          </cell>
          <cell r="BE157">
            <v>193.43563422261283</v>
          </cell>
          <cell r="BF157">
            <v>215.49112022876201</v>
          </cell>
        </row>
        <row r="158">
          <cell r="Z158">
            <v>3.7998557278747798E-2</v>
          </cell>
          <cell r="AA158">
            <v>0.12327827449278775</v>
          </cell>
          <cell r="AB158">
            <v>0</v>
          </cell>
          <cell r="AC158">
            <v>0.10990332622242936</v>
          </cell>
          <cell r="AD158">
            <v>0.12788692562439499</v>
          </cell>
          <cell r="AE158">
            <v>0.36451868407718696</v>
          </cell>
          <cell r="AF158">
            <v>1.0429168145326915</v>
          </cell>
          <cell r="AG158">
            <v>8.3241491278578188</v>
          </cell>
          <cell r="AH158">
            <v>19.939715718158478</v>
          </cell>
          <cell r="AI158">
            <v>53.694375596140297</v>
          </cell>
          <cell r="AJ158">
            <v>70.651186681769829</v>
          </cell>
          <cell r="AK158">
            <v>93.859564252903738</v>
          </cell>
          <cell r="AL158">
            <v>125.27934574017797</v>
          </cell>
          <cell r="AM158">
            <v>144.4208795863868</v>
          </cell>
          <cell r="AN158">
            <v>181.34789277534844</v>
          </cell>
          <cell r="AO158">
            <v>189.46721581557733</v>
          </cell>
          <cell r="AP158">
            <v>205.916341454194</v>
          </cell>
          <cell r="AQ158">
            <v>204.0959698972521</v>
          </cell>
          <cell r="AR158">
            <v>182.94854472227536</v>
          </cell>
          <cell r="AS158">
            <v>199.20572940226788</v>
          </cell>
          <cell r="AT158">
            <v>193.58237539749391</v>
          </cell>
          <cell r="AU158">
            <v>200.27173208911171</v>
          </cell>
          <cell r="AV158">
            <v>198.35373062729133</v>
          </cell>
          <cell r="AW158">
            <v>206.09000314864608</v>
          </cell>
          <cell r="AX158">
            <v>211.75221010256803</v>
          </cell>
          <cell r="AY158">
            <v>217.97679194254599</v>
          </cell>
          <cell r="AZ158">
            <v>220.17185886150099</v>
          </cell>
          <cell r="BA158">
            <v>206.40707293394814</v>
          </cell>
          <cell r="BB158">
            <v>228.79592724845872</v>
          </cell>
          <cell r="BC158">
            <v>213.89973051932969</v>
          </cell>
          <cell r="BD158">
            <v>219.38570242545887</v>
          </cell>
          <cell r="BE158">
            <v>219.30335148765968</v>
          </cell>
          <cell r="BF158">
            <v>242.07502866102288</v>
          </cell>
        </row>
        <row r="159">
          <cell r="Z159">
            <v>8.116294549519594E-2</v>
          </cell>
          <cell r="AA159">
            <v>0.10824517810700919</v>
          </cell>
          <cell r="AB159">
            <v>0.2465260067213198</v>
          </cell>
          <cell r="AC159">
            <v>0.14255880736130333</v>
          </cell>
          <cell r="AD159">
            <v>0.64732723069989961</v>
          </cell>
          <cell r="AE159">
            <v>0.23986919313989472</v>
          </cell>
          <cell r="AF159">
            <v>0.89612322762375141</v>
          </cell>
          <cell r="AG159">
            <v>2.7142933924624915</v>
          </cell>
          <cell r="AH159">
            <v>22.934657795757371</v>
          </cell>
          <cell r="AI159">
            <v>56.023320921888157</v>
          </cell>
          <cell r="AJ159">
            <v>74.284504318481808</v>
          </cell>
          <cell r="AK159">
            <v>100.30721826404388</v>
          </cell>
          <cell r="AL159">
            <v>135.45886834353746</v>
          </cell>
          <cell r="AM159">
            <v>153.48972918397286</v>
          </cell>
          <cell r="AN159">
            <v>193.67330299107658</v>
          </cell>
          <cell r="AO159">
            <v>203.49447512477067</v>
          </cell>
          <cell r="AP159">
            <v>220.53196969423487</v>
          </cell>
          <cell r="AQ159">
            <v>218.36277197806871</v>
          </cell>
          <cell r="AR159">
            <v>195.76296152023198</v>
          </cell>
          <cell r="AS159">
            <v>213.34185112061414</v>
          </cell>
          <cell r="AT159">
            <v>203.74106998251727</v>
          </cell>
          <cell r="AU159">
            <v>214.83579693383996</v>
          </cell>
          <cell r="AV159">
            <v>212.97224487906189</v>
          </cell>
          <cell r="AW159">
            <v>221.40114686389236</v>
          </cell>
          <cell r="AX159">
            <v>227.61598694985344</v>
          </cell>
          <cell r="AY159">
            <v>234.10226144681602</v>
          </cell>
          <cell r="AZ159">
            <v>236.51522478706465</v>
          </cell>
          <cell r="BA159">
            <v>223.65542221799404</v>
          </cell>
          <cell r="BB159">
            <v>245.76543626343192</v>
          </cell>
          <cell r="BC159">
            <v>232.19353526809618</v>
          </cell>
          <cell r="BD159">
            <v>247.6860585009133</v>
          </cell>
          <cell r="BE159">
            <v>267.54493966468925</v>
          </cell>
          <cell r="BF159">
            <v>260.59272085345339</v>
          </cell>
        </row>
        <row r="160">
          <cell r="Z160">
            <v>0</v>
          </cell>
          <cell r="AA160">
            <v>7.1077666497086328E-2</v>
          </cell>
          <cell r="AB160">
            <v>0.67714975064098115</v>
          </cell>
          <cell r="AC160">
            <v>0.69204354085478503</v>
          </cell>
          <cell r="AD160">
            <v>0.91766046106607235</v>
          </cell>
          <cell r="AE160">
            <v>0.3783702339426484</v>
          </cell>
          <cell r="AF160">
            <v>0.95126374195842944</v>
          </cell>
          <cell r="AG160">
            <v>4.1340568645284863</v>
          </cell>
          <cell r="AH160">
            <v>24.912446719917892</v>
          </cell>
          <cell r="AI160">
            <v>63.08754453426814</v>
          </cell>
          <cell r="AJ160">
            <v>82.211015829811146</v>
          </cell>
          <cell r="AK160">
            <v>112.86637362140806</v>
          </cell>
          <cell r="AL160">
            <v>150.41691414158231</v>
          </cell>
          <cell r="AM160">
            <v>171.71392293122187</v>
          </cell>
          <cell r="AN160">
            <v>215.70953146910031</v>
          </cell>
          <cell r="AO160">
            <v>226.72752280108705</v>
          </cell>
          <cell r="AP160">
            <v>245.41001464321235</v>
          </cell>
          <cell r="AQ160">
            <v>243.47373725285942</v>
          </cell>
          <cell r="AR160">
            <v>247.017253420283</v>
          </cell>
          <cell r="AS160">
            <v>245.55543298065726</v>
          </cell>
          <cell r="AT160">
            <v>242.31073866570514</v>
          </cell>
          <cell r="AU160">
            <v>251.72543104111276</v>
          </cell>
          <cell r="AV160">
            <v>252.60928166168071</v>
          </cell>
          <cell r="AW160">
            <v>258.38378035441019</v>
          </cell>
          <cell r="AX160">
            <v>266.60270679459302</v>
          </cell>
          <cell r="AY160">
            <v>274.82645054674822</v>
          </cell>
          <cell r="AZ160">
            <v>276.78242024588701</v>
          </cell>
          <cell r="BA160">
            <v>269.87285946112814</v>
          </cell>
          <cell r="BB160">
            <v>280.64139390136887</v>
          </cell>
          <cell r="BC160">
            <v>276.76870532720318</v>
          </cell>
          <cell r="BD160">
            <v>296.86903745080821</v>
          </cell>
          <cell r="BE160">
            <v>311.36015283398535</v>
          </cell>
          <cell r="BF160">
            <v>308.73201153897844</v>
          </cell>
        </row>
        <row r="161">
          <cell r="Z161">
            <v>4.4932999702598536E-2</v>
          </cell>
          <cell r="AA161">
            <v>0.13174720805282406</v>
          </cell>
          <cell r="AB161">
            <v>2.578865750824522E-2</v>
          </cell>
          <cell r="AC161">
            <v>0.43714886793119456</v>
          </cell>
          <cell r="AD161">
            <v>0.25628492063997133</v>
          </cell>
          <cell r="AE161">
            <v>0.84738612905132138</v>
          </cell>
          <cell r="AF161">
            <v>1.1671730253620025</v>
          </cell>
          <cell r="AG161">
            <v>5.3629121732165883</v>
          </cell>
          <cell r="AH161">
            <v>26.910515065890657</v>
          </cell>
          <cell r="AI161">
            <v>73.431856428943803</v>
          </cell>
          <cell r="AJ161">
            <v>93.935509721978704</v>
          </cell>
          <cell r="AK161">
            <v>126.52348425752855</v>
          </cell>
          <cell r="AL161">
            <v>169.2778693904132</v>
          </cell>
          <cell r="AM161">
            <v>194.95733110657869</v>
          </cell>
          <cell r="AN161">
            <v>244.12639687175223</v>
          </cell>
          <cell r="AO161">
            <v>256.15002645433464</v>
          </cell>
          <cell r="AP161">
            <v>277.90661872876655</v>
          </cell>
          <cell r="AQ161">
            <v>275.57590139209441</v>
          </cell>
          <cell r="AR161">
            <v>276.97650779832435</v>
          </cell>
          <cell r="AS161">
            <v>271.34738313266854</v>
          </cell>
          <cell r="AT161">
            <v>283.49111189048153</v>
          </cell>
          <cell r="AU161">
            <v>284.92218281631989</v>
          </cell>
          <cell r="AV161">
            <v>285.87772766125983</v>
          </cell>
          <cell r="AW161">
            <v>293.14383854715135</v>
          </cell>
          <cell r="AX161">
            <v>304.42416996615327</v>
          </cell>
          <cell r="AY161">
            <v>311.93562789263308</v>
          </cell>
          <cell r="AZ161">
            <v>315.52905862702636</v>
          </cell>
          <cell r="BA161">
            <v>309.13649046560778</v>
          </cell>
          <cell r="BB161">
            <v>322.33196319333683</v>
          </cell>
          <cell r="BC161">
            <v>319.75635063520014</v>
          </cell>
          <cell r="BD161">
            <v>340.09261651930217</v>
          </cell>
          <cell r="BE161">
            <v>354.40345715355187</v>
          </cell>
          <cell r="BF161">
            <v>352.82723876169734</v>
          </cell>
        </row>
        <row r="162">
          <cell r="Z162">
            <v>0.10474745116595016</v>
          </cell>
          <cell r="AA162">
            <v>0.13357586552540157</v>
          </cell>
          <cell r="AB162">
            <v>0.13835263186133545</v>
          </cell>
          <cell r="AC162">
            <v>7.7982093101509858E-2</v>
          </cell>
          <cell r="AD162">
            <v>0.25309405984953209</v>
          </cell>
          <cell r="AE162">
            <v>0.21645386873555678</v>
          </cell>
          <cell r="AF162">
            <v>2.637016750978181</v>
          </cell>
          <cell r="AG162">
            <v>8.4620006644272276</v>
          </cell>
          <cell r="AH162">
            <v>29.496191327811999</v>
          </cell>
          <cell r="AI162">
            <v>79.494991199410237</v>
          </cell>
          <cell r="AJ162">
            <v>98.137516138487712</v>
          </cell>
          <cell r="AK162">
            <v>134.18438310324049</v>
          </cell>
          <cell r="AL162">
            <v>180.38036964933966</v>
          </cell>
          <cell r="AM162">
            <v>206.99133603451429</v>
          </cell>
          <cell r="AN162">
            <v>258.33639716855572</v>
          </cell>
          <cell r="AO162">
            <v>271.79326873366296</v>
          </cell>
          <cell r="AP162">
            <v>295.38678927555014</v>
          </cell>
          <cell r="AQ162">
            <v>292.07999472246166</v>
          </cell>
          <cell r="AR162">
            <v>298.53773492667693</v>
          </cell>
          <cell r="AS162">
            <v>295.42114600455602</v>
          </cell>
          <cell r="AT162">
            <v>304.06875185299162</v>
          </cell>
          <cell r="AU162">
            <v>306.24047075877593</v>
          </cell>
          <cell r="AV162">
            <v>308.21920608465354</v>
          </cell>
          <cell r="AW162">
            <v>316.14387051059782</v>
          </cell>
          <cell r="AX162">
            <v>327.56760601500787</v>
          </cell>
          <cell r="AY162">
            <v>335.91270972208872</v>
          </cell>
          <cell r="AZ162">
            <v>339.94038152873236</v>
          </cell>
          <cell r="BA162">
            <v>334.14581289492287</v>
          </cell>
          <cell r="BB162">
            <v>342.61325604816994</v>
          </cell>
          <cell r="BC162">
            <v>355.53483964286727</v>
          </cell>
          <cell r="BD162">
            <v>365.51992654052657</v>
          </cell>
          <cell r="BE162">
            <v>379.26976542352588</v>
          </cell>
          <cell r="BF162">
            <v>377.65142091106469</v>
          </cell>
        </row>
        <row r="169">
          <cell r="B169">
            <v>101.80031020907023</v>
          </cell>
          <cell r="C169">
            <v>104.02239198119223</v>
          </cell>
          <cell r="D169">
            <v>84.869557839917633</v>
          </cell>
          <cell r="E169">
            <v>82.701599340746085</v>
          </cell>
          <cell r="F169">
            <v>95.382232490888455</v>
          </cell>
          <cell r="G169">
            <v>99.102131963525238</v>
          </cell>
          <cell r="H169">
            <v>89.267075026034973</v>
          </cell>
          <cell r="I169">
            <v>71.197399136576919</v>
          </cell>
          <cell r="J169">
            <v>82.486256682034281</v>
          </cell>
          <cell r="K169">
            <v>61.786998894083453</v>
          </cell>
          <cell r="L169">
            <v>62.365952199999988</v>
          </cell>
          <cell r="M169">
            <v>74.212704000000002</v>
          </cell>
          <cell r="N169">
            <v>68.352831171199995</v>
          </cell>
          <cell r="O169">
            <v>74.105648118600001</v>
          </cell>
          <cell r="P169">
            <v>62.688645799999996</v>
          </cell>
          <cell r="Q169">
            <v>108.08640440760001</v>
          </cell>
          <cell r="R169">
            <v>34.79694039999999</v>
          </cell>
          <cell r="S169">
            <v>20.483886500000004</v>
          </cell>
          <cell r="T169">
            <v>47.542315290778681</v>
          </cell>
          <cell r="U169">
            <v>78.797356417204327</v>
          </cell>
          <cell r="V169">
            <v>47.866547642397805</v>
          </cell>
          <cell r="W169">
            <v>48.083573577697464</v>
          </cell>
          <cell r="X169">
            <v>98.060416623635049</v>
          </cell>
          <cell r="Y169">
            <v>69.915189524505621</v>
          </cell>
          <cell r="Z169">
            <v>78.714340522118704</v>
          </cell>
          <cell r="AA169">
            <v>50.661788995814902</v>
          </cell>
        </row>
        <row r="182">
          <cell r="N182" t="str">
            <v xml:space="preserve">05/06  </v>
          </cell>
          <cell r="O182" t="str">
            <v xml:space="preserve">06/07  </v>
          </cell>
          <cell r="P182" t="str">
            <v xml:space="preserve">07/08  </v>
          </cell>
          <cell r="Q182" t="str">
            <v xml:space="preserve">08/09  </v>
          </cell>
          <cell r="R182" t="str">
            <v xml:space="preserve">09/10  </v>
          </cell>
          <cell r="S182" t="str">
            <v xml:space="preserve">10/11  </v>
          </cell>
          <cell r="T182" t="str">
            <v xml:space="preserve">11/12  </v>
          </cell>
          <cell r="U182" t="str">
            <v xml:space="preserve">12/13  </v>
          </cell>
          <cell r="V182" t="str">
            <v xml:space="preserve">13/14  </v>
          </cell>
          <cell r="W182" t="str">
            <v xml:space="preserve">14/15  </v>
          </cell>
          <cell r="X182" t="str">
            <v xml:space="preserve">15/16  </v>
          </cell>
          <cell r="Y182" t="str">
            <v xml:space="preserve">16/17  </v>
          </cell>
          <cell r="Z182" t="str">
            <v xml:space="preserve">17/18  </v>
          </cell>
          <cell r="AA182" t="str">
            <v xml:space="preserve">18/19  </v>
          </cell>
        </row>
        <row r="183">
          <cell r="N183">
            <v>4.9200000000000008</v>
          </cell>
          <cell r="O183">
            <v>7.8900000000000006</v>
          </cell>
          <cell r="P183">
            <v>7.0200000000000005</v>
          </cell>
          <cell r="Q183">
            <v>10.440000000000001</v>
          </cell>
          <cell r="R183">
            <v>10.200000000000001</v>
          </cell>
          <cell r="S183">
            <v>10.868600000000001</v>
          </cell>
          <cell r="T183">
            <v>9.4682882729970999</v>
          </cell>
          <cell r="U183">
            <v>8.6199336090359822</v>
          </cell>
          <cell r="V183">
            <v>8.4519845954511048</v>
          </cell>
          <cell r="W183">
            <v>10.382940010491787</v>
          </cell>
          <cell r="X183">
            <v>7.5133000000000001</v>
          </cell>
          <cell r="Y183">
            <v>8.4076000000000004</v>
          </cell>
          <cell r="Z183">
            <v>8.4449000000000005</v>
          </cell>
          <cell r="AA183">
            <v>10.0364</v>
          </cell>
        </row>
        <row r="184">
          <cell r="N184">
            <v>5.4700000000000006</v>
          </cell>
          <cell r="O184">
            <v>4.7700000000000005</v>
          </cell>
          <cell r="P184">
            <v>7</v>
          </cell>
          <cell r="Q184">
            <v>12.26</v>
          </cell>
          <cell r="R184">
            <v>9.91</v>
          </cell>
          <cell r="S184">
            <v>9.8010000000000019</v>
          </cell>
          <cell r="T184">
            <v>8.9221216785763904</v>
          </cell>
          <cell r="U184">
            <v>8.6012977935294685</v>
          </cell>
          <cell r="V184">
            <v>8.4345338081143577</v>
          </cell>
          <cell r="W184">
            <v>9.9598800586343916</v>
          </cell>
          <cell r="X184">
            <v>7.9474999999999998</v>
          </cell>
          <cell r="Y184">
            <v>8.7201000000000004</v>
          </cell>
          <cell r="Z184">
            <v>8.9572000000000003</v>
          </cell>
          <cell r="AA184">
            <v>9.1331000000000007</v>
          </cell>
        </row>
        <row r="185">
          <cell r="M185">
            <v>4</v>
          </cell>
          <cell r="N185">
            <v>4.57</v>
          </cell>
          <cell r="O185">
            <v>5.61</v>
          </cell>
          <cell r="P185">
            <v>7.88</v>
          </cell>
          <cell r="Q185">
            <v>9.66</v>
          </cell>
          <cell r="R185">
            <v>9.51</v>
          </cell>
          <cell r="S185">
            <v>8.7428000000000008</v>
          </cell>
          <cell r="T185">
            <v>8.4451845964601304</v>
          </cell>
          <cell r="U185">
            <v>7.9448585927095801</v>
          </cell>
          <cell r="V185">
            <v>7.5498173866901608</v>
          </cell>
          <cell r="W185">
            <v>9.2017400992688074</v>
          </cell>
          <cell r="X185">
            <v>9.0019000000000009</v>
          </cell>
          <cell r="Y185">
            <v>7.6162999999999998</v>
          </cell>
          <cell r="Z185">
            <v>8.6307000000000009</v>
          </cell>
          <cell r="AA185">
            <v>9.3368000000000002</v>
          </cell>
          <cell r="AB185">
            <v>9.0620000000000012</v>
          </cell>
          <cell r="AC185">
            <v>8.8033000000000001</v>
          </cell>
          <cell r="AD185">
            <v>9.0984999999999996</v>
          </cell>
          <cell r="AE185">
            <v>9.8977000000000004</v>
          </cell>
          <cell r="AF185">
            <v>10.350000000000001</v>
          </cell>
          <cell r="AG185">
            <v>9.6600000000000019</v>
          </cell>
          <cell r="AH185">
            <v>8.0027494845708702</v>
          </cell>
          <cell r="AI185">
            <v>9.7261176830159286</v>
          </cell>
          <cell r="AJ185">
            <v>9.5826344638105354</v>
          </cell>
          <cell r="AK185">
            <v>11.600927601980857</v>
          </cell>
          <cell r="AL185">
            <v>7.6628932353370942</v>
          </cell>
          <cell r="AM185">
            <v>7.3199355901694219</v>
          </cell>
          <cell r="AN185">
            <v>9.401506631164068</v>
          </cell>
          <cell r="AO185">
            <v>11.507594799071313</v>
          </cell>
          <cell r="AP185">
            <v>11.074545822530183</v>
          </cell>
          <cell r="AQ185">
            <v>7.3160914386795355</v>
          </cell>
          <cell r="AR185">
            <v>7.6343908503040439</v>
          </cell>
          <cell r="AS185">
            <v>13.397442340893917</v>
          </cell>
          <cell r="AT185">
            <v>5.3179015938720227</v>
          </cell>
          <cell r="AU185">
            <v>-26.734256761286701</v>
          </cell>
          <cell r="AV185">
            <v>10.084019808379594</v>
          </cell>
          <cell r="AW185">
            <v>7.9697290622860635</v>
          </cell>
          <cell r="AX185">
            <v>10.523825864032517</v>
          </cell>
          <cell r="AY185">
            <v>14.662412692676298</v>
          </cell>
          <cell r="AZ185">
            <v>10.194771633725793</v>
          </cell>
          <cell r="BA185">
            <v>11.730476321729725</v>
          </cell>
          <cell r="BB185">
            <v>8.7853111808796598</v>
          </cell>
          <cell r="BC185">
            <v>5.7469131188518929</v>
          </cell>
          <cell r="BD185">
            <v>7.3868024194737245</v>
          </cell>
          <cell r="BE185">
            <v>5.1167935471509622</v>
          </cell>
          <cell r="BF185">
            <v>6.0040375027771802</v>
          </cell>
        </row>
        <row r="186">
          <cell r="M186">
            <v>5.41</v>
          </cell>
          <cell r="N186">
            <v>4.3500000000000005</v>
          </cell>
          <cell r="O186">
            <v>6.91</v>
          </cell>
          <cell r="P186">
            <v>9.39</v>
          </cell>
          <cell r="Q186">
            <v>9.1</v>
          </cell>
          <cell r="R186">
            <v>9.7360000000000007</v>
          </cell>
          <cell r="S186">
            <v>9.1793999999999993</v>
          </cell>
          <cell r="T186">
            <v>9.0392855909737797</v>
          </cell>
          <cell r="U186">
            <v>8.3411679525895366</v>
          </cell>
          <cell r="V186">
            <v>7.7360814723200066</v>
          </cell>
          <cell r="W186">
            <v>9.6028649664218211</v>
          </cell>
          <cell r="X186">
            <v>7.4152000000000005</v>
          </cell>
          <cell r="Y186">
            <v>9.0069999999999997</v>
          </cell>
          <cell r="Z186">
            <v>9.839500000000001</v>
          </cell>
        </row>
        <row r="187">
          <cell r="M187">
            <v>5.9</v>
          </cell>
          <cell r="N187">
            <v>4.9200000000000008</v>
          </cell>
          <cell r="O187">
            <v>6.6900000000000013</v>
          </cell>
          <cell r="P187">
            <v>9.8800000000000008</v>
          </cell>
          <cell r="Q187">
            <v>9.89</v>
          </cell>
          <cell r="R187">
            <v>8.9253</v>
          </cell>
          <cell r="S187">
            <v>7.8959999999999999</v>
          </cell>
          <cell r="T187">
            <v>8.8283538329477675</v>
          </cell>
          <cell r="U187">
            <v>8.157078816413005</v>
          </cell>
          <cell r="V187">
            <v>7.4465277654763158</v>
          </cell>
          <cell r="W187">
            <v>8.9968675927009585</v>
          </cell>
          <cell r="X187">
            <v>8.0905000000000005</v>
          </cell>
          <cell r="Y187">
            <v>9.1707000000000001</v>
          </cell>
          <cell r="Z187">
            <v>9.1745999999999999</v>
          </cell>
        </row>
        <row r="188">
          <cell r="M188">
            <v>5.41</v>
          </cell>
          <cell r="N188">
            <v>6.9900000000000011</v>
          </cell>
          <cell r="O188">
            <v>8.4599999999999991</v>
          </cell>
          <cell r="P188">
            <v>8.67</v>
          </cell>
          <cell r="Q188">
            <v>9.76</v>
          </cell>
          <cell r="R188">
            <v>10.665500000000002</v>
          </cell>
          <cell r="S188">
            <v>6.8849000000000009</v>
          </cell>
          <cell r="T188">
            <v>9.0647826122998154</v>
          </cell>
          <cell r="U188">
            <v>8.089826184489862</v>
          </cell>
          <cell r="V188">
            <v>7.5774526497071317</v>
          </cell>
          <cell r="W188">
            <v>9.2213246493069256</v>
          </cell>
          <cell r="X188">
            <v>9.285400000000001</v>
          </cell>
          <cell r="Y188">
            <v>7.7811000000000012</v>
          </cell>
          <cell r="Z188">
            <v>10.186700000000002</v>
          </cell>
        </row>
        <row r="189">
          <cell r="M189">
            <v>5.03</v>
          </cell>
          <cell r="N189">
            <v>7.71</v>
          </cell>
          <cell r="O189">
            <v>7.4</v>
          </cell>
          <cell r="P189">
            <v>10.090000000000002</v>
          </cell>
          <cell r="Q189">
            <v>10.57</v>
          </cell>
          <cell r="R189">
            <v>14.9594</v>
          </cell>
          <cell r="S189">
            <v>7.6605000000000008</v>
          </cell>
          <cell r="T189">
            <v>10.337491928810124</v>
          </cell>
          <cell r="U189">
            <v>9.6293400540306493</v>
          </cell>
          <cell r="V189">
            <v>9.0586425261705976</v>
          </cell>
          <cell r="W189">
            <v>11.263269655794636</v>
          </cell>
          <cell r="X189">
            <v>8.6614000000000004</v>
          </cell>
          <cell r="Y189">
            <v>8.8839000000000006</v>
          </cell>
          <cell r="Z189">
            <v>9.4139999999999997</v>
          </cell>
        </row>
        <row r="190">
          <cell r="M190">
            <v>5.5500000000000007</v>
          </cell>
          <cell r="N190">
            <v>10.120000000000001</v>
          </cell>
          <cell r="O190">
            <v>8.2099999999999991</v>
          </cell>
          <cell r="P190">
            <v>9.06</v>
          </cell>
          <cell r="Q190">
            <v>9.2700000000000014</v>
          </cell>
          <cell r="R190">
            <v>10.534500000000001</v>
          </cell>
          <cell r="S190">
            <v>8.0326000000000004</v>
          </cell>
          <cell r="T190">
            <v>9.200773525244351</v>
          </cell>
          <cell r="U190">
            <v>8.2788827276725261</v>
          </cell>
          <cell r="V190">
            <v>7.7226021997231529</v>
          </cell>
          <cell r="W190">
            <v>9.5456000000000003</v>
          </cell>
          <cell r="X190">
            <v>7.9929000000000006</v>
          </cell>
          <cell r="Y190">
            <v>7.9184000000000001</v>
          </cell>
          <cell r="Z190">
            <v>8.819799999999999</v>
          </cell>
        </row>
        <row r="191">
          <cell r="M191">
            <v>6.58</v>
          </cell>
          <cell r="N191">
            <v>11.280000000000001</v>
          </cell>
          <cell r="O191">
            <v>6.56</v>
          </cell>
          <cell r="P191">
            <v>9.93</v>
          </cell>
          <cell r="Q191">
            <v>10.9</v>
          </cell>
          <cell r="R191">
            <v>16.1143</v>
          </cell>
          <cell r="S191">
            <v>10.8779</v>
          </cell>
          <cell r="T191">
            <v>11.092672905253126</v>
          </cell>
          <cell r="U191">
            <v>10.580733695475526</v>
          </cell>
          <cell r="V191">
            <v>10.150803424572613</v>
          </cell>
          <cell r="W191">
            <v>9.2012</v>
          </cell>
          <cell r="X191">
            <v>7.7887000000000004</v>
          </cell>
          <cell r="Y191">
            <v>8.5382999999999996</v>
          </cell>
          <cell r="Z191">
            <v>8.9375</v>
          </cell>
        </row>
        <row r="192">
          <cell r="M192">
            <v>6.4400000000000013</v>
          </cell>
          <cell r="N192">
            <v>9.86</v>
          </cell>
          <cell r="O192">
            <v>7.76</v>
          </cell>
          <cell r="P192">
            <v>10.31</v>
          </cell>
          <cell r="Q192">
            <v>11.76</v>
          </cell>
          <cell r="R192">
            <v>17.957900000000002</v>
          </cell>
          <cell r="S192">
            <v>9.2653999999999996</v>
          </cell>
          <cell r="T192">
            <v>11.637513654564879</v>
          </cell>
          <cell r="U192">
            <v>10.942783737552817</v>
          </cell>
          <cell r="V192">
            <v>10.491288696609587</v>
          </cell>
          <cell r="W192">
            <v>9.3150999999999993</v>
          </cell>
          <cell r="X192">
            <v>7.4227999999999996</v>
          </cell>
          <cell r="Y192">
            <v>9.2934000000000001</v>
          </cell>
          <cell r="Z192">
            <v>10.082800000000001</v>
          </cell>
        </row>
        <row r="193">
          <cell r="M193">
            <v>7.3000000000000007</v>
          </cell>
          <cell r="N193">
            <v>8.1900000000000013</v>
          </cell>
          <cell r="O193">
            <v>7.48</v>
          </cell>
          <cell r="P193">
            <v>9.8500000000000014</v>
          </cell>
          <cell r="Q193">
            <v>9.58</v>
          </cell>
          <cell r="R193">
            <v>10.599400000000001</v>
          </cell>
          <cell r="S193">
            <v>10.635401699204049</v>
          </cell>
          <cell r="T193">
            <v>9.8203922852982295</v>
          </cell>
          <cell r="U193">
            <v>9.0668173717949667</v>
          </cell>
          <cell r="V193">
            <v>8.4699103371084856</v>
          </cell>
          <cell r="W193">
            <v>9.8283000000000005</v>
          </cell>
          <cell r="X193">
            <v>8.4021000000000008</v>
          </cell>
          <cell r="Y193">
            <v>8.1179000000000006</v>
          </cell>
          <cell r="Z193">
            <v>11.135100000000001</v>
          </cell>
        </row>
        <row r="198">
          <cell r="AB198">
            <v>21.331499999999998</v>
          </cell>
          <cell r="AC198">
            <v>24.25</v>
          </cell>
          <cell r="AD198">
            <v>46.404800000000002</v>
          </cell>
          <cell r="AE198">
            <v>62.8095</v>
          </cell>
          <cell r="AF198">
            <v>46.7273</v>
          </cell>
          <cell r="AG198">
            <v>35</v>
          </cell>
          <cell r="AH198">
            <v>34.5</v>
          </cell>
          <cell r="AI198">
            <v>36.75</v>
          </cell>
          <cell r="AJ198">
            <v>32.25</v>
          </cell>
          <cell r="AK198">
            <v>32</v>
          </cell>
          <cell r="AL198">
            <v>31.5</v>
          </cell>
          <cell r="AM198">
            <v>34</v>
          </cell>
          <cell r="AN198">
            <v>35.25</v>
          </cell>
          <cell r="AO198">
            <v>38.5</v>
          </cell>
          <cell r="AP198">
            <v>33.5</v>
          </cell>
          <cell r="AQ198">
            <v>26.25</v>
          </cell>
          <cell r="AR198">
            <v>14.5</v>
          </cell>
          <cell r="AS198">
            <v>22.75</v>
          </cell>
          <cell r="AT198">
            <v>18.5</v>
          </cell>
          <cell r="AU198">
            <v>11.75</v>
          </cell>
          <cell r="AV198">
            <v>10</v>
          </cell>
          <cell r="AW198">
            <v>19</v>
          </cell>
          <cell r="AX198">
            <v>29.25</v>
          </cell>
          <cell r="AY198">
            <v>27.5</v>
          </cell>
          <cell r="AZ198">
            <v>21.25</v>
          </cell>
          <cell r="BA198">
            <v>25.5</v>
          </cell>
          <cell r="BB198">
            <v>15.25</v>
          </cell>
          <cell r="BC198">
            <v>23.5</v>
          </cell>
          <cell r="BD198">
            <v>16</v>
          </cell>
          <cell r="BE198">
            <v>34.25</v>
          </cell>
          <cell r="BF198">
            <v>26.75</v>
          </cell>
          <cell r="BG198">
            <v>33.75</v>
          </cell>
        </row>
        <row r="199">
          <cell r="AB199">
            <v>19.75</v>
          </cell>
          <cell r="AC199">
            <v>24.723700000000001</v>
          </cell>
          <cell r="AD199">
            <v>46.1</v>
          </cell>
          <cell r="AE199">
            <v>63.225000000000001</v>
          </cell>
          <cell r="AF199">
            <v>39.825000000000003</v>
          </cell>
          <cell r="AG199">
            <v>35</v>
          </cell>
          <cell r="AH199">
            <v>29</v>
          </cell>
          <cell r="AI199">
            <v>33</v>
          </cell>
          <cell r="AJ199">
            <v>27.75</v>
          </cell>
          <cell r="AK199">
            <v>26.75</v>
          </cell>
          <cell r="AL199">
            <v>26.75</v>
          </cell>
          <cell r="AM199">
            <v>27.25</v>
          </cell>
          <cell r="AN199">
            <v>26</v>
          </cell>
          <cell r="AO199">
            <v>33.25</v>
          </cell>
          <cell r="AP199">
            <v>25.75</v>
          </cell>
          <cell r="AQ199">
            <v>18</v>
          </cell>
          <cell r="AR199">
            <v>8</v>
          </cell>
          <cell r="AS199">
            <v>18</v>
          </cell>
          <cell r="AT199">
            <v>10.75</v>
          </cell>
          <cell r="AU199" t="e">
            <v>#NUM!</v>
          </cell>
          <cell r="AV199" t="e">
            <v>#NUM!</v>
          </cell>
          <cell r="AW199" t="e">
            <v>#NUM!</v>
          </cell>
          <cell r="AX199" t="e">
            <v>#NUM!</v>
          </cell>
          <cell r="AY199" t="e">
            <v>#NUM!</v>
          </cell>
          <cell r="AZ199" t="e">
            <v>#NUM!</v>
          </cell>
          <cell r="BA199" t="e">
            <v>#NUM!</v>
          </cell>
          <cell r="BB199" t="e">
            <v>#NUM!</v>
          </cell>
          <cell r="BC199" t="e">
            <v>#NUM!</v>
          </cell>
          <cell r="BD199" t="e">
            <v>#NUM!</v>
          </cell>
          <cell r="BE199" t="e">
            <v>#NUM!</v>
          </cell>
          <cell r="BF199" t="e">
            <v>#NUM!</v>
          </cell>
          <cell r="BG199" t="e">
            <v>#NUM!</v>
          </cell>
        </row>
        <row r="200">
          <cell r="AB200">
            <v>19.988099999999999</v>
          </cell>
          <cell r="AC200">
            <v>26.2273</v>
          </cell>
          <cell r="AD200">
            <v>40.571399999999997</v>
          </cell>
          <cell r="AE200">
            <v>60.083300000000001</v>
          </cell>
          <cell r="AF200">
            <v>34.875</v>
          </cell>
          <cell r="AG200">
            <v>34.619</v>
          </cell>
          <cell r="AH200">
            <v>20</v>
          </cell>
          <cell r="AI200">
            <v>29</v>
          </cell>
          <cell r="AJ200">
            <v>29.25</v>
          </cell>
          <cell r="AK200">
            <v>25.25</v>
          </cell>
          <cell r="AL200">
            <v>27.25</v>
          </cell>
          <cell r="AM200">
            <v>26.25</v>
          </cell>
          <cell r="AN200">
            <v>27</v>
          </cell>
          <cell r="AO200">
            <v>31.75</v>
          </cell>
          <cell r="AP200">
            <v>42</v>
          </cell>
          <cell r="AQ200">
            <v>42</v>
          </cell>
          <cell r="AR200">
            <v>30.75</v>
          </cell>
          <cell r="AS200">
            <v>26</v>
          </cell>
          <cell r="AT200">
            <v>23.25</v>
          </cell>
          <cell r="AU200">
            <v>7.25</v>
          </cell>
          <cell r="AV200">
            <v>6.75</v>
          </cell>
          <cell r="AW200">
            <v>21</v>
          </cell>
          <cell r="AX200">
            <v>29.5</v>
          </cell>
          <cell r="AY200">
            <v>25.5</v>
          </cell>
          <cell r="AZ200">
            <v>28</v>
          </cell>
          <cell r="BA200">
            <v>31.25</v>
          </cell>
          <cell r="BB200">
            <v>21.5</v>
          </cell>
          <cell r="BC200">
            <v>35.25</v>
          </cell>
          <cell r="BD200">
            <v>16.75</v>
          </cell>
          <cell r="BE200">
            <v>41.5</v>
          </cell>
          <cell r="BF200">
            <v>37</v>
          </cell>
          <cell r="BG200">
            <v>41.25</v>
          </cell>
        </row>
        <row r="201">
          <cell r="AA201">
            <v>20.892900000000001</v>
          </cell>
          <cell r="AB201">
            <v>21.952400000000001</v>
          </cell>
          <cell r="AC201">
            <v>29.013200000000001</v>
          </cell>
          <cell r="AD201">
            <v>45.375</v>
          </cell>
          <cell r="AE201">
            <v>58.575000000000003</v>
          </cell>
          <cell r="AF201">
            <v>31.6</v>
          </cell>
          <cell r="AG201">
            <v>33.5</v>
          </cell>
          <cell r="AH201">
            <v>25.25</v>
          </cell>
          <cell r="AI201">
            <v>31.25</v>
          </cell>
          <cell r="AJ201">
            <v>32</v>
          </cell>
          <cell r="AK201">
            <v>24.75</v>
          </cell>
          <cell r="AL201">
            <v>32</v>
          </cell>
          <cell r="AM201">
            <v>27.5</v>
          </cell>
          <cell r="AN201">
            <v>24.75</v>
          </cell>
          <cell r="AO201">
            <v>36.25</v>
          </cell>
          <cell r="AP201">
            <v>42.75</v>
          </cell>
          <cell r="AQ201">
            <v>42.25</v>
          </cell>
          <cell r="AR201">
            <v>33.75</v>
          </cell>
          <cell r="AS201">
            <v>24.5</v>
          </cell>
          <cell r="AT201">
            <v>22.5</v>
          </cell>
          <cell r="AU201">
            <v>4.75</v>
          </cell>
          <cell r="AV201">
            <v>6.25</v>
          </cell>
          <cell r="AW201">
            <v>20</v>
          </cell>
          <cell r="AX201">
            <v>27</v>
          </cell>
          <cell r="AY201">
            <v>21.5</v>
          </cell>
          <cell r="AZ201">
            <v>30.25</v>
          </cell>
          <cell r="BA201">
            <v>35</v>
          </cell>
          <cell r="BB201">
            <v>21.75</v>
          </cell>
          <cell r="BC201">
            <v>38.5</v>
          </cell>
          <cell r="BD201">
            <v>14.5</v>
          </cell>
          <cell r="BE201">
            <v>45</v>
          </cell>
          <cell r="BF201">
            <v>38</v>
          </cell>
        </row>
        <row r="202">
          <cell r="AA202">
            <v>20.842099999999999</v>
          </cell>
          <cell r="AB202">
            <v>24.223700000000001</v>
          </cell>
          <cell r="AC202">
            <v>34.3553</v>
          </cell>
          <cell r="AD202">
            <v>55.5</v>
          </cell>
          <cell r="AE202">
            <v>49.25</v>
          </cell>
          <cell r="AF202">
            <v>31.5</v>
          </cell>
          <cell r="AG202">
            <v>37</v>
          </cell>
          <cell r="AH202">
            <v>27.75</v>
          </cell>
          <cell r="AI202">
            <v>34.5</v>
          </cell>
          <cell r="AJ202">
            <v>30.25</v>
          </cell>
          <cell r="AK202">
            <v>28.75</v>
          </cell>
          <cell r="AL202">
            <v>34</v>
          </cell>
          <cell r="AM202">
            <v>24.75</v>
          </cell>
          <cell r="AN202">
            <v>22.75</v>
          </cell>
          <cell r="AO202">
            <v>39.5</v>
          </cell>
          <cell r="AP202">
            <v>44.5</v>
          </cell>
          <cell r="AQ202">
            <v>42.75</v>
          </cell>
          <cell r="AR202">
            <v>35.5</v>
          </cell>
          <cell r="AS202">
            <v>23.5</v>
          </cell>
          <cell r="AT202">
            <v>22.75</v>
          </cell>
          <cell r="AU202">
            <v>11.25</v>
          </cell>
          <cell r="AV202">
            <v>8.75</v>
          </cell>
          <cell r="AW202">
            <v>21.5</v>
          </cell>
          <cell r="AX202">
            <v>27.5</v>
          </cell>
          <cell r="AY202">
            <v>22.25</v>
          </cell>
          <cell r="AZ202">
            <v>30</v>
          </cell>
          <cell r="BA202">
            <v>34.5</v>
          </cell>
          <cell r="BB202">
            <v>22.75</v>
          </cell>
          <cell r="BC202">
            <v>32.25</v>
          </cell>
          <cell r="BD202">
            <v>14.75</v>
          </cell>
          <cell r="BE202">
            <v>45</v>
          </cell>
          <cell r="BF202">
            <v>36.25</v>
          </cell>
        </row>
        <row r="203">
          <cell r="AA203">
            <v>20.428599999999999</v>
          </cell>
          <cell r="AB203">
            <v>22.7273</v>
          </cell>
          <cell r="AC203">
            <v>39.021700000000003</v>
          </cell>
          <cell r="AD203">
            <v>60.021700000000003</v>
          </cell>
          <cell r="AE203">
            <v>46.130400000000002</v>
          </cell>
          <cell r="AF203">
            <v>32.049999999999997</v>
          </cell>
          <cell r="AG203">
            <v>39.5</v>
          </cell>
          <cell r="AH203">
            <v>32.75</v>
          </cell>
          <cell r="AI203">
            <v>38.5</v>
          </cell>
          <cell r="AJ203">
            <v>31.75</v>
          </cell>
          <cell r="AK203">
            <v>35.75</v>
          </cell>
          <cell r="AL203">
            <v>40.75</v>
          </cell>
          <cell r="AM203">
            <v>32</v>
          </cell>
          <cell r="AN203">
            <v>31</v>
          </cell>
          <cell r="AO203">
            <v>51.25</v>
          </cell>
          <cell r="AP203">
            <v>56.25</v>
          </cell>
          <cell r="AQ203">
            <v>54.25</v>
          </cell>
          <cell r="AR203">
            <v>45.25</v>
          </cell>
          <cell r="AS203">
            <v>32.5</v>
          </cell>
          <cell r="AT203">
            <v>33</v>
          </cell>
          <cell r="AU203">
            <v>25.25</v>
          </cell>
          <cell r="AV203">
            <v>21</v>
          </cell>
          <cell r="AW203">
            <v>33</v>
          </cell>
          <cell r="AX203">
            <v>37.75</v>
          </cell>
          <cell r="AY203">
            <v>32.25</v>
          </cell>
          <cell r="AZ203">
            <v>39.5</v>
          </cell>
          <cell r="BA203">
            <v>44.25</v>
          </cell>
          <cell r="BB203">
            <v>34</v>
          </cell>
          <cell r="BC203">
            <v>39.25</v>
          </cell>
          <cell r="BD203">
            <v>27</v>
          </cell>
          <cell r="BE203">
            <v>57.25</v>
          </cell>
          <cell r="BF203">
            <v>46.75</v>
          </cell>
        </row>
        <row r="204">
          <cell r="AA204">
            <v>21.226199999999999</v>
          </cell>
          <cell r="AB204">
            <v>20.666699999999999</v>
          </cell>
          <cell r="AC204">
            <v>39.785699999999999</v>
          </cell>
          <cell r="AD204">
            <v>58</v>
          </cell>
          <cell r="AE204">
            <v>44.263199999999998</v>
          </cell>
          <cell r="AF204">
            <v>34.270000000000003</v>
          </cell>
          <cell r="AG204">
            <v>34.75</v>
          </cell>
          <cell r="AH204">
            <v>33</v>
          </cell>
          <cell r="AI204">
            <v>39.5</v>
          </cell>
          <cell r="AJ204">
            <v>30.5</v>
          </cell>
          <cell r="AK204">
            <v>38.75</v>
          </cell>
          <cell r="AL204">
            <v>43</v>
          </cell>
          <cell r="AM204">
            <v>34.5</v>
          </cell>
          <cell r="AN204">
            <v>30.75</v>
          </cell>
          <cell r="AO204">
            <v>55</v>
          </cell>
          <cell r="AP204">
            <v>59.25</v>
          </cell>
          <cell r="AQ204">
            <v>55</v>
          </cell>
          <cell r="AR204">
            <v>48.5</v>
          </cell>
          <cell r="AS204">
            <v>34.5</v>
          </cell>
          <cell r="AT204">
            <v>35.5</v>
          </cell>
          <cell r="AU204">
            <v>33.25</v>
          </cell>
          <cell r="AV204">
            <v>27.5</v>
          </cell>
          <cell r="AW204">
            <v>37.75</v>
          </cell>
          <cell r="AX204">
            <v>41</v>
          </cell>
          <cell r="AY204">
            <v>36</v>
          </cell>
          <cell r="AZ204">
            <v>42</v>
          </cell>
          <cell r="BA204">
            <v>46.5</v>
          </cell>
          <cell r="BB204">
            <v>38.5</v>
          </cell>
          <cell r="BC204">
            <v>38</v>
          </cell>
          <cell r="BD204">
            <v>32.25</v>
          </cell>
          <cell r="BE204">
            <v>60.5</v>
          </cell>
          <cell r="BF204">
            <v>48.75</v>
          </cell>
        </row>
        <row r="205">
          <cell r="AA205">
            <v>22.420500000000001</v>
          </cell>
          <cell r="AB205">
            <v>21.774999999999999</v>
          </cell>
          <cell r="AC205">
            <v>43.024999999999999</v>
          </cell>
          <cell r="AD205">
            <v>60.5</v>
          </cell>
          <cell r="AE205">
            <v>47.431800000000003</v>
          </cell>
          <cell r="AF205">
            <v>35.36</v>
          </cell>
          <cell r="AG205">
            <v>40</v>
          </cell>
          <cell r="AH205">
            <v>34.25</v>
          </cell>
          <cell r="AI205">
            <v>41</v>
          </cell>
          <cell r="AJ205">
            <v>36.25</v>
          </cell>
          <cell r="AK205">
            <v>43.75</v>
          </cell>
          <cell r="AL205">
            <v>42.75</v>
          </cell>
          <cell r="AM205">
            <v>40.25</v>
          </cell>
          <cell r="AN205">
            <v>33.25</v>
          </cell>
          <cell r="AO205">
            <v>59</v>
          </cell>
          <cell r="AP205">
            <v>65.25</v>
          </cell>
          <cell r="AQ205">
            <v>58.5</v>
          </cell>
          <cell r="AR205">
            <v>53.75</v>
          </cell>
          <cell r="AS205">
            <v>37.25</v>
          </cell>
          <cell r="AT205">
            <v>39.5</v>
          </cell>
          <cell r="AU205">
            <v>43.5</v>
          </cell>
          <cell r="AV205">
            <v>35</v>
          </cell>
          <cell r="AW205">
            <v>44.25</v>
          </cell>
          <cell r="AX205">
            <v>46.75</v>
          </cell>
          <cell r="AY205">
            <v>42</v>
          </cell>
          <cell r="AZ205">
            <v>47</v>
          </cell>
          <cell r="BA205">
            <v>51.75</v>
          </cell>
          <cell r="BB205">
            <v>45</v>
          </cell>
          <cell r="BC205">
            <v>45.5</v>
          </cell>
          <cell r="BD205">
            <v>40.75</v>
          </cell>
          <cell r="BE205">
            <v>62.75</v>
          </cell>
          <cell r="BF205">
            <v>54.75</v>
          </cell>
        </row>
        <row r="206">
          <cell r="AA206">
            <v>23.512499999999999</v>
          </cell>
          <cell r="AB206">
            <v>18.329499999999999</v>
          </cell>
          <cell r="AC206">
            <v>44.159100000000002</v>
          </cell>
          <cell r="AD206">
            <v>61.738100000000003</v>
          </cell>
          <cell r="AE206">
            <v>46.261899999999997</v>
          </cell>
          <cell r="AF206">
            <v>38</v>
          </cell>
          <cell r="AG206">
            <v>40.25</v>
          </cell>
          <cell r="AH206">
            <v>33.5</v>
          </cell>
          <cell r="AI206">
            <v>40.75</v>
          </cell>
          <cell r="AJ206">
            <v>40.5</v>
          </cell>
          <cell r="AK206">
            <v>46.5</v>
          </cell>
          <cell r="AL206">
            <v>45.5</v>
          </cell>
          <cell r="AM206">
            <v>43.75</v>
          </cell>
          <cell r="AN206">
            <v>37.75</v>
          </cell>
          <cell r="AO206">
            <v>59.5</v>
          </cell>
          <cell r="AP206">
            <v>67.25</v>
          </cell>
          <cell r="AQ206">
            <v>60</v>
          </cell>
          <cell r="AR206">
            <v>57.75</v>
          </cell>
          <cell r="AS206">
            <v>38.5</v>
          </cell>
          <cell r="AT206">
            <v>42</v>
          </cell>
          <cell r="AU206">
            <v>43.5</v>
          </cell>
          <cell r="AV206">
            <v>39</v>
          </cell>
          <cell r="AW206">
            <v>46.25</v>
          </cell>
          <cell r="AX206">
            <v>47.25</v>
          </cell>
          <cell r="AY206">
            <v>41.75</v>
          </cell>
          <cell r="AZ206">
            <v>46.5</v>
          </cell>
          <cell r="BA206">
            <v>50.75</v>
          </cell>
          <cell r="BB206">
            <v>46</v>
          </cell>
          <cell r="BC206">
            <v>47.25</v>
          </cell>
          <cell r="BD206">
            <v>43.5</v>
          </cell>
          <cell r="BE206">
            <v>58</v>
          </cell>
          <cell r="BF206">
            <v>53.75</v>
          </cell>
        </row>
        <row r="207">
          <cell r="AA207">
            <v>24.863600000000002</v>
          </cell>
          <cell r="AB207">
            <v>17.6023</v>
          </cell>
          <cell r="AC207">
            <v>44.273800000000001</v>
          </cell>
          <cell r="AD207">
            <v>60.5</v>
          </cell>
          <cell r="AE207">
            <v>49.075000000000003</v>
          </cell>
          <cell r="AF207">
            <v>39.5</v>
          </cell>
          <cell r="AG207">
            <v>40.25</v>
          </cell>
          <cell r="AH207">
            <v>33.25</v>
          </cell>
          <cell r="AI207">
            <v>41.25</v>
          </cell>
          <cell r="AJ207">
            <v>46</v>
          </cell>
          <cell r="AK207">
            <v>48.5</v>
          </cell>
          <cell r="AL207">
            <v>49.25</v>
          </cell>
          <cell r="AM207">
            <v>48.25</v>
          </cell>
          <cell r="AN207">
            <v>43.5</v>
          </cell>
          <cell r="AO207">
            <v>60.75</v>
          </cell>
          <cell r="AP207">
            <v>69.5</v>
          </cell>
          <cell r="AQ207">
            <v>62.25</v>
          </cell>
          <cell r="AR207">
            <v>63.25</v>
          </cell>
          <cell r="AS207">
            <v>41</v>
          </cell>
          <cell r="AT207">
            <v>46.25</v>
          </cell>
          <cell r="AU207">
            <v>45.5</v>
          </cell>
          <cell r="AV207">
            <v>45</v>
          </cell>
          <cell r="AW207">
            <v>50.25</v>
          </cell>
          <cell r="AX207">
            <v>49.5</v>
          </cell>
          <cell r="AY207">
            <v>43.5</v>
          </cell>
          <cell r="AZ207">
            <v>48</v>
          </cell>
          <cell r="BA207">
            <v>51.75</v>
          </cell>
          <cell r="BB207">
            <v>49</v>
          </cell>
          <cell r="BC207">
            <v>51.25</v>
          </cell>
          <cell r="BD207">
            <v>48.5</v>
          </cell>
          <cell r="BE207">
            <v>54.75</v>
          </cell>
          <cell r="BF207">
            <v>55.25</v>
          </cell>
        </row>
        <row r="208">
          <cell r="AA208">
            <v>24.948899999999998</v>
          </cell>
          <cell r="AB208">
            <v>18.666699999999999</v>
          </cell>
          <cell r="AC208">
            <v>46.806800000000003</v>
          </cell>
          <cell r="AD208">
            <v>60.847799999999999</v>
          </cell>
          <cell r="AE208">
            <v>52.978299999999997</v>
          </cell>
          <cell r="AF208">
            <v>36.479999999999997</v>
          </cell>
          <cell r="AG208">
            <v>41.25</v>
          </cell>
          <cell r="AH208">
            <v>37</v>
          </cell>
          <cell r="AI208">
            <v>34.25</v>
          </cell>
          <cell r="AJ208">
            <v>42</v>
          </cell>
          <cell r="AK208">
            <v>40.5</v>
          </cell>
          <cell r="AL208">
            <v>45.25</v>
          </cell>
          <cell r="AM208">
            <v>31.25</v>
          </cell>
          <cell r="AN208">
            <v>24.5</v>
          </cell>
          <cell r="AO208">
            <v>27.5</v>
          </cell>
          <cell r="AP208">
            <v>39</v>
          </cell>
          <cell r="AQ208">
            <v>13.25</v>
          </cell>
          <cell r="AR208">
            <v>17.5</v>
          </cell>
          <cell r="AS208">
            <v>13.25</v>
          </cell>
          <cell r="AT208">
            <v>11.25</v>
          </cell>
          <cell r="AU208">
            <v>11.25</v>
          </cell>
          <cell r="AV208">
            <v>14</v>
          </cell>
          <cell r="AW208">
            <v>19.25</v>
          </cell>
          <cell r="AX208">
            <v>18.75</v>
          </cell>
          <cell r="AY208">
            <v>10.75</v>
          </cell>
          <cell r="AZ208">
            <v>13.5</v>
          </cell>
          <cell r="BA208">
            <v>17.75</v>
          </cell>
          <cell r="BB208">
            <v>13</v>
          </cell>
          <cell r="BC208">
            <v>14</v>
          </cell>
          <cell r="BD208">
            <v>15</v>
          </cell>
          <cell r="BE208">
            <v>18.5</v>
          </cell>
          <cell r="BF208">
            <v>18.5</v>
          </cell>
        </row>
        <row r="209">
          <cell r="AA209">
            <v>23.487500000000001</v>
          </cell>
          <cell r="AB209">
            <v>22.369</v>
          </cell>
          <cell r="AC209">
            <v>42.5</v>
          </cell>
          <cell r="AD209">
            <v>61.642899999999997</v>
          </cell>
          <cell r="AE209">
            <v>54.85</v>
          </cell>
          <cell r="AF209">
            <v>35</v>
          </cell>
          <cell r="AG209">
            <v>41.25</v>
          </cell>
          <cell r="AH209">
            <v>32.5</v>
          </cell>
          <cell r="AI209">
            <v>32.75</v>
          </cell>
          <cell r="AJ209">
            <v>34</v>
          </cell>
          <cell r="AK209">
            <v>31.75</v>
          </cell>
          <cell r="AL209">
            <v>35</v>
          </cell>
          <cell r="AM209">
            <v>33</v>
          </cell>
          <cell r="AN209">
            <v>33</v>
          </cell>
          <cell r="AO209">
            <v>32.5</v>
          </cell>
          <cell r="AP209">
            <v>24.75</v>
          </cell>
          <cell r="AQ209">
            <v>7.75</v>
          </cell>
          <cell r="AR209">
            <v>12.75</v>
          </cell>
          <cell r="AS209">
            <v>13.25</v>
          </cell>
          <cell r="AT209">
            <v>7.75</v>
          </cell>
          <cell r="AU209">
            <v>5.25</v>
          </cell>
          <cell r="AV209">
            <v>11</v>
          </cell>
          <cell r="AW209">
            <v>16.25</v>
          </cell>
          <cell r="AX209">
            <v>13</v>
          </cell>
          <cell r="AY209">
            <v>5.5</v>
          </cell>
          <cell r="AZ209">
            <v>7</v>
          </cell>
          <cell r="BA209">
            <v>10.5</v>
          </cell>
          <cell r="BB209">
            <v>7.25</v>
          </cell>
          <cell r="BC209">
            <v>9</v>
          </cell>
          <cell r="BD209">
            <v>11</v>
          </cell>
          <cell r="BE209">
            <v>14.25</v>
          </cell>
          <cell r="BF209">
            <v>12.75</v>
          </cell>
        </row>
        <row r="246">
          <cell r="N246">
            <v>-2.4522999999999993</v>
          </cell>
          <cell r="O246">
            <v>-0.5</v>
          </cell>
          <cell r="P246">
            <v>-1.7607999999999997</v>
          </cell>
          <cell r="Q246">
            <v>1.1956999999999987</v>
          </cell>
          <cell r="R246">
            <v>-2.3977000000000004</v>
          </cell>
          <cell r="S246">
            <v>-4.5179000000000009</v>
          </cell>
          <cell r="T246">
            <v>0.67269999999999897</v>
          </cell>
          <cell r="U246">
            <v>9.2400000000004923E-2</v>
          </cell>
          <cell r="V246">
            <v>0.82830000000000226</v>
          </cell>
          <cell r="W246">
            <v>-0.98910000000000053</v>
          </cell>
          <cell r="X246">
            <v>0.79550000000000054</v>
          </cell>
          <cell r="Y246">
            <v>-1.0594999999999999</v>
          </cell>
          <cell r="Z246">
            <v>2.7443999999999988</v>
          </cell>
          <cell r="AA246">
            <v>1.4783000000000008</v>
          </cell>
        </row>
        <row r="247">
          <cell r="N247">
            <v>-3.3686999999999987</v>
          </cell>
          <cell r="O247">
            <v>-1.4186999999999976</v>
          </cell>
          <cell r="P247">
            <v>-1.7561999999999998</v>
          </cell>
          <cell r="Q247">
            <v>0.46710000000000029</v>
          </cell>
          <cell r="R247">
            <v>-4.1187000000000005</v>
          </cell>
          <cell r="S247">
            <v>-3.7142000000000017</v>
          </cell>
          <cell r="T247">
            <v>5.8451999999999984</v>
          </cell>
          <cell r="U247">
            <v>2.4249999999999972</v>
          </cell>
          <cell r="V247">
            <v>-0.90789999999999793</v>
          </cell>
          <cell r="W247">
            <v>-2.0138999999999996</v>
          </cell>
          <cell r="X247">
            <v>-0.64480000000000004</v>
          </cell>
          <cell r="Y247">
            <v>-0.375</v>
          </cell>
          <cell r="Z247">
            <v>1.7062999999999988</v>
          </cell>
          <cell r="AA247">
            <v>1.3250000000000028</v>
          </cell>
        </row>
        <row r="248">
          <cell r="N248">
            <v>-3.3375000000000004</v>
          </cell>
          <cell r="O248">
            <v>-2.1875</v>
          </cell>
          <cell r="P248">
            <v>-0.76249999999999929</v>
          </cell>
          <cell r="Q248">
            <v>-1.1818000000000008</v>
          </cell>
          <cell r="R248">
            <v>-5.2671000000000028</v>
          </cell>
          <cell r="S248">
            <v>-2.3068999999999988</v>
          </cell>
          <cell r="T248">
            <v>4.2590000000000003</v>
          </cell>
          <cell r="U248">
            <v>-1.2374999999999972</v>
          </cell>
          <cell r="V248">
            <v>-0.78950000000000031</v>
          </cell>
          <cell r="W248">
            <v>-2.5</v>
          </cell>
          <cell r="X248">
            <v>-0.3863999999999983</v>
          </cell>
          <cell r="Y248">
            <v>0.66069999999999851</v>
          </cell>
          <cell r="Z248">
            <v>3.2624999999999993</v>
          </cell>
          <cell r="AA248">
            <v>1.75</v>
          </cell>
        </row>
        <row r="249">
          <cell r="N249">
            <v>-2.8280999999999992</v>
          </cell>
          <cell r="O249">
            <v>-2.6875</v>
          </cell>
          <cell r="P249">
            <v>-2.1012000000000022</v>
          </cell>
          <cell r="Q249">
            <v>-5.6</v>
          </cell>
          <cell r="R249">
            <v>-3.3684000000000012</v>
          </cell>
          <cell r="S249">
            <v>-1.6938000000000031</v>
          </cell>
          <cell r="T249">
            <v>-3.4875000000000007</v>
          </cell>
          <cell r="U249">
            <v>-2.25</v>
          </cell>
          <cell r="V249">
            <v>0.61899999999999977</v>
          </cell>
          <cell r="W249">
            <v>-1.0375000000000014</v>
          </cell>
          <cell r="X249">
            <v>-1.1578999999999979</v>
          </cell>
          <cell r="Y249">
            <v>-0.36870000000000047</v>
          </cell>
          <cell r="Z249">
            <v>4.2083000000000013</v>
          </cell>
        </row>
        <row r="250">
          <cell r="M250">
            <v>-1.2539000000000016</v>
          </cell>
          <cell r="N250">
            <v>-0.60519999999999996</v>
          </cell>
          <cell r="O250">
            <v>-2.1447000000000003</v>
          </cell>
          <cell r="P250">
            <v>-2.3811999999999998</v>
          </cell>
          <cell r="Q250">
            <v>-3.3091999999999988</v>
          </cell>
          <cell r="R250">
            <v>-2.2762999999999991</v>
          </cell>
          <cell r="S250">
            <v>-0.75659999999999883</v>
          </cell>
          <cell r="T250">
            <v>-6.2188000000000017</v>
          </cell>
          <cell r="U250">
            <v>-0.98689999999999856</v>
          </cell>
          <cell r="V250">
            <v>-1.2894000000000005</v>
          </cell>
          <cell r="W250">
            <v>-0.94739999999999824</v>
          </cell>
          <cell r="X250">
            <v>-1.1624999999999979</v>
          </cell>
          <cell r="Y250">
            <v>-0.63159999999999883</v>
          </cell>
          <cell r="Z250">
            <v>3.8815999999999988</v>
          </cell>
        </row>
        <row r="251">
          <cell r="M251">
            <v>-1.2044999999999995</v>
          </cell>
          <cell r="N251">
            <v>0.4267000000000003</v>
          </cell>
          <cell r="O251">
            <v>-3.0567999999999991</v>
          </cell>
          <cell r="P251">
            <v>-2.6562000000000019</v>
          </cell>
          <cell r="Q251">
            <v>-1.1988000000000003</v>
          </cell>
          <cell r="R251">
            <v>-3.9619999999999997</v>
          </cell>
          <cell r="S251">
            <v>-5.5489000000000033</v>
          </cell>
          <cell r="T251">
            <v>-3.3182000000000045</v>
          </cell>
          <cell r="U251">
            <v>-1.0375000000000014</v>
          </cell>
          <cell r="V251">
            <v>-2.7261999999999986</v>
          </cell>
          <cell r="W251">
            <v>-2.5397999999999996</v>
          </cell>
          <cell r="X251">
            <v>-1.1193000000000026</v>
          </cell>
          <cell r="Y251">
            <v>-0.66300000000000026</v>
          </cell>
          <cell r="Z251">
            <v>3.2679000000000009</v>
          </cell>
        </row>
        <row r="252">
          <cell r="M252">
            <v>-2.5297999999999998</v>
          </cell>
          <cell r="N252">
            <v>0.15789999999999971</v>
          </cell>
          <cell r="O252">
            <v>-2.4562000000000026</v>
          </cell>
          <cell r="P252">
            <v>-2.0880999999999972</v>
          </cell>
          <cell r="Q252">
            <v>-5.125</v>
          </cell>
          <cell r="R252">
            <v>-2.5594999999999999</v>
          </cell>
          <cell r="S252">
            <v>-4.8562999999999974</v>
          </cell>
          <cell r="T252">
            <v>-0.55000000000000426</v>
          </cell>
          <cell r="U252">
            <v>-0.625</v>
          </cell>
          <cell r="V252">
            <v>-2.8570999999999991</v>
          </cell>
          <cell r="W252">
            <v>-0.85709999999999908</v>
          </cell>
          <cell r="X252">
            <v>-1.5477000000000025</v>
          </cell>
          <cell r="Y252">
            <v>-0.39480000000000004</v>
          </cell>
          <cell r="Z252">
            <v>3.0119000000000007</v>
          </cell>
        </row>
        <row r="253">
          <cell r="M253">
            <v>-0.80949999999999989</v>
          </cell>
          <cell r="N253">
            <v>-0.58230000000000004</v>
          </cell>
          <cell r="O253">
            <v>-3.5453999999999972</v>
          </cell>
          <cell r="P253">
            <v>-0.13690000000000424</v>
          </cell>
          <cell r="Q253">
            <v>-6.6499999999999986</v>
          </cell>
          <cell r="R253">
            <v>-3.3812999999999995</v>
          </cell>
          <cell r="S253">
            <v>-4.4107000000000056</v>
          </cell>
          <cell r="T253">
            <v>0.27839999999999776</v>
          </cell>
          <cell r="U253">
            <v>-1.1477000000000004</v>
          </cell>
          <cell r="V253">
            <v>-2.4344999999999999</v>
          </cell>
          <cell r="W253">
            <v>-1.0124999999999993</v>
          </cell>
          <cell r="X253">
            <v>-0.7024000000000008</v>
          </cell>
          <cell r="Y253">
            <v>-0.21020000000000039</v>
          </cell>
          <cell r="Z253">
            <v>0.80679999999999907</v>
          </cell>
        </row>
        <row r="254">
          <cell r="M254">
            <v>-0.63060000000000116</v>
          </cell>
          <cell r="N254">
            <v>0.63630000000000031</v>
          </cell>
          <cell r="O254">
            <v>-3.6011999999999986</v>
          </cell>
          <cell r="P254">
            <v>-1.6308999999999969</v>
          </cell>
          <cell r="Q254">
            <v>-8.1932000000000009</v>
          </cell>
          <cell r="R254">
            <v>-3.3522999999999996</v>
          </cell>
          <cell r="S254">
            <v>-3.3920999999999992</v>
          </cell>
          <cell r="T254">
            <v>-0.92260000000000275</v>
          </cell>
          <cell r="U254">
            <v>-3.75</v>
          </cell>
          <cell r="V254">
            <v>-1.2738000000000014</v>
          </cell>
          <cell r="W254">
            <v>-2.0682000000000009</v>
          </cell>
          <cell r="X254">
            <v>1.2670999999999992</v>
          </cell>
          <cell r="Y254">
            <v>-0.34660000000000224</v>
          </cell>
          <cell r="Z254">
            <v>0.14880000000000138</v>
          </cell>
        </row>
        <row r="255">
          <cell r="M255">
            <v>0.43130000000000024</v>
          </cell>
          <cell r="N255">
            <v>-0.68120000000000047</v>
          </cell>
          <cell r="O255">
            <v>0.69050000000000011</v>
          </cell>
          <cell r="P255">
            <v>-3.3181999999999974</v>
          </cell>
          <cell r="Q255">
            <v>-4.375</v>
          </cell>
          <cell r="R255">
            <v>-1.7619000000000007</v>
          </cell>
          <cell r="S255">
            <v>-2.931200000000004</v>
          </cell>
          <cell r="T255">
            <v>-1.1784999999999997</v>
          </cell>
          <cell r="U255">
            <v>-4.0568000000000026</v>
          </cell>
          <cell r="V255">
            <v>-1.8182000000000009</v>
          </cell>
          <cell r="W255">
            <v>-1.2955000000000005</v>
          </cell>
          <cell r="X255">
            <v>0.5625</v>
          </cell>
          <cell r="Y255">
            <v>-0.34999999999999787</v>
          </cell>
          <cell r="Z255">
            <v>0.36899999999999977</v>
          </cell>
        </row>
        <row r="256">
          <cell r="M256">
            <v>-0.36419999999999852</v>
          </cell>
          <cell r="N256">
            <v>-1.0054000000000016</v>
          </cell>
          <cell r="O256">
            <v>1.3369999999999997</v>
          </cell>
          <cell r="P256">
            <v>0.69639999999999702</v>
          </cell>
          <cell r="Q256">
            <v>-5.0298000000000016</v>
          </cell>
          <cell r="R256">
            <v>-1.4146999999999998</v>
          </cell>
          <cell r="S256">
            <v>-0.97829999999999728</v>
          </cell>
          <cell r="T256">
            <v>-1.3478000000000065</v>
          </cell>
          <cell r="U256">
            <v>-0.85790000000000077</v>
          </cell>
          <cell r="V256">
            <v>0.92859999999999943</v>
          </cell>
          <cell r="W256">
            <v>1.0475999999999992</v>
          </cell>
          <cell r="X256">
            <v>-1</v>
          </cell>
          <cell r="Y256">
            <v>-8.1499999999998352E-2</v>
          </cell>
          <cell r="Z256">
            <v>9.789999999999921E-2</v>
          </cell>
        </row>
        <row r="257">
          <cell r="M257">
            <v>-3.2530999999999999</v>
          </cell>
          <cell r="N257">
            <v>4.3699999999999406E-2</v>
          </cell>
          <cell r="O257">
            <v>0.5262999999999991</v>
          </cell>
          <cell r="P257">
            <v>-0.55349999999999966</v>
          </cell>
          <cell r="Q257">
            <v>-3.5296999999999983</v>
          </cell>
          <cell r="R257">
            <v>-3.625</v>
          </cell>
          <cell r="S257">
            <v>0.16069999999999851</v>
          </cell>
          <cell r="T257">
            <v>-3.1315999999999988</v>
          </cell>
          <cell r="U257">
            <v>-0.1062999999999974</v>
          </cell>
          <cell r="V257">
            <v>0.18459999999999965</v>
          </cell>
          <cell r="W257">
            <v>1.1369000000000007</v>
          </cell>
          <cell r="X257">
            <v>-1.25</v>
          </cell>
          <cell r="Y257">
            <v>8.7499999999998579E-2</v>
          </cell>
          <cell r="Z257">
            <v>-0.28950000000000031</v>
          </cell>
        </row>
      </sheetData>
      <sheetData sheetId="48">
        <row r="23">
          <cell r="C23">
            <v>101.46119682061199</v>
          </cell>
          <cell r="D23">
            <v>103.99571521858921</v>
          </cell>
          <cell r="E23">
            <v>101.50142727137353</v>
          </cell>
          <cell r="F23">
            <v>101.42096636985046</v>
          </cell>
          <cell r="G23">
            <v>104.3577892754431</v>
          </cell>
          <cell r="H23">
            <v>104.19686747239693</v>
          </cell>
          <cell r="I23">
            <v>92.328884497741683</v>
          </cell>
          <cell r="J23">
            <v>84.40348569771767</v>
          </cell>
          <cell r="K23">
            <v>89.633444296718281</v>
          </cell>
          <cell r="L23">
            <v>101.6333108018426</v>
          </cell>
          <cell r="M23">
            <v>107.82737737468727</v>
          </cell>
          <cell r="N23">
            <v>107.05826451291412</v>
          </cell>
          <cell r="O23">
            <v>110.07081329204755</v>
          </cell>
          <cell r="P23">
            <v>113.87084254328741</v>
          </cell>
          <cell r="Q23">
            <v>110.58334544687864</v>
          </cell>
          <cell r="R23">
            <v>110.09266605802856</v>
          </cell>
          <cell r="S23">
            <v>105.70549668853688</v>
          </cell>
          <cell r="T23">
            <v>111.52568854092351</v>
          </cell>
          <cell r="U23">
            <v>116.04353951860584</v>
          </cell>
          <cell r="V23">
            <v>120.82700107792594</v>
          </cell>
          <cell r="W23">
            <v>125.24382739686899</v>
          </cell>
          <cell r="X23">
            <v>129.14635754936145</v>
          </cell>
          <cell r="Y23">
            <v>152.94443665539359</v>
          </cell>
          <cell r="Z23">
            <v>157.37859692979455</v>
          </cell>
          <cell r="AA23">
            <v>176.35948371772128</v>
          </cell>
          <cell r="AB23">
            <v>147.66185999862594</v>
          </cell>
          <cell r="AC23">
            <v>153.97383823529412</v>
          </cell>
          <cell r="AD23">
            <v>288.6099794117647</v>
          </cell>
          <cell r="AE23">
            <v>384.53688235294118</v>
          </cell>
          <cell r="AF23">
            <v>376.9323823529412</v>
          </cell>
          <cell r="AG23">
            <v>402.67875882352939</v>
          </cell>
          <cell r="AH23">
            <v>412.69399875691261</v>
          </cell>
          <cell r="AI23">
            <v>443.38386997387022</v>
          </cell>
          <cell r="AJ23">
            <v>473.22366502975166</v>
          </cell>
          <cell r="AK23">
            <v>500.86473865625169</v>
          </cell>
          <cell r="AL23">
            <v>532.36156109462183</v>
          </cell>
          <cell r="AM23">
            <v>631.99384007382343</v>
          </cell>
          <cell r="AN23">
            <v>662.12631413504505</v>
          </cell>
          <cell r="AO23">
            <v>689.28315765787431</v>
          </cell>
          <cell r="AP23">
            <v>633.39123111284732</v>
          </cell>
          <cell r="AQ23">
            <v>805.83469076642461</v>
          </cell>
          <cell r="AR23">
            <v>864.81008732317457</v>
          </cell>
          <cell r="AS23">
            <v>928.77172671084588</v>
          </cell>
          <cell r="AT23">
            <v>965.77591847561996</v>
          </cell>
          <cell r="AU23">
            <v>1043.9371609182983</v>
          </cell>
          <cell r="AV23">
            <v>1112.5726770660099</v>
          </cell>
          <cell r="AW23">
            <v>1202.6372251719665</v>
          </cell>
          <cell r="AX23">
            <v>1289.1833256791499</v>
          </cell>
          <cell r="AY23">
            <v>1415.2422566658811</v>
          </cell>
          <cell r="AZ23">
            <v>1509.4267554971611</v>
          </cell>
          <cell r="BA23">
            <v>1613.1572391380694</v>
          </cell>
          <cell r="BB23">
            <v>1723.822325752599</v>
          </cell>
          <cell r="BC23">
            <v>1861.8318442823156</v>
          </cell>
          <cell r="BD23">
            <v>2004.7613350359202</v>
          </cell>
          <cell r="BE23">
            <v>2158.466804222202</v>
          </cell>
          <cell r="BF23">
            <v>2318.4977090628377</v>
          </cell>
          <cell r="BG23">
            <v>2494.3305570963289</v>
          </cell>
        </row>
        <row r="24">
          <cell r="C24">
            <v>105.02072719776532</v>
          </cell>
          <cell r="D24">
            <v>99.609823220362898</v>
          </cell>
          <cell r="E24">
            <v>91.821400828647285</v>
          </cell>
          <cell r="F24">
            <v>89.812807685520625</v>
          </cell>
          <cell r="G24">
            <v>98.462055710004805</v>
          </cell>
          <cell r="H24">
            <v>106.20948640492192</v>
          </cell>
          <cell r="I24">
            <v>90.304708047102665</v>
          </cell>
          <cell r="J24">
            <v>87.681239451998465</v>
          </cell>
          <cell r="K24">
            <v>85.713638005670305</v>
          </cell>
          <cell r="L24">
            <v>98.337955107511931</v>
          </cell>
          <cell r="M24">
            <v>106.74416317397026</v>
          </cell>
          <cell r="N24">
            <v>103.85458991504098</v>
          </cell>
          <cell r="O24">
            <v>109.69054404949344</v>
          </cell>
          <cell r="P24">
            <v>111.61240222403438</v>
          </cell>
          <cell r="Q24">
            <v>105.45945463541048</v>
          </cell>
          <cell r="R24">
            <v>106.56699650915877</v>
          </cell>
          <cell r="S24">
            <v>107.01924889681251</v>
          </cell>
          <cell r="T24">
            <v>108.59602640129967</v>
          </cell>
          <cell r="U24">
            <v>113.94026926547886</v>
          </cell>
          <cell r="V24">
            <v>118.08454586374454</v>
          </cell>
          <cell r="W24">
            <v>122.44735416462872</v>
          </cell>
          <cell r="X24">
            <v>125.45769639605828</v>
          </cell>
          <cell r="Y24">
            <v>153.3876303308063</v>
          </cell>
          <cell r="Z24">
            <v>156.94396828202082</v>
          </cell>
          <cell r="AA24">
            <v>173.69171419499506</v>
          </cell>
          <cell r="AB24">
            <v>143.85710581080821</v>
          </cell>
          <cell r="AC24">
            <v>147.28725588235295</v>
          </cell>
          <cell r="AD24">
            <v>284.65257058823533</v>
          </cell>
          <cell r="AE24">
            <v>375.19852941176475</v>
          </cell>
          <cell r="AF24">
            <v>369.85127941176472</v>
          </cell>
          <cell r="AG24">
            <v>401.50930294117643</v>
          </cell>
          <cell r="AH24">
            <v>404.85484407143616</v>
          </cell>
          <cell r="AI24">
            <v>433.1942832574972</v>
          </cell>
          <cell r="AJ24">
            <v>462.41697578697483</v>
          </cell>
          <cell r="AK24">
            <v>492.06372706816643</v>
          </cell>
          <cell r="AL24">
            <v>523.97555197941529</v>
          </cell>
          <cell r="AM24">
            <v>671.73298022629945</v>
          </cell>
          <cell r="AN24">
            <v>650.48258426209782</v>
          </cell>
          <cell r="AO24">
            <v>677.30370918999608</v>
          </cell>
          <cell r="AP24">
            <v>519.10464291942287</v>
          </cell>
          <cell r="AQ24">
            <v>806.3202974046585</v>
          </cell>
          <cell r="AR24">
            <v>864.84149216951789</v>
          </cell>
          <cell r="AS24">
            <v>928.44196490900993</v>
          </cell>
          <cell r="AT24">
            <v>933.09737568009803</v>
          </cell>
          <cell r="AU24">
            <v>1014.1422239821387</v>
          </cell>
          <cell r="AV24">
            <v>1070.7557696357655</v>
          </cell>
          <cell r="AW24">
            <v>1163.9774779505337</v>
          </cell>
          <cell r="AX24">
            <v>1244.1148900507037</v>
          </cell>
          <cell r="AY24">
            <v>1396.1171478653048</v>
          </cell>
          <cell r="AZ24">
            <v>1477.3125769862831</v>
          </cell>
          <cell r="BA24">
            <v>1569.1628666848958</v>
          </cell>
          <cell r="BB24">
            <v>1666.0908559690024</v>
          </cell>
          <cell r="BC24">
            <v>1808.2619829243868</v>
          </cell>
          <cell r="BD24">
            <v>1950.4793460148394</v>
          </cell>
          <cell r="BE24">
            <v>2103.5162203055838</v>
          </cell>
          <cell r="BF24">
            <v>2257.6911154193635</v>
          </cell>
          <cell r="BG24">
            <v>2430.9135840494359</v>
          </cell>
        </row>
        <row r="25">
          <cell r="C25">
            <v>114.44379807240756</v>
          </cell>
          <cell r="D25">
            <v>101.87147588447657</v>
          </cell>
          <cell r="E25">
            <v>99.374844528007984</v>
          </cell>
          <cell r="F25">
            <v>111.05551266005739</v>
          </cell>
          <cell r="G25">
            <v>118.2779105126986</v>
          </cell>
          <cell r="H25">
            <v>118.14416240431635</v>
          </cell>
          <cell r="I25">
            <v>92.063281269778599</v>
          </cell>
          <cell r="J25">
            <v>115.78127915623001</v>
          </cell>
          <cell r="K25">
            <v>92.776604514483907</v>
          </cell>
          <cell r="L25">
            <v>102.50561944792935</v>
          </cell>
          <cell r="M25">
            <v>117.08075313624636</v>
          </cell>
          <cell r="N25">
            <v>114.55261261863593</v>
          </cell>
          <cell r="O25">
            <v>117.46252456373489</v>
          </cell>
          <cell r="P25">
            <v>118.00808122607305</v>
          </cell>
          <cell r="Q25">
            <v>130.73575599997534</v>
          </cell>
          <cell r="R25">
            <v>113.2962344090069</v>
          </cell>
          <cell r="S25">
            <v>114.70902918262937</v>
          </cell>
          <cell r="T25">
            <v>120.09299730030719</v>
          </cell>
          <cell r="U25">
            <v>125.29805165307887</v>
          </cell>
          <cell r="V25">
            <v>130.69501810376698</v>
          </cell>
          <cell r="W25">
            <v>136.58942495422485</v>
          </cell>
          <cell r="X25">
            <v>140.16063817971431</v>
          </cell>
          <cell r="Y25">
            <v>164.08925876268867</v>
          </cell>
          <cell r="Z25">
            <v>172.6077794190507</v>
          </cell>
          <cell r="AA25">
            <v>182.72715216697009</v>
          </cell>
          <cell r="AB25">
            <v>154.5493510364696</v>
          </cell>
          <cell r="AC25">
            <v>155.61852941176471</v>
          </cell>
          <cell r="AD25">
            <v>292.08019117647063</v>
          </cell>
          <cell r="AE25">
            <v>393.03223529411764</v>
          </cell>
          <cell r="AF25">
            <v>388.91073529411767</v>
          </cell>
          <cell r="AG25">
            <v>421.17998529411761</v>
          </cell>
          <cell r="AH25">
            <v>427.70097979502117</v>
          </cell>
          <cell r="AI25">
            <v>453.73158674781791</v>
          </cell>
          <cell r="AJ25">
            <v>484.59326561693973</v>
          </cell>
          <cell r="AK25">
            <v>514.60881421761974</v>
          </cell>
          <cell r="AL25">
            <v>548.75721373445413</v>
          </cell>
          <cell r="AM25">
            <v>600.52614808635417</v>
          </cell>
          <cell r="AN25">
            <v>683.22602890247344</v>
          </cell>
          <cell r="AO25">
            <v>410.57419366909824</v>
          </cell>
          <cell r="AP25">
            <v>504.14759643057505</v>
          </cell>
          <cell r="AQ25">
            <v>812.19857345043158</v>
          </cell>
          <cell r="AR25">
            <v>874.42647035410619</v>
          </cell>
          <cell r="AS25">
            <v>849.04912453635586</v>
          </cell>
          <cell r="AT25">
            <v>842.51451158345833</v>
          </cell>
          <cell r="AU25">
            <v>918.28612735390561</v>
          </cell>
          <cell r="AV25">
            <v>999.69375606612516</v>
          </cell>
          <cell r="AW25">
            <v>1058.0006261469466</v>
          </cell>
          <cell r="AX25">
            <v>1192.0789495105382</v>
          </cell>
          <cell r="AY25">
            <v>1319.2409956994986</v>
          </cell>
          <cell r="AZ25">
            <v>1376.8117583591034</v>
          </cell>
          <cell r="BA25">
            <v>1433.1785620611961</v>
          </cell>
          <cell r="BB25">
            <v>1538.5065409630997</v>
          </cell>
          <cell r="BC25">
            <v>1684.8863406342573</v>
          </cell>
          <cell r="BD25">
            <v>1825.677532747457</v>
          </cell>
          <cell r="BE25">
            <v>1958.7798905485063</v>
          </cell>
          <cell r="BF25">
            <v>2106.320171810652</v>
          </cell>
          <cell r="BG25">
            <v>2257.6376454410802</v>
          </cell>
        </row>
        <row r="26">
          <cell r="B26">
            <v>88.591454117825336</v>
          </cell>
          <cell r="C26">
            <v>101.23590724293408</v>
          </cell>
          <cell r="D26">
            <v>93.890082094061384</v>
          </cell>
          <cell r="E26">
            <v>93.890082094061384</v>
          </cell>
          <cell r="F26">
            <v>95.97742038773012</v>
          </cell>
          <cell r="G26">
            <v>103.72465674692374</v>
          </cell>
          <cell r="H26">
            <v>82.690709326107921</v>
          </cell>
          <cell r="I26">
            <v>74.341356151432947</v>
          </cell>
          <cell r="J26">
            <v>99.108427828233246</v>
          </cell>
          <cell r="K26">
            <v>91.407934518325192</v>
          </cell>
          <cell r="L26">
            <v>99.353577390313632</v>
          </cell>
          <cell r="M26">
            <v>103.67824392372735</v>
          </cell>
          <cell r="N26">
            <v>104.88992766836245</v>
          </cell>
          <cell r="O26">
            <v>106.42109385664337</v>
          </cell>
          <cell r="P26">
            <v>112.11976570889789</v>
          </cell>
          <cell r="Q26">
            <v>109.89055827955548</v>
          </cell>
          <cell r="R26">
            <v>101.19280397313592</v>
          </cell>
          <cell r="S26">
            <v>101.87225462898242</v>
          </cell>
          <cell r="T26">
            <v>108.05629739204578</v>
          </cell>
          <cell r="U26">
            <v>112.07366216802893</v>
          </cell>
          <cell r="V26">
            <v>116.7438670742778</v>
          </cell>
          <cell r="W26">
            <v>120.52638177764024</v>
          </cell>
          <cell r="X26">
            <v>124.33780669125295</v>
          </cell>
          <cell r="Y26">
            <v>152.23555728373751</v>
          </cell>
          <cell r="Z26">
            <v>154.02549251338672</v>
          </cell>
          <cell r="AA26">
            <v>168.84971055383591</v>
          </cell>
          <cell r="AB26">
            <v>152.34310103646959</v>
          </cell>
          <cell r="AC26">
            <v>144.3066</v>
          </cell>
          <cell r="AD26">
            <v>266.49079999999998</v>
          </cell>
          <cell r="AE26">
            <v>368.37804411764705</v>
          </cell>
          <cell r="AF26">
            <v>367.7197941176471</v>
          </cell>
          <cell r="AG26">
            <v>388.75958529411764</v>
          </cell>
          <cell r="AH26">
            <v>395.73570488231928</v>
          </cell>
          <cell r="AI26">
            <v>423.82739669302617</v>
          </cell>
          <cell r="AJ26">
            <v>454.85206192049407</v>
          </cell>
          <cell r="AK26">
            <v>478.70797860711173</v>
          </cell>
          <cell r="AL26">
            <v>509.99692786003521</v>
          </cell>
          <cell r="AM26">
            <v>560.15556104867926</v>
          </cell>
          <cell r="AN26">
            <v>637.63129411347325</v>
          </cell>
          <cell r="AO26">
            <v>661.20293572412015</v>
          </cell>
          <cell r="AP26">
            <v>702.53242764952722</v>
          </cell>
          <cell r="AQ26">
            <v>757.67871913669455</v>
          </cell>
          <cell r="AR26">
            <v>815.64134645514105</v>
          </cell>
          <cell r="AS26">
            <v>876.75938438726496</v>
          </cell>
          <cell r="AT26">
            <v>941.96639566013209</v>
          </cell>
          <cell r="AU26">
            <v>1012.3904655599368</v>
          </cell>
          <cell r="AV26">
            <v>1087.9929129965647</v>
          </cell>
          <cell r="AW26">
            <v>1169.4363514033807</v>
          </cell>
          <cell r="AX26">
            <v>1257.2482699240832</v>
          </cell>
          <cell r="AY26">
            <v>1352.3907867068999</v>
          </cell>
          <cell r="AZ26">
            <v>1453.8144061968094</v>
          </cell>
          <cell r="BA26">
            <v>1562.4478546720015</v>
          </cell>
          <cell r="BB26">
            <v>1679.2777114089399</v>
          </cell>
          <cell r="BC26">
            <v>1805.2993236820253</v>
          </cell>
          <cell r="BD26">
            <v>1940.8394083078881</v>
          </cell>
          <cell r="BE26">
            <v>2086.5217264283483</v>
          </cell>
          <cell r="BF26">
            <v>2243.0695135311898</v>
          </cell>
        </row>
        <row r="27">
          <cell r="B27">
            <v>94.761932137433675</v>
          </cell>
          <cell r="C27">
            <v>92.458690731315485</v>
          </cell>
          <cell r="D27">
            <v>92.623207974609656</v>
          </cell>
          <cell r="E27">
            <v>84.4384751207254</v>
          </cell>
          <cell r="F27">
            <v>92.623207974609642</v>
          </cell>
          <cell r="G27">
            <v>102.98779430214145</v>
          </cell>
          <cell r="H27">
            <v>84.315087188254793</v>
          </cell>
          <cell r="I27">
            <v>72.840009468487423</v>
          </cell>
          <cell r="J27">
            <v>95.049837313198438</v>
          </cell>
          <cell r="K27">
            <v>86.614854277579013</v>
          </cell>
          <cell r="L27">
            <v>97.984156448703445</v>
          </cell>
          <cell r="M27">
            <v>98.711786167706904</v>
          </cell>
          <cell r="N27">
            <v>99.242953737655384</v>
          </cell>
          <cell r="O27">
            <v>101.23524718835154</v>
          </cell>
          <cell r="P27">
            <v>107.89379337064068</v>
          </cell>
          <cell r="Q27">
            <v>104.29564778108482</v>
          </cell>
          <cell r="R27">
            <v>97.520353472247081</v>
          </cell>
          <cell r="S27">
            <v>98.288498030344215</v>
          </cell>
          <cell r="T27">
            <v>103.13857140349262</v>
          </cell>
          <cell r="U27">
            <v>107.37920238051609</v>
          </cell>
          <cell r="V27">
            <v>111.92749625434693</v>
          </cell>
          <cell r="W27">
            <v>115.44760869111082</v>
          </cell>
          <cell r="X27">
            <v>127.08531619864968</v>
          </cell>
          <cell r="Y27">
            <v>148.65862830202815</v>
          </cell>
          <cell r="Z27">
            <v>151.95689526924872</v>
          </cell>
          <cell r="AA27">
            <v>172.76725320052708</v>
          </cell>
          <cell r="AB27">
            <v>151.96560103646959</v>
          </cell>
          <cell r="AC27">
            <v>131.49345882352941</v>
          </cell>
          <cell r="AD27">
            <v>261.66766176470588</v>
          </cell>
          <cell r="AE27">
            <v>361.20164705882354</v>
          </cell>
          <cell r="AF27">
            <v>360.03114705882354</v>
          </cell>
          <cell r="AG27">
            <v>370.39863825975982</v>
          </cell>
          <cell r="AH27">
            <v>388.51574032490504</v>
          </cell>
          <cell r="AI27">
            <v>415.63384424581778</v>
          </cell>
          <cell r="AJ27">
            <v>443.34147127378066</v>
          </cell>
          <cell r="AK27">
            <v>462.85273929428848</v>
          </cell>
          <cell r="AL27">
            <v>497.07806127981263</v>
          </cell>
          <cell r="AM27">
            <v>546.1433190316701</v>
          </cell>
          <cell r="AN27">
            <v>620.99936700760838</v>
          </cell>
          <cell r="AO27">
            <v>642.3288202715047</v>
          </cell>
          <cell r="AP27">
            <v>685.2422265256796</v>
          </cell>
          <cell r="AQ27">
            <v>738.17431689289253</v>
          </cell>
          <cell r="AR27">
            <v>793.73866382223184</v>
          </cell>
          <cell r="AS27">
            <v>852.65441690841408</v>
          </cell>
          <cell r="AT27">
            <v>917.5157954578101</v>
          </cell>
          <cell r="AU27">
            <v>986.06414592776298</v>
          </cell>
          <cell r="AV27">
            <v>1059.3211546600348</v>
          </cell>
          <cell r="AW27">
            <v>1138.2591580348117</v>
          </cell>
          <cell r="AX27">
            <v>1224.3160713591078</v>
          </cell>
          <cell r="AY27">
            <v>1316.6840302746264</v>
          </cell>
          <cell r="AZ27">
            <v>1415.2927951401784</v>
          </cell>
          <cell r="BA27">
            <v>1521.0784869482511</v>
          </cell>
          <cell r="BB27">
            <v>1635.1979251095702</v>
          </cell>
          <cell r="BC27">
            <v>1757.763312589391</v>
          </cell>
          <cell r="BD27">
            <v>1889.5588091230829</v>
          </cell>
          <cell r="BE27">
            <v>2031.3423014381121</v>
          </cell>
          <cell r="BF27">
            <v>2183.928322137413</v>
          </cell>
        </row>
        <row r="28">
          <cell r="B28">
            <v>107.40051045661974</v>
          </cell>
          <cell r="C28">
            <v>108.74760921947359</v>
          </cell>
          <cell r="D28">
            <v>92.704887589123302</v>
          </cell>
          <cell r="E28">
            <v>89.969868888783694</v>
          </cell>
          <cell r="F28">
            <v>96.542078004525138</v>
          </cell>
          <cell r="G28">
            <v>112.78890550803509</v>
          </cell>
          <cell r="H28">
            <v>97.521786195691561</v>
          </cell>
          <cell r="I28">
            <v>80.050323453223598</v>
          </cell>
          <cell r="J28">
            <v>100.50173194382279</v>
          </cell>
          <cell r="K28">
            <v>98.978974959868964</v>
          </cell>
          <cell r="L28">
            <v>105.0687795244373</v>
          </cell>
          <cell r="M28">
            <v>108.26469453814195</v>
          </cell>
          <cell r="N28">
            <v>113.69637827096599</v>
          </cell>
          <cell r="O28">
            <v>114.6930940980896</v>
          </cell>
          <cell r="P28">
            <v>116.51862288790269</v>
          </cell>
          <cell r="Q28">
            <v>114.11466812405621</v>
          </cell>
          <cell r="R28">
            <v>106.31767506952426</v>
          </cell>
          <cell r="S28">
            <v>110.69966060040807</v>
          </cell>
          <cell r="T28">
            <v>114.28807750671714</v>
          </cell>
          <cell r="U28">
            <v>118.57824647548176</v>
          </cell>
          <cell r="V28">
            <v>123.0519585477002</v>
          </cell>
          <cell r="W28">
            <v>127.51550741484259</v>
          </cell>
          <cell r="X28">
            <v>142.66013389848649</v>
          </cell>
          <cell r="Y28">
            <v>162.84835376874261</v>
          </cell>
          <cell r="Z28">
            <v>170.76566830287265</v>
          </cell>
          <cell r="AA28">
            <v>182.89076536944694</v>
          </cell>
          <cell r="AB28">
            <v>158.95860103646959</v>
          </cell>
          <cell r="AC28">
            <v>170.28304705882354</v>
          </cell>
          <cell r="AD28">
            <v>287.06770294117649</v>
          </cell>
          <cell r="AE28">
            <v>387.38863235294122</v>
          </cell>
          <cell r="AF28">
            <v>381.79688235294122</v>
          </cell>
          <cell r="AG28">
            <v>413.9085775567554</v>
          </cell>
          <cell r="AH28">
            <v>433.23170429780765</v>
          </cell>
          <cell r="AI28">
            <v>457.03683082727753</v>
          </cell>
          <cell r="AJ28">
            <v>485.04972291411724</v>
          </cell>
          <cell r="AK28">
            <v>511.37405517416994</v>
          </cell>
          <cell r="AL28">
            <v>543.18928273129256</v>
          </cell>
          <cell r="AM28">
            <v>597.30165918669354</v>
          </cell>
          <cell r="AN28">
            <v>681.62705329095957</v>
          </cell>
          <cell r="AO28">
            <v>710.19950973475318</v>
          </cell>
          <cell r="AP28">
            <v>754.29962340788791</v>
          </cell>
          <cell r="AQ28">
            <v>809.61876976085864</v>
          </cell>
          <cell r="AR28">
            <v>870.3596958924561</v>
          </cell>
          <cell r="AS28">
            <v>937.10366528890074</v>
          </cell>
          <cell r="AT28">
            <v>1007.9321478236435</v>
          </cell>
          <cell r="AU28">
            <v>1083.7158052938603</v>
          </cell>
          <cell r="AV28">
            <v>1164.5145626266969</v>
          </cell>
          <cell r="AW28">
            <v>1251.542021578045</v>
          </cell>
          <cell r="AX28">
            <v>1344.6769018632313</v>
          </cell>
          <cell r="AY28">
            <v>1445.8247850195798</v>
          </cell>
          <cell r="AZ28">
            <v>1554.7962325785807</v>
          </cell>
          <cell r="BA28">
            <v>1671.8390114699262</v>
          </cell>
          <cell r="BB28">
            <v>1796.9851711839183</v>
          </cell>
          <cell r="BC28">
            <v>1931.4409621791876</v>
          </cell>
          <cell r="BD28">
            <v>2076.0871290536838</v>
          </cell>
          <cell r="BE28">
            <v>2231.862093659754</v>
          </cell>
          <cell r="BF28">
            <v>2399.3414799148682</v>
          </cell>
        </row>
        <row r="29">
          <cell r="B29">
            <v>99.715166116507405</v>
          </cell>
          <cell r="C29">
            <v>95.950785614776308</v>
          </cell>
          <cell r="D29">
            <v>98.03756176247505</v>
          </cell>
          <cell r="E29">
            <v>91.613564601912216</v>
          </cell>
          <cell r="F29">
            <v>102.25203123723922</v>
          </cell>
          <cell r="G29">
            <v>113.1360009487661</v>
          </cell>
          <cell r="H29">
            <v>83.225542831750545</v>
          </cell>
          <cell r="I29">
            <v>80.647760531652068</v>
          </cell>
          <cell r="J29">
            <v>102.90670610710551</v>
          </cell>
          <cell r="K29">
            <v>95.286929926319431</v>
          </cell>
          <cell r="L29">
            <v>105.21623907369523</v>
          </cell>
          <cell r="M29">
            <v>106.80656679805979</v>
          </cell>
          <cell r="N29">
            <v>108.39791570625204</v>
          </cell>
          <cell r="O29">
            <v>110.09296731811047</v>
          </cell>
          <cell r="P29">
            <v>114.06989954485286</v>
          </cell>
          <cell r="Q29">
            <v>111.98060423482218</v>
          </cell>
          <cell r="R29">
            <v>107.49859516129949</v>
          </cell>
          <cell r="S29">
            <v>107.19158247776105</v>
          </cell>
          <cell r="T29">
            <v>111.5992841739394</v>
          </cell>
          <cell r="U29">
            <v>116.1511825477681</v>
          </cell>
          <cell r="V29">
            <v>120.95005032352388</v>
          </cell>
          <cell r="W29">
            <v>125.350206471343</v>
          </cell>
          <cell r="X29">
            <v>134.52745344947954</v>
          </cell>
          <cell r="Y29">
            <v>156.62891163961376</v>
          </cell>
          <cell r="Z29">
            <v>160.73814881222859</v>
          </cell>
          <cell r="AA29">
            <v>176.50713996227711</v>
          </cell>
          <cell r="AB29">
            <v>147.73960103646959</v>
          </cell>
          <cell r="AC29">
            <v>165.91407058823532</v>
          </cell>
          <cell r="AD29">
            <v>283.88337941176468</v>
          </cell>
          <cell r="AE29">
            <v>377.24226470588235</v>
          </cell>
          <cell r="AF29">
            <v>378.13576470588237</v>
          </cell>
          <cell r="AG29">
            <v>395.20440028937679</v>
          </cell>
          <cell r="AH29">
            <v>417.51714607684505</v>
          </cell>
          <cell r="AI29">
            <v>443.43949294983963</v>
          </cell>
          <cell r="AJ29">
            <v>473.64382295717581</v>
          </cell>
          <cell r="AK29">
            <v>498.88464873535622</v>
          </cell>
          <cell r="AL29">
            <v>528.51777276926805</v>
          </cell>
          <cell r="AM29">
            <v>579.49130914150737</v>
          </cell>
          <cell r="AN29">
            <v>661.82112438529077</v>
          </cell>
          <cell r="AO29">
            <v>688.00034131058783</v>
          </cell>
          <cell r="AP29">
            <v>733.22827271797746</v>
          </cell>
          <cell r="AQ29">
            <v>787.77847283938343</v>
          </cell>
          <cell r="AR29">
            <v>846.83451833675826</v>
          </cell>
          <cell r="AS29">
            <v>910.3250421340955</v>
          </cell>
          <cell r="AT29">
            <v>978.62654668710036</v>
          </cell>
          <cell r="AU29">
            <v>1052.3829834877074</v>
          </cell>
          <cell r="AV29">
            <v>1131.5091408126289</v>
          </cell>
          <cell r="AW29">
            <v>1216.1522465334954</v>
          </cell>
          <cell r="AX29">
            <v>1307.05657391254</v>
          </cell>
          <cell r="AY29">
            <v>1405.0536522859072</v>
          </cell>
          <cell r="AZ29">
            <v>1510.5968264018841</v>
          </cell>
          <cell r="BA29">
            <v>1623.9965574209948</v>
          </cell>
          <cell r="BB29">
            <v>1745.8137504654333</v>
          </cell>
          <cell r="BC29">
            <v>1876.7490275513001</v>
          </cell>
          <cell r="BD29">
            <v>2017.4444845211337</v>
          </cell>
          <cell r="BE29">
            <v>2168.6637093505874</v>
          </cell>
          <cell r="BF29">
            <v>2331.2973104244661</v>
          </cell>
        </row>
        <row r="30">
          <cell r="B30">
            <v>105.86317897135001</v>
          </cell>
          <cell r="C30">
            <v>110.07458468705896</v>
          </cell>
          <cell r="D30">
            <v>106.81280967195106</v>
          </cell>
          <cell r="E30">
            <v>90.834240927055404</v>
          </cell>
          <cell r="F30">
            <v>99.091899193151349</v>
          </cell>
          <cell r="G30">
            <v>116.18525180396998</v>
          </cell>
          <cell r="H30">
            <v>97.151349500618792</v>
          </cell>
          <cell r="I30">
            <v>88.645961486539989</v>
          </cell>
          <cell r="J30">
            <v>112.01513437959152</v>
          </cell>
          <cell r="K30">
            <v>101.65261882444084</v>
          </cell>
          <cell r="L30">
            <v>106.69136029747645</v>
          </cell>
          <cell r="M30">
            <v>111.33536410472828</v>
          </cell>
          <cell r="N30">
            <v>113.82740772708263</v>
          </cell>
          <cell r="O30">
            <v>117.18892410664597</v>
          </cell>
          <cell r="P30">
            <v>120.10389613963261</v>
          </cell>
          <cell r="Q30">
            <v>116.47857412500946</v>
          </cell>
          <cell r="R30">
            <v>109.80623950099776</v>
          </cell>
          <cell r="S30">
            <v>109.47957373484705</v>
          </cell>
          <cell r="T30">
            <v>116.72703323318224</v>
          </cell>
          <cell r="U30">
            <v>120.83733897470948</v>
          </cell>
          <cell r="V30">
            <v>125.38551741342586</v>
          </cell>
          <cell r="W30">
            <v>133.59805964436106</v>
          </cell>
          <cell r="X30">
            <v>137.69110645269328</v>
          </cell>
          <cell r="Y30">
            <v>162.93599992488822</v>
          </cell>
          <cell r="Z30">
            <v>170.99218580386258</v>
          </cell>
          <cell r="AA30">
            <v>183.80600736813184</v>
          </cell>
          <cell r="AB30">
            <v>124.28591034613078</v>
          </cell>
          <cell r="AC30">
            <v>170.96315000000001</v>
          </cell>
          <cell r="AD30">
            <v>292.00452352941181</v>
          </cell>
          <cell r="AE30">
            <v>388.15286764705883</v>
          </cell>
          <cell r="AF30">
            <v>387.88611764705882</v>
          </cell>
          <cell r="AG30">
            <v>397.87426570312277</v>
          </cell>
          <cell r="AH30">
            <v>420.76401388695768</v>
          </cell>
          <cell r="AI30">
            <v>446.49234119325422</v>
          </cell>
          <cell r="AJ30">
            <v>477.27689165582814</v>
          </cell>
          <cell r="AK30">
            <v>510.26307904257118</v>
          </cell>
          <cell r="AL30">
            <v>538.42010475443874</v>
          </cell>
          <cell r="AM30">
            <v>538.02737943029422</v>
          </cell>
          <cell r="AN30">
            <v>668.83920139390716</v>
          </cell>
          <cell r="AO30">
            <v>695.40334270177334</v>
          </cell>
          <cell r="AP30">
            <v>742.91778467618747</v>
          </cell>
          <cell r="AQ30">
            <v>783.56573905773746</v>
          </cell>
          <cell r="AR30">
            <v>843.89105033613771</v>
          </cell>
          <cell r="AS30">
            <v>908.55098762403861</v>
          </cell>
          <cell r="AT30">
            <v>976.34148896159786</v>
          </cell>
          <cell r="AU30">
            <v>1045.805109104303</v>
          </cell>
          <cell r="AV30">
            <v>1136.6693845048965</v>
          </cell>
          <cell r="AW30">
            <v>1218.6550529305493</v>
          </cell>
          <cell r="AX30">
            <v>1306.5880734048781</v>
          </cell>
          <cell r="AY30">
            <v>1399.5902189746391</v>
          </cell>
          <cell r="AZ30">
            <v>1508.0113841623681</v>
          </cell>
          <cell r="BA30">
            <v>1623.0834043910118</v>
          </cell>
          <cell r="BB30">
            <v>1745.3014703462236</v>
          </cell>
          <cell r="BC30">
            <v>1875.2608209899363</v>
          </cell>
          <cell r="BD30">
            <v>2017.1821620608109</v>
          </cell>
          <cell r="BE30">
            <v>2166.5365385439959</v>
          </cell>
          <cell r="BF30">
            <v>2328.2443514039887</v>
          </cell>
        </row>
        <row r="31">
          <cell r="B31">
            <v>105.35118828610172</v>
          </cell>
          <cell r="C31">
            <v>105.31041770239968</v>
          </cell>
          <cell r="D31">
            <v>92.875389673273887</v>
          </cell>
          <cell r="E31">
            <v>92.304601501445148</v>
          </cell>
          <cell r="F31">
            <v>103.43497085210529</v>
          </cell>
          <cell r="G31">
            <v>114.80996370497772</v>
          </cell>
          <cell r="H31">
            <v>94.506213021355947</v>
          </cell>
          <cell r="I31">
            <v>80.440361644148098</v>
          </cell>
          <cell r="J31">
            <v>98.13479497083857</v>
          </cell>
          <cell r="K31">
            <v>99.804831527196285</v>
          </cell>
          <cell r="L31">
            <v>104.60384645865497</v>
          </cell>
          <cell r="M31">
            <v>108.65041993836117</v>
          </cell>
          <cell r="N31">
            <v>110.45676604483241</v>
          </cell>
          <cell r="O31">
            <v>118.16251232065601</v>
          </cell>
          <cell r="P31">
            <v>115.67617871120092</v>
          </cell>
          <cell r="Q31">
            <v>110.13120960690394</v>
          </cell>
          <cell r="R31">
            <v>111.07528334921412</v>
          </cell>
          <cell r="S31">
            <v>109.83399511755474</v>
          </cell>
          <cell r="T31">
            <v>114.32072836092304</v>
          </cell>
          <cell r="U31">
            <v>119.11288426220455</v>
          </cell>
          <cell r="V31">
            <v>122.85459210515398</v>
          </cell>
          <cell r="W31">
            <v>133.94796166157693</v>
          </cell>
          <cell r="X31">
            <v>139.39773686491509</v>
          </cell>
          <cell r="Y31">
            <v>164.27536246884159</v>
          </cell>
          <cell r="Z31">
            <v>172.84772243185085</v>
          </cell>
          <cell r="AA31">
            <v>182.74008004973854</v>
          </cell>
          <cell r="AB31">
            <v>137.46460766934638</v>
          </cell>
          <cell r="AC31">
            <v>173.83073823529412</v>
          </cell>
          <cell r="AD31">
            <v>297.3333617647059</v>
          </cell>
          <cell r="AE31">
            <v>387.15348529411762</v>
          </cell>
          <cell r="AF31">
            <v>384.04373529411765</v>
          </cell>
          <cell r="AG31">
            <v>406.76924252603055</v>
          </cell>
          <cell r="AH31">
            <v>430.66381164175624</v>
          </cell>
          <cell r="AI31">
            <v>453.92987695248684</v>
          </cell>
          <cell r="AJ31">
            <v>483.06507712134339</v>
          </cell>
          <cell r="AK31">
            <v>514.08164532263334</v>
          </cell>
          <cell r="AL31">
            <v>543.92274687535678</v>
          </cell>
          <cell r="AM31">
            <v>544.18964368043942</v>
          </cell>
          <cell r="AN31">
            <v>677.68616344185557</v>
          </cell>
          <cell r="AO31">
            <v>706.4669237090103</v>
          </cell>
          <cell r="AP31">
            <v>752.99010848192177</v>
          </cell>
          <cell r="AQ31">
            <v>792.52639301410807</v>
          </cell>
          <cell r="AR31">
            <v>853.19161608808201</v>
          </cell>
          <cell r="AS31">
            <v>919.44823565083664</v>
          </cell>
          <cell r="AT31">
            <v>989.1139318371811</v>
          </cell>
          <cell r="AU31">
            <v>1059.5628380280266</v>
          </cell>
          <cell r="AV31">
            <v>1151.3529717245644</v>
          </cell>
          <cell r="AW31">
            <v>1234.0768996659572</v>
          </cell>
          <cell r="AX31">
            <v>1322.5557682776393</v>
          </cell>
          <cell r="AY31">
            <v>1416.6895246994359</v>
          </cell>
          <cell r="AZ31">
            <v>1526.867927742675</v>
          </cell>
          <cell r="BA31">
            <v>1643.8194992736794</v>
          </cell>
          <cell r="BB31">
            <v>1767.5944558533581</v>
          </cell>
          <cell r="BC31">
            <v>1898.8823782005013</v>
          </cell>
          <cell r="BD31">
            <v>2042.3693202875961</v>
          </cell>
          <cell r="BE31">
            <v>2193.5821310905371</v>
          </cell>
          <cell r="BF31">
            <v>2357.3997405538867</v>
          </cell>
        </row>
        <row r="32">
          <cell r="B32">
            <v>100.45606024440755</v>
          </cell>
          <cell r="C32">
            <v>101.29634514816669</v>
          </cell>
          <cell r="D32">
            <v>102.43072976824156</v>
          </cell>
          <cell r="E32">
            <v>98.313333739821687</v>
          </cell>
          <cell r="F32">
            <v>105.70784089290228</v>
          </cell>
          <cell r="G32">
            <v>112.26206314222377</v>
          </cell>
          <cell r="H32">
            <v>92.893496110575114</v>
          </cell>
          <cell r="I32">
            <v>84.448632827795549</v>
          </cell>
          <cell r="J32">
            <v>90.456669889673549</v>
          </cell>
          <cell r="K32">
            <v>100.79016908858841</v>
          </cell>
          <cell r="L32">
            <v>108.9477316135314</v>
          </cell>
          <cell r="M32">
            <v>109.92843321831482</v>
          </cell>
          <cell r="N32">
            <v>113.61719987140657</v>
          </cell>
          <cell r="O32">
            <v>115.25103214496183</v>
          </cell>
          <cell r="P32">
            <v>118.45934271420742</v>
          </cell>
          <cell r="Q32">
            <v>112.73203120439172</v>
          </cell>
          <cell r="R32">
            <v>112.63783280856634</v>
          </cell>
          <cell r="S32">
            <v>110.12206116179736</v>
          </cell>
          <cell r="T32">
            <v>115.77535377870512</v>
          </cell>
          <cell r="U32">
            <v>120.02447637223914</v>
          </cell>
          <cell r="V32">
            <v>124.75733760712959</v>
          </cell>
          <cell r="W32">
            <v>131.56089820128932</v>
          </cell>
          <cell r="X32">
            <v>135.26866311355508</v>
          </cell>
          <cell r="Y32">
            <v>158.5995784229338</v>
          </cell>
          <cell r="Z32">
            <v>168.24434212666657</v>
          </cell>
          <cell r="AA32">
            <v>180.07962407332815</v>
          </cell>
          <cell r="AB32">
            <v>144.21979796094635</v>
          </cell>
          <cell r="AC32">
            <v>173.30508235294121</v>
          </cell>
          <cell r="AD32">
            <v>290.03387352941178</v>
          </cell>
          <cell r="AE32">
            <v>383.26495588235292</v>
          </cell>
          <cell r="AF32">
            <v>386.32670588235294</v>
          </cell>
          <cell r="AG32">
            <v>403.48532431956801</v>
          </cell>
          <cell r="AH32">
            <v>426.94155447711012</v>
          </cell>
          <cell r="AI32">
            <v>450.99530013606585</v>
          </cell>
          <cell r="AJ32">
            <v>482.12840337290999</v>
          </cell>
          <cell r="AK32">
            <v>510.11813054373744</v>
          </cell>
          <cell r="AL32">
            <v>539.38201186635513</v>
          </cell>
          <cell r="AM32">
            <v>590.8633414536647</v>
          </cell>
          <cell r="AN32">
            <v>674.98779896758492</v>
          </cell>
          <cell r="AO32">
            <v>701.88549941156623</v>
          </cell>
          <cell r="AP32">
            <v>747.99293806285698</v>
          </cell>
          <cell r="AQ32">
            <v>803.23147514706295</v>
          </cell>
          <cell r="AR32">
            <v>863.85576826194176</v>
          </cell>
          <cell r="AS32">
            <v>928.95866477837967</v>
          </cell>
          <cell r="AT32">
            <v>998.27010203650866</v>
          </cell>
          <cell r="AU32">
            <v>1073.3193577835566</v>
          </cell>
          <cell r="AV32">
            <v>1154.120299788698</v>
          </cell>
          <cell r="AW32">
            <v>1240.6084816387315</v>
          </cell>
          <cell r="AX32">
            <v>1333.3144583714184</v>
          </cell>
          <cell r="AY32">
            <v>1433.2065720532321</v>
          </cell>
          <cell r="AZ32">
            <v>1540.9476721792914</v>
          </cell>
          <cell r="BA32">
            <v>1656.6303299446097</v>
          </cell>
          <cell r="BB32">
            <v>1780.7885674962147</v>
          </cell>
          <cell r="BC32">
            <v>1914.3366615753166</v>
          </cell>
          <cell r="BD32">
            <v>2057.9228504331331</v>
          </cell>
          <cell r="BE32">
            <v>2212.2195383617723</v>
          </cell>
          <cell r="BF32">
            <v>2378.0828905956705</v>
          </cell>
        </row>
        <row r="33">
          <cell r="B33">
            <v>109.3573003099131</v>
          </cell>
          <cell r="C33">
            <v>110.4343040250865</v>
          </cell>
          <cell r="D33">
            <v>97.303143343934053</v>
          </cell>
          <cell r="E33">
            <v>92.580896285096884</v>
          </cell>
          <cell r="F33">
            <v>99.53999721390953</v>
          </cell>
          <cell r="G33">
            <v>113.41677585172049</v>
          </cell>
          <cell r="H33">
            <v>95.853330650431403</v>
          </cell>
          <cell r="I33">
            <v>95.439098452287809</v>
          </cell>
          <cell r="J33">
            <v>91.17250681140861</v>
          </cell>
          <cell r="K33">
            <v>101.90340980378497</v>
          </cell>
          <cell r="L33">
            <v>108.56654311187609</v>
          </cell>
          <cell r="M33">
            <v>111.4037234398199</v>
          </cell>
          <cell r="N33">
            <v>112.19484772925406</v>
          </cell>
          <cell r="O33">
            <v>116.50517970492069</v>
          </cell>
          <cell r="P33">
            <v>113.90576429293357</v>
          </cell>
          <cell r="Q33">
            <v>107.73588586809311</v>
          </cell>
          <cell r="R33">
            <v>106.98513857693162</v>
          </cell>
          <cell r="S33">
            <v>108.84491161998663</v>
          </cell>
          <cell r="T33">
            <v>112.66805986464973</v>
          </cell>
          <cell r="U33">
            <v>116.81397799676721</v>
          </cell>
          <cell r="V33">
            <v>120.46825475048807</v>
          </cell>
          <cell r="W33">
            <v>132.21268786318836</v>
          </cell>
          <cell r="X33">
            <v>137.52622680234145</v>
          </cell>
          <cell r="Y33">
            <v>160.55872154885955</v>
          </cell>
          <cell r="Z33">
            <v>170.99968442071861</v>
          </cell>
          <cell r="AA33">
            <v>183.70349926085743</v>
          </cell>
          <cell r="AB33">
            <v>142.47687802708157</v>
          </cell>
          <cell r="AC33">
            <v>169.46093823529412</v>
          </cell>
          <cell r="AD33">
            <v>287.12218529411763</v>
          </cell>
          <cell r="AE33">
            <v>384.60063235294115</v>
          </cell>
          <cell r="AF33">
            <v>386.18138235294117</v>
          </cell>
          <cell r="AG33">
            <v>404.83180973893195</v>
          </cell>
          <cell r="AH33">
            <v>425.99487193380611</v>
          </cell>
          <cell r="AI33">
            <v>449.63211087551576</v>
          </cell>
          <cell r="AJ33">
            <v>479.56979621730414</v>
          </cell>
          <cell r="AK33">
            <v>508.80294821570891</v>
          </cell>
          <cell r="AL33">
            <v>539.00487374622446</v>
          </cell>
          <cell r="AM33">
            <v>540.92872678428557</v>
          </cell>
          <cell r="AN33">
            <v>673.83638707516491</v>
          </cell>
          <cell r="AO33">
            <v>700.39225477977232</v>
          </cell>
          <cell r="AP33">
            <v>745.95629210830475</v>
          </cell>
          <cell r="AQ33">
            <v>785.89372044935715</v>
          </cell>
          <cell r="AR33">
            <v>846.76783468740678</v>
          </cell>
          <cell r="AS33">
            <v>912.2493148183006</v>
          </cell>
          <cell r="AT33">
            <v>981.40495889775229</v>
          </cell>
          <cell r="AU33">
            <v>1051.3727469255082</v>
          </cell>
          <cell r="AV33">
            <v>1142.2176822779054</v>
          </cell>
          <cell r="AW33">
            <v>1223.8464839969981</v>
          </cell>
          <cell r="AX33">
            <v>1311.8095135128619</v>
          </cell>
          <cell r="AY33">
            <v>1405.5882335168787</v>
          </cell>
          <cell r="AZ33">
            <v>1514.9982031501161</v>
          </cell>
          <cell r="BA33">
            <v>1630.7809401813004</v>
          </cell>
          <cell r="BB33">
            <v>1753.4666809366665</v>
          </cell>
          <cell r="BC33">
            <v>1883.7129853301299</v>
          </cell>
          <cell r="BD33">
            <v>2026.0700887548428</v>
          </cell>
          <cell r="BE33">
            <v>2176.0843929762532</v>
          </cell>
          <cell r="BF33">
            <v>2338.7053106573376</v>
          </cell>
        </row>
        <row r="34">
          <cell r="B34">
            <v>103.6655041789426</v>
          </cell>
          <cell r="C34">
            <v>100.03162094308598</v>
          </cell>
          <cell r="D34">
            <v>87.692391054298128</v>
          </cell>
          <cell r="E34">
            <v>94.720560829141704</v>
          </cell>
          <cell r="F34">
            <v>104.78362209766772</v>
          </cell>
          <cell r="G34">
            <v>106.93999236949473</v>
          </cell>
          <cell r="H34">
            <v>88.930307321458073</v>
          </cell>
          <cell r="I34">
            <v>79.825632840410734</v>
          </cell>
          <cell r="J34">
            <v>83.419583293455744</v>
          </cell>
          <cell r="K34">
            <v>96.214417386488293</v>
          </cell>
          <cell r="L34">
            <v>106.81448270872318</v>
          </cell>
          <cell r="M34">
            <v>107.57908771647918</v>
          </cell>
          <cell r="N34">
            <v>108.9423967682303</v>
          </cell>
          <cell r="O34">
            <v>108.27540876691018</v>
          </cell>
          <cell r="P34">
            <v>107.293273018471</v>
          </cell>
          <cell r="Q34">
            <v>106.08333168925802</v>
          </cell>
          <cell r="R34">
            <v>104.36002191910384</v>
          </cell>
          <cell r="S34">
            <v>107.37531926482507</v>
          </cell>
          <cell r="T34">
            <v>108.14530404557013</v>
          </cell>
          <cell r="U34">
            <v>112.47238098414732</v>
          </cell>
          <cell r="V34">
            <v>116.77136407481271</v>
          </cell>
          <cell r="W34">
            <v>129.41449672811933</v>
          </cell>
          <cell r="X34">
            <v>136.84144879432949</v>
          </cell>
          <cell r="Y34">
            <v>158.30691229813721</v>
          </cell>
          <cell r="Z34">
            <v>166.48646769879272</v>
          </cell>
          <cell r="AA34">
            <v>176.246951158304</v>
          </cell>
          <cell r="AB34">
            <v>142.65703167660951</v>
          </cell>
          <cell r="AC34">
            <v>165.23910882352942</v>
          </cell>
          <cell r="AD34">
            <v>285.04918529411759</v>
          </cell>
          <cell r="AE34">
            <v>376.86363235294118</v>
          </cell>
          <cell r="AF34">
            <v>378.45288235294117</v>
          </cell>
          <cell r="AG34">
            <v>330.63907873880726</v>
          </cell>
          <cell r="AH34">
            <v>417.91752205181274</v>
          </cell>
          <cell r="AI34">
            <v>441.42485025897349</v>
          </cell>
          <cell r="AJ34">
            <v>472.01476405317953</v>
          </cell>
          <cell r="AK34">
            <v>478.89160688616903</v>
          </cell>
          <cell r="AL34">
            <v>510.52156145479239</v>
          </cell>
          <cell r="AM34">
            <v>560.40833726331221</v>
          </cell>
          <cell r="AN34">
            <v>640.63109683708808</v>
          </cell>
          <cell r="AO34">
            <v>960.89580668843246</v>
          </cell>
          <cell r="AP34">
            <v>1270.4285878689352</v>
          </cell>
          <cell r="AQ34">
            <v>768.82794393967561</v>
          </cell>
          <cell r="AR34">
            <v>822.16425152177544</v>
          </cell>
          <cell r="AS34">
            <v>970.24947714594055</v>
          </cell>
          <cell r="AT34">
            <v>1209.1949821584094</v>
          </cell>
          <cell r="AU34">
            <v>1281.4067525387545</v>
          </cell>
          <cell r="AV34">
            <v>1358.3443335116517</v>
          </cell>
          <cell r="AW34">
            <v>1469.5524690454913</v>
          </cell>
          <cell r="AX34">
            <v>1547.8075352880223</v>
          </cell>
          <cell r="AY34">
            <v>1551.1784022288521</v>
          </cell>
          <cell r="AZ34">
            <v>1732.1905630455876</v>
          </cell>
          <cell r="BA34">
            <v>1930.972381862106</v>
          </cell>
          <cell r="BB34">
            <v>2108.3127136166149</v>
          </cell>
          <cell r="BC34">
            <v>2213.3193918455145</v>
          </cell>
          <cell r="BD34">
            <v>2351.7334428276954</v>
          </cell>
          <cell r="BE34">
            <v>2527.5600054300376</v>
          </cell>
          <cell r="BF34">
            <v>2723.6925882706928</v>
          </cell>
        </row>
        <row r="39">
          <cell r="C39">
            <v>0.62526499999999985</v>
          </cell>
          <cell r="D39">
            <v>1.9445700000000001</v>
          </cell>
          <cell r="E39">
            <v>0.86370799999999992</v>
          </cell>
          <cell r="F39">
            <v>0.97358700000000009</v>
          </cell>
          <cell r="G39">
            <v>1.328479</v>
          </cell>
          <cell r="H39">
            <v>1.35944</v>
          </cell>
          <cell r="I39">
            <v>1.5534220000000001</v>
          </cell>
          <cell r="J39">
            <v>0.40571199999999991</v>
          </cell>
          <cell r="K39">
            <v>0.34776800000000002</v>
          </cell>
          <cell r="L39">
            <v>0.14945399999999998</v>
          </cell>
          <cell r="M39">
            <v>1.384814</v>
          </cell>
          <cell r="N39">
            <v>1.257927</v>
          </cell>
          <cell r="O39">
            <v>1.9964679999999999</v>
          </cell>
          <cell r="P39">
            <v>1.092495</v>
          </cell>
          <cell r="Q39">
            <v>2.740138</v>
          </cell>
          <cell r="R39">
            <v>0.9001579999999999</v>
          </cell>
          <cell r="S39">
            <v>1.3907429999999998</v>
          </cell>
          <cell r="T39">
            <v>5.6579079999999999</v>
          </cell>
          <cell r="U39">
            <v>2.7056329999999997</v>
          </cell>
          <cell r="V39">
            <v>1.917619</v>
          </cell>
          <cell r="W39">
            <v>2.301091</v>
          </cell>
          <cell r="X39">
            <v>3.806101</v>
          </cell>
          <cell r="Y39">
            <v>5.436477</v>
          </cell>
          <cell r="Z39">
            <v>6.3310879999999994</v>
          </cell>
          <cell r="AA39">
            <v>12.485992</v>
          </cell>
          <cell r="AB39">
            <v>16.844223999999997</v>
          </cell>
          <cell r="AC39">
            <v>11.50877</v>
          </cell>
          <cell r="AD39">
            <v>29.971937999999998</v>
          </cell>
          <cell r="AE39">
            <v>48.823684999999998</v>
          </cell>
          <cell r="AF39">
            <v>414.54950300000002</v>
          </cell>
          <cell r="AG39">
            <v>500.67906499999998</v>
          </cell>
          <cell r="AH39">
            <v>467.95024949526675</v>
          </cell>
          <cell r="AI39">
            <v>692.81288208203671</v>
          </cell>
          <cell r="AJ39">
            <v>887.27692351223834</v>
          </cell>
          <cell r="AK39">
            <v>1266.779319643379</v>
          </cell>
          <cell r="AL39">
            <v>1422.1222711341859</v>
          </cell>
          <cell r="AM39">
            <v>1765.7621254621579</v>
          </cell>
          <cell r="AN39">
            <v>2013.6184653237808</v>
          </cell>
          <cell r="AO39">
            <v>2338.6172797311256</v>
          </cell>
          <cell r="AP39">
            <v>2437.7256209066331</v>
          </cell>
          <cell r="AQ39">
            <v>3891.5255719109232</v>
          </cell>
          <cell r="AR39">
            <v>2461.5280024894323</v>
          </cell>
          <cell r="AS39">
            <v>2582.6885253986256</v>
          </cell>
          <cell r="AT39">
            <v>3020.1693242678812</v>
          </cell>
          <cell r="AU39">
            <v>3157.8284043265949</v>
          </cell>
          <cell r="AV39">
            <v>2916.4944586408824</v>
          </cell>
          <cell r="AW39">
            <v>2699.3727237550288</v>
          </cell>
          <cell r="AX39">
            <v>4353.8804494704236</v>
          </cell>
          <cell r="AY39">
            <v>4803.3440940705186</v>
          </cell>
          <cell r="AZ39">
            <v>5186.7919037066567</v>
          </cell>
          <cell r="BA39">
            <v>5522.611299743613</v>
          </cell>
          <cell r="BB39">
            <v>5787.1715646654538</v>
          </cell>
          <cell r="BC39">
            <v>6300.4933616735589</v>
          </cell>
          <cell r="BD39">
            <v>6625.4294377213519</v>
          </cell>
          <cell r="BE39">
            <v>7201.2643007387887</v>
          </cell>
          <cell r="BF39">
            <v>7362.862608154016</v>
          </cell>
          <cell r="BG39">
            <v>7463.8000477410178</v>
          </cell>
        </row>
        <row r="40">
          <cell r="C40">
            <v>0.53604399999999996</v>
          </cell>
          <cell r="D40">
            <v>2.8844980000000002</v>
          </cell>
          <cell r="E40">
            <v>1.1689939999999999</v>
          </cell>
          <cell r="F40">
            <v>1.16422</v>
          </cell>
          <cell r="G40">
            <v>0.76459900000000014</v>
          </cell>
          <cell r="H40">
            <v>0.83781699999999992</v>
          </cell>
          <cell r="I40">
            <v>0.66862500000000002</v>
          </cell>
          <cell r="J40">
            <v>0.68891100000000005</v>
          </cell>
          <cell r="K40">
            <v>0.83142000000000005</v>
          </cell>
          <cell r="L40">
            <v>0.10155800000000001</v>
          </cell>
          <cell r="M40">
            <v>0.319886</v>
          </cell>
          <cell r="N40">
            <v>0.49009900000000001</v>
          </cell>
          <cell r="O40">
            <v>3.8538950000000001</v>
          </cell>
          <cell r="P40">
            <v>0.96255099999999993</v>
          </cell>
          <cell r="Q40">
            <v>1.1634770000000001</v>
          </cell>
          <cell r="R40">
            <v>0.84683200000000003</v>
          </cell>
          <cell r="S40">
            <v>3.8154310000000002</v>
          </cell>
          <cell r="T40">
            <v>4.4501049999999998</v>
          </cell>
          <cell r="U40">
            <v>2.968086</v>
          </cell>
          <cell r="V40">
            <v>3.7044569999999997</v>
          </cell>
          <cell r="W40">
            <v>2.2129240000000001</v>
          </cell>
          <cell r="X40">
            <v>4.5734510000000004</v>
          </cell>
          <cell r="Y40">
            <v>4.3936450000000002</v>
          </cell>
          <cell r="Z40">
            <v>8.4973600000000005</v>
          </cell>
          <cell r="AA40">
            <v>18.032036000000002</v>
          </cell>
          <cell r="AB40">
            <v>22.931176000000001</v>
          </cell>
          <cell r="AC40">
            <v>16.037065000000002</v>
          </cell>
          <cell r="AD40">
            <v>53.128063000000004</v>
          </cell>
          <cell r="AE40">
            <v>79.516981000000001</v>
          </cell>
          <cell r="AF40">
            <v>241.00454399999998</v>
          </cell>
          <cell r="AG40">
            <v>612.52980000000002</v>
          </cell>
          <cell r="AH40">
            <v>466.40682843773158</v>
          </cell>
          <cell r="AI40">
            <v>703.46023471023034</v>
          </cell>
          <cell r="AJ40">
            <v>1058.1332116551964</v>
          </cell>
          <cell r="AK40">
            <v>1161.3507152977813</v>
          </cell>
          <cell r="AL40">
            <v>1491.5911742385597</v>
          </cell>
          <cell r="AM40">
            <v>1914.8804387514101</v>
          </cell>
          <cell r="AN40">
            <v>2111.9385294596045</v>
          </cell>
          <cell r="AO40">
            <v>2452.379523717937</v>
          </cell>
          <cell r="AP40">
            <v>2522.2118795850411</v>
          </cell>
          <cell r="AQ40">
            <v>3014.9999428669253</v>
          </cell>
          <cell r="AR40">
            <v>2376.3267150635229</v>
          </cell>
          <cell r="AS40">
            <v>2451.9805527562726</v>
          </cell>
          <cell r="AT40">
            <v>2823.2193859879421</v>
          </cell>
          <cell r="AU40">
            <v>2893.4850064259522</v>
          </cell>
          <cell r="AV40">
            <v>2616.6719255847352</v>
          </cell>
          <cell r="AW40">
            <v>2512.8383635380956</v>
          </cell>
          <cell r="AX40">
            <v>3139.8162508358396</v>
          </cell>
          <cell r="AY40">
            <v>3361.1221968527539</v>
          </cell>
          <cell r="AZ40">
            <v>3486.2785035869065</v>
          </cell>
          <cell r="BA40">
            <v>3546.5467104256086</v>
          </cell>
          <cell r="BB40">
            <v>3548.5923281483301</v>
          </cell>
          <cell r="BC40">
            <v>3696.5532876744551</v>
          </cell>
          <cell r="BD40">
            <v>3775.600593223648</v>
          </cell>
          <cell r="BE40">
            <v>3998.281613209509</v>
          </cell>
          <cell r="BF40">
            <v>3962.4015243619956</v>
          </cell>
          <cell r="BG40">
            <v>3901.7698868252542</v>
          </cell>
        </row>
        <row r="41">
          <cell r="C41">
            <v>0.61302900000000005</v>
          </cell>
          <cell r="D41">
            <v>2.0882980000000004</v>
          </cell>
          <cell r="E41">
            <v>0.89097700000000002</v>
          </cell>
          <cell r="F41">
            <v>1.9023019999999999</v>
          </cell>
          <cell r="G41">
            <v>0.85248000000000002</v>
          </cell>
          <cell r="H41">
            <v>0.92700700000000003</v>
          </cell>
          <cell r="I41">
            <v>1.2963750000000001</v>
          </cell>
          <cell r="J41">
            <v>0.95142499999999997</v>
          </cell>
          <cell r="K41">
            <v>0.93572399999999989</v>
          </cell>
          <cell r="L41">
            <v>0.14710399999999998</v>
          </cell>
          <cell r="M41">
            <v>0.578982</v>
          </cell>
          <cell r="N41">
            <v>1.2426079999999999</v>
          </cell>
          <cell r="O41">
            <v>0.93987300000000007</v>
          </cell>
          <cell r="P41">
            <v>0.93543000000000009</v>
          </cell>
          <cell r="Q41">
            <v>2.3692780000000004</v>
          </cell>
          <cell r="R41">
            <v>0.858155</v>
          </cell>
          <cell r="S41">
            <v>1.038292</v>
          </cell>
          <cell r="T41">
            <v>3.4187430000000001</v>
          </cell>
          <cell r="U41">
            <v>0.68601500000000004</v>
          </cell>
          <cell r="V41">
            <v>3.6606339999999999</v>
          </cell>
          <cell r="W41">
            <v>2.9066140000000003</v>
          </cell>
          <cell r="X41">
            <v>3.988216</v>
          </cell>
          <cell r="Y41">
            <v>4.3391769999999994</v>
          </cell>
          <cell r="Z41">
            <v>7.785488</v>
          </cell>
          <cell r="AA41">
            <v>17.656979</v>
          </cell>
          <cell r="AB41">
            <v>19.459611000000002</v>
          </cell>
          <cell r="AC41">
            <v>14.591002</v>
          </cell>
          <cell r="AD41">
            <v>25.730553</v>
          </cell>
          <cell r="AE41">
            <v>163.30200399999998</v>
          </cell>
          <cell r="AF41">
            <v>392.99297200000001</v>
          </cell>
          <cell r="AG41">
            <v>382.42233899999997</v>
          </cell>
          <cell r="AH41">
            <v>455.62055273299387</v>
          </cell>
          <cell r="AI41">
            <v>658.38406086267901</v>
          </cell>
          <cell r="AJ41">
            <v>907.1722563994897</v>
          </cell>
          <cell r="AK41">
            <v>923.96327854864126</v>
          </cell>
          <cell r="AL41">
            <v>1140.257543509299</v>
          </cell>
          <cell r="AM41">
            <v>1193.5216753259333</v>
          </cell>
          <cell r="AN41">
            <v>1839.3919199526731</v>
          </cell>
          <cell r="AO41">
            <v>1486.5575072159372</v>
          </cell>
          <cell r="AP41">
            <v>2830.2137661670004</v>
          </cell>
          <cell r="AQ41">
            <v>934.89960317372561</v>
          </cell>
          <cell r="AR41">
            <v>1638.332820581355</v>
          </cell>
          <cell r="AS41">
            <v>1715.3834182055948</v>
          </cell>
          <cell r="AT41">
            <v>1895.3883518358489</v>
          </cell>
          <cell r="AU41">
            <v>1977.6345219642967</v>
          </cell>
          <cell r="AV41">
            <v>1574.9493082596982</v>
          </cell>
          <cell r="AW41">
            <v>1680.4248623363001</v>
          </cell>
          <cell r="AX41">
            <v>655.57321671716045</v>
          </cell>
          <cell r="AY41">
            <v>492.36671228604314</v>
          </cell>
          <cell r="AZ41">
            <v>211.99233196310138</v>
          </cell>
          <cell r="BA41">
            <v>-169.8551079822364</v>
          </cell>
          <cell r="BB41">
            <v>-554.65149518409987</v>
          </cell>
          <cell r="BC41">
            <v>-981.09532568457519</v>
          </cell>
          <cell r="BD41">
            <v>-1285.9319967188983</v>
          </cell>
          <cell r="BE41">
            <v>-1638.5980990800467</v>
          </cell>
          <cell r="BF41">
            <v>-1963.5001384915092</v>
          </cell>
          <cell r="BG41">
            <v>-2251.2416134147934</v>
          </cell>
        </row>
        <row r="42">
          <cell r="B42">
            <v>0.59197</v>
          </cell>
          <cell r="C42">
            <v>0.850275</v>
          </cell>
          <cell r="D42">
            <v>2.1506689999999997</v>
          </cell>
          <cell r="E42">
            <v>0.97872799999999993</v>
          </cell>
          <cell r="F42">
            <v>1.5527829999999998</v>
          </cell>
          <cell r="G42">
            <v>0.38597199999999998</v>
          </cell>
          <cell r="H42">
            <v>0.6877430000000001</v>
          </cell>
          <cell r="I42">
            <v>1.246089</v>
          </cell>
          <cell r="J42">
            <v>1.5670409999999999</v>
          </cell>
          <cell r="K42">
            <v>1.1067780000000003</v>
          </cell>
          <cell r="L42">
            <v>0.32675700000000002</v>
          </cell>
          <cell r="M42">
            <v>0.40445500000000001</v>
          </cell>
          <cell r="N42">
            <v>1.2948419999999998</v>
          </cell>
          <cell r="O42">
            <v>2.1214079999999997</v>
          </cell>
          <cell r="P42">
            <v>2.857091</v>
          </cell>
          <cell r="Q42">
            <v>1.5104359999999999</v>
          </cell>
          <cell r="R42">
            <v>1.0952550000000001</v>
          </cell>
          <cell r="S42">
            <v>1.2310560000000002</v>
          </cell>
          <cell r="T42">
            <v>3.0178000000000003</v>
          </cell>
          <cell r="U42">
            <v>1.386906</v>
          </cell>
          <cell r="V42">
            <v>2.07456</v>
          </cell>
          <cell r="W42">
            <v>2.8177840000000001</v>
          </cell>
          <cell r="X42">
            <v>3.22017</v>
          </cell>
          <cell r="Y42">
            <v>5.797377</v>
          </cell>
          <cell r="Z42">
            <v>9.323322000000001</v>
          </cell>
          <cell r="AA42">
            <v>11.153136</v>
          </cell>
          <cell r="AB42">
            <v>17.556930999999999</v>
          </cell>
          <cell r="AC42">
            <v>16.636873000000001</v>
          </cell>
          <cell r="AD42">
            <v>35.495345999999998</v>
          </cell>
          <cell r="AE42">
            <v>222.57303300000001</v>
          </cell>
          <cell r="AF42">
            <v>534.61394999999993</v>
          </cell>
          <cell r="AG42">
            <v>605.5357489999999</v>
          </cell>
          <cell r="AH42">
            <v>658.43861215809841</v>
          </cell>
          <cell r="AI42">
            <v>953.52446663644412</v>
          </cell>
          <cell r="AJ42">
            <v>942.16442227160746</v>
          </cell>
          <cell r="AK42">
            <v>1392.2775498369847</v>
          </cell>
          <cell r="AL42">
            <v>1496.6109384334432</v>
          </cell>
          <cell r="AM42">
            <v>1756.6027917038246</v>
          </cell>
          <cell r="AN42">
            <v>1982.5980341063296</v>
          </cell>
          <cell r="AO42">
            <v>2252.4988111231974</v>
          </cell>
          <cell r="AP42">
            <v>2306.8673682532703</v>
          </cell>
          <cell r="AQ42">
            <v>2347.7430991657243</v>
          </cell>
          <cell r="AR42">
            <v>2105.3800973778252</v>
          </cell>
          <cell r="AS42">
            <v>2160.6066962933869</v>
          </cell>
          <cell r="AT42">
            <v>2460.9417177126661</v>
          </cell>
          <cell r="AU42">
            <v>2497.0024573994115</v>
          </cell>
          <cell r="AV42">
            <v>2232.9829466145497</v>
          </cell>
          <cell r="AW42">
            <v>2187.3624773494316</v>
          </cell>
          <cell r="AX42">
            <v>2290.5789410186212</v>
          </cell>
          <cell r="AY42">
            <v>2387.1003112788144</v>
          </cell>
          <cell r="AZ42">
            <v>2384.0634975273665</v>
          </cell>
          <cell r="BA42">
            <v>2314.0404267657641</v>
          </cell>
          <cell r="BB42">
            <v>2196.8088368127706</v>
          </cell>
          <cell r="BC42">
            <v>2165.5330839224375</v>
          </cell>
          <cell r="BD42">
            <v>2125.8229617486977</v>
          </cell>
          <cell r="BE42">
            <v>2167.5887595949498</v>
          </cell>
          <cell r="BF42">
            <v>2045.8204317374721</v>
          </cell>
        </row>
        <row r="43">
          <cell r="B43">
            <v>0.342889</v>
          </cell>
          <cell r="C43">
            <v>0.68050999999999995</v>
          </cell>
          <cell r="D43">
            <v>2.387346</v>
          </cell>
          <cell r="E43">
            <v>1.8859680000000001</v>
          </cell>
          <cell r="F43">
            <v>1.0994300000000001</v>
          </cell>
          <cell r="G43">
            <v>0.54803599999999997</v>
          </cell>
          <cell r="H43">
            <v>0.31133899999999998</v>
          </cell>
          <cell r="I43">
            <v>0.77909799999999996</v>
          </cell>
          <cell r="J43">
            <v>0.481734</v>
          </cell>
          <cell r="K43">
            <v>1.0092810000000001</v>
          </cell>
          <cell r="L43">
            <v>0.10098500000000002</v>
          </cell>
          <cell r="M43">
            <v>0.30983299999999997</v>
          </cell>
          <cell r="N43">
            <v>2.3824970000000003</v>
          </cell>
          <cell r="O43">
            <v>1.503817</v>
          </cell>
          <cell r="P43">
            <v>5.2479799999999992</v>
          </cell>
          <cell r="Q43">
            <v>0.93450500000000014</v>
          </cell>
          <cell r="R43">
            <v>1.0328330000000001</v>
          </cell>
          <cell r="S43">
            <v>2.3687990000000001</v>
          </cell>
          <cell r="T43">
            <v>2.716647</v>
          </cell>
          <cell r="U43">
            <v>2.5791370000000002</v>
          </cell>
          <cell r="V43">
            <v>2.4239899999999999</v>
          </cell>
          <cell r="W43">
            <v>2.4149400000000001</v>
          </cell>
          <cell r="X43">
            <v>4.5260680000000004</v>
          </cell>
          <cell r="Y43">
            <v>4.2906550000000001</v>
          </cell>
          <cell r="Z43">
            <v>7.0363119999999997</v>
          </cell>
          <cell r="AA43">
            <v>13.654699000000001</v>
          </cell>
          <cell r="AB43">
            <v>12.681368000000001</v>
          </cell>
          <cell r="AC43">
            <v>18.960115000000002</v>
          </cell>
          <cell r="AD43">
            <v>29.747249</v>
          </cell>
          <cell r="AE43">
            <v>137.53725599999999</v>
          </cell>
          <cell r="AF43">
            <v>157.03004000000001</v>
          </cell>
          <cell r="AG43">
            <v>253.47945863967303</v>
          </cell>
          <cell r="AH43">
            <v>277.71465435309881</v>
          </cell>
          <cell r="AI43">
            <v>576.63811695899039</v>
          </cell>
          <cell r="AJ43">
            <v>785.61169405738144</v>
          </cell>
          <cell r="AK43">
            <v>772.77061574157517</v>
          </cell>
          <cell r="AL43">
            <v>993.75825635685294</v>
          </cell>
          <cell r="AM43">
            <v>1011.9486425639254</v>
          </cell>
          <cell r="AN43">
            <v>1231.6380358685333</v>
          </cell>
          <cell r="AO43">
            <v>1426.94951756154</v>
          </cell>
          <cell r="AP43">
            <v>1412.3600608224754</v>
          </cell>
          <cell r="AQ43">
            <v>1456.4741734589049</v>
          </cell>
          <cell r="AR43">
            <v>1293.2048961878702</v>
          </cell>
          <cell r="AS43">
            <v>1340.2978199802164</v>
          </cell>
          <cell r="AT43">
            <v>1526.2170872689906</v>
          </cell>
          <cell r="AU43">
            <v>1541.998558967595</v>
          </cell>
          <cell r="AV43">
            <v>1381.3145589227595</v>
          </cell>
          <cell r="AW43">
            <v>1352.2978833872435</v>
          </cell>
          <cell r="AX43">
            <v>1417.7788569553302</v>
          </cell>
          <cell r="AY43">
            <v>1476.9149149038649</v>
          </cell>
          <cell r="AZ43">
            <v>1474.2925289200718</v>
          </cell>
          <cell r="BA43">
            <v>1431.4208685597414</v>
          </cell>
          <cell r="BB43">
            <v>1358.8971493747752</v>
          </cell>
          <cell r="BC43">
            <v>1339.6921227402765</v>
          </cell>
          <cell r="BD43">
            <v>1314.9905431892232</v>
          </cell>
          <cell r="BE43">
            <v>1340.7671897966541</v>
          </cell>
          <cell r="BF43">
            <v>1265.517153178874</v>
          </cell>
        </row>
        <row r="44">
          <cell r="B44">
            <v>1.2628550000000001</v>
          </cell>
          <cell r="C44">
            <v>0.90567700000000007</v>
          </cell>
          <cell r="D44">
            <v>0.78398199999999996</v>
          </cell>
          <cell r="E44">
            <v>1.3320729999999998</v>
          </cell>
          <cell r="F44">
            <v>1.7532760000000001</v>
          </cell>
          <cell r="G44">
            <v>0.66168499999999997</v>
          </cell>
          <cell r="H44">
            <v>0.57770899999999992</v>
          </cell>
          <cell r="I44">
            <v>1.318792</v>
          </cell>
          <cell r="J44">
            <v>1.1717929999999999</v>
          </cell>
          <cell r="K44">
            <v>0.79610500000000006</v>
          </cell>
          <cell r="L44">
            <v>0.25648400000000005</v>
          </cell>
          <cell r="M44">
            <v>1.36924</v>
          </cell>
          <cell r="N44">
            <v>4.8001750000000003</v>
          </cell>
          <cell r="O44">
            <v>0.84173399999999998</v>
          </cell>
          <cell r="P44">
            <v>5.8804890000000007</v>
          </cell>
          <cell r="Q44">
            <v>1.829245</v>
          </cell>
          <cell r="R44">
            <v>1.9289159999999999</v>
          </cell>
          <cell r="S44">
            <v>3.1389180000000003</v>
          </cell>
          <cell r="T44">
            <v>1.9844329999999999</v>
          </cell>
          <cell r="U44">
            <v>4.5677910000000006</v>
          </cell>
          <cell r="V44">
            <v>2.3727840000000002</v>
          </cell>
          <cell r="W44">
            <v>3.1244960000000002</v>
          </cell>
          <cell r="X44">
            <v>3.9641709999999999</v>
          </cell>
          <cell r="Y44">
            <v>6.1643190000000008</v>
          </cell>
          <cell r="Z44">
            <v>9.3724159999999994</v>
          </cell>
          <cell r="AA44">
            <v>16.581422999999997</v>
          </cell>
          <cell r="AB44">
            <v>20.558074000000001</v>
          </cell>
          <cell r="AC44">
            <v>28.003140999999999</v>
          </cell>
          <cell r="AD44">
            <v>51.797135000000004</v>
          </cell>
          <cell r="AE44">
            <v>142.546209</v>
          </cell>
          <cell r="AF44">
            <v>586.09482800000001</v>
          </cell>
          <cell r="AG44">
            <v>590.33784877884068</v>
          </cell>
          <cell r="AH44">
            <v>650.9573361893888</v>
          </cell>
          <cell r="AI44">
            <v>937.33301727477317</v>
          </cell>
          <cell r="AJ44">
            <v>1114.0127208889048</v>
          </cell>
          <cell r="AK44">
            <v>1461.7952079920669</v>
          </cell>
          <cell r="AL44">
            <v>1772.0855126937875</v>
          </cell>
          <cell r="AM44">
            <v>2024.821427592311</v>
          </cell>
          <cell r="AN44">
            <v>2439.1464130695736</v>
          </cell>
          <cell r="AO44">
            <v>2421.9341852053817</v>
          </cell>
          <cell r="AP44">
            <v>2628.7669535738278</v>
          </cell>
          <cell r="AQ44">
            <v>2705.2494730988246</v>
          </cell>
          <cell r="AR44">
            <v>2416.5718309332187</v>
          </cell>
          <cell r="AS44">
            <v>2478.2755393652283</v>
          </cell>
          <cell r="AT44">
            <v>2786.4144652007685</v>
          </cell>
          <cell r="AU44">
            <v>2855.4294691523878</v>
          </cell>
          <cell r="AV44">
            <v>2555.2938808306226</v>
          </cell>
          <cell r="AW44">
            <v>2499.5314934025191</v>
          </cell>
          <cell r="AX44">
            <v>2615.3498952850514</v>
          </cell>
          <cell r="AY44">
            <v>2723.2396248293853</v>
          </cell>
          <cell r="AZ44">
            <v>2724.1062799884094</v>
          </cell>
          <cell r="BA44">
            <v>2643.6371012776526</v>
          </cell>
          <cell r="BB44">
            <v>2508.8985703752169</v>
          </cell>
          <cell r="BC44">
            <v>2472.9136679695189</v>
          </cell>
          <cell r="BD44">
            <v>2427.6336540087818</v>
          </cell>
          <cell r="BE44">
            <v>2475.8650383884869</v>
          </cell>
          <cell r="BF44">
            <v>2336.5960847779579</v>
          </cell>
        </row>
        <row r="45">
          <cell r="B45">
            <v>0.32361499999999999</v>
          </cell>
          <cell r="C45">
            <v>0.58996199999999999</v>
          </cell>
          <cell r="D45">
            <v>1.175157</v>
          </cell>
          <cell r="E45">
            <v>2.3250690000000001</v>
          </cell>
          <cell r="F45">
            <v>2.2766099999999998</v>
          </cell>
          <cell r="G45">
            <v>1.575283</v>
          </cell>
          <cell r="H45">
            <v>0.88758799999999993</v>
          </cell>
          <cell r="I45">
            <v>0.80862300000000009</v>
          </cell>
          <cell r="J45">
            <v>1.2611130000000002</v>
          </cell>
          <cell r="K45">
            <v>0.57452899999999996</v>
          </cell>
          <cell r="L45">
            <v>0.10840200000000001</v>
          </cell>
          <cell r="M45">
            <v>0.51303399999999999</v>
          </cell>
          <cell r="N45">
            <v>4.5288649999999997</v>
          </cell>
          <cell r="O45">
            <v>0.89002199999999998</v>
          </cell>
          <cell r="P45">
            <v>4.8039480000000001</v>
          </cell>
          <cell r="Q45">
            <v>0.88458599999999998</v>
          </cell>
          <cell r="R45">
            <v>1.472645</v>
          </cell>
          <cell r="S45">
            <v>2.5678640000000001</v>
          </cell>
          <cell r="T45">
            <v>4.1632359999999995</v>
          </cell>
          <cell r="U45">
            <v>4.3759250000000005</v>
          </cell>
          <cell r="V45">
            <v>2.84796</v>
          </cell>
          <cell r="W45">
            <v>4.4183919999999999</v>
          </cell>
          <cell r="X45">
            <v>4.4538599999999997</v>
          </cell>
          <cell r="Y45">
            <v>6.8080810000000005</v>
          </cell>
          <cell r="Z45">
            <v>9.6452759999999991</v>
          </cell>
          <cell r="AA45">
            <v>14.311622</v>
          </cell>
          <cell r="AB45">
            <v>16.556802999999999</v>
          </cell>
          <cell r="AC45">
            <v>19.755213000000001</v>
          </cell>
          <cell r="AD45">
            <v>37.703707000000001</v>
          </cell>
          <cell r="AE45">
            <v>206.44866200000001</v>
          </cell>
          <cell r="AF45">
            <v>274.60607099999999</v>
          </cell>
          <cell r="AG45">
            <v>395.27061666660808</v>
          </cell>
          <cell r="AH45">
            <v>434.56017745125376</v>
          </cell>
          <cell r="AI45">
            <v>625.24427938191036</v>
          </cell>
          <cell r="AJ45">
            <v>708.48590927028101</v>
          </cell>
          <cell r="AK45">
            <v>918.88211627850922</v>
          </cell>
          <cell r="AL45">
            <v>1148.8960223418901</v>
          </cell>
          <cell r="AM45">
            <v>1308.4759458708622</v>
          </cell>
          <cell r="AN45">
            <v>1571.5822144968042</v>
          </cell>
          <cell r="AO45">
            <v>1483.0161171811644</v>
          </cell>
          <cell r="AP45">
            <v>1670.5113872819184</v>
          </cell>
          <cell r="AQ45">
            <v>1721.5227648750326</v>
          </cell>
          <cell r="AR45">
            <v>1533.6253388143075</v>
          </cell>
          <cell r="AS45">
            <v>1568.1729345817259</v>
          </cell>
          <cell r="AT45">
            <v>1756.9489448416705</v>
          </cell>
          <cell r="AU45">
            <v>1810.143724474395</v>
          </cell>
          <cell r="AV45">
            <v>1619.0959591556975</v>
          </cell>
          <cell r="AW45">
            <v>1582.3485884400718</v>
          </cell>
          <cell r="AX45">
            <v>1654.9150128033027</v>
          </cell>
          <cell r="AY45">
            <v>1723.1855316995523</v>
          </cell>
          <cell r="AZ45">
            <v>1725.0111304302168</v>
          </cell>
          <cell r="BA45">
            <v>1673.6571374838868</v>
          </cell>
          <cell r="BB45">
            <v>1588.0957936304321</v>
          </cell>
          <cell r="BC45">
            <v>1565.283821113492</v>
          </cell>
          <cell r="BD45">
            <v>1536.720705544313</v>
          </cell>
          <cell r="BE45">
            <v>1567.3790942811891</v>
          </cell>
          <cell r="BF45">
            <v>1479.1235918615112</v>
          </cell>
        </row>
        <row r="46">
          <cell r="B46">
            <v>0.76698699999999997</v>
          </cell>
          <cell r="C46">
            <v>0.54825900000000016</v>
          </cell>
          <cell r="D46">
            <v>1.9528779999999999</v>
          </cell>
          <cell r="E46">
            <v>1.581763</v>
          </cell>
          <cell r="F46">
            <v>1.6418899999999998</v>
          </cell>
          <cell r="G46">
            <v>0.36910499999999996</v>
          </cell>
          <cell r="H46">
            <v>0.74719599999999997</v>
          </cell>
          <cell r="I46">
            <v>1.1688240000000001</v>
          </cell>
          <cell r="J46">
            <v>1.7756500000000002</v>
          </cell>
          <cell r="K46">
            <v>1.2179380000000002</v>
          </cell>
          <cell r="L46">
            <v>0.369923</v>
          </cell>
          <cell r="M46">
            <v>0.36297499999999999</v>
          </cell>
          <cell r="N46">
            <v>4.5483029999999998</v>
          </cell>
          <cell r="O46">
            <v>1.7352719999999999</v>
          </cell>
          <cell r="P46">
            <v>2.4797870000000004</v>
          </cell>
          <cell r="Q46">
            <v>0.75536100000000006</v>
          </cell>
          <cell r="R46">
            <v>1.2467940000000002</v>
          </cell>
          <cell r="S46">
            <v>3.6962130000000002</v>
          </cell>
          <cell r="T46">
            <v>3.1335869999999999</v>
          </cell>
          <cell r="U46">
            <v>4.9692929999999995</v>
          </cell>
          <cell r="V46">
            <v>3.4493560000000003</v>
          </cell>
          <cell r="W46">
            <v>4.2420540000000004</v>
          </cell>
          <cell r="X46">
            <v>4.5857640000000002</v>
          </cell>
          <cell r="Y46">
            <v>6.7009730000000003</v>
          </cell>
          <cell r="Z46">
            <v>9.5654280000000007</v>
          </cell>
          <cell r="AA46">
            <v>15.645061</v>
          </cell>
          <cell r="AB46">
            <v>18.625136999999999</v>
          </cell>
          <cell r="AC46">
            <v>23.516228999999999</v>
          </cell>
          <cell r="AD46">
            <v>70.886184999999998</v>
          </cell>
          <cell r="AE46">
            <v>277.82106800000003</v>
          </cell>
          <cell r="AF46">
            <v>307.47106400000001</v>
          </cell>
          <cell r="AG46">
            <v>497.27966737584802</v>
          </cell>
          <cell r="AH46">
            <v>547.73478161371122</v>
          </cell>
          <cell r="AI46">
            <v>788.72129344605219</v>
          </cell>
          <cell r="AJ46">
            <v>860.13369250738856</v>
          </cell>
          <cell r="AK46">
            <v>1131.1276251874249</v>
          </cell>
          <cell r="AL46">
            <v>1425.662621058503</v>
          </cell>
          <cell r="AM46">
            <v>1471.3692226816663</v>
          </cell>
          <cell r="AN46">
            <v>1894.2515370179387</v>
          </cell>
          <cell r="AO46">
            <v>1718.1191280672804</v>
          </cell>
          <cell r="AP46">
            <v>1984.7435095302874</v>
          </cell>
          <cell r="AQ46">
            <v>2035.9071384598487</v>
          </cell>
          <cell r="AR46">
            <v>1800.4550351113357</v>
          </cell>
          <cell r="AS46">
            <v>1853.7398937484761</v>
          </cell>
          <cell r="AT46">
            <v>2068.8570603827479</v>
          </cell>
          <cell r="AU46">
            <v>2137.6765896643478</v>
          </cell>
          <cell r="AV46">
            <v>1909.7512301133531</v>
          </cell>
          <cell r="AW46">
            <v>1865.3872306073831</v>
          </cell>
          <cell r="AX46">
            <v>1952.4213613764425</v>
          </cell>
          <cell r="AY46">
            <v>2032.2173943555306</v>
          </cell>
          <cell r="AZ46">
            <v>2035.0239861989098</v>
          </cell>
          <cell r="BA46">
            <v>1973.9933722866319</v>
          </cell>
          <cell r="BB46">
            <v>1873.0572277321121</v>
          </cell>
          <cell r="BC46">
            <v>1846.318797623212</v>
          </cell>
          <cell r="BD46">
            <v>1812.5570519363789</v>
          </cell>
          <cell r="BE46">
            <v>1848.7716751374778</v>
          </cell>
          <cell r="BF46">
            <v>1744.6118346591272</v>
          </cell>
        </row>
        <row r="47">
          <cell r="B47">
            <v>1.140657</v>
          </cell>
          <cell r="C47">
            <v>0.91755999999999993</v>
          </cell>
          <cell r="D47">
            <v>0.89655899999999999</v>
          </cell>
          <cell r="E47">
            <v>1.077528</v>
          </cell>
          <cell r="F47">
            <v>3.081836</v>
          </cell>
          <cell r="G47">
            <v>0.52609799999999995</v>
          </cell>
          <cell r="H47">
            <v>0.66179499999999991</v>
          </cell>
          <cell r="I47">
            <v>1.7193640000000001</v>
          </cell>
          <cell r="J47">
            <v>1.412399</v>
          </cell>
          <cell r="K47">
            <v>0.31318099999999999</v>
          </cell>
          <cell r="L47">
            <v>0.30952199999999996</v>
          </cell>
          <cell r="M47">
            <v>0.32849399999999995</v>
          </cell>
          <cell r="N47">
            <v>5.3515730000000001</v>
          </cell>
          <cell r="O47">
            <v>1.7718429999999998</v>
          </cell>
          <cell r="P47">
            <v>2.485719</v>
          </cell>
          <cell r="Q47">
            <v>0.39760999999999996</v>
          </cell>
          <cell r="R47">
            <v>1.703314</v>
          </cell>
          <cell r="S47">
            <v>4.473573</v>
          </cell>
          <cell r="T47">
            <v>3.063539</v>
          </cell>
          <cell r="U47">
            <v>5.5854440000000007</v>
          </cell>
          <cell r="V47">
            <v>5.0825940000000003</v>
          </cell>
          <cell r="W47">
            <v>4.403988</v>
          </cell>
          <cell r="X47">
            <v>2.906549</v>
          </cell>
          <cell r="Y47">
            <v>6.1780479999999995</v>
          </cell>
          <cell r="Z47">
            <v>8.4272170000000006</v>
          </cell>
          <cell r="AA47">
            <v>16.909487000000002</v>
          </cell>
          <cell r="AB47">
            <v>16.680508999999997</v>
          </cell>
          <cell r="AC47">
            <v>18.141432000000002</v>
          </cell>
          <cell r="AD47">
            <v>63.994788999999997</v>
          </cell>
          <cell r="AE47">
            <v>180.15984800000001</v>
          </cell>
          <cell r="AF47">
            <v>370.33997999999997</v>
          </cell>
          <cell r="AG47">
            <v>462.38410550984077</v>
          </cell>
          <cell r="AH47">
            <v>509.59538312461689</v>
          </cell>
          <cell r="AI47">
            <v>735.53446360137991</v>
          </cell>
          <cell r="AJ47">
            <v>742.89769112079955</v>
          </cell>
          <cell r="AK47">
            <v>1063.068347658198</v>
          </cell>
          <cell r="AL47">
            <v>1309.5531876973566</v>
          </cell>
          <cell r="AM47">
            <v>1387.4094176480564</v>
          </cell>
          <cell r="AN47">
            <v>1747.9199449438938</v>
          </cell>
          <cell r="AO47">
            <v>1859.9150709804467</v>
          </cell>
          <cell r="AP47">
            <v>1913.9148598892643</v>
          </cell>
          <cell r="AQ47">
            <v>1969.8902483171391</v>
          </cell>
          <cell r="AR47">
            <v>1755.8923237874251</v>
          </cell>
          <cell r="AS47">
            <v>1817.2006993725659</v>
          </cell>
          <cell r="AT47">
            <v>2052.0842331976287</v>
          </cell>
          <cell r="AU47">
            <v>2086.1811725026892</v>
          </cell>
          <cell r="AV47">
            <v>1868.1880487758617</v>
          </cell>
          <cell r="AW47">
            <v>1828.9340977804366</v>
          </cell>
          <cell r="AX47">
            <v>1916.1291348444042</v>
          </cell>
          <cell r="AY47">
            <v>1994.8676634101942</v>
          </cell>
          <cell r="AZ47">
            <v>1993.2533815870106</v>
          </cell>
          <cell r="BA47">
            <v>1935.0107209970568</v>
          </cell>
          <cell r="BB47">
            <v>1836.7991586924697</v>
          </cell>
          <cell r="BC47">
            <v>1810.642607694675</v>
          </cell>
          <cell r="BD47">
            <v>1777.2669089463545</v>
          </cell>
          <cell r="BE47">
            <v>1812.3468166551954</v>
          </cell>
          <cell r="BF47">
            <v>1710.551751656677</v>
          </cell>
        </row>
        <row r="48">
          <cell r="B48">
            <v>0.26895300000000005</v>
          </cell>
          <cell r="C48">
            <v>1.3474820000000001</v>
          </cell>
          <cell r="D48">
            <v>0.54291599999999995</v>
          </cell>
          <cell r="E48">
            <v>1.1638320000000002</v>
          </cell>
          <cell r="F48">
            <v>2.0345</v>
          </cell>
          <cell r="G48">
            <v>0.9215239999999999</v>
          </cell>
          <cell r="H48">
            <v>0.43901499999999999</v>
          </cell>
          <cell r="I48">
            <v>0.86085899999999993</v>
          </cell>
          <cell r="J48">
            <v>0.95090199999999991</v>
          </cell>
          <cell r="K48">
            <v>0.10302700000000001</v>
          </cell>
          <cell r="L48">
            <v>0.41294300000000006</v>
          </cell>
          <cell r="M48">
            <v>1.432777</v>
          </cell>
          <cell r="N48">
            <v>1.2399179999999999</v>
          </cell>
          <cell r="O48">
            <v>1.22492</v>
          </cell>
          <cell r="P48">
            <v>2.6573730000000002</v>
          </cell>
          <cell r="Q48">
            <v>1.668498</v>
          </cell>
          <cell r="R48">
            <v>1.186499</v>
          </cell>
          <cell r="S48">
            <v>3.5709110000000002</v>
          </cell>
          <cell r="T48">
            <v>2.6190329999999999</v>
          </cell>
          <cell r="U48">
            <v>4.9363919999999997</v>
          </cell>
          <cell r="V48">
            <v>4.3182640000000001</v>
          </cell>
          <cell r="W48">
            <v>4.6068940000000005</v>
          </cell>
          <cell r="X48">
            <v>3.5458419999999999</v>
          </cell>
          <cell r="Y48">
            <v>8.9637070000000012</v>
          </cell>
          <cell r="Z48">
            <v>10.848484000000001</v>
          </cell>
          <cell r="AA48">
            <v>15.075895000000001</v>
          </cell>
          <cell r="AB48">
            <v>12.795050999999999</v>
          </cell>
          <cell r="AC48">
            <v>19.581105999999998</v>
          </cell>
          <cell r="AD48">
            <v>57.297809000000001</v>
          </cell>
          <cell r="AE48">
            <v>278.89679599999999</v>
          </cell>
          <cell r="AF48">
            <v>436.756058</v>
          </cell>
          <cell r="AG48">
            <v>573.48040292664848</v>
          </cell>
          <cell r="AH48">
            <v>705.7083869542555</v>
          </cell>
          <cell r="AI48">
            <v>951.43014710999194</v>
          </cell>
          <cell r="AJ48">
            <v>1230.2993424820938</v>
          </cell>
          <cell r="AK48">
            <v>1668.9326714687836</v>
          </cell>
          <cell r="AL48">
            <v>1912.0110780189016</v>
          </cell>
          <cell r="AM48">
            <v>2206.3531336721721</v>
          </cell>
          <cell r="AN48">
            <v>2659.0280111305774</v>
          </cell>
          <cell r="AO48">
            <v>2879.2409538863044</v>
          </cell>
          <cell r="AP48">
            <v>2941.9873902285135</v>
          </cell>
          <cell r="AQ48">
            <v>3019.6822013119054</v>
          </cell>
          <cell r="AR48">
            <v>2710.5122291776115</v>
          </cell>
          <cell r="AS48">
            <v>2792.4466609522751</v>
          </cell>
          <cell r="AT48">
            <v>3159.3236520333644</v>
          </cell>
          <cell r="AU48">
            <v>3208.3573656214144</v>
          </cell>
          <cell r="AV48">
            <v>2873.3815992367904</v>
          </cell>
          <cell r="AW48">
            <v>2814.9394896253666</v>
          </cell>
          <cell r="AX48">
            <v>2947.5560905428792</v>
          </cell>
          <cell r="AY48">
            <v>3069.2777384053634</v>
          </cell>
          <cell r="AZ48">
            <v>3066.3800821680616</v>
          </cell>
          <cell r="BA48">
            <v>2976.9784587933932</v>
          </cell>
          <cell r="BB48">
            <v>2826.0321279138475</v>
          </cell>
          <cell r="BC48">
            <v>2785.5999422944515</v>
          </cell>
          <cell r="BD48">
            <v>2734.3141774738024</v>
          </cell>
          <cell r="BE48">
            <v>2788.2483298947277</v>
          </cell>
          <cell r="BF48">
            <v>2631.6743899121975</v>
          </cell>
        </row>
        <row r="49">
          <cell r="B49">
            <v>0.43433799999999995</v>
          </cell>
          <cell r="C49">
            <v>2.4195830000000003</v>
          </cell>
          <cell r="D49">
            <v>0.42765299999999995</v>
          </cell>
          <cell r="E49">
            <v>1.26041</v>
          </cell>
          <cell r="F49">
            <v>1.1940729999999999</v>
          </cell>
          <cell r="G49">
            <v>0.81765300000000007</v>
          </cell>
          <cell r="H49">
            <v>2.0193379999999999</v>
          </cell>
          <cell r="I49">
            <v>1.0866799999999999</v>
          </cell>
          <cell r="J49">
            <v>0.31130599999999997</v>
          </cell>
          <cell r="K49">
            <v>0.111695</v>
          </cell>
          <cell r="L49">
            <v>0.38856000000000007</v>
          </cell>
          <cell r="M49">
            <v>0.53843600000000003</v>
          </cell>
          <cell r="N49">
            <v>1.9025429999999997</v>
          </cell>
          <cell r="O49">
            <v>1.3092190000000001</v>
          </cell>
          <cell r="P49">
            <v>3.1745909999999999</v>
          </cell>
          <cell r="Q49">
            <v>1.3008220000000001</v>
          </cell>
          <cell r="R49">
            <v>2.0119500000000001</v>
          </cell>
          <cell r="S49">
            <v>3.6407389999999999</v>
          </cell>
          <cell r="T49">
            <v>2.2820309999999999</v>
          </cell>
          <cell r="U49">
            <v>3.3207719999999998</v>
          </cell>
          <cell r="V49">
            <v>3.2717530000000004</v>
          </cell>
          <cell r="W49">
            <v>4.3134110000000003</v>
          </cell>
          <cell r="X49">
            <v>3.0120940000000003</v>
          </cell>
          <cell r="Y49">
            <v>8.397924999999999</v>
          </cell>
          <cell r="Z49">
            <v>9.7975130000000004</v>
          </cell>
          <cell r="AA49">
            <v>14.71949</v>
          </cell>
          <cell r="AB49">
            <v>11.893171000000001</v>
          </cell>
          <cell r="AC49">
            <v>21.508941999999998</v>
          </cell>
          <cell r="AD49">
            <v>49.794279000000003</v>
          </cell>
          <cell r="AE49">
            <v>217.81366399999999</v>
          </cell>
          <cell r="AF49">
            <v>541.13660300000004</v>
          </cell>
          <cell r="AG49">
            <v>599.70013829497304</v>
          </cell>
          <cell r="AH49">
            <v>515.46516339546838</v>
          </cell>
          <cell r="AI49">
            <v>891.97925942351139</v>
          </cell>
          <cell r="AJ49">
            <v>1155.0613418211399</v>
          </cell>
          <cell r="AK49">
            <v>1395.6940292077015</v>
          </cell>
          <cell r="AL49">
            <v>1698.8320413400525</v>
          </cell>
          <cell r="AM49">
            <v>1729.6032050141669</v>
          </cell>
          <cell r="AN49">
            <v>2292.7058234036085</v>
          </cell>
          <cell r="AO49">
            <v>2461.2697998659723</v>
          </cell>
          <cell r="AP49">
            <v>2488.0579224378976</v>
          </cell>
          <cell r="AQ49">
            <v>2557.5359238616984</v>
          </cell>
          <cell r="AR49">
            <v>2279.9721641000119</v>
          </cell>
          <cell r="AS49">
            <v>2373.7090546511504</v>
          </cell>
          <cell r="AT49">
            <v>2678.4332627922768</v>
          </cell>
          <cell r="AU49">
            <v>2715.5526303744282</v>
          </cell>
          <cell r="AV49">
            <v>2432.422763744381</v>
          </cell>
          <cell r="AW49">
            <v>2382.7079883426186</v>
          </cell>
          <cell r="AX49">
            <v>2497.8087010172885</v>
          </cell>
          <cell r="AY49">
            <v>2599.4555809122203</v>
          </cell>
          <cell r="AZ49">
            <v>2596.4431758820097</v>
          </cell>
          <cell r="BA49">
            <v>2520.9662973722029</v>
          </cell>
          <cell r="BB49">
            <v>2393.2968037510577</v>
          </cell>
          <cell r="BC49">
            <v>2359.279350284804</v>
          </cell>
          <cell r="BD49">
            <v>2315.5900905424242</v>
          </cell>
          <cell r="BE49">
            <v>2361.2267335436072</v>
          </cell>
          <cell r="BF49">
            <v>2228.6917164511751</v>
          </cell>
        </row>
        <row r="50">
          <cell r="B50">
            <v>1.4850420000000002</v>
          </cell>
          <cell r="C50">
            <v>1.188277</v>
          </cell>
          <cell r="D50">
            <v>0.35569100000000003</v>
          </cell>
          <cell r="E50">
            <v>2.2045429999999997</v>
          </cell>
          <cell r="F50">
            <v>0.52473999999999998</v>
          </cell>
          <cell r="G50">
            <v>1.375624</v>
          </cell>
          <cell r="H50">
            <v>1.0261289999999998</v>
          </cell>
          <cell r="I50">
            <v>0.86068600000000006</v>
          </cell>
          <cell r="J50">
            <v>1.3017049999999999</v>
          </cell>
          <cell r="K50">
            <v>0.99079299999999992</v>
          </cell>
          <cell r="L50">
            <v>0.443102</v>
          </cell>
          <cell r="M50">
            <v>0.94984199999999996</v>
          </cell>
          <cell r="N50">
            <v>0.70352000000000003</v>
          </cell>
          <cell r="O50">
            <v>1.2775320000000001</v>
          </cell>
          <cell r="P50">
            <v>0.79863699999999993</v>
          </cell>
          <cell r="Q50">
            <v>1.067067</v>
          </cell>
          <cell r="R50">
            <v>1.1402780000000001</v>
          </cell>
          <cell r="S50">
            <v>4.2797130000000001</v>
          </cell>
          <cell r="T50">
            <v>3.9664319999999997</v>
          </cell>
          <cell r="U50">
            <v>2.9456959999999999</v>
          </cell>
          <cell r="V50">
            <v>2.4607459999999999</v>
          </cell>
          <cell r="W50">
            <v>4.7602849999999997</v>
          </cell>
          <cell r="X50">
            <v>5.3699260000000004</v>
          </cell>
          <cell r="Y50">
            <v>7.7724650000000004</v>
          </cell>
          <cell r="Z50">
            <v>14.690524</v>
          </cell>
          <cell r="AA50">
            <v>14.476025</v>
          </cell>
          <cell r="AB50">
            <v>12.286391999999999</v>
          </cell>
          <cell r="AC50">
            <v>17.574981000000001</v>
          </cell>
          <cell r="AD50">
            <v>37.576849000000003</v>
          </cell>
          <cell r="AE50">
            <v>307.29934700000001</v>
          </cell>
          <cell r="AF50">
            <v>692.78717599999993</v>
          </cell>
          <cell r="AG50">
            <v>351.90080880756796</v>
          </cell>
          <cell r="AH50">
            <v>734.84787409411547</v>
          </cell>
          <cell r="AI50">
            <v>759.93777851200139</v>
          </cell>
          <cell r="AJ50">
            <v>1608.7507940134801</v>
          </cell>
          <cell r="AK50">
            <v>1343.3585231389552</v>
          </cell>
          <cell r="AL50">
            <v>2088.619353177166</v>
          </cell>
          <cell r="AM50">
            <v>2729.251973713519</v>
          </cell>
          <cell r="AN50">
            <v>2966.1810712266852</v>
          </cell>
          <cell r="AO50">
            <v>3894.5021054637145</v>
          </cell>
          <cell r="AP50">
            <v>1962.6392813238708</v>
          </cell>
          <cell r="AQ50">
            <v>2369.5698594993446</v>
          </cell>
          <cell r="AR50">
            <v>2753.198546376083</v>
          </cell>
          <cell r="AS50">
            <v>2740.4982046944824</v>
          </cell>
          <cell r="AT50">
            <v>3022.0025144782157</v>
          </cell>
          <cell r="AU50">
            <v>2818.7100991264888</v>
          </cell>
          <cell r="AV50">
            <v>2644.4533201206723</v>
          </cell>
          <cell r="AW50">
            <v>2668.8548014355038</v>
          </cell>
          <cell r="AX50">
            <v>1858.1920891332556</v>
          </cell>
          <cell r="AY50">
            <v>1761.9082369957578</v>
          </cell>
          <cell r="AZ50">
            <v>1516.3631980412792</v>
          </cell>
          <cell r="BA50">
            <v>1205.9927142766828</v>
          </cell>
          <cell r="BB50">
            <v>812.00193408763516</v>
          </cell>
          <cell r="BC50">
            <v>438.78528269369781</v>
          </cell>
          <cell r="BD50">
            <v>165.00587238392109</v>
          </cell>
          <cell r="BE50">
            <v>-98.141452160536574</v>
          </cell>
          <cell r="BF50">
            <v>-429.35094825949636</v>
          </cell>
        </row>
        <row r="55">
          <cell r="C55">
            <v>1.1264166</v>
          </cell>
          <cell r="D55">
            <v>1.4496040000000003</v>
          </cell>
          <cell r="E55">
            <v>1.7277473999999997</v>
          </cell>
          <cell r="F55">
            <v>9.9286159999999981</v>
          </cell>
          <cell r="G55">
            <v>1.5044314000000001</v>
          </cell>
          <cell r="H55">
            <v>1.9786971999999996</v>
          </cell>
          <cell r="I55">
            <v>1.1167065999999999</v>
          </cell>
          <cell r="J55">
            <v>1.5899092000000004</v>
          </cell>
          <cell r="K55">
            <v>0.93802680000000005</v>
          </cell>
          <cell r="L55">
            <v>1.6553216000000002</v>
          </cell>
          <cell r="M55">
            <v>2.0114726000000003</v>
          </cell>
          <cell r="N55">
            <v>2.0489166000000005</v>
          </cell>
          <cell r="O55">
            <v>3.3644804000000006</v>
          </cell>
          <cell r="P55">
            <v>6.6032842000000009</v>
          </cell>
          <cell r="Q55">
            <v>15.374428999999997</v>
          </cell>
          <cell r="R55">
            <v>4.7527752000000003</v>
          </cell>
          <cell r="S55">
            <v>13.326874199999999</v>
          </cell>
          <cell r="T55">
            <v>11.803411799999999</v>
          </cell>
          <cell r="U55">
            <v>0</v>
          </cell>
          <cell r="V55">
            <v>1.9731000000000002E-2</v>
          </cell>
          <cell r="W55">
            <v>11.023121999999999</v>
          </cell>
          <cell r="X55">
            <v>8.8230550000000001</v>
          </cell>
          <cell r="Y55">
            <v>15.437374</v>
          </cell>
          <cell r="Z55">
            <v>6.6096729999999999</v>
          </cell>
          <cell r="AA55">
            <v>43.094731000000003</v>
          </cell>
          <cell r="AB55">
            <v>55.630371999999994</v>
          </cell>
          <cell r="AC55">
            <v>131.88018899999997</v>
          </cell>
          <cell r="AD55">
            <v>6.6138729999999999</v>
          </cell>
          <cell r="AE55">
            <v>29.849459</v>
          </cell>
          <cell r="AF55">
            <v>27.873922</v>
          </cell>
          <cell r="AG55">
            <v>22.647455999999998</v>
          </cell>
          <cell r="AH55">
            <v>17.712504259657745</v>
          </cell>
          <cell r="AI55">
            <v>16.507222016589367</v>
          </cell>
          <cell r="AJ55">
            <v>7.4930119692066608</v>
          </cell>
          <cell r="AK55">
            <v>10.526380675342594</v>
          </cell>
          <cell r="AL55">
            <v>8.5149622365080013</v>
          </cell>
          <cell r="AM55">
            <v>8.810185284799573</v>
          </cell>
          <cell r="AN55">
            <v>8.1005441543072489</v>
          </cell>
          <cell r="AO55">
            <v>7.9771941819147987</v>
          </cell>
          <cell r="AP55">
            <v>7.5556668382894046</v>
          </cell>
          <cell r="AQ55">
            <v>8.3674793395947056</v>
          </cell>
          <cell r="AR55">
            <v>8.1917105391638039</v>
          </cell>
          <cell r="AS55">
            <v>8.1622139597811465</v>
          </cell>
          <cell r="AT55">
            <v>8.0385190106539941</v>
          </cell>
          <cell r="AU55">
            <v>8.0508529717487711</v>
          </cell>
          <cell r="AV55">
            <v>8.0631179374966102</v>
          </cell>
          <cell r="AW55">
            <v>8.1621551641884853</v>
          </cell>
          <cell r="AX55">
            <v>8.1012828837688655</v>
          </cell>
          <cell r="AY55">
            <v>8.0953718087738</v>
          </cell>
          <cell r="AZ55">
            <v>8.0831855935713453</v>
          </cell>
          <cell r="BA55">
            <v>8.0945561531953061</v>
          </cell>
          <cell r="BB55">
            <v>8.101022677559822</v>
          </cell>
          <cell r="BC55">
            <v>8.1073103206995594</v>
          </cell>
          <cell r="BD55">
            <v>8.0950838233738267</v>
          </cell>
          <cell r="BE55">
            <v>8.0962893107599676</v>
          </cell>
          <cell r="BF55">
            <v>8.0962317136799715</v>
          </cell>
          <cell r="BG55">
            <v>8.0988524571176956</v>
          </cell>
        </row>
        <row r="56">
          <cell r="C56">
            <v>1.3466924</v>
          </cell>
          <cell r="D56">
            <v>1.3262670000000003</v>
          </cell>
          <cell r="E56">
            <v>1.9446626</v>
          </cell>
          <cell r="F56">
            <v>1.4147376</v>
          </cell>
          <cell r="G56">
            <v>7.1397344</v>
          </cell>
          <cell r="H56">
            <v>1.4922907999999997</v>
          </cell>
          <cell r="I56">
            <v>1.4951361999999997</v>
          </cell>
          <cell r="J56">
            <v>1.1522559999999999</v>
          </cell>
          <cell r="K56">
            <v>1.0562845999999999</v>
          </cell>
          <cell r="L56">
            <v>1.4887380000000003</v>
          </cell>
          <cell r="M56">
            <v>1.6493574</v>
          </cell>
          <cell r="N56">
            <v>2.0611946000000003</v>
          </cell>
          <cell r="O56">
            <v>5.7389592</v>
          </cell>
          <cell r="P56">
            <v>4.3856736000000005</v>
          </cell>
          <cell r="Q56">
            <v>3.7735384000000001</v>
          </cell>
          <cell r="R56">
            <v>4.5292684000000012</v>
          </cell>
          <cell r="S56">
            <v>19.858981</v>
          </cell>
          <cell r="T56">
            <v>31.033318599999998</v>
          </cell>
          <cell r="U56">
            <v>5.291099</v>
          </cell>
          <cell r="V56">
            <v>10.582197000000001</v>
          </cell>
          <cell r="W56">
            <v>4.409249</v>
          </cell>
          <cell r="X56">
            <v>11.034000000000001</v>
          </cell>
          <cell r="Y56">
            <v>22.054051000000001</v>
          </cell>
          <cell r="Z56">
            <v>18.754957999999998</v>
          </cell>
          <cell r="AA56">
            <v>50.451860000000003</v>
          </cell>
          <cell r="AB56">
            <v>24.920237999999998</v>
          </cell>
          <cell r="AC56">
            <v>24.031283999999999</v>
          </cell>
          <cell r="AD56">
            <v>121.440865</v>
          </cell>
          <cell r="AE56">
            <v>42.601013000000002</v>
          </cell>
          <cell r="AF56">
            <v>20.537385999999998</v>
          </cell>
          <cell r="AG56">
            <v>17.588429999999999</v>
          </cell>
          <cell r="AH56">
            <v>16.424264160426493</v>
          </cell>
          <cell r="AI56">
            <v>17.060372708606938</v>
          </cell>
          <cell r="AJ56">
            <v>15.64427640649769</v>
          </cell>
          <cell r="AK56">
            <v>10.491556484700066</v>
          </cell>
          <cell r="AL56">
            <v>8.0552701644658278</v>
          </cell>
          <cell r="AM56">
            <v>9.0833999717919038</v>
          </cell>
          <cell r="AN56">
            <v>9.0234319899596009</v>
          </cell>
          <cell r="AO56">
            <v>9.2822885747788355</v>
          </cell>
          <cell r="AP56">
            <v>9.0952930465069741</v>
          </cell>
          <cell r="AQ56">
            <v>8.7497042258469016</v>
          </cell>
          <cell r="AR56">
            <v>8.9079367495006281</v>
          </cell>
          <cell r="AS56">
            <v>9.0468235617768418</v>
          </cell>
          <cell r="AT56">
            <v>9.0117309173185891</v>
          </cell>
          <cell r="AU56">
            <v>9.0164092316820366</v>
          </cell>
          <cell r="AV56">
            <v>8.9622977001899873</v>
          </cell>
          <cell r="AW56">
            <v>8.9465209372249994</v>
          </cell>
          <cell r="AX56">
            <v>8.9890396320936148</v>
          </cell>
          <cell r="AY56">
            <v>8.9967564696384894</v>
          </cell>
          <cell r="AZ56">
            <v>8.9851996837018451</v>
          </cell>
          <cell r="BA56">
            <v>8.9822047941658258</v>
          </cell>
          <cell r="BB56">
            <v>8.975962884569789</v>
          </cell>
          <cell r="BC56">
            <v>8.9799443033649542</v>
          </cell>
          <cell r="BD56">
            <v>8.9858326928339132</v>
          </cell>
          <cell r="BE56">
            <v>8.9840136270881796</v>
          </cell>
          <cell r="BF56">
            <v>8.9818288717272647</v>
          </cell>
          <cell r="BG56">
            <v>8.9815916604045309</v>
          </cell>
        </row>
        <row r="57">
          <cell r="C57">
            <v>0.95578360000000007</v>
          </cell>
          <cell r="D57">
            <v>1.184904</v>
          </cell>
          <cell r="E57">
            <v>1.6263478000000002</v>
          </cell>
          <cell r="F57">
            <v>9.7004219999999997</v>
          </cell>
          <cell r="G57">
            <v>2.4381015999999995</v>
          </cell>
          <cell r="H57">
            <v>1.8518879999999998</v>
          </cell>
          <cell r="I57">
            <v>1.2195231999999998</v>
          </cell>
          <cell r="J57">
            <v>0.85206639999999989</v>
          </cell>
          <cell r="K57">
            <v>1.0721232000000001</v>
          </cell>
          <cell r="L57">
            <v>1.3482672</v>
          </cell>
          <cell r="M57">
            <v>1.9834390000000002</v>
          </cell>
          <cell r="N57">
            <v>1.7928328000000002</v>
          </cell>
          <cell r="O57">
            <v>2.805667000000001</v>
          </cell>
          <cell r="P57">
            <v>5.8869898000000003</v>
          </cell>
          <cell r="Q57">
            <v>9.9090445999999996</v>
          </cell>
          <cell r="R57">
            <v>9.503221400000001</v>
          </cell>
          <cell r="S57">
            <v>19.787108</v>
          </cell>
          <cell r="T57">
            <v>6.5765669999999998</v>
          </cell>
          <cell r="U57">
            <v>0</v>
          </cell>
          <cell r="V57">
            <v>11.025735000000001</v>
          </cell>
          <cell r="W57">
            <v>0</v>
          </cell>
          <cell r="X57">
            <v>0</v>
          </cell>
          <cell r="Y57">
            <v>27.560618999999999</v>
          </cell>
          <cell r="Z57">
            <v>32.866597999999996</v>
          </cell>
          <cell r="AA57">
            <v>44.52646</v>
          </cell>
          <cell r="AB57">
            <v>59.315638999999997</v>
          </cell>
          <cell r="AC57">
            <v>147.31705099999996</v>
          </cell>
          <cell r="AD57">
            <v>35.284665999999994</v>
          </cell>
          <cell r="AE57">
            <v>20.237555</v>
          </cell>
          <cell r="AF57">
            <v>25.486805</v>
          </cell>
          <cell r="AG57">
            <v>20.19952143544376</v>
          </cell>
          <cell r="AH57">
            <v>20.22989605808279</v>
          </cell>
          <cell r="AI57">
            <v>18.744290422648376</v>
          </cell>
          <cell r="AJ57">
            <v>8.6911549371513868</v>
          </cell>
          <cell r="AK57">
            <v>9.6360203093833814</v>
          </cell>
          <cell r="AL57">
            <v>8.6181334938013396</v>
          </cell>
          <cell r="AM57">
            <v>9.1177509603187872</v>
          </cell>
          <cell r="AN57">
            <v>8.7892660294756375</v>
          </cell>
          <cell r="AO57">
            <v>8.4319000189697348</v>
          </cell>
          <cell r="AP57">
            <v>7.8004044748053101</v>
          </cell>
          <cell r="AQ57">
            <v>8.4939182498950263</v>
          </cell>
          <cell r="AR57">
            <v>8.5514909954741611</v>
          </cell>
          <cell r="AS57">
            <v>8.5266479466928988</v>
          </cell>
          <cell r="AT57">
            <v>8.413395953723974</v>
          </cell>
          <cell r="AU57">
            <v>8.3608723371674252</v>
          </cell>
          <cell r="AV57">
            <v>8.3571715241182751</v>
          </cell>
          <cell r="AW57">
            <v>8.4692650965906946</v>
          </cell>
          <cell r="AX57">
            <v>8.4419157514353458</v>
          </cell>
          <cell r="AY57">
            <v>8.4254705716586535</v>
          </cell>
          <cell r="AZ57">
            <v>8.4085241326071429</v>
          </cell>
          <cell r="BA57">
            <v>8.4109390561940796</v>
          </cell>
          <cell r="BB57">
            <v>8.4204694152820228</v>
          </cell>
          <cell r="BC57">
            <v>8.4312229216971843</v>
          </cell>
          <cell r="BD57">
            <v>8.4214637854354493</v>
          </cell>
          <cell r="BE57">
            <v>8.419325219487817</v>
          </cell>
          <cell r="BF57">
            <v>8.4185238622431751</v>
          </cell>
          <cell r="BG57">
            <v>8.4206840796193099</v>
          </cell>
        </row>
        <row r="58">
          <cell r="B58">
            <v>1.6894370000000001</v>
          </cell>
          <cell r="C58">
            <v>1.3070576000000003</v>
          </cell>
          <cell r="D58">
            <v>1.2348548000000001</v>
          </cell>
          <cell r="E58">
            <v>1.5314281999999999</v>
          </cell>
          <cell r="F58">
            <v>3.7980169999999998</v>
          </cell>
          <cell r="G58">
            <v>1.3151098000000001</v>
          </cell>
          <cell r="H58">
            <v>2.3382765999999999</v>
          </cell>
          <cell r="I58">
            <v>1.4199044000000001</v>
          </cell>
          <cell r="J58">
            <v>0.90761900000000006</v>
          </cell>
          <cell r="K58">
            <v>1.5272597999999999</v>
          </cell>
          <cell r="L58">
            <v>1.7281950000000001</v>
          </cell>
          <cell r="M58">
            <v>1.7132760000000002</v>
          </cell>
          <cell r="N58">
            <v>2.3561532000000001</v>
          </cell>
          <cell r="O58">
            <v>5.4400747999999997</v>
          </cell>
          <cell r="P58">
            <v>6.9251284000000002</v>
          </cell>
          <cell r="Q58">
            <v>7.3334343999999998</v>
          </cell>
          <cell r="R58">
            <v>4.409249</v>
          </cell>
          <cell r="S58">
            <v>13.257337600000001</v>
          </cell>
          <cell r="T58">
            <v>4.4546159999999997</v>
          </cell>
          <cell r="U58">
            <v>4.4000249999999994</v>
          </cell>
          <cell r="V58">
            <v>7.4527460000000003</v>
          </cell>
          <cell r="W58">
            <v>8.8184979999999999</v>
          </cell>
          <cell r="X58">
            <v>17.647613</v>
          </cell>
          <cell r="Y58">
            <v>11.474302999999999</v>
          </cell>
          <cell r="Z58">
            <v>18.289887999999998</v>
          </cell>
          <cell r="AA58">
            <v>12.124645000000001</v>
          </cell>
          <cell r="AB58">
            <v>19.881181000000002</v>
          </cell>
          <cell r="AC58">
            <v>15.437389</v>
          </cell>
          <cell r="AD58">
            <v>112.75140399999999</v>
          </cell>
          <cell r="AE58">
            <v>24.375947</v>
          </cell>
          <cell r="AF58">
            <v>23.074287000000002</v>
          </cell>
          <cell r="AG58">
            <v>12.15671200409818</v>
          </cell>
          <cell r="AH58">
            <v>13.750973051122831</v>
          </cell>
          <cell r="AI58">
            <v>14.163924739298285</v>
          </cell>
          <cell r="AJ58">
            <v>13.319546227612101</v>
          </cell>
          <cell r="AK58">
            <v>8.0398264817671095</v>
          </cell>
          <cell r="AL58">
            <v>7.0592139463730792</v>
          </cell>
          <cell r="AM58">
            <v>7.227174412223353</v>
          </cell>
          <cell r="AN58">
            <v>7.5111312594897868</v>
          </cell>
          <cell r="AO58">
            <v>7.6630285857344509</v>
          </cell>
          <cell r="AP58">
            <v>7.5055464917331189</v>
          </cell>
          <cell r="AQ58">
            <v>7.1429285115405294</v>
          </cell>
          <cell r="AR58">
            <v>7.393218939110759</v>
          </cell>
          <cell r="AS58">
            <v>7.4099618521442476</v>
          </cell>
          <cell r="AT58">
            <v>7.4431707575217292</v>
          </cell>
          <cell r="AU58">
            <v>7.4229368760526215</v>
          </cell>
          <cell r="AV58">
            <v>7.3789653104100763</v>
          </cell>
          <cell r="AW58">
            <v>7.3624433872739772</v>
          </cell>
          <cell r="AX58">
            <v>7.4096507470478867</v>
          </cell>
          <cell r="AY58">
            <v>7.4034956366805309</v>
          </cell>
          <cell r="AZ58">
            <v>7.4034334156612589</v>
          </cell>
          <cell r="BA58">
            <v>7.3954983914930175</v>
          </cell>
          <cell r="BB58">
            <v>7.3915976994147465</v>
          </cell>
          <cell r="BC58">
            <v>7.3949043156313348</v>
          </cell>
          <cell r="BD58">
            <v>7.400735178059489</v>
          </cell>
          <cell r="BE58">
            <v>7.3977858917761781</v>
          </cell>
          <cell r="BF58">
            <v>7.3972338000519695</v>
          </cell>
        </row>
        <row r="59">
          <cell r="B59">
            <v>1.3767746000000003</v>
          </cell>
          <cell r="C59">
            <v>1.1104536000000003</v>
          </cell>
          <cell r="D59">
            <v>1.1697297999999998</v>
          </cell>
          <cell r="E59">
            <v>1.3963056</v>
          </cell>
          <cell r="F59">
            <v>2.8401011999999994</v>
          </cell>
          <cell r="G59">
            <v>1.7408069999999998</v>
          </cell>
          <cell r="H59">
            <v>1.4419118000000004</v>
          </cell>
          <cell r="I59">
            <v>1.6955378000000001</v>
          </cell>
          <cell r="J59">
            <v>3.4597557999999999</v>
          </cell>
          <cell r="K59">
            <v>1.6287522000000001</v>
          </cell>
          <cell r="L59">
            <v>2.6034350000000006</v>
          </cell>
          <cell r="M59">
            <v>2.2320523999999997</v>
          </cell>
          <cell r="N59">
            <v>2.3284115999999999</v>
          </cell>
          <cell r="O59">
            <v>2.7234904000000002</v>
          </cell>
          <cell r="P59">
            <v>18.154106199999998</v>
          </cell>
          <cell r="Q59">
            <v>3.8095778000000005</v>
          </cell>
          <cell r="R59">
            <v>7.8985370000000001</v>
          </cell>
          <cell r="S59">
            <v>0</v>
          </cell>
          <cell r="T59">
            <v>4.3996279999999999</v>
          </cell>
          <cell r="U59">
            <v>8.8184979999999999</v>
          </cell>
          <cell r="V59">
            <v>6.1944259999999991</v>
          </cell>
          <cell r="W59">
            <v>0</v>
          </cell>
          <cell r="X59">
            <v>8.8248730000000002</v>
          </cell>
          <cell r="Y59">
            <v>12.689483000000001</v>
          </cell>
          <cell r="Z59">
            <v>13.929853</v>
          </cell>
          <cell r="AA59">
            <v>30.095932000000001</v>
          </cell>
          <cell r="AB59">
            <v>37.202795999999999</v>
          </cell>
          <cell r="AC59">
            <v>0</v>
          </cell>
          <cell r="AD59">
            <v>85.967072000000002</v>
          </cell>
          <cell r="AE59">
            <v>89.06354300000001</v>
          </cell>
          <cell r="AF59">
            <v>32.811579999999999</v>
          </cell>
          <cell r="AG59">
            <v>15.960984987136714</v>
          </cell>
          <cell r="AH59">
            <v>17.234060366556264</v>
          </cell>
          <cell r="AI59">
            <v>16.879676900892072</v>
          </cell>
          <cell r="AJ59">
            <v>17.250649310644498</v>
          </cell>
          <cell r="AK59">
            <v>15.795450135388256</v>
          </cell>
          <cell r="AL59">
            <v>9.2445441639821428</v>
          </cell>
          <cell r="AM59">
            <v>9.7789202000726814</v>
          </cell>
          <cell r="AN59">
            <v>10.187250783661764</v>
          </cell>
          <cell r="AO59">
            <v>10.607575493996869</v>
          </cell>
          <cell r="AP59">
            <v>10.827272103260754</v>
          </cell>
          <cell r="AQ59">
            <v>10.593093481352708</v>
          </cell>
          <cell r="AR59">
            <v>10.129112548994842</v>
          </cell>
          <cell r="AS59">
            <v>10.398822412468956</v>
          </cell>
          <cell r="AT59">
            <v>10.468860882253386</v>
          </cell>
          <cell r="AU59">
            <v>10.511175208014825</v>
          </cell>
          <cell r="AV59">
            <v>10.483432285666131</v>
          </cell>
          <cell r="AW59">
            <v>10.420212906616943</v>
          </cell>
          <cell r="AX59">
            <v>10.39828066747963</v>
          </cell>
          <cell r="AY59">
            <v>10.456500739004047</v>
          </cell>
          <cell r="AZ59">
            <v>10.456392390006181</v>
          </cell>
          <cell r="BA59">
            <v>10.453920361356316</v>
          </cell>
          <cell r="BB59">
            <v>10.442963797754587</v>
          </cell>
          <cell r="BC59">
            <v>10.437061412892623</v>
          </cell>
          <cell r="BD59">
            <v>10.441611591120154</v>
          </cell>
          <cell r="BE59">
            <v>10.449367740202751</v>
          </cell>
          <cell r="BF59">
            <v>10.446389910625973</v>
          </cell>
        </row>
        <row r="60">
          <cell r="B60">
            <v>1.9128953999999998</v>
          </cell>
          <cell r="C60">
            <v>1.2760930000000004</v>
          </cell>
          <cell r="D60">
            <v>1.5355892000000002</v>
          </cell>
          <cell r="E60">
            <v>1.8161423999999999</v>
          </cell>
          <cell r="F60">
            <v>1.1945288000000001</v>
          </cell>
          <cell r="G60">
            <v>3.0324149999999999</v>
          </cell>
          <cell r="H60">
            <v>1.6988178</v>
          </cell>
          <cell r="I60">
            <v>1.5721023999999999</v>
          </cell>
          <cell r="J60">
            <v>3.1792833999999996</v>
          </cell>
          <cell r="K60">
            <v>1.309992</v>
          </cell>
          <cell r="L60">
            <v>2.5531017999999994</v>
          </cell>
          <cell r="M60">
            <v>2.3639844000000001</v>
          </cell>
          <cell r="N60">
            <v>1.5559966000000001</v>
          </cell>
          <cell r="O60">
            <v>5.7289459999999996</v>
          </cell>
          <cell r="P60">
            <v>10.025215600000001</v>
          </cell>
          <cell r="Q60">
            <v>6.8136526000000002</v>
          </cell>
          <cell r="R60">
            <v>1.8377011999999999</v>
          </cell>
          <cell r="S60">
            <v>35.231754400000007</v>
          </cell>
          <cell r="T60">
            <v>0</v>
          </cell>
          <cell r="U60">
            <v>4.4318990000000005</v>
          </cell>
          <cell r="V60">
            <v>9.0744579999999999</v>
          </cell>
          <cell r="W60">
            <v>0.34889900000000001</v>
          </cell>
          <cell r="X60">
            <v>6.6790620000000001</v>
          </cell>
          <cell r="Y60">
            <v>28.138540999999996</v>
          </cell>
          <cell r="Z60">
            <v>33.682346000000003</v>
          </cell>
          <cell r="AA60">
            <v>79.742426999999992</v>
          </cell>
          <cell r="AB60">
            <v>48.101273999999997</v>
          </cell>
          <cell r="AC60">
            <v>19.245733999999999</v>
          </cell>
          <cell r="AD60">
            <v>80.126806999999999</v>
          </cell>
          <cell r="AE60">
            <v>43.333989000000003</v>
          </cell>
          <cell r="AF60">
            <v>55.840311999999997</v>
          </cell>
          <cell r="AG60">
            <v>17.81974944428157</v>
          </cell>
          <cell r="AH60">
            <v>17.346808449724126</v>
          </cell>
          <cell r="AI60">
            <v>16.318794737128869</v>
          </cell>
          <cell r="AJ60">
            <v>15.349107413365223</v>
          </cell>
          <cell r="AK60">
            <v>13.839716126653485</v>
          </cell>
          <cell r="AL60">
            <v>11.325213422670268</v>
          </cell>
          <cell r="AM60">
            <v>9.4910795495474432</v>
          </cell>
          <cell r="AN60">
            <v>9.8906186866055954</v>
          </cell>
          <cell r="AO60">
            <v>10.203678653748508</v>
          </cell>
          <cell r="AP60">
            <v>10.416649599798612</v>
          </cell>
          <cell r="AQ60">
            <v>10.428629797947677</v>
          </cell>
          <cell r="AR60">
            <v>10.265447982474086</v>
          </cell>
          <cell r="AS60">
            <v>10.086131257529567</v>
          </cell>
          <cell r="AT60">
            <v>10.241004944114895</v>
          </cell>
          <cell r="AU60">
            <v>10.280107458299691</v>
          </cell>
          <cell r="AV60">
            <v>10.287572716372967</v>
          </cell>
          <cell r="AW60">
            <v>10.260264288073182</v>
          </cell>
          <cell r="AX60">
            <v>10.232052871758242</v>
          </cell>
          <cell r="AY60">
            <v>10.231016132878061</v>
          </cell>
          <cell r="AZ60">
            <v>10.260200455723796</v>
          </cell>
          <cell r="BA60">
            <v>10.258202693476429</v>
          </cell>
          <cell r="BB60">
            <v>10.254221292961251</v>
          </cell>
          <cell r="BC60">
            <v>10.248347288381941</v>
          </cell>
          <cell r="BD60">
            <v>10.247138689359558</v>
          </cell>
          <cell r="BE60">
            <v>10.250397572684298</v>
          </cell>
          <cell r="BF60">
            <v>10.253622083980595</v>
          </cell>
        </row>
        <row r="61">
          <cell r="B61">
            <v>1.4892302000000002</v>
          </cell>
          <cell r="C61">
            <v>2.2135394000000002</v>
          </cell>
          <cell r="D61">
            <v>1.9976523999999998</v>
          </cell>
          <cell r="E61">
            <v>1.7101444000000001</v>
          </cell>
          <cell r="F61">
            <v>1.1647007999999999</v>
          </cell>
          <cell r="G61">
            <v>1.9061184</v>
          </cell>
          <cell r="H61">
            <v>1.0780192</v>
          </cell>
          <cell r="I61">
            <v>1.4449744</v>
          </cell>
          <cell r="J61">
            <v>1.7567307999999999</v>
          </cell>
          <cell r="K61">
            <v>1.6231088000000005</v>
          </cell>
          <cell r="L61">
            <v>1.8757881999999999</v>
          </cell>
          <cell r="M61">
            <v>3.2748253999999997</v>
          </cell>
          <cell r="N61">
            <v>2.9458140000000004</v>
          </cell>
          <cell r="O61">
            <v>19.2930882</v>
          </cell>
          <cell r="P61">
            <v>5.9417596000000001</v>
          </cell>
          <cell r="Q61">
            <v>2.7112951999999999</v>
          </cell>
          <cell r="R61">
            <v>1.7637</v>
          </cell>
          <cell r="S61">
            <v>4.801037</v>
          </cell>
          <cell r="T61">
            <v>4.4091890000000005</v>
          </cell>
          <cell r="U61">
            <v>8.8176380000000005</v>
          </cell>
          <cell r="V61">
            <v>11.023121999999999</v>
          </cell>
          <cell r="W61">
            <v>22.046243999999998</v>
          </cell>
          <cell r="X61">
            <v>16.549614000000002</v>
          </cell>
          <cell r="Y61">
            <v>14.468608</v>
          </cell>
          <cell r="Z61">
            <v>15.434996999999999</v>
          </cell>
          <cell r="AA61">
            <v>36.372047999999999</v>
          </cell>
          <cell r="AB61">
            <v>85.044837999999984</v>
          </cell>
          <cell r="AC61">
            <v>26.550879000000002</v>
          </cell>
          <cell r="AD61">
            <v>102.783928</v>
          </cell>
          <cell r="AE61">
            <v>25.922708999999998</v>
          </cell>
          <cell r="AF61">
            <v>38.519375999999994</v>
          </cell>
          <cell r="AG61">
            <v>18.223117027338397</v>
          </cell>
          <cell r="AH61">
            <v>19.609584781627515</v>
          </cell>
          <cell r="AI61">
            <v>15.989458485680817</v>
          </cell>
          <cell r="AJ61">
            <v>14.675723851095514</v>
          </cell>
          <cell r="AK61">
            <v>10.863848040020878</v>
          </cell>
          <cell r="AL61">
            <v>9.8797274358929332</v>
          </cell>
          <cell r="AM61">
            <v>9.3366743747956598</v>
          </cell>
          <cell r="AN61">
            <v>9.4691123459090214</v>
          </cell>
          <cell r="AO61">
            <v>9.3454511057670473</v>
          </cell>
          <cell r="AP61">
            <v>9.4304497474285238</v>
          </cell>
          <cell r="AQ61">
            <v>9.3132977718829597</v>
          </cell>
          <cell r="AR61">
            <v>9.4922830019586382</v>
          </cell>
          <cell r="AS61">
            <v>9.3789970691566431</v>
          </cell>
          <cell r="AT61">
            <v>9.4101187945892377</v>
          </cell>
          <cell r="AU61">
            <v>9.3920957392387638</v>
          </cell>
          <cell r="AV61">
            <v>9.4050292770031998</v>
          </cell>
          <cell r="AW61">
            <v>9.3973584753652482</v>
          </cell>
          <cell r="AX61">
            <v>9.4157047763892958</v>
          </cell>
          <cell r="AY61">
            <v>9.3967198710706192</v>
          </cell>
          <cell r="AZ61">
            <v>9.4040614125171516</v>
          </cell>
          <cell r="BA61">
            <v>9.4013816278134232</v>
          </cell>
          <cell r="BB61">
            <v>9.4037747624691033</v>
          </cell>
          <cell r="BC61">
            <v>9.4030452326311469</v>
          </cell>
          <cell r="BD61">
            <v>9.4043284900519186</v>
          </cell>
          <cell r="BE61">
            <v>9.4017965813002888</v>
          </cell>
          <cell r="BF61">
            <v>9.4033183050965494</v>
          </cell>
        </row>
        <row r="62">
          <cell r="B62">
            <v>1.6483242</v>
          </cell>
          <cell r="C62">
            <v>0.74624820000000003</v>
          </cell>
          <cell r="D62">
            <v>1.6608210000000001</v>
          </cell>
          <cell r="E62">
            <v>2.6138664000000005</v>
          </cell>
          <cell r="F62">
            <v>4.5333654000000001</v>
          </cell>
          <cell r="G62">
            <v>1.9381461999999996</v>
          </cell>
          <cell r="H62">
            <v>5.7892142</v>
          </cell>
          <cell r="I62">
            <v>2.2998448000000002</v>
          </cell>
          <cell r="J62">
            <v>5.1573949999999993</v>
          </cell>
          <cell r="K62">
            <v>1.2053916000000002</v>
          </cell>
          <cell r="L62">
            <v>2.4442691999999999</v>
          </cell>
          <cell r="M62">
            <v>2.1666962000000005</v>
          </cell>
          <cell r="N62">
            <v>8.6547813999999992</v>
          </cell>
          <cell r="O62">
            <v>10.205805599999998</v>
          </cell>
          <cell r="P62">
            <v>10.928143799999999</v>
          </cell>
          <cell r="Q62">
            <v>3.9172570000000002</v>
          </cell>
          <cell r="R62">
            <v>12.119783999999999</v>
          </cell>
          <cell r="S62">
            <v>18.748815999999998</v>
          </cell>
          <cell r="T62">
            <v>4.4486300000000005</v>
          </cell>
          <cell r="U62">
            <v>4.6790999999999999E-2</v>
          </cell>
          <cell r="V62">
            <v>8.8184979999999999</v>
          </cell>
          <cell r="W62">
            <v>0</v>
          </cell>
          <cell r="X62">
            <v>19.839428999999999</v>
          </cell>
          <cell r="Y62">
            <v>19.849979999999999</v>
          </cell>
          <cell r="Z62">
            <v>24.964931000000004</v>
          </cell>
          <cell r="AA62">
            <v>52.010779999999997</v>
          </cell>
          <cell r="AB62">
            <v>84.524989999999988</v>
          </cell>
          <cell r="AC62">
            <v>35.322631999999999</v>
          </cell>
          <cell r="AD62">
            <v>62.858644999999996</v>
          </cell>
          <cell r="AE62">
            <v>41.566423</v>
          </cell>
          <cell r="AF62">
            <v>31.770551999999999</v>
          </cell>
          <cell r="AG62">
            <v>18.19736835115356</v>
          </cell>
          <cell r="AH62">
            <v>18.007569430695987</v>
          </cell>
          <cell r="AI62">
            <v>14.308725974152082</v>
          </cell>
          <cell r="AJ62">
            <v>12.338431849328231</v>
          </cell>
          <cell r="AK62">
            <v>11.377018605686958</v>
          </cell>
          <cell r="AL62">
            <v>8.7354690853613661</v>
          </cell>
          <cell r="AM62">
            <v>8.7328369660019796</v>
          </cell>
          <cell r="AN62">
            <v>8.6356286593632827</v>
          </cell>
          <cell r="AO62">
            <v>8.5373049970047088</v>
          </cell>
          <cell r="AP62">
            <v>8.6642408983898793</v>
          </cell>
          <cell r="AQ62">
            <v>8.7653825358891986</v>
          </cell>
          <cell r="AR62">
            <v>8.6610961212242437</v>
          </cell>
          <cell r="AS62">
            <v>8.6670788113298105</v>
          </cell>
          <cell r="AT62">
            <v>8.652730642374264</v>
          </cell>
          <cell r="AU62">
            <v>8.6590206727675678</v>
          </cell>
          <cell r="AV62">
            <v>8.6821058018414803</v>
          </cell>
          <cell r="AW62">
            <v>8.6810617567170159</v>
          </cell>
          <cell r="AX62">
            <v>8.6644064099074747</v>
          </cell>
          <cell r="AY62">
            <v>8.6683995370060281</v>
          </cell>
          <cell r="AZ62">
            <v>8.6678650567215616</v>
          </cell>
          <cell r="BA62">
            <v>8.6709988356479126</v>
          </cell>
          <cell r="BB62">
            <v>8.672767712438711</v>
          </cell>
          <cell r="BC62">
            <v>8.6705463191999996</v>
          </cell>
          <cell r="BD62">
            <v>8.6688875103443372</v>
          </cell>
          <cell r="BE62">
            <v>8.6701154922028447</v>
          </cell>
          <cell r="BF62">
            <v>8.6702130868705041</v>
          </cell>
        </row>
        <row r="63">
          <cell r="B63">
            <v>1.2787784</v>
          </cell>
          <cell r="C63">
            <v>1.1293406000000001</v>
          </cell>
          <cell r="D63">
            <v>4.1710851999999994</v>
          </cell>
          <cell r="E63">
            <v>1.6981742000000002</v>
          </cell>
          <cell r="F63">
            <v>3.5408262000000001</v>
          </cell>
          <cell r="G63">
            <v>2.1273298</v>
          </cell>
          <cell r="H63">
            <v>1.2387652000000002</v>
          </cell>
          <cell r="I63">
            <v>2.1983276000000003</v>
          </cell>
          <cell r="J63">
            <v>1.1751804000000001</v>
          </cell>
          <cell r="K63">
            <v>1.2060156</v>
          </cell>
          <cell r="L63">
            <v>2.2201388</v>
          </cell>
          <cell r="M63">
            <v>2.4450908</v>
          </cell>
          <cell r="N63">
            <v>5.7744957999999995</v>
          </cell>
          <cell r="O63">
            <v>5.4465145999999995</v>
          </cell>
          <cell r="P63">
            <v>11.550967600000003</v>
          </cell>
          <cell r="Q63">
            <v>6.249294400000001</v>
          </cell>
          <cell r="R63">
            <v>5.6180751999999998</v>
          </cell>
          <cell r="S63">
            <v>17.924255999999996</v>
          </cell>
          <cell r="T63">
            <v>0</v>
          </cell>
          <cell r="U63">
            <v>8.8184979999999999</v>
          </cell>
          <cell r="V63">
            <v>5.5115609999999995</v>
          </cell>
          <cell r="W63">
            <v>6.9554529999999994</v>
          </cell>
          <cell r="X63">
            <v>16.511137999999999</v>
          </cell>
          <cell r="Y63">
            <v>15.440556000000001</v>
          </cell>
          <cell r="Z63">
            <v>24.41818</v>
          </cell>
          <cell r="AA63">
            <v>47.373248999999994</v>
          </cell>
          <cell r="AB63">
            <v>95.386721999999992</v>
          </cell>
          <cell r="AC63">
            <v>6.6138729999999999</v>
          </cell>
          <cell r="AD63">
            <v>107.590148</v>
          </cell>
          <cell r="AE63">
            <v>21.175539000000001</v>
          </cell>
          <cell r="AF63">
            <v>25.763106000000001</v>
          </cell>
          <cell r="AG63">
            <v>18.319617524074438</v>
          </cell>
          <cell r="AH63">
            <v>18.041760170432266</v>
          </cell>
          <cell r="AI63">
            <v>13.535399103608682</v>
          </cell>
          <cell r="AJ63">
            <v>13.661703837415139</v>
          </cell>
          <cell r="AK63">
            <v>8.8953791966883706</v>
          </cell>
          <cell r="AL63">
            <v>8.2460803883292897</v>
          </cell>
          <cell r="AM63">
            <v>8.5239835096728118</v>
          </cell>
          <cell r="AN63">
            <v>8.3173763595298329</v>
          </cell>
          <cell r="AO63">
            <v>8.1326993901098916</v>
          </cell>
          <cell r="AP63">
            <v>8.2860040507192068</v>
          </cell>
          <cell r="AQ63">
            <v>8.0220035893962276</v>
          </cell>
          <cell r="AR63">
            <v>8.3012287396722062</v>
          </cell>
          <cell r="AS63">
            <v>8.2564133798855934</v>
          </cell>
          <cell r="AT63">
            <v>8.2118624258854709</v>
          </cell>
          <cell r="AU63">
            <v>8.1996698299566262</v>
          </cell>
          <cell r="AV63">
            <v>8.2155024371117413</v>
          </cell>
          <cell r="AW63">
            <v>8.1982355929592252</v>
          </cell>
          <cell r="AX63">
            <v>8.2369353625023276</v>
          </cell>
          <cell r="AY63">
            <v>8.2163367331597303</v>
          </cell>
          <cell r="AZ63">
            <v>8.2124411296830786</v>
          </cell>
          <cell r="BA63">
            <v>8.2133359911379298</v>
          </cell>
          <cell r="BB63">
            <v>8.2158902510832199</v>
          </cell>
          <cell r="BC63">
            <v>8.2154569618884583</v>
          </cell>
          <cell r="BD63">
            <v>8.2189878935132583</v>
          </cell>
          <cell r="BE63">
            <v>8.2146922133904834</v>
          </cell>
          <cell r="BF63">
            <v>8.2152224454611904</v>
          </cell>
        </row>
        <row r="64">
          <cell r="B64">
            <v>0.89653260000000012</v>
          </cell>
          <cell r="C64">
            <v>1.5242880000000001</v>
          </cell>
          <cell r="D64">
            <v>1.6593774000000003</v>
          </cell>
          <cell r="E64">
            <v>1.3267470000000001</v>
          </cell>
          <cell r="F64">
            <v>4.5426470000000005</v>
          </cell>
          <cell r="G64">
            <v>2.7486033999999999</v>
          </cell>
          <cell r="H64">
            <v>1.0777289999999999</v>
          </cell>
          <cell r="I64">
            <v>2.2285142000000002</v>
          </cell>
          <cell r="J64">
            <v>1.0817234</v>
          </cell>
          <cell r="K64">
            <v>1.2766564</v>
          </cell>
          <cell r="L64">
            <v>1.9208008000000001</v>
          </cell>
          <cell r="M64">
            <v>1.6167812000000001</v>
          </cell>
          <cell r="N64">
            <v>12.164667999999999</v>
          </cell>
          <cell r="O64">
            <v>3.0587140000000006</v>
          </cell>
          <cell r="P64">
            <v>7.6649520000000004</v>
          </cell>
          <cell r="Q64">
            <v>1.4634348000000001</v>
          </cell>
          <cell r="R64">
            <v>15.4480188</v>
          </cell>
          <cell r="S64">
            <v>18.368255999999999</v>
          </cell>
          <cell r="T64">
            <v>4.4139179999999998</v>
          </cell>
          <cell r="U64">
            <v>12.125433999999998</v>
          </cell>
          <cell r="V64">
            <v>8.8519089999999991</v>
          </cell>
          <cell r="W64">
            <v>4.409249</v>
          </cell>
          <cell r="X64">
            <v>12.129001000000001</v>
          </cell>
          <cell r="Y64">
            <v>8.8287560000000003</v>
          </cell>
          <cell r="Z64">
            <v>17.658052000000001</v>
          </cell>
          <cell r="AA64">
            <v>45.519077999999993</v>
          </cell>
          <cell r="AB64">
            <v>111.05158400000001</v>
          </cell>
          <cell r="AC64">
            <v>0</v>
          </cell>
          <cell r="AD64">
            <v>44.978696000000006</v>
          </cell>
          <cell r="AE64">
            <v>55.796828999999995</v>
          </cell>
          <cell r="AF64">
            <v>23.123124000000001</v>
          </cell>
          <cell r="AG64">
            <v>16.95006711260665</v>
          </cell>
          <cell r="AH64">
            <v>16.524094135262121</v>
          </cell>
          <cell r="AI64">
            <v>10.623087750687544</v>
          </cell>
          <cell r="AJ64">
            <v>11.262920022785563</v>
          </cell>
          <cell r="AK64">
            <v>11.300458439414426</v>
          </cell>
          <cell r="AL64">
            <v>7.2454998592395334</v>
          </cell>
          <cell r="AM64">
            <v>7.8424267600889772</v>
          </cell>
          <cell r="AN64">
            <v>7.5941413609852253</v>
          </cell>
          <cell r="AO64">
            <v>7.4268296664947764</v>
          </cell>
          <cell r="AP64">
            <v>7.8687732943502136</v>
          </cell>
          <cell r="AQ64">
            <v>7.8874963973757968</v>
          </cell>
          <cell r="AR64">
            <v>7.5955341882317455</v>
          </cell>
          <cell r="AS64">
            <v>7.723933495858998</v>
          </cell>
          <cell r="AT64">
            <v>7.6745549814875513</v>
          </cell>
          <cell r="AU64">
            <v>7.7005134084623066</v>
          </cell>
          <cell r="AV64">
            <v>7.7500584714608607</v>
          </cell>
          <cell r="AW64">
            <v>7.7164064942832784</v>
          </cell>
          <cell r="AX64">
            <v>7.6889189091002921</v>
          </cell>
          <cell r="AY64">
            <v>7.7130933703105988</v>
          </cell>
          <cell r="AZ64">
            <v>7.7060904529588576</v>
          </cell>
          <cell r="BA64">
            <v>7.7137981307234664</v>
          </cell>
          <cell r="BB64">
            <v>7.7149135396227777</v>
          </cell>
          <cell r="BC64">
            <v>7.7076614714752996</v>
          </cell>
          <cell r="BD64">
            <v>7.7073628805431973</v>
          </cell>
          <cell r="BE64">
            <v>7.7111113930182</v>
          </cell>
          <cell r="BF64">
            <v>7.7099652950647188</v>
          </cell>
        </row>
        <row r="65">
          <cell r="B65">
            <v>1.2432262000000001</v>
          </cell>
          <cell r="C65">
            <v>2.4834456</v>
          </cell>
          <cell r="D65">
            <v>1.4964916000000001</v>
          </cell>
          <cell r="E65">
            <v>1.5831502</v>
          </cell>
          <cell r="F65">
            <v>3.8947902000000005</v>
          </cell>
          <cell r="G65">
            <v>4.016633399999999</v>
          </cell>
          <cell r="H65">
            <v>1.5042517999999998</v>
          </cell>
          <cell r="I65">
            <v>3.0620800000000004</v>
          </cell>
          <cell r="J65">
            <v>3.3653392000000006</v>
          </cell>
          <cell r="K65">
            <v>1.6126871999999999</v>
          </cell>
          <cell r="L65">
            <v>1.4355614000000003</v>
          </cell>
          <cell r="M65">
            <v>1.8645598000000003</v>
          </cell>
          <cell r="N65">
            <v>10.392554199999999</v>
          </cell>
          <cell r="O65">
            <v>4.8714840000000006</v>
          </cell>
          <cell r="P65">
            <v>10.151323</v>
          </cell>
          <cell r="Q65">
            <v>1.3458160000000003</v>
          </cell>
          <cell r="R65">
            <v>17.632981000000001</v>
          </cell>
          <cell r="S65">
            <v>38.404461600000005</v>
          </cell>
          <cell r="T65">
            <v>6.6315779999999993</v>
          </cell>
          <cell r="U65">
            <v>9.9514959999999988</v>
          </cell>
          <cell r="V65">
            <v>6.6138729999999999</v>
          </cell>
          <cell r="W65">
            <v>6.6203110000000001</v>
          </cell>
          <cell r="X65">
            <v>15.433273</v>
          </cell>
          <cell r="Y65">
            <v>30.240299</v>
          </cell>
          <cell r="Z65">
            <v>30.939944000000001</v>
          </cell>
          <cell r="AA65">
            <v>28.652201000000002</v>
          </cell>
          <cell r="AB65">
            <v>33.296025</v>
          </cell>
          <cell r="AC65">
            <v>6.8863490000000001</v>
          </cell>
          <cell r="AD65">
            <v>86.765240000000006</v>
          </cell>
          <cell r="AE65">
            <v>18.345089000000002</v>
          </cell>
          <cell r="AF65">
            <v>26.700041000000002</v>
          </cell>
          <cell r="AG65">
            <v>11.456854407156696</v>
          </cell>
          <cell r="AH65">
            <v>12.096282077056037</v>
          </cell>
          <cell r="AI65">
            <v>11.324878425645515</v>
          </cell>
          <cell r="AJ65">
            <v>11.119117369989976</v>
          </cell>
          <cell r="AK65">
            <v>7.3418039325244049</v>
          </cell>
          <cell r="AL65">
            <v>6.7113310169467519</v>
          </cell>
          <cell r="AM65">
            <v>6.2751689661614876</v>
          </cell>
          <cell r="AN65">
            <v>6.4791217096216922</v>
          </cell>
          <cell r="AO65">
            <v>6.5803538017335583</v>
          </cell>
          <cell r="AP65">
            <v>6.5959205209120544</v>
          </cell>
          <cell r="AQ65">
            <v>6.3595770337119797</v>
          </cell>
          <cell r="AR65">
            <v>6.5283792030751089</v>
          </cell>
          <cell r="AS65">
            <v>6.4580284064281539</v>
          </cell>
          <cell r="AT65">
            <v>6.5086704538108791</v>
          </cell>
          <cell r="AU65">
            <v>6.504451793172171</v>
          </cell>
          <cell r="AV65">
            <v>6.4901151235876346</v>
          </cell>
          <cell r="AW65">
            <v>6.4718213780396576</v>
          </cell>
          <cell r="AX65">
            <v>6.4979289960147906</v>
          </cell>
          <cell r="AY65">
            <v>6.4866174310077005</v>
          </cell>
          <cell r="AZ65">
            <v>6.4945975489250252</v>
          </cell>
          <cell r="BA65">
            <v>6.4901869443643898</v>
          </cell>
          <cell r="BB65">
            <v>6.4882160955149635</v>
          </cell>
          <cell r="BC65">
            <v>6.4882304596703131</v>
          </cell>
          <cell r="BD65">
            <v>6.4915094031653737</v>
          </cell>
          <cell r="BE65">
            <v>6.4895696958964786</v>
          </cell>
          <cell r="BF65">
            <v>6.4905480903280131</v>
          </cell>
        </row>
        <row r="66">
          <cell r="B66">
            <v>1.1247348000000001</v>
          </cell>
          <cell r="C66">
            <v>0.92049299999999989</v>
          </cell>
          <cell r="D66">
            <v>1.7987354000000002</v>
          </cell>
          <cell r="E66">
            <v>1.2962536</v>
          </cell>
          <cell r="F66">
            <v>4.6714278</v>
          </cell>
          <cell r="G66">
            <v>1.4082758000000002</v>
          </cell>
          <cell r="H66">
            <v>1.4166403999999999</v>
          </cell>
          <cell r="I66">
            <v>2.4532906000000003</v>
          </cell>
          <cell r="J66">
            <v>1.3611828000000001</v>
          </cell>
          <cell r="K66">
            <v>1.3059260000000001</v>
          </cell>
          <cell r="L66">
            <v>1.6157046000000002</v>
          </cell>
          <cell r="M66">
            <v>3.1085704000000001</v>
          </cell>
          <cell r="N66">
            <v>13.552639800000001</v>
          </cell>
          <cell r="O66">
            <v>4.4533980000000009</v>
          </cell>
          <cell r="P66">
            <v>18.175603199999994</v>
          </cell>
          <cell r="Q66">
            <v>18.3864746</v>
          </cell>
          <cell r="R66">
            <v>17.0255622</v>
          </cell>
          <cell r="S66">
            <v>49.749076799999997</v>
          </cell>
          <cell r="T66">
            <v>4.3579470000000002</v>
          </cell>
          <cell r="U66">
            <v>5.559761</v>
          </cell>
          <cell r="V66">
            <v>11.023121999999999</v>
          </cell>
          <cell r="W66">
            <v>4.409249</v>
          </cell>
          <cell r="X66">
            <v>21.404816</v>
          </cell>
          <cell r="Y66">
            <v>13.260754</v>
          </cell>
          <cell r="Z66">
            <v>27.544744999999999</v>
          </cell>
          <cell r="AA66">
            <v>81.029223000000002</v>
          </cell>
          <cell r="AB66">
            <v>69.094594000000001</v>
          </cell>
          <cell r="AC66">
            <v>11.096311</v>
          </cell>
          <cell r="AD66">
            <v>62.981216000000003</v>
          </cell>
          <cell r="AE66">
            <v>15.285924000000001</v>
          </cell>
          <cell r="AF66">
            <v>26.700041000000002</v>
          </cell>
          <cell r="AG66">
            <v>10.480121706710037</v>
          </cell>
          <cell r="AH66">
            <v>13.022203059355832</v>
          </cell>
          <cell r="AI66">
            <v>9.5441687350614473</v>
          </cell>
          <cell r="AJ66">
            <v>9.1943568049080397</v>
          </cell>
          <cell r="AK66">
            <v>6.8925415724300763</v>
          </cell>
          <cell r="AL66">
            <v>6.3645547864294798</v>
          </cell>
          <cell r="AM66">
            <v>5.7803990445253248</v>
          </cell>
          <cell r="AN66">
            <v>6.0023766610913185</v>
          </cell>
          <cell r="AO66">
            <v>5.811695529746828</v>
          </cell>
          <cell r="AP66">
            <v>5.9537789338059213</v>
          </cell>
          <cell r="AQ66">
            <v>5.8764890655662896</v>
          </cell>
          <cell r="AR66">
            <v>5.982560991119783</v>
          </cell>
          <cell r="AS66">
            <v>5.8849478469471421</v>
          </cell>
          <cell r="AT66">
            <v>5.9253802362660366</v>
          </cell>
          <cell r="AU66">
            <v>5.9018944734371814</v>
          </cell>
          <cell r="AV66">
            <v>5.924631414741043</v>
          </cell>
          <cell r="AW66">
            <v>5.9142545226672922</v>
          </cell>
          <cell r="AX66">
            <v>5.9238829925022287</v>
          </cell>
          <cell r="AY66">
            <v>5.9102216988117391</v>
          </cell>
          <cell r="AZ66">
            <v>5.9180087279227394</v>
          </cell>
          <cell r="BA66">
            <v>5.9149770204319196</v>
          </cell>
          <cell r="BB66">
            <v>5.9181998713290227</v>
          </cell>
          <cell r="BC66">
            <v>5.9162689924671668</v>
          </cell>
          <cell r="BD66">
            <v>5.9170580621995157</v>
          </cell>
          <cell r="BE66">
            <v>5.9155352621925203</v>
          </cell>
          <cell r="BF66">
            <v>5.9169025348700615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4.3499999999999996</v>
          </cell>
          <cell r="Q103">
            <v>2.5499999999999998</v>
          </cell>
          <cell r="R103">
            <v>10</v>
          </cell>
          <cell r="S103">
            <v>9.5</v>
          </cell>
          <cell r="T103">
            <v>21</v>
          </cell>
          <cell r="U103">
            <v>30</v>
          </cell>
          <cell r="V103">
            <v>53.5</v>
          </cell>
          <cell r="W103">
            <v>48.005000000000003</v>
          </cell>
          <cell r="X103">
            <v>97.2</v>
          </cell>
          <cell r="Y103">
            <v>89.271000000000001</v>
          </cell>
          <cell r="Z103">
            <v>84.578000000000003</v>
          </cell>
          <cell r="AA103">
            <v>96.063500000000005</v>
          </cell>
          <cell r="AB103">
            <v>63.893500000000003</v>
          </cell>
          <cell r="AC103">
            <v>65.555999999999997</v>
          </cell>
          <cell r="AD103">
            <v>64.256</v>
          </cell>
          <cell r="AE103">
            <v>58.893999999999998</v>
          </cell>
          <cell r="AF103">
            <v>58.587000000000003</v>
          </cell>
          <cell r="AG103">
            <v>100</v>
          </cell>
          <cell r="AH103">
            <v>57.19536681468913</v>
          </cell>
          <cell r="AI103">
            <v>66.698704290807001</v>
          </cell>
          <cell r="AJ103">
            <v>69.759503929575729</v>
          </cell>
          <cell r="AK103">
            <v>58.539192518291529</v>
          </cell>
          <cell r="AL103">
            <v>70.529983349552296</v>
          </cell>
          <cell r="AM103">
            <v>76.958517877198972</v>
          </cell>
          <cell r="AN103">
            <v>83.387465942307244</v>
          </cell>
          <cell r="AO103">
            <v>93.747246832681611</v>
          </cell>
          <cell r="AP103">
            <v>93.815049796014335</v>
          </cell>
          <cell r="AQ103">
            <v>92.371408621749481</v>
          </cell>
          <cell r="AR103">
            <v>93.843591818595911</v>
          </cell>
          <cell r="AS103">
            <v>90.126831297370842</v>
          </cell>
          <cell r="AT103">
            <v>65.545384293596157</v>
          </cell>
          <cell r="AU103">
            <v>66.190825253795566</v>
          </cell>
          <cell r="AV103">
            <v>66.190825253795566</v>
          </cell>
          <cell r="AW103">
            <v>66.190825253795566</v>
          </cell>
          <cell r="AX103">
            <v>92.371408621749481</v>
          </cell>
          <cell r="AY103">
            <v>92.371408621749481</v>
          </cell>
          <cell r="AZ103">
            <v>92.371408621749481</v>
          </cell>
          <cell r="BA103">
            <v>92.371408621749481</v>
          </cell>
          <cell r="BB103">
            <v>92.371408621749481</v>
          </cell>
          <cell r="BC103">
            <v>92.371408621749481</v>
          </cell>
          <cell r="BD103">
            <v>92.371408621749481</v>
          </cell>
          <cell r="BE103">
            <v>92.371408621749481</v>
          </cell>
          <cell r="BF103">
            <v>92.371408621749481</v>
          </cell>
          <cell r="BG103">
            <v>92.371408621749481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2.35</v>
          </cell>
          <cell r="Q104">
            <v>2.65</v>
          </cell>
          <cell r="R104">
            <v>7.5</v>
          </cell>
          <cell r="S104">
            <v>6.5</v>
          </cell>
          <cell r="T104">
            <v>19.5</v>
          </cell>
          <cell r="U104">
            <v>18</v>
          </cell>
          <cell r="V104">
            <v>45.5</v>
          </cell>
          <cell r="W104">
            <v>36.6</v>
          </cell>
          <cell r="X104">
            <v>51.5</v>
          </cell>
          <cell r="Y104">
            <v>76.375</v>
          </cell>
          <cell r="Z104">
            <v>85.384000000000015</v>
          </cell>
          <cell r="AA104">
            <v>89.316500000000005</v>
          </cell>
          <cell r="AB104">
            <v>60.896000000000001</v>
          </cell>
          <cell r="AC104">
            <v>67.983999999999995</v>
          </cell>
          <cell r="AD104">
            <v>62.7293728358</v>
          </cell>
          <cell r="AE104">
            <v>67.478999999999999</v>
          </cell>
          <cell r="AF104">
            <v>59.954999999999998</v>
          </cell>
          <cell r="AG104">
            <v>100</v>
          </cell>
          <cell r="AH104">
            <v>59.990498238698741</v>
          </cell>
          <cell r="AI104">
            <v>69.052754970448646</v>
          </cell>
          <cell r="AJ104">
            <v>73.031297618079009</v>
          </cell>
          <cell r="AK104">
            <v>60.32692624053319</v>
          </cell>
          <cell r="AL104">
            <v>73.051745121994401</v>
          </cell>
          <cell r="AM104">
            <v>79.979600870188165</v>
          </cell>
          <cell r="AN104">
            <v>86.482023005990641</v>
          </cell>
          <cell r="AO104">
            <v>97.294343418774673</v>
          </cell>
          <cell r="AP104">
            <v>97.244421703720448</v>
          </cell>
          <cell r="AQ104">
            <v>95.826308927045318</v>
          </cell>
          <cell r="AR104">
            <v>97.367444821272855</v>
          </cell>
          <cell r="AS104">
            <v>78.530105299286831</v>
          </cell>
          <cell r="AT104">
            <v>65.461109245792926</v>
          </cell>
          <cell r="AU104">
            <v>65.655983108434228</v>
          </cell>
          <cell r="AV104">
            <v>65.655983108434228</v>
          </cell>
          <cell r="AW104">
            <v>65.655983108434228</v>
          </cell>
          <cell r="AX104">
            <v>95.826308927045318</v>
          </cell>
          <cell r="AY104">
            <v>95.826308927045318</v>
          </cell>
          <cell r="AZ104">
            <v>95.826308927045318</v>
          </cell>
          <cell r="BA104">
            <v>95.826308927045318</v>
          </cell>
          <cell r="BB104">
            <v>95.826308927045318</v>
          </cell>
          <cell r="BC104">
            <v>95.826308927045318</v>
          </cell>
          <cell r="BD104">
            <v>95.826308927045318</v>
          </cell>
          <cell r="BE104">
            <v>95.826308927045318</v>
          </cell>
          <cell r="BF104">
            <v>95.826308927045318</v>
          </cell>
          <cell r="BG104">
            <v>95.826308927045318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2.15</v>
          </cell>
          <cell r="Q105">
            <v>2.5</v>
          </cell>
          <cell r="R105">
            <v>8</v>
          </cell>
          <cell r="S105">
            <v>12.5</v>
          </cell>
          <cell r="T105">
            <v>17.5</v>
          </cell>
          <cell r="U105">
            <v>22.5</v>
          </cell>
          <cell r="V105">
            <v>42</v>
          </cell>
          <cell r="W105">
            <v>45.625</v>
          </cell>
          <cell r="X105">
            <v>53</v>
          </cell>
          <cell r="Y105">
            <v>73.07950000000001</v>
          </cell>
          <cell r="Z105">
            <v>80.691000000000003</v>
          </cell>
          <cell r="AA105">
            <v>91.058500000000009</v>
          </cell>
          <cell r="AB105">
            <v>62.402999999999999</v>
          </cell>
          <cell r="AC105">
            <v>52.201999999999998</v>
          </cell>
          <cell r="AD105">
            <v>60.901000000000003</v>
          </cell>
          <cell r="AE105">
            <v>63.454999999999998</v>
          </cell>
          <cell r="AF105">
            <v>54.758000000000003</v>
          </cell>
          <cell r="AG105">
            <v>100</v>
          </cell>
          <cell r="AH105">
            <v>125.72873916673159</v>
          </cell>
          <cell r="AI105">
            <v>75.514779664065856</v>
          </cell>
          <cell r="AJ105">
            <v>92.780576602587587</v>
          </cell>
          <cell r="AK105">
            <v>81.024127897355271</v>
          </cell>
          <cell r="AL105">
            <v>104.73900869751694</v>
          </cell>
          <cell r="AM105">
            <v>117.26972360875089</v>
          </cell>
          <cell r="AN105">
            <v>113.94793945970758</v>
          </cell>
          <cell r="AO105">
            <v>132.82629993271581</v>
          </cell>
          <cell r="AP105">
            <v>117.04903682697889</v>
          </cell>
          <cell r="AQ105">
            <v>123.79096137520438</v>
          </cell>
          <cell r="AR105">
            <v>123.9093707270904</v>
          </cell>
          <cell r="AS105">
            <v>101.41256589991038</v>
          </cell>
          <cell r="AT105">
            <v>84.136346089943842</v>
          </cell>
          <cell r="AU105">
            <v>83.106473710519026</v>
          </cell>
          <cell r="AV105">
            <v>83.106473710519026</v>
          </cell>
          <cell r="AW105">
            <v>83.106473710519026</v>
          </cell>
          <cell r="AX105">
            <v>123.79096137520438</v>
          </cell>
          <cell r="AY105">
            <v>123.79096137520438</v>
          </cell>
          <cell r="AZ105">
            <v>123.79096137520438</v>
          </cell>
          <cell r="BA105">
            <v>123.79096137520438</v>
          </cell>
          <cell r="BB105">
            <v>123.79096137520438</v>
          </cell>
          <cell r="BC105">
            <v>123.79096137520438</v>
          </cell>
          <cell r="BD105">
            <v>123.79096137520438</v>
          </cell>
          <cell r="BE105">
            <v>123.79096137520438</v>
          </cell>
          <cell r="BF105">
            <v>123.79096137520438</v>
          </cell>
          <cell r="BG105">
            <v>123.79096137520438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1.3831037649219464</v>
          </cell>
          <cell r="P106">
            <v>2.35</v>
          </cell>
          <cell r="Q106">
            <v>1.5814999999999999</v>
          </cell>
          <cell r="R106">
            <v>4</v>
          </cell>
          <cell r="S106">
            <v>9</v>
          </cell>
          <cell r="T106">
            <v>18.5</v>
          </cell>
          <cell r="U106">
            <v>27</v>
          </cell>
          <cell r="V106">
            <v>30</v>
          </cell>
          <cell r="W106">
            <v>26</v>
          </cell>
          <cell r="X106">
            <v>46.33</v>
          </cell>
          <cell r="Y106">
            <v>54.801500000000004</v>
          </cell>
          <cell r="Z106">
            <v>66.768000000000001</v>
          </cell>
          <cell r="AA106">
            <v>78.526499999999999</v>
          </cell>
          <cell r="AB106">
            <v>63.250000000000007</v>
          </cell>
          <cell r="AC106">
            <v>63.527000000000001</v>
          </cell>
          <cell r="AD106">
            <v>63.828000000000003</v>
          </cell>
          <cell r="AE106">
            <v>55.83</v>
          </cell>
          <cell r="AF106">
            <v>55</v>
          </cell>
          <cell r="AG106">
            <v>20</v>
          </cell>
          <cell r="AH106">
            <v>64.91097726126003</v>
          </cell>
          <cell r="AI106">
            <v>61.531861760088461</v>
          </cell>
          <cell r="AJ106">
            <v>49.787123078346475</v>
          </cell>
          <cell r="AK106">
            <v>56.893643374948027</v>
          </cell>
          <cell r="AL106">
            <v>58.677923702558545</v>
          </cell>
          <cell r="AM106">
            <v>71.071251452929886</v>
          </cell>
          <cell r="AN106">
            <v>77.672825407744142</v>
          </cell>
          <cell r="AO106">
            <v>95.543658816490392</v>
          </cell>
          <cell r="AP106">
            <v>90.493775804482453</v>
          </cell>
          <cell r="AQ106">
            <v>89.417661450922793</v>
          </cell>
          <cell r="AR106">
            <v>76.651413983054553</v>
          </cell>
          <cell r="AS106">
            <v>60.387578513155418</v>
          </cell>
          <cell r="AT106">
            <v>62.526573761543396</v>
          </cell>
          <cell r="AU106">
            <v>62.526573761543396</v>
          </cell>
          <cell r="AV106">
            <v>62.526573761543396</v>
          </cell>
          <cell r="AW106">
            <v>62.526573761543396</v>
          </cell>
          <cell r="AX106">
            <v>89.417661450922793</v>
          </cell>
          <cell r="AY106">
            <v>89.417661450922793</v>
          </cell>
          <cell r="AZ106">
            <v>89.417661450922793</v>
          </cell>
          <cell r="BA106">
            <v>89.417661450922793</v>
          </cell>
          <cell r="BB106">
            <v>89.417661450922793</v>
          </cell>
          <cell r="BC106">
            <v>89.417661450922793</v>
          </cell>
          <cell r="BD106">
            <v>89.417661450922793</v>
          </cell>
          <cell r="BE106">
            <v>89.417661450922793</v>
          </cell>
          <cell r="BF106">
            <v>89.417661450922793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0.88138965411692682</v>
          </cell>
          <cell r="P107">
            <v>2</v>
          </cell>
          <cell r="Q107">
            <v>2.1324999999999998</v>
          </cell>
          <cell r="R107">
            <v>4.5</v>
          </cell>
          <cell r="S107">
            <v>9.5</v>
          </cell>
          <cell r="T107">
            <v>20.5</v>
          </cell>
          <cell r="U107">
            <v>29.5</v>
          </cell>
          <cell r="V107">
            <v>38</v>
          </cell>
          <cell r="W107">
            <v>38</v>
          </cell>
          <cell r="X107">
            <v>54.555</v>
          </cell>
          <cell r="Y107">
            <v>53.287000000000006</v>
          </cell>
          <cell r="Z107">
            <v>80.047499999999999</v>
          </cell>
          <cell r="AA107">
            <v>80.34</v>
          </cell>
          <cell r="AB107">
            <v>49.780500000000004</v>
          </cell>
          <cell r="AC107">
            <v>51.749380539099995</v>
          </cell>
          <cell r="AD107">
            <v>58.923000000000002</v>
          </cell>
          <cell r="AE107">
            <v>50.897100000000002</v>
          </cell>
          <cell r="AF107">
            <v>60</v>
          </cell>
          <cell r="AG107">
            <v>40.672744113948212</v>
          </cell>
          <cell r="AH107">
            <v>68.464600466770122</v>
          </cell>
          <cell r="AI107">
            <v>68.498469772895746</v>
          </cell>
          <cell r="AJ107">
            <v>57.398376483268912</v>
          </cell>
          <cell r="AK107">
            <v>68.057526285722588</v>
          </cell>
          <cell r="AL107">
            <v>71.400883462504311</v>
          </cell>
          <cell r="AM107">
            <v>81.577240447042726</v>
          </cell>
          <cell r="AN107">
            <v>90.614446884226453</v>
          </cell>
          <cell r="AO107">
            <v>90.339470321460368</v>
          </cell>
          <cell r="AP107">
            <v>93.95328426777067</v>
          </cell>
          <cell r="AQ107">
            <v>91.234205975639455</v>
          </cell>
          <cell r="AR107">
            <v>81.262565266441001</v>
          </cell>
          <cell r="AS107">
            <v>62.955689661554587</v>
          </cell>
          <cell r="AT107">
            <v>63.497320398248043</v>
          </cell>
          <cell r="AU107">
            <v>63.497320398248043</v>
          </cell>
          <cell r="AV107">
            <v>63.497320398248043</v>
          </cell>
          <cell r="AW107">
            <v>63.497320398248043</v>
          </cell>
          <cell r="AX107">
            <v>91.234205975639455</v>
          </cell>
          <cell r="AY107">
            <v>91.234205975639455</v>
          </cell>
          <cell r="AZ107">
            <v>91.234205975639455</v>
          </cell>
          <cell r="BA107">
            <v>91.234205975639455</v>
          </cell>
          <cell r="BB107">
            <v>91.234205975639455</v>
          </cell>
          <cell r="BC107">
            <v>91.234205975639455</v>
          </cell>
          <cell r="BD107">
            <v>91.234205975639455</v>
          </cell>
          <cell r="BE107">
            <v>91.234205975639455</v>
          </cell>
          <cell r="BF107">
            <v>91.234205975639455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0.98986838077747152</v>
          </cell>
          <cell r="P108">
            <v>4</v>
          </cell>
          <cell r="Q108">
            <v>3.2054999999999998</v>
          </cell>
          <cell r="R108">
            <v>9.5</v>
          </cell>
          <cell r="S108">
            <v>16.5</v>
          </cell>
          <cell r="T108">
            <v>30.5</v>
          </cell>
          <cell r="U108">
            <v>38.5</v>
          </cell>
          <cell r="V108">
            <v>46.5</v>
          </cell>
          <cell r="W108">
            <v>46</v>
          </cell>
          <cell r="X108">
            <v>54.884999999999998</v>
          </cell>
          <cell r="Y108">
            <v>75.179000000000002</v>
          </cell>
          <cell r="Z108">
            <v>89.654500000000013</v>
          </cell>
          <cell r="AA108">
            <v>78.611000000000004</v>
          </cell>
          <cell r="AB108">
            <v>56.661000000000001</v>
          </cell>
          <cell r="AC108">
            <v>61.936</v>
          </cell>
          <cell r="AD108">
            <v>65.971000000000004</v>
          </cell>
          <cell r="AE108">
            <v>62.152000000000001</v>
          </cell>
          <cell r="AF108">
            <v>60</v>
          </cell>
          <cell r="AG108">
            <v>47.961760856980852</v>
          </cell>
          <cell r="AH108">
            <v>68.54425330050239</v>
          </cell>
          <cell r="AI108">
            <v>72.538743901929422</v>
          </cell>
          <cell r="AJ108">
            <v>60.100152149374033</v>
          </cell>
          <cell r="AK108">
            <v>70.113087416605453</v>
          </cell>
          <cell r="AL108">
            <v>75.534792366744739</v>
          </cell>
          <cell r="AM108">
            <v>84.651435996910152</v>
          </cell>
          <cell r="AN108">
            <v>94.789171152823585</v>
          </cell>
          <cell r="AO108">
            <v>94.277522398583372</v>
          </cell>
          <cell r="AP108">
            <v>97.995982344930766</v>
          </cell>
          <cell r="AQ108">
            <v>95.397417413208586</v>
          </cell>
          <cell r="AR108">
            <v>84.76948539240432</v>
          </cell>
          <cell r="AS108">
            <v>65.747265383089839</v>
          </cell>
          <cell r="AT108">
            <v>66.290915920714014</v>
          </cell>
          <cell r="AU108">
            <v>66.290915920714014</v>
          </cell>
          <cell r="AV108">
            <v>66.290915920714014</v>
          </cell>
          <cell r="AW108">
            <v>66.290915920714014</v>
          </cell>
          <cell r="AX108">
            <v>95.397417413208586</v>
          </cell>
          <cell r="AY108">
            <v>95.397417413208586</v>
          </cell>
          <cell r="AZ108">
            <v>95.397417413208586</v>
          </cell>
          <cell r="BA108">
            <v>95.397417413208586</v>
          </cell>
          <cell r="BB108">
            <v>95.397417413208586</v>
          </cell>
          <cell r="BC108">
            <v>95.397417413208586</v>
          </cell>
          <cell r="BD108">
            <v>95.397417413208586</v>
          </cell>
          <cell r="BE108">
            <v>95.397417413208586</v>
          </cell>
          <cell r="BF108">
            <v>95.397417413208586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1.423783287419651</v>
          </cell>
          <cell r="P109">
            <v>5.25</v>
          </cell>
          <cell r="Q109">
            <v>10</v>
          </cell>
          <cell r="R109">
            <v>7.5</v>
          </cell>
          <cell r="S109">
            <v>26</v>
          </cell>
          <cell r="T109">
            <v>33.5</v>
          </cell>
          <cell r="U109">
            <v>42</v>
          </cell>
          <cell r="V109">
            <v>43</v>
          </cell>
          <cell r="W109">
            <v>52</v>
          </cell>
          <cell r="X109">
            <v>58.9</v>
          </cell>
          <cell r="Y109">
            <v>86.281000000000006</v>
          </cell>
          <cell r="Z109">
            <v>90.694500000000005</v>
          </cell>
          <cell r="AA109">
            <v>87.041499999999999</v>
          </cell>
          <cell r="AB109">
            <v>39.248000000000005</v>
          </cell>
          <cell r="AC109">
            <v>63.363</v>
          </cell>
          <cell r="AD109">
            <v>62.128999999999998</v>
          </cell>
          <cell r="AE109">
            <v>46.917000000000002</v>
          </cell>
          <cell r="AF109">
            <v>60</v>
          </cell>
          <cell r="AG109">
            <v>64.867544398619273</v>
          </cell>
          <cell r="AH109">
            <v>69.905426655216374</v>
          </cell>
          <cell r="AI109">
            <v>73.990670485422612</v>
          </cell>
          <cell r="AJ109">
            <v>62.34713156824165</v>
          </cell>
          <cell r="AK109">
            <v>77.666198323865615</v>
          </cell>
          <cell r="AL109">
            <v>83.271772184937319</v>
          </cell>
          <cell r="AM109">
            <v>89.29490315561587</v>
          </cell>
          <cell r="AN109">
            <v>100.82009369193501</v>
          </cell>
          <cell r="AO109">
            <v>101.23234204737678</v>
          </cell>
          <cell r="AP109">
            <v>105.83535902641459</v>
          </cell>
          <cell r="AQ109">
            <v>102.51871394056248</v>
          </cell>
          <cell r="AR109">
            <v>90.676970231502764</v>
          </cell>
          <cell r="AS109">
            <v>70.572993802230428</v>
          </cell>
          <cell r="AT109">
            <v>71.286163932127153</v>
          </cell>
          <cell r="AU109">
            <v>71.286163932127153</v>
          </cell>
          <cell r="AV109">
            <v>71.286163932127153</v>
          </cell>
          <cell r="AW109">
            <v>71.286163932127153</v>
          </cell>
          <cell r="AX109">
            <v>102.51871394056248</v>
          </cell>
          <cell r="AY109">
            <v>102.51871394056248</v>
          </cell>
          <cell r="AZ109">
            <v>102.51871394056248</v>
          </cell>
          <cell r="BA109">
            <v>102.51871394056248</v>
          </cell>
          <cell r="BB109">
            <v>102.51871394056248</v>
          </cell>
          <cell r="BC109">
            <v>102.51871394056248</v>
          </cell>
          <cell r="BD109">
            <v>102.51871394056248</v>
          </cell>
          <cell r="BE109">
            <v>102.51871394056248</v>
          </cell>
          <cell r="BF109">
            <v>102.51871394056248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1.5593816957453319</v>
          </cell>
          <cell r="P110">
            <v>6.15</v>
          </cell>
          <cell r="Q110">
            <v>9.5830000000000002</v>
          </cell>
          <cell r="R110">
            <v>10.5</v>
          </cell>
          <cell r="S110">
            <v>20.5</v>
          </cell>
          <cell r="T110">
            <v>30.5</v>
          </cell>
          <cell r="U110">
            <v>46</v>
          </cell>
          <cell r="V110">
            <v>52.5</v>
          </cell>
          <cell r="W110">
            <v>55</v>
          </cell>
          <cell r="X110">
            <v>52.93</v>
          </cell>
          <cell r="Y110">
            <v>85.397000000000006</v>
          </cell>
          <cell r="Z110">
            <v>100.11300000000001</v>
          </cell>
          <cell r="AA110">
            <v>89.901499999999999</v>
          </cell>
          <cell r="AB110">
            <v>28.149000000000001</v>
          </cell>
          <cell r="AC110">
            <v>70.3</v>
          </cell>
          <cell r="AD110">
            <v>62.122</v>
          </cell>
          <cell r="AE110">
            <v>57.726999999999997</v>
          </cell>
          <cell r="AF110">
            <v>60</v>
          </cell>
          <cell r="AG110">
            <v>64.168621224967396</v>
          </cell>
          <cell r="AH110">
            <v>72.708459898206513</v>
          </cell>
          <cell r="AI110">
            <v>76.08101182944084</v>
          </cell>
          <cell r="AJ110">
            <v>64.490799584269936</v>
          </cell>
          <cell r="AK110">
            <v>77.035741505084502</v>
          </cell>
          <cell r="AL110">
            <v>84.546921891043979</v>
          </cell>
          <cell r="AM110">
            <v>91.20219366335678</v>
          </cell>
          <cell r="AN110">
            <v>102.64524471875517</v>
          </cell>
          <cell r="AO110">
            <v>102.84302868871357</v>
          </cell>
          <cell r="AP110">
            <v>107.1569563117996</v>
          </cell>
          <cell r="AQ110">
            <v>104.22372791041956</v>
          </cell>
          <cell r="AR110">
            <v>92.210217200963314</v>
          </cell>
          <cell r="AS110">
            <v>71.705899192108959</v>
          </cell>
          <cell r="AT110">
            <v>72.395226316374149</v>
          </cell>
          <cell r="AU110">
            <v>72.395226316374149</v>
          </cell>
          <cell r="AV110">
            <v>72.395226316374149</v>
          </cell>
          <cell r="AW110">
            <v>72.395226316374149</v>
          </cell>
          <cell r="AX110">
            <v>104.22372791041956</v>
          </cell>
          <cell r="AY110">
            <v>104.22372791041956</v>
          </cell>
          <cell r="AZ110">
            <v>104.22372791041956</v>
          </cell>
          <cell r="BA110">
            <v>104.22372791041956</v>
          </cell>
          <cell r="BB110">
            <v>104.22372791041956</v>
          </cell>
          <cell r="BC110">
            <v>104.22372791041956</v>
          </cell>
          <cell r="BD110">
            <v>104.22372791041956</v>
          </cell>
          <cell r="BE110">
            <v>104.22372791041956</v>
          </cell>
          <cell r="BF110">
            <v>104.22372791041956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2.1560146923783288</v>
          </cell>
          <cell r="P111">
            <v>13.45</v>
          </cell>
          <cell r="Q111">
            <v>25.460999999999999</v>
          </cell>
          <cell r="R111">
            <v>14.5</v>
          </cell>
          <cell r="S111">
            <v>25</v>
          </cell>
          <cell r="T111">
            <v>32</v>
          </cell>
          <cell r="U111">
            <v>47</v>
          </cell>
          <cell r="V111">
            <v>43.104999999999997</v>
          </cell>
          <cell r="W111">
            <v>65</v>
          </cell>
          <cell r="X111">
            <v>56.46</v>
          </cell>
          <cell r="Y111">
            <v>92.442999999999998</v>
          </cell>
          <cell r="Z111">
            <v>97.480500000000006</v>
          </cell>
          <cell r="AA111">
            <v>77.453999999999994</v>
          </cell>
          <cell r="AB111">
            <v>38.329500000000003</v>
          </cell>
          <cell r="AC111">
            <v>67.343999999999994</v>
          </cell>
          <cell r="AD111">
            <v>73.885999999999996</v>
          </cell>
          <cell r="AE111">
            <v>57.268999999999998</v>
          </cell>
          <cell r="AF111">
            <v>60</v>
          </cell>
          <cell r="AG111">
            <v>68.416940041772676</v>
          </cell>
          <cell r="AH111">
            <v>75.68299150423735</v>
          </cell>
          <cell r="AI111">
            <v>80.484696843071958</v>
          </cell>
          <cell r="AJ111">
            <v>66.68799649959351</v>
          </cell>
          <cell r="AK111">
            <v>80.094182461785763</v>
          </cell>
          <cell r="AL111">
            <v>88.605058584332767</v>
          </cell>
          <cell r="AM111">
            <v>95.181036130970512</v>
          </cell>
          <cell r="AN111">
            <v>107.20536493992239</v>
          </cell>
          <cell r="AO111">
            <v>107.21120373748185</v>
          </cell>
          <cell r="AP111">
            <v>111.85562599184921</v>
          </cell>
          <cell r="AQ111">
            <v>108.84665855897143</v>
          </cell>
          <cell r="AR111">
            <v>96.250112159738592</v>
          </cell>
          <cell r="AS111">
            <v>74.864073939785371</v>
          </cell>
          <cell r="AT111">
            <v>75.576520668355954</v>
          </cell>
          <cell r="AU111">
            <v>75.576520668355954</v>
          </cell>
          <cell r="AV111">
            <v>75.576520668355954</v>
          </cell>
          <cell r="AW111">
            <v>75.576520668355954</v>
          </cell>
          <cell r="AX111">
            <v>108.84665855897143</v>
          </cell>
          <cell r="AY111">
            <v>108.84665855897143</v>
          </cell>
          <cell r="AZ111">
            <v>108.84665855897143</v>
          </cell>
          <cell r="BA111">
            <v>108.84665855897143</v>
          </cell>
          <cell r="BB111">
            <v>108.84665855897143</v>
          </cell>
          <cell r="BC111">
            <v>108.84665855897143</v>
          </cell>
          <cell r="BD111">
            <v>108.84665855897143</v>
          </cell>
          <cell r="BE111">
            <v>108.84665855897143</v>
          </cell>
          <cell r="BF111">
            <v>108.84665855897143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1.8441383532292621</v>
          </cell>
          <cell r="P112">
            <v>8.4</v>
          </cell>
          <cell r="Q112">
            <v>22.5</v>
          </cell>
          <cell r="R112">
            <v>14.5</v>
          </cell>
          <cell r="S112">
            <v>22.5</v>
          </cell>
          <cell r="T112">
            <v>32.5</v>
          </cell>
          <cell r="U112">
            <v>50.5</v>
          </cell>
          <cell r="V112">
            <v>49.185000000000002</v>
          </cell>
          <cell r="W112">
            <v>64</v>
          </cell>
          <cell r="X112">
            <v>64.84</v>
          </cell>
          <cell r="Y112">
            <v>87.763000000000005</v>
          </cell>
          <cell r="Z112">
            <v>99.118500000000012</v>
          </cell>
          <cell r="AA112">
            <v>76.765000000000001</v>
          </cell>
          <cell r="AB112">
            <v>44.962500000000006</v>
          </cell>
          <cell r="AC112">
            <v>61.713999999999999</v>
          </cell>
          <cell r="AD112">
            <v>75.650999999999996</v>
          </cell>
          <cell r="AE112">
            <v>55.259</v>
          </cell>
          <cell r="AF112">
            <v>60</v>
          </cell>
          <cell r="AG112">
            <v>65.098588196453989</v>
          </cell>
          <cell r="AH112">
            <v>72.164450159777203</v>
          </cell>
          <cell r="AI112">
            <v>77.25779780991823</v>
          </cell>
          <cell r="AJ112">
            <v>63.163850344914167</v>
          </cell>
          <cell r="AK112">
            <v>76.333588325980358</v>
          </cell>
          <cell r="AL112">
            <v>84.341934711124622</v>
          </cell>
          <cell r="AM112">
            <v>90.786577194716713</v>
          </cell>
          <cell r="AN112">
            <v>102.20870725405263</v>
          </cell>
          <cell r="AO112">
            <v>102.04779644215714</v>
          </cell>
          <cell r="AP112">
            <v>106.55869698031208</v>
          </cell>
          <cell r="AQ112">
            <v>103.70550982895612</v>
          </cell>
          <cell r="AR112">
            <v>91.726051933921511</v>
          </cell>
          <cell r="AS112">
            <v>71.327758612049266</v>
          </cell>
          <cell r="AT112">
            <v>71.99356035171273</v>
          </cell>
          <cell r="AU112">
            <v>71.99356035171273</v>
          </cell>
          <cell r="AV112">
            <v>71.99356035171273</v>
          </cell>
          <cell r="AW112">
            <v>71.99356035171273</v>
          </cell>
          <cell r="AX112">
            <v>103.70550982895612</v>
          </cell>
          <cell r="AY112">
            <v>103.70550982895612</v>
          </cell>
          <cell r="AZ112">
            <v>103.70550982895612</v>
          </cell>
          <cell r="BA112">
            <v>103.70550982895612</v>
          </cell>
          <cell r="BB112">
            <v>103.70550982895612</v>
          </cell>
          <cell r="BC112">
            <v>103.70550982895612</v>
          </cell>
          <cell r="BD112">
            <v>103.70550982895612</v>
          </cell>
          <cell r="BE112">
            <v>103.70550982895612</v>
          </cell>
          <cell r="BF112">
            <v>103.70550982895612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3.0780838689929597</v>
          </cell>
          <cell r="P113">
            <v>4.2</v>
          </cell>
          <cell r="Q113">
            <v>21.594000000000001</v>
          </cell>
          <cell r="R113">
            <v>15</v>
          </cell>
          <cell r="S113">
            <v>23.5</v>
          </cell>
          <cell r="T113">
            <v>35</v>
          </cell>
          <cell r="U113">
            <v>48.5</v>
          </cell>
          <cell r="V113">
            <v>52.045000000000002</v>
          </cell>
          <cell r="W113">
            <v>58</v>
          </cell>
          <cell r="X113">
            <v>63.64</v>
          </cell>
          <cell r="Y113">
            <v>87.847500000000011</v>
          </cell>
          <cell r="Z113">
            <v>95.777500000000003</v>
          </cell>
          <cell r="AA113">
            <v>74.932000000000002</v>
          </cell>
          <cell r="AB113">
            <v>44.104500000000002</v>
          </cell>
          <cell r="AC113">
            <v>59.970999999999997</v>
          </cell>
          <cell r="AD113">
            <v>76.340999999999994</v>
          </cell>
          <cell r="AE113">
            <v>50.331000000000003</v>
          </cell>
          <cell r="AF113">
            <v>60</v>
          </cell>
          <cell r="AG113">
            <v>68.418764957930293</v>
          </cell>
          <cell r="AH113">
            <v>72.377702444001216</v>
          </cell>
          <cell r="AI113">
            <v>77.843280395530527</v>
          </cell>
          <cell r="AJ113">
            <v>63.610025069217912</v>
          </cell>
          <cell r="AK113">
            <v>77.569416060809914</v>
          </cell>
          <cell r="AL113">
            <v>85.786438207272724</v>
          </cell>
          <cell r="AM113">
            <v>91.703042291260672</v>
          </cell>
          <cell r="AN113">
            <v>103.4400978801921</v>
          </cell>
          <cell r="AO113">
            <v>103.36221322795255</v>
          </cell>
          <cell r="AP113">
            <v>108.01094273211602</v>
          </cell>
          <cell r="AQ113">
            <v>105.05504366071885</v>
          </cell>
          <cell r="AR113">
            <v>92.85420662517339</v>
          </cell>
          <cell r="AS113">
            <v>72.240776727764512</v>
          </cell>
          <cell r="AT113">
            <v>72.927453498416227</v>
          </cell>
          <cell r="AU113">
            <v>72.927453498416227</v>
          </cell>
          <cell r="AV113">
            <v>72.927453498416227</v>
          </cell>
          <cell r="AW113">
            <v>72.927453498416227</v>
          </cell>
          <cell r="AX113">
            <v>105.05504366071885</v>
          </cell>
          <cell r="AY113">
            <v>105.05504366071885</v>
          </cell>
          <cell r="AZ113">
            <v>105.05504366071885</v>
          </cell>
          <cell r="BA113">
            <v>105.05504366071885</v>
          </cell>
          <cell r="BB113">
            <v>105.05504366071885</v>
          </cell>
          <cell r="BC113">
            <v>105.05504366071885</v>
          </cell>
          <cell r="BD113">
            <v>105.05504366071885</v>
          </cell>
          <cell r="BE113">
            <v>105.05504366071885</v>
          </cell>
          <cell r="BF113">
            <v>105.05504366071885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2.25</v>
          </cell>
          <cell r="P114">
            <v>4.55</v>
          </cell>
          <cell r="Q114">
            <v>10.742000000000001</v>
          </cell>
          <cell r="R114">
            <v>13.5</v>
          </cell>
          <cell r="S114">
            <v>25</v>
          </cell>
          <cell r="T114">
            <v>32.5</v>
          </cell>
          <cell r="U114">
            <v>54</v>
          </cell>
          <cell r="V114">
            <v>52.4</v>
          </cell>
          <cell r="W114">
            <v>54</v>
          </cell>
          <cell r="X114">
            <v>58.56</v>
          </cell>
          <cell r="Y114">
            <v>82.731999999999999</v>
          </cell>
          <cell r="Z114">
            <v>88.335000000000008</v>
          </cell>
          <cell r="AA114">
            <v>74.763000000000005</v>
          </cell>
          <cell r="AB114">
            <v>46.64</v>
          </cell>
          <cell r="AC114">
            <v>63.296999999999997</v>
          </cell>
          <cell r="AD114">
            <v>66.441000000000003</v>
          </cell>
          <cell r="AE114">
            <v>52.29</v>
          </cell>
          <cell r="AF114">
            <v>60</v>
          </cell>
          <cell r="AG114">
            <v>65.027573044913879</v>
          </cell>
          <cell r="AH114">
            <v>68.498566766214438</v>
          </cell>
          <cell r="AI114">
            <v>72.046908225073281</v>
          </cell>
          <cell r="AJ114">
            <v>59.5973188833187</v>
          </cell>
          <cell r="AK114">
            <v>75.315451635213137</v>
          </cell>
          <cell r="AL114">
            <v>81.061018958715522</v>
          </cell>
          <cell r="AM114">
            <v>86.639865602705896</v>
          </cell>
          <cell r="AN114">
            <v>97.745525209763017</v>
          </cell>
          <cell r="AO114">
            <v>98.024938032678421</v>
          </cell>
          <cell r="AP114">
            <v>102.65896273239963</v>
          </cell>
          <cell r="AQ114">
            <v>99.454358736143064</v>
          </cell>
          <cell r="AR114">
            <v>87.947877892903449</v>
          </cell>
          <cell r="AS114">
            <v>68.460568159171686</v>
          </cell>
          <cell r="AT114">
            <v>69.142462927087962</v>
          </cell>
          <cell r="AU114">
            <v>69.142462927087962</v>
          </cell>
          <cell r="AV114">
            <v>69.142462927087962</v>
          </cell>
          <cell r="AW114">
            <v>69.142462927087962</v>
          </cell>
          <cell r="AX114">
            <v>99.454358736143064</v>
          </cell>
          <cell r="AY114">
            <v>99.454358736143064</v>
          </cell>
          <cell r="AZ114">
            <v>99.454358736143064</v>
          </cell>
          <cell r="BA114">
            <v>99.454358736143064</v>
          </cell>
          <cell r="BB114">
            <v>99.454358736143064</v>
          </cell>
          <cell r="BC114">
            <v>99.454358736143064</v>
          </cell>
          <cell r="BD114">
            <v>99.454358736143064</v>
          </cell>
          <cell r="BE114">
            <v>99.454358736143064</v>
          </cell>
          <cell r="BF114">
            <v>99.454358736143064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16.418696268764279</v>
          </cell>
          <cell r="U119">
            <v>7.7834090611155435</v>
          </cell>
          <cell r="V119">
            <v>31.462140879431576</v>
          </cell>
          <cell r="W119">
            <v>39.506858116711904</v>
          </cell>
          <cell r="X119">
            <v>22.6259569873693</v>
          </cell>
          <cell r="Y119">
            <v>22.713687847246391</v>
          </cell>
          <cell r="Z119">
            <v>28.190497884306364</v>
          </cell>
          <cell r="AA119">
            <v>23.03072208886811</v>
          </cell>
          <cell r="AB119">
            <v>9.5494481735205383</v>
          </cell>
          <cell r="AC119">
            <v>9.8972166087740145</v>
          </cell>
          <cell r="AD119">
            <v>275</v>
          </cell>
          <cell r="AE119">
            <v>550</v>
          </cell>
          <cell r="AF119">
            <v>500</v>
          </cell>
          <cell r="AG119">
            <v>850</v>
          </cell>
          <cell r="AH119">
            <v>700.94607938928948</v>
          </cell>
          <cell r="AI119">
            <v>784.47592296204664</v>
          </cell>
          <cell r="AJ119">
            <v>661.94369651098123</v>
          </cell>
          <cell r="AK119">
            <v>655.93852473319157</v>
          </cell>
          <cell r="AL119">
            <v>852.67990092964737</v>
          </cell>
          <cell r="AM119">
            <v>866.46908565140757</v>
          </cell>
          <cell r="AN119">
            <v>1089.1679366515764</v>
          </cell>
          <cell r="AO119">
            <v>1317.7563782022416</v>
          </cell>
          <cell r="AP119">
            <v>1155.7965812998355</v>
          </cell>
          <cell r="AQ119">
            <v>1133.3266686043871</v>
          </cell>
          <cell r="AR119">
            <v>1306.8587820792484</v>
          </cell>
          <cell r="AS119">
            <v>1363.7836937511061</v>
          </cell>
          <cell r="AT119">
            <v>1534.4714524095418</v>
          </cell>
          <cell r="AU119">
            <v>1726.4509024892961</v>
          </cell>
          <cell r="AV119">
            <v>1716.9703929652551</v>
          </cell>
          <cell r="AW119">
            <v>1508.5571145912597</v>
          </cell>
          <cell r="AX119">
            <v>1799.5530246309272</v>
          </cell>
          <cell r="AY119">
            <v>1969.8282399612037</v>
          </cell>
          <cell r="AZ119">
            <v>2193.7814802106759</v>
          </cell>
          <cell r="BA119">
            <v>2299.7389329553494</v>
          </cell>
          <cell r="BB119">
            <v>1884.5712970675936</v>
          </cell>
          <cell r="BC119">
            <v>2040.7364645658154</v>
          </cell>
          <cell r="BD119">
            <v>1852.5296958187541</v>
          </cell>
          <cell r="BE119">
            <v>2366.6978311303883</v>
          </cell>
          <cell r="BF119">
            <v>2207.0214071402852</v>
          </cell>
          <cell r="BG119">
            <v>2558.6908469194386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10.533049898933701</v>
          </cell>
          <cell r="U120">
            <v>10.462434837721991</v>
          </cell>
          <cell r="V120">
            <v>32.046741816288161</v>
          </cell>
          <cell r="W120">
            <v>38.839129449436385</v>
          </cell>
          <cell r="X120">
            <v>21.422935506900579</v>
          </cell>
          <cell r="Y120">
            <v>30.416848433597153</v>
          </cell>
          <cell r="Z120">
            <v>25.354100976910701</v>
          </cell>
          <cell r="AA120">
            <v>30.031044903409331</v>
          </cell>
          <cell r="AB120">
            <v>8.0376242959995139</v>
          </cell>
          <cell r="AC120">
            <v>20.339632658578616</v>
          </cell>
          <cell r="AD120">
            <v>325</v>
          </cell>
          <cell r="AE120">
            <v>900</v>
          </cell>
          <cell r="AF120">
            <v>500</v>
          </cell>
          <cell r="AG120">
            <v>525</v>
          </cell>
          <cell r="AH120">
            <v>606.03365314013581</v>
          </cell>
          <cell r="AI120">
            <v>674.34028865107211</v>
          </cell>
          <cell r="AJ120">
            <v>661.68480585471502</v>
          </cell>
          <cell r="AK120">
            <v>623.46197734870043</v>
          </cell>
          <cell r="AL120">
            <v>827.86302405045876</v>
          </cell>
          <cell r="AM120">
            <v>837.57856057371419</v>
          </cell>
          <cell r="AN120">
            <v>876.03909163024127</v>
          </cell>
          <cell r="AO120">
            <v>1379.7336874237235</v>
          </cell>
          <cell r="AP120">
            <v>1090.9097436975753</v>
          </cell>
          <cell r="AQ120">
            <v>1061.2015753514429</v>
          </cell>
          <cell r="AR120">
            <v>1231.4550551805469</v>
          </cell>
          <cell r="AS120">
            <v>1322.2553180736336</v>
          </cell>
          <cell r="AT120">
            <v>1456.4201941181818</v>
          </cell>
          <cell r="AU120">
            <v>1641.3222937931914</v>
          </cell>
          <cell r="AV120">
            <v>1634.8094198029298</v>
          </cell>
          <cell r="AW120">
            <v>1369.8459938608103</v>
          </cell>
          <cell r="AX120">
            <v>1699.1916347131259</v>
          </cell>
          <cell r="AY120">
            <v>1663.058822909733</v>
          </cell>
          <cell r="AZ120">
            <v>2117.5943031452603</v>
          </cell>
          <cell r="BA120">
            <v>2128.0501994203792</v>
          </cell>
          <cell r="BB120">
            <v>2008.8079760057071</v>
          </cell>
          <cell r="BC120">
            <v>1910.2188327758799</v>
          </cell>
          <cell r="BD120">
            <v>1853.118296940087</v>
          </cell>
          <cell r="BE120">
            <v>2155.3699019120763</v>
          </cell>
          <cell r="BF120">
            <v>2349.2374035162038</v>
          </cell>
          <cell r="BG120">
            <v>2498.8751708012687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15.760531334731153</v>
          </cell>
          <cell r="U121">
            <v>4.6030186270765894</v>
          </cell>
          <cell r="V121">
            <v>37.939102993011623</v>
          </cell>
          <cell r="W121">
            <v>46.926232447230888</v>
          </cell>
          <cell r="X121">
            <v>22.598595750641326</v>
          </cell>
          <cell r="Y121">
            <v>30.289514056109237</v>
          </cell>
          <cell r="Z121">
            <v>28.188691056003883</v>
          </cell>
          <cell r="AA121">
            <v>36.688411335481895</v>
          </cell>
          <cell r="AB121">
            <v>10.857006242331554</v>
          </cell>
          <cell r="AC121">
            <v>23.43064006941583</v>
          </cell>
          <cell r="AD121">
            <v>475</v>
          </cell>
          <cell r="AE121">
            <v>725</v>
          </cell>
          <cell r="AF121">
            <v>625</v>
          </cell>
          <cell r="AG121">
            <v>900</v>
          </cell>
          <cell r="AH121">
            <v>821.79518778412398</v>
          </cell>
          <cell r="AI121">
            <v>825.61044194087776</v>
          </cell>
          <cell r="AJ121">
            <v>878.40746454082978</v>
          </cell>
          <cell r="AK121">
            <v>879.48532883471921</v>
          </cell>
          <cell r="AL121">
            <v>1065.0239560335633</v>
          </cell>
          <cell r="AM121">
            <v>1079.0878455904412</v>
          </cell>
          <cell r="AN121">
            <v>1150.398207590137</v>
          </cell>
          <cell r="AO121">
            <v>1006.5417392182303</v>
          </cell>
          <cell r="AP121">
            <v>1235.110740474352</v>
          </cell>
          <cell r="AQ121">
            <v>1160.2758998785839</v>
          </cell>
          <cell r="AR121">
            <v>1281.9313615335291</v>
          </cell>
          <cell r="AS121">
            <v>1301.0496712573981</v>
          </cell>
          <cell r="AT121">
            <v>1549.2780050799015</v>
          </cell>
          <cell r="AU121">
            <v>1713.4876933136857</v>
          </cell>
          <cell r="AV121">
            <v>1689.0177134930664</v>
          </cell>
          <cell r="AW121">
            <v>1483.5982507656354</v>
          </cell>
          <cell r="AX121">
            <v>1582.2488217609352</v>
          </cell>
          <cell r="AY121">
            <v>1894.9299271591376</v>
          </cell>
          <cell r="AZ121">
            <v>2096.0960846845564</v>
          </cell>
          <cell r="BA121">
            <v>2187.8920198946676</v>
          </cell>
          <cell r="BB121">
            <v>2048.0212879624755</v>
          </cell>
          <cell r="BC121">
            <v>1989.1519747003058</v>
          </cell>
          <cell r="BD121">
            <v>1892.867802505325</v>
          </cell>
          <cell r="BE121">
            <v>2367.9440151222143</v>
          </cell>
          <cell r="BF121">
            <v>2247.5561738040369</v>
          </cell>
          <cell r="BG121">
            <v>2341.7225357113407</v>
          </cell>
        </row>
        <row r="122"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10.545096131562204</v>
          </cell>
          <cell r="U122">
            <v>2.490584214112995</v>
          </cell>
          <cell r="V122">
            <v>28.733541098227288</v>
          </cell>
          <cell r="W122">
            <v>30.090468895569863</v>
          </cell>
          <cell r="X122">
            <v>19.127772009476526</v>
          </cell>
          <cell r="Y122">
            <v>20.510148785142476</v>
          </cell>
          <cell r="Z122">
            <v>7.722706638601724</v>
          </cell>
          <cell r="AA122">
            <v>20.243336193620998</v>
          </cell>
          <cell r="AB122">
            <v>7.9499351862920928</v>
          </cell>
          <cell r="AC122">
            <v>21.966176319188886</v>
          </cell>
          <cell r="AD122">
            <v>350</v>
          </cell>
          <cell r="AE122">
            <v>525</v>
          </cell>
          <cell r="AF122">
            <v>475</v>
          </cell>
          <cell r="AG122">
            <v>550</v>
          </cell>
          <cell r="AH122">
            <v>482.92429400930666</v>
          </cell>
          <cell r="AI122">
            <v>304.80334572931042</v>
          </cell>
          <cell r="AJ122">
            <v>325.20763327318627</v>
          </cell>
          <cell r="AK122">
            <v>293.97572480963072</v>
          </cell>
          <cell r="AL122">
            <v>461.95980705017007</v>
          </cell>
          <cell r="AM122">
            <v>447.47275351436838</v>
          </cell>
          <cell r="AN122">
            <v>527.00572935737182</v>
          </cell>
          <cell r="AO122">
            <v>517.69235865331075</v>
          </cell>
          <cell r="AP122">
            <v>471.90511765707424</v>
          </cell>
          <cell r="AQ122">
            <v>479.56003991485522</v>
          </cell>
          <cell r="AR122">
            <v>603.91140060188422</v>
          </cell>
          <cell r="AS122">
            <v>636.63938663661224</v>
          </cell>
          <cell r="AT122">
            <v>711.93979276030359</v>
          </cell>
          <cell r="AU122">
            <v>733.14911735109172</v>
          </cell>
          <cell r="AV122">
            <v>630.90604328497443</v>
          </cell>
          <cell r="AW122">
            <v>667.55206767178242</v>
          </cell>
          <cell r="AX122">
            <v>708.75187639623164</v>
          </cell>
          <cell r="AY122">
            <v>796.68312745158801</v>
          </cell>
          <cell r="AZ122">
            <v>1015.4087232689174</v>
          </cell>
          <cell r="BA122">
            <v>1049.0624071360421</v>
          </cell>
          <cell r="BB122">
            <v>859.29005198082473</v>
          </cell>
          <cell r="BC122">
            <v>914.50159967253785</v>
          </cell>
          <cell r="BD122">
            <v>797.3054878367202</v>
          </cell>
          <cell r="BE122">
            <v>1140.005081371351</v>
          </cell>
          <cell r="BF122">
            <v>1043.9095329826864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4.1746315953835964</v>
          </cell>
          <cell r="U123">
            <v>2.0197649542080152</v>
          </cell>
          <cell r="V123">
            <v>33.502633779291948</v>
          </cell>
          <cell r="W123">
            <v>22.717814799116844</v>
          </cell>
          <cell r="X123">
            <v>11.219308055994862</v>
          </cell>
          <cell r="Y123">
            <v>23.369820641259857</v>
          </cell>
          <cell r="Z123">
            <v>11.672556239873021</v>
          </cell>
          <cell r="AA123">
            <v>22.834185327082704</v>
          </cell>
          <cell r="AB123">
            <v>7.125858353851366</v>
          </cell>
          <cell r="AC123">
            <v>25.321986377236524</v>
          </cell>
          <cell r="AD123">
            <v>550</v>
          </cell>
          <cell r="AE123">
            <v>500</v>
          </cell>
          <cell r="AF123">
            <v>550</v>
          </cell>
          <cell r="AG123">
            <v>500</v>
          </cell>
          <cell r="AH123">
            <v>636.3495039000461</v>
          </cell>
          <cell r="AI123">
            <v>625.35966655059826</v>
          </cell>
          <cell r="AJ123">
            <v>527.24353028452742</v>
          </cell>
          <cell r="AK123">
            <v>719.12584088713118</v>
          </cell>
          <cell r="AL123">
            <v>766.72017176306554</v>
          </cell>
          <cell r="AM123">
            <v>813.30827169085933</v>
          </cell>
          <cell r="AN123">
            <v>951.63568555815687</v>
          </cell>
          <cell r="AO123">
            <v>972.16870904072334</v>
          </cell>
          <cell r="AP123">
            <v>883.65975427110061</v>
          </cell>
          <cell r="AQ123">
            <v>924.9733669709799</v>
          </cell>
          <cell r="AR123">
            <v>1086.8160284002192</v>
          </cell>
          <cell r="AS123">
            <v>1189.8876127144088</v>
          </cell>
          <cell r="AT123">
            <v>1315.800617522297</v>
          </cell>
          <cell r="AU123">
            <v>1540.9027548649419</v>
          </cell>
          <cell r="AV123">
            <v>1218.0920384093545</v>
          </cell>
          <cell r="AW123">
            <v>1293.0963063156366</v>
          </cell>
          <cell r="AX123">
            <v>1385.2111065261356</v>
          </cell>
          <cell r="AY123">
            <v>1539.2463690062154</v>
          </cell>
          <cell r="AZ123">
            <v>1557.5304093626671</v>
          </cell>
          <cell r="BA123">
            <v>1540.5820924476225</v>
          </cell>
          <cell r="BB123">
            <v>1457.1699060790918</v>
          </cell>
          <cell r="BC123">
            <v>1312.7769338334042</v>
          </cell>
          <cell r="BD123">
            <v>1526.674500761935</v>
          </cell>
          <cell r="BE123">
            <v>1757.1064168725131</v>
          </cell>
          <cell r="BF123">
            <v>1688.4015479015266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13.391345933324468</v>
          </cell>
          <cell r="U124">
            <v>3.3589035325890628</v>
          </cell>
          <cell r="V124">
            <v>40.461934789697473</v>
          </cell>
          <cell r="W124">
            <v>26.740777385482971</v>
          </cell>
          <cell r="X124">
            <v>24.869469737530061</v>
          </cell>
          <cell r="Y124">
            <v>17.445260863183119</v>
          </cell>
          <cell r="Z124">
            <v>13.101245122435994</v>
          </cell>
          <cell r="AA124">
            <v>19.852208478729214</v>
          </cell>
          <cell r="AB124">
            <v>8.8044909974369627</v>
          </cell>
          <cell r="AC124">
            <v>24.753179279303193</v>
          </cell>
          <cell r="AD124">
            <v>500</v>
          </cell>
          <cell r="AE124">
            <v>850</v>
          </cell>
          <cell r="AF124">
            <v>425</v>
          </cell>
          <cell r="AG124">
            <v>650</v>
          </cell>
          <cell r="AH124">
            <v>650.39247140717828</v>
          </cell>
          <cell r="AI124">
            <v>682.20280083875969</v>
          </cell>
          <cell r="AJ124">
            <v>513.89839945110634</v>
          </cell>
          <cell r="AK124">
            <v>715.18417538584526</v>
          </cell>
          <cell r="AL124">
            <v>771.42808658183799</v>
          </cell>
          <cell r="AM124">
            <v>817.14882503859508</v>
          </cell>
          <cell r="AN124">
            <v>944.3992118560418</v>
          </cell>
          <cell r="AO124">
            <v>971.44058118673843</v>
          </cell>
          <cell r="AP124">
            <v>885.39236823305555</v>
          </cell>
          <cell r="AQ124">
            <v>925.04346597109611</v>
          </cell>
          <cell r="AR124">
            <v>1094.2247166597504</v>
          </cell>
          <cell r="AS124">
            <v>1190.8132807295947</v>
          </cell>
          <cell r="AT124">
            <v>1317.4531845325557</v>
          </cell>
          <cell r="AU124">
            <v>1544.4386852614273</v>
          </cell>
          <cell r="AV124">
            <v>1224.8079009339826</v>
          </cell>
          <cell r="AW124">
            <v>1297.9645163368718</v>
          </cell>
          <cell r="AX124">
            <v>1390.4990458046868</v>
          </cell>
          <cell r="AY124">
            <v>1534.9504419295649</v>
          </cell>
          <cell r="AZ124">
            <v>1535.9758368899234</v>
          </cell>
          <cell r="BA124">
            <v>1537.0745969359004</v>
          </cell>
          <cell r="BB124">
            <v>1456.7314469303519</v>
          </cell>
          <cell r="BC124">
            <v>1304.8697339318446</v>
          </cell>
          <cell r="BD124">
            <v>1517.6320347737724</v>
          </cell>
          <cell r="BE124">
            <v>1559.1031748827049</v>
          </cell>
          <cell r="BF124">
            <v>1617.2557770310832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9.0575771149820277</v>
          </cell>
          <cell r="U125">
            <v>2.9142859672363963</v>
          </cell>
          <cell r="V125">
            <v>36.31351912118263</v>
          </cell>
          <cell r="W125">
            <v>26.33485887812768</v>
          </cell>
          <cell r="X125">
            <v>27.808309749059038</v>
          </cell>
          <cell r="Y125">
            <v>22.465724731385723</v>
          </cell>
          <cell r="Z125">
            <v>14.248378252567463</v>
          </cell>
          <cell r="AA125">
            <v>21.50937226974748</v>
          </cell>
          <cell r="AB125">
            <v>7.7226643091380387</v>
          </cell>
          <cell r="AC125">
            <v>39.408998466586418</v>
          </cell>
          <cell r="AD125">
            <v>475</v>
          </cell>
          <cell r="AE125">
            <v>775</v>
          </cell>
          <cell r="AF125">
            <v>950</v>
          </cell>
          <cell r="AG125">
            <v>812.32324185777168</v>
          </cell>
          <cell r="AH125">
            <v>778.0078836447932</v>
          </cell>
          <cell r="AI125">
            <v>839.08527072212257</v>
          </cell>
          <cell r="AJ125">
            <v>688.93368289701334</v>
          </cell>
          <cell r="AK125">
            <v>871.93552475794399</v>
          </cell>
          <cell r="AL125">
            <v>904.45423606936652</v>
          </cell>
          <cell r="AM125">
            <v>965.49980800422315</v>
          </cell>
          <cell r="AN125">
            <v>1127.2298992126046</v>
          </cell>
          <cell r="AO125">
            <v>1152.6827477171746</v>
          </cell>
          <cell r="AP125">
            <v>1058.7374302885162</v>
          </cell>
          <cell r="AQ125">
            <v>1108.3969074246229</v>
          </cell>
          <cell r="AR125">
            <v>1285.1060455818413</v>
          </cell>
          <cell r="AS125">
            <v>1417.116163422309</v>
          </cell>
          <cell r="AT125">
            <v>1565.9098972255456</v>
          </cell>
          <cell r="AU125">
            <v>1766.2385192380409</v>
          </cell>
          <cell r="AV125">
            <v>1432.9836466792985</v>
          </cell>
          <cell r="AW125">
            <v>1519.2503976721305</v>
          </cell>
          <cell r="AX125">
            <v>1622.2183233838437</v>
          </cell>
          <cell r="AY125">
            <v>1784.0456467463641</v>
          </cell>
          <cell r="AZ125">
            <v>1793.379509900602</v>
          </cell>
          <cell r="BA125">
            <v>1794.4173544658356</v>
          </cell>
          <cell r="BB125">
            <v>1698.9493247404098</v>
          </cell>
          <cell r="BC125">
            <v>1578.3784491934266</v>
          </cell>
          <cell r="BD125">
            <v>1786.0819059832863</v>
          </cell>
          <cell r="BE125">
            <v>1838.616181674962</v>
          </cell>
          <cell r="BF125">
            <v>1899.5111096349592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9.5577007144216157</v>
          </cell>
          <cell r="U126">
            <v>2.7517870711361847</v>
          </cell>
          <cell r="V126">
            <v>43.998306768810501</v>
          </cell>
          <cell r="W126">
            <v>26.726220360639999</v>
          </cell>
          <cell r="X126">
            <v>27.101625800507701</v>
          </cell>
          <cell r="Y126">
            <v>27.046331138331457</v>
          </cell>
          <cell r="Z126">
            <v>12.200660499541463</v>
          </cell>
          <cell r="AA126">
            <v>22.327015588185713</v>
          </cell>
          <cell r="AB126">
            <v>8.8506963424248113</v>
          </cell>
          <cell r="AC126">
            <v>28.970590945231024</v>
          </cell>
          <cell r="AD126">
            <v>700</v>
          </cell>
          <cell r="AE126">
            <v>1000</v>
          </cell>
          <cell r="AF126">
            <v>575</v>
          </cell>
          <cell r="AG126">
            <v>777.23936456643048</v>
          </cell>
          <cell r="AH126">
            <v>841.561457035697</v>
          </cell>
          <cell r="AI126">
            <v>882.59713850000867</v>
          </cell>
          <cell r="AJ126">
            <v>917.86413249180441</v>
          </cell>
          <cell r="AK126">
            <v>983.95858072539227</v>
          </cell>
          <cell r="AL126">
            <v>1032.5750931465323</v>
          </cell>
          <cell r="AM126">
            <v>1116.3675816525956</v>
          </cell>
          <cell r="AN126">
            <v>1334.3168726823278</v>
          </cell>
          <cell r="AO126">
            <v>1227.3820630188434</v>
          </cell>
          <cell r="AP126">
            <v>1209.4330292827947</v>
          </cell>
          <cell r="AQ126">
            <v>1266.3949961971603</v>
          </cell>
          <cell r="AR126">
            <v>1449.0967310496617</v>
          </cell>
          <cell r="AS126">
            <v>1585.4009640418813</v>
          </cell>
          <cell r="AT126">
            <v>1766.4502748184334</v>
          </cell>
          <cell r="AU126">
            <v>1968.436192925531</v>
          </cell>
          <cell r="AV126">
            <v>1607.7721395814574</v>
          </cell>
          <cell r="AW126">
            <v>1702.482130372277</v>
          </cell>
          <cell r="AX126">
            <v>1818.6024477346382</v>
          </cell>
          <cell r="AY126">
            <v>1997.0906707243621</v>
          </cell>
          <cell r="AZ126">
            <v>2009.9664342629228</v>
          </cell>
          <cell r="BA126">
            <v>2007.7338049525124</v>
          </cell>
          <cell r="BB126">
            <v>1904.0294152313591</v>
          </cell>
          <cell r="BC126">
            <v>1991.6940293346877</v>
          </cell>
          <cell r="BD126">
            <v>2058.5717545350412</v>
          </cell>
          <cell r="BE126">
            <v>1934.217518474175</v>
          </cell>
          <cell r="BF126">
            <v>2173.6432716805666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8.7733520628975565</v>
          </cell>
          <cell r="U127">
            <v>4.5533706144333035</v>
          </cell>
          <cell r="V127">
            <v>42.378202338808038</v>
          </cell>
          <cell r="W127">
            <v>24.081109331361674</v>
          </cell>
          <cell r="X127">
            <v>24.676764257942303</v>
          </cell>
          <cell r="Y127">
            <v>19.593611060055363</v>
          </cell>
          <cell r="Z127">
            <v>6.7453516771195634</v>
          </cell>
          <cell r="AA127">
            <v>22.531032364716822</v>
          </cell>
          <cell r="AB127">
            <v>11.234448425981132</v>
          </cell>
          <cell r="AC127">
            <v>44.986784829291061</v>
          </cell>
          <cell r="AD127">
            <v>550</v>
          </cell>
          <cell r="AE127">
            <v>775</v>
          </cell>
          <cell r="AF127">
            <v>775</v>
          </cell>
          <cell r="AG127">
            <v>743.02047011679792</v>
          </cell>
          <cell r="AH127">
            <v>791.21861857163526</v>
          </cell>
          <cell r="AI127">
            <v>830.00768837251428</v>
          </cell>
          <cell r="AJ127">
            <v>900.28126480672393</v>
          </cell>
          <cell r="AK127">
            <v>952.51678737872169</v>
          </cell>
          <cell r="AL127">
            <v>996.48422709041358</v>
          </cell>
          <cell r="AM127">
            <v>1082.1630055446433</v>
          </cell>
          <cell r="AN127">
            <v>1295.8124490460586</v>
          </cell>
          <cell r="AO127">
            <v>1186.4655930703327</v>
          </cell>
          <cell r="AP127">
            <v>1170.250983594867</v>
          </cell>
          <cell r="AQ127">
            <v>1225.9313243159709</v>
          </cell>
          <cell r="AR127">
            <v>1404.1413070412045</v>
          </cell>
          <cell r="AS127">
            <v>1532.5850954367099</v>
          </cell>
          <cell r="AT127">
            <v>1708.6496344657537</v>
          </cell>
          <cell r="AU127">
            <v>1712.0481166558404</v>
          </cell>
          <cell r="AV127">
            <v>1516.2207634698232</v>
          </cell>
          <cell r="AW127">
            <v>1592.9380569801642</v>
          </cell>
          <cell r="AX127">
            <v>1687.4401750711402</v>
          </cell>
          <cell r="AY127">
            <v>1833.6272404487661</v>
          </cell>
          <cell r="AZ127">
            <v>1871.1609280681735</v>
          </cell>
          <cell r="BA127">
            <v>1863.7988032259964</v>
          </cell>
          <cell r="BB127">
            <v>1763.8805272190348</v>
          </cell>
          <cell r="BC127">
            <v>1843.7269187378413</v>
          </cell>
          <cell r="BD127">
            <v>1909.6460402902289</v>
          </cell>
          <cell r="BE127">
            <v>1778.1054172403674</v>
          </cell>
          <cell r="BF127">
            <v>2009.3774040504959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16.29388739304073</v>
          </cell>
          <cell r="U128">
            <v>32.321029865039442</v>
          </cell>
          <cell r="V128">
            <v>35.903264060624693</v>
          </cell>
          <cell r="W128">
            <v>26.110087515873637</v>
          </cell>
          <cell r="X128">
            <v>21.376116587734</v>
          </cell>
          <cell r="Y128">
            <v>21.55664381133132</v>
          </cell>
          <cell r="Z128">
            <v>0.45589965334307392</v>
          </cell>
          <cell r="AA128">
            <v>26.025441002222177</v>
          </cell>
          <cell r="AB128">
            <v>8.508506337459572</v>
          </cell>
          <cell r="AC128">
            <v>58.724540258144557</v>
          </cell>
          <cell r="AD128">
            <v>400</v>
          </cell>
          <cell r="AE128">
            <v>650</v>
          </cell>
          <cell r="AF128">
            <v>750</v>
          </cell>
          <cell r="AG128">
            <v>674.41230584724565</v>
          </cell>
          <cell r="AH128">
            <v>669.13930713450327</v>
          </cell>
          <cell r="AI128">
            <v>726.45210861167368</v>
          </cell>
          <cell r="AJ128">
            <v>812.10618178103664</v>
          </cell>
          <cell r="AK128">
            <v>854.36329078349195</v>
          </cell>
          <cell r="AL128">
            <v>887.97750171640962</v>
          </cell>
          <cell r="AM128">
            <v>972.21536234627899</v>
          </cell>
          <cell r="AN128">
            <v>1167.3434759138131</v>
          </cell>
          <cell r="AO128">
            <v>1056.0997904676033</v>
          </cell>
          <cell r="AP128">
            <v>1042.0752826485232</v>
          </cell>
          <cell r="AQ128">
            <v>1091.3766710652783</v>
          </cell>
          <cell r="AR128">
            <v>1234.3374925600122</v>
          </cell>
          <cell r="AS128">
            <v>1360.776271149718</v>
          </cell>
          <cell r="AT128">
            <v>1517.3843127810778</v>
          </cell>
          <cell r="AU128">
            <v>1517.029500591424</v>
          </cell>
          <cell r="AV128">
            <v>1340.7133667170076</v>
          </cell>
          <cell r="AW128">
            <v>1411.5443833647971</v>
          </cell>
          <cell r="AX128">
            <v>1495.0108390342498</v>
          </cell>
          <cell r="AY128">
            <v>1623.9712432658573</v>
          </cell>
          <cell r="AZ128">
            <v>1658.0587967268348</v>
          </cell>
          <cell r="BA128">
            <v>1646.7830832112622</v>
          </cell>
          <cell r="BB128">
            <v>1570.0086525412316</v>
          </cell>
          <cell r="BC128">
            <v>1634.4080829369491</v>
          </cell>
          <cell r="BD128">
            <v>1693.1876125794015</v>
          </cell>
          <cell r="BE128">
            <v>1554.125879365914</v>
          </cell>
          <cell r="BF128">
            <v>1777.9251702575607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12.090503672000109</v>
          </cell>
          <cell r="U129">
            <v>25.304543407207948</v>
          </cell>
          <cell r="V129">
            <v>4.4248641829005795</v>
          </cell>
          <cell r="W129">
            <v>25.433788064731385</v>
          </cell>
          <cell r="X129">
            <v>27.231330653792725</v>
          </cell>
          <cell r="Y129">
            <v>27.32221837140219</v>
          </cell>
          <cell r="Z129">
            <v>6.6999426407406375</v>
          </cell>
          <cell r="AA129">
            <v>16.121988507616241</v>
          </cell>
          <cell r="AB129">
            <v>7.0542961749436364</v>
          </cell>
          <cell r="AC129">
            <v>57.914400035189715</v>
          </cell>
          <cell r="AD129">
            <v>575</v>
          </cell>
          <cell r="AE129">
            <v>850</v>
          </cell>
          <cell r="AF129">
            <v>625</v>
          </cell>
          <cell r="AG129">
            <v>722.55755472281157</v>
          </cell>
          <cell r="AH129">
            <v>738.78369620195065</v>
          </cell>
          <cell r="AI129">
            <v>766.69235040998501</v>
          </cell>
          <cell r="AJ129">
            <v>853.88258524023536</v>
          </cell>
          <cell r="AK129">
            <v>907.40719966965173</v>
          </cell>
          <cell r="AL129">
            <v>951.35072380148233</v>
          </cell>
          <cell r="AM129">
            <v>1033.0628106164186</v>
          </cell>
          <cell r="AN129">
            <v>1239.441797418051</v>
          </cell>
          <cell r="AO129">
            <v>1129.5510807825117</v>
          </cell>
          <cell r="AP129">
            <v>1114.3191060868087</v>
          </cell>
          <cell r="AQ129">
            <v>1167.9428264917694</v>
          </cell>
          <cell r="AR129">
            <v>1315.4216748662179</v>
          </cell>
          <cell r="AS129">
            <v>1457.0396011452383</v>
          </cell>
          <cell r="AT129">
            <v>1609.0844228607552</v>
          </cell>
          <cell r="AU129">
            <v>1618.8564015824686</v>
          </cell>
          <cell r="AV129">
            <v>1433.0816750152264</v>
          </cell>
          <cell r="AW129">
            <v>1507.6697682388881</v>
          </cell>
          <cell r="AX129">
            <v>1594.7176472766023</v>
          </cell>
          <cell r="AY129">
            <v>1733.7086462011412</v>
          </cell>
          <cell r="AZ129">
            <v>1768.9913347240501</v>
          </cell>
          <cell r="BA129">
            <v>1757.7441810523212</v>
          </cell>
          <cell r="BB129">
            <v>1676.6485387717785</v>
          </cell>
          <cell r="BC129">
            <v>1744.0526378090724</v>
          </cell>
          <cell r="BD129">
            <v>1806.6715386340925</v>
          </cell>
          <cell r="BE129">
            <v>1871.8081043327411</v>
          </cell>
          <cell r="BF129">
            <v>1951.8517276508251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7.6820123459235283</v>
          </cell>
          <cell r="U130">
            <v>27.804210685668188</v>
          </cell>
          <cell r="V130">
            <v>15.152919588666423</v>
          </cell>
          <cell r="W130">
            <v>23.386870447005094</v>
          </cell>
          <cell r="X130">
            <v>21.372208509912468</v>
          </cell>
          <cell r="Y130">
            <v>24.317052058042989</v>
          </cell>
          <cell r="Z130">
            <v>17.862739401842877</v>
          </cell>
          <cell r="AA130">
            <v>22.783414951792587</v>
          </cell>
          <cell r="AB130">
            <v>7.2952706839224026</v>
          </cell>
          <cell r="AC130">
            <v>22.233589202047256</v>
          </cell>
          <cell r="AD130">
            <v>625</v>
          </cell>
          <cell r="AE130">
            <v>750</v>
          </cell>
          <cell r="AF130">
            <v>900</v>
          </cell>
          <cell r="AG130">
            <v>756.51946670665586</v>
          </cell>
          <cell r="AH130">
            <v>807.15228255467468</v>
          </cell>
          <cell r="AI130">
            <v>842.43448140072394</v>
          </cell>
          <cell r="AJ130">
            <v>965.44191280867199</v>
          </cell>
          <cell r="AK130">
            <v>986.98042241548319</v>
          </cell>
          <cell r="AL130">
            <v>1039.2656331131145</v>
          </cell>
          <cell r="AM130">
            <v>1108.18032939249</v>
          </cell>
          <cell r="AN130">
            <v>1355.3742138025189</v>
          </cell>
          <cell r="AO130">
            <v>1236.7295544183305</v>
          </cell>
          <cell r="AP130">
            <v>1216.4000607914816</v>
          </cell>
          <cell r="AQ130">
            <v>1274.4777689871773</v>
          </cell>
          <cell r="AR130">
            <v>1435.5575810541766</v>
          </cell>
          <cell r="AS130">
            <v>1587.0420045896149</v>
          </cell>
          <cell r="AT130">
            <v>1756.2201763979888</v>
          </cell>
          <cell r="AU130">
            <v>1765.4069764793423</v>
          </cell>
          <cell r="AV130">
            <v>1561.3801947469374</v>
          </cell>
          <cell r="AW130">
            <v>1642.8941754902046</v>
          </cell>
          <cell r="AX130">
            <v>1738.3831601375891</v>
          </cell>
          <cell r="AY130">
            <v>1889.7412566067644</v>
          </cell>
          <cell r="AZ130">
            <v>1928.0508170072706</v>
          </cell>
          <cell r="BA130">
            <v>1915.7755401222323</v>
          </cell>
          <cell r="BB130">
            <v>1831.0044398831542</v>
          </cell>
          <cell r="BC130">
            <v>1902.0822592996585</v>
          </cell>
          <cell r="BD130">
            <v>1970.604518588982</v>
          </cell>
          <cell r="BE130">
            <v>2042.0129246550141</v>
          </cell>
          <cell r="BF130">
            <v>2130.2044187878064</v>
          </cell>
        </row>
        <row r="135"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</row>
        <row r="136"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</row>
        <row r="137"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</row>
        <row r="138"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</row>
        <row r="139"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</row>
        <row r="140"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</row>
        <row r="141"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</row>
        <row r="143"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</row>
        <row r="144"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</row>
        <row r="145"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</row>
        <row r="146"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</row>
        <row r="151">
          <cell r="Z151">
            <v>0.18078108358387349</v>
          </cell>
          <cell r="AA151">
            <v>0.14530973639967049</v>
          </cell>
          <cell r="AB151">
            <v>4.2994212647938658E-2</v>
          </cell>
          <cell r="AC151">
            <v>6.9075152658646236E-2</v>
          </cell>
          <cell r="AD151">
            <v>1.5716729558444493</v>
          </cell>
          <cell r="AE151">
            <v>8.2721120290957266</v>
          </cell>
          <cell r="AF151">
            <v>7.1952274217129677</v>
          </cell>
          <cell r="AG151">
            <v>27.493444172951243</v>
          </cell>
          <cell r="AH151">
            <v>65.154492405948744</v>
          </cell>
          <cell r="AI151">
            <v>188.98015575898481</v>
          </cell>
          <cell r="AJ151">
            <v>391.81604470137859</v>
          </cell>
          <cell r="AK151">
            <v>502.96419596676475</v>
          </cell>
          <cell r="AL151">
            <v>834.71413839879733</v>
          </cell>
          <cell r="AM151">
            <v>1095.7772183817358</v>
          </cell>
          <cell r="AN151">
            <v>1475.3709361820593</v>
          </cell>
          <cell r="AO151">
            <v>1885.4370872957602</v>
          </cell>
          <cell r="AP151">
            <v>1736.2084747648048</v>
          </cell>
          <cell r="AQ151">
            <v>1900.9108381086371</v>
          </cell>
          <cell r="AR151">
            <v>2162.3600417972425</v>
          </cell>
          <cell r="AS151">
            <v>1614.6900662773758</v>
          </cell>
          <cell r="AT151">
            <v>1738.5050073799355</v>
          </cell>
          <cell r="AU151">
            <v>1991.8694778992665</v>
          </cell>
          <cell r="AV151">
            <v>1969.1403983340736</v>
          </cell>
          <cell r="AW151">
            <v>1955.7532363024618</v>
          </cell>
          <cell r="AX151">
            <v>2300.1509071098776</v>
          </cell>
          <cell r="AY151">
            <v>2459.0626250815903</v>
          </cell>
          <cell r="AZ151">
            <v>2578.0702050525297</v>
          </cell>
          <cell r="BA151">
            <v>2680.0658310781173</v>
          </cell>
          <cell r="BB151">
            <v>2274.486217301851</v>
          </cell>
          <cell r="BC151">
            <v>2726.2809932657883</v>
          </cell>
          <cell r="BD151">
            <v>2462.8290861750843</v>
          </cell>
          <cell r="BE151">
            <v>3040.8555683796371</v>
          </cell>
          <cell r="BF151">
            <v>2732.1628878697429</v>
          </cell>
          <cell r="BG151">
            <v>3107.4512984803905</v>
          </cell>
        </row>
        <row r="152">
          <cell r="Z152">
            <v>7.4154819579291403E-2</v>
          </cell>
          <cell r="AA152">
            <v>0.10836022291586184</v>
          </cell>
          <cell r="AB152">
            <v>1.7009419892607392E-2</v>
          </cell>
          <cell r="AC152">
            <v>7.2019915204819943E-2</v>
          </cell>
          <cell r="AD152">
            <v>1.2912547554520366</v>
          </cell>
          <cell r="AE152">
            <v>0.79337449338979216</v>
          </cell>
          <cell r="AF152">
            <v>0</v>
          </cell>
          <cell r="AG152">
            <v>7.0093086947251697</v>
          </cell>
          <cell r="AH152">
            <v>50.994561381916682</v>
          </cell>
          <cell r="AI152">
            <v>111.80149334136748</v>
          </cell>
          <cell r="AJ152">
            <v>272.64361250978277</v>
          </cell>
          <cell r="AK152">
            <v>330.8526681806436</v>
          </cell>
          <cell r="AL152">
            <v>559.92335340855482</v>
          </cell>
          <cell r="AM152">
            <v>740.79875310255534</v>
          </cell>
          <cell r="AN152">
            <v>826.27285502236873</v>
          </cell>
          <cell r="AO152">
            <v>1373.559356139911</v>
          </cell>
          <cell r="AP152">
            <v>1139.8201190529001</v>
          </cell>
          <cell r="AQ152">
            <v>1239.4756355716515</v>
          </cell>
          <cell r="AR152">
            <v>1420.2922856493628</v>
          </cell>
          <cell r="AS152">
            <v>1089.4687045525368</v>
          </cell>
          <cell r="AT152">
            <v>1148.0206580093275</v>
          </cell>
          <cell r="AU152">
            <v>1317.7799862295235</v>
          </cell>
          <cell r="AV152">
            <v>1305.7382999676051</v>
          </cell>
          <cell r="AW152">
            <v>1237.8179694692813</v>
          </cell>
          <cell r="AX152">
            <v>1513.1864750064235</v>
          </cell>
          <cell r="AY152">
            <v>1446.4063132826986</v>
          </cell>
          <cell r="AZ152">
            <v>1733.7347723404259</v>
          </cell>
          <cell r="BA152">
            <v>1727.8628590132964</v>
          </cell>
          <cell r="BB152">
            <v>1689.1785916735355</v>
          </cell>
          <cell r="BC152">
            <v>1778.4157679851646</v>
          </cell>
          <cell r="BD152">
            <v>1716.3236277435269</v>
          </cell>
          <cell r="BE152">
            <v>1929.3446421884983</v>
          </cell>
          <cell r="BF152">
            <v>2026.1075243883959</v>
          </cell>
          <cell r="BG152">
            <v>2113.9118892274219</v>
          </cell>
        </row>
        <row r="153">
          <cell r="Z153">
            <v>0.23360842715440533</v>
          </cell>
          <cell r="AA153">
            <v>0.21633362690703425</v>
          </cell>
          <cell r="AB153">
            <v>2.8825108592614609E-2</v>
          </cell>
          <cell r="AC153">
            <v>7.7277804960676252E-2</v>
          </cell>
          <cell r="AD153">
            <v>1.2522936722968885</v>
          </cell>
          <cell r="AE153">
            <v>7.5219593717743116</v>
          </cell>
          <cell r="AF153">
            <v>5.5679569860411666</v>
          </cell>
          <cell r="AG153">
            <v>15.118904978979499</v>
          </cell>
          <cell r="AH153">
            <v>49.159768872815761</v>
          </cell>
          <cell r="AI153">
            <v>109.43628914893699</v>
          </cell>
          <cell r="AJ153">
            <v>289.26733785824837</v>
          </cell>
          <cell r="AK153">
            <v>372.70866962843075</v>
          </cell>
          <cell r="AL153">
            <v>577.05737570352755</v>
          </cell>
          <cell r="AM153">
            <v>763.97142067111304</v>
          </cell>
          <cell r="AN153">
            <v>867.32081382728575</v>
          </cell>
          <cell r="AO153">
            <v>801.4212275536895</v>
          </cell>
          <cell r="AP153">
            <v>1031.951745150222</v>
          </cell>
          <cell r="AQ153">
            <v>1084.269103445758</v>
          </cell>
          <cell r="AR153">
            <v>1182.8652022091935</v>
          </cell>
          <cell r="AS153">
            <v>857.28077718951863</v>
          </cell>
          <cell r="AT153">
            <v>976.58201357713926</v>
          </cell>
          <cell r="AU153">
            <v>1100.1298107347316</v>
          </cell>
          <cell r="AV153">
            <v>1079.0432687677776</v>
          </cell>
          <cell r="AW153">
            <v>1072.6170719738564</v>
          </cell>
          <cell r="AX153">
            <v>1127.2008092094541</v>
          </cell>
          <cell r="AY153">
            <v>1318.414304806558</v>
          </cell>
          <cell r="AZ153">
            <v>1372.8429561222729</v>
          </cell>
          <cell r="BA153">
            <v>1421.1168008094178</v>
          </cell>
          <cell r="BB153">
            <v>1377.6855741266882</v>
          </cell>
          <cell r="BC153">
            <v>1481.6455307683207</v>
          </cell>
          <cell r="BD153">
            <v>1402.4270360082337</v>
          </cell>
          <cell r="BE153">
            <v>1695.609953512075</v>
          </cell>
          <cell r="BF153">
            <v>1550.6456959155914</v>
          </cell>
          <cell r="BG153">
            <v>1584.5600755387077</v>
          </cell>
        </row>
        <row r="154">
          <cell r="Z154">
            <v>7.1848570811804027E-2</v>
          </cell>
          <cell r="AA154">
            <v>0.11118257770899009</v>
          </cell>
          <cell r="AB154">
            <v>7.4700339226110215E-3</v>
          </cell>
          <cell r="AC154">
            <v>0.16747463136865279</v>
          </cell>
          <cell r="AD154">
            <v>1.6725474012067361</v>
          </cell>
          <cell r="AE154">
            <v>0.36332952933085116</v>
          </cell>
          <cell r="AF154">
            <v>20.23943482109819</v>
          </cell>
          <cell r="AG154">
            <v>43.972668375495822</v>
          </cell>
          <cell r="AH154">
            <v>78.635318647432115</v>
          </cell>
          <cell r="AI154">
            <v>119.72540601821201</v>
          </cell>
          <cell r="AJ154">
            <v>163.686041628514</v>
          </cell>
          <cell r="AK154">
            <v>197.06157075337808</v>
          </cell>
          <cell r="AL154">
            <v>400.67352306628914</v>
          </cell>
          <cell r="AM154">
            <v>409.11778396221973</v>
          </cell>
          <cell r="AN154">
            <v>505.92958291324805</v>
          </cell>
          <cell r="AO154">
            <v>522.46095302516426</v>
          </cell>
          <cell r="AP154">
            <v>533.48557762195071</v>
          </cell>
          <cell r="AQ154">
            <v>534.54679068719906</v>
          </cell>
          <cell r="AR154">
            <v>482.03195077457673</v>
          </cell>
          <cell r="AS154">
            <v>485.99720150577821</v>
          </cell>
          <cell r="AT154">
            <v>553.28434136095018</v>
          </cell>
          <cell r="AU154">
            <v>565.73963639650367</v>
          </cell>
          <cell r="AV154">
            <v>549.41963731415228</v>
          </cell>
          <cell r="AW154">
            <v>573.16489802191495</v>
          </cell>
          <cell r="AX154">
            <v>594.41322336714052</v>
          </cell>
          <cell r="AY154">
            <v>629.08565034904893</v>
          </cell>
          <cell r="AZ154">
            <v>795.0973854200181</v>
          </cell>
          <cell r="BA154">
            <v>850.64002769234844</v>
          </cell>
          <cell r="BB154">
            <v>770.95586230388665</v>
          </cell>
          <cell r="BC154">
            <v>816.91603182997085</v>
          </cell>
          <cell r="BD154">
            <v>688.33444071558768</v>
          </cell>
          <cell r="BE154">
            <v>948.25851235093967</v>
          </cell>
          <cell r="BF154">
            <v>852.08173285601288</v>
          </cell>
        </row>
        <row r="155">
          <cell r="Z155">
            <v>0.12618000730998996</v>
          </cell>
          <cell r="AA155">
            <v>0.11066691062092646</v>
          </cell>
          <cell r="AB155">
            <v>0</v>
          </cell>
          <cell r="AC155">
            <v>0.16159719316436144</v>
          </cell>
          <cell r="AD155">
            <v>12.620765459656829</v>
          </cell>
          <cell r="AE155">
            <v>10.502038399796163</v>
          </cell>
          <cell r="AF155">
            <v>2.9851396646915385</v>
          </cell>
          <cell r="AG155">
            <v>47.536580739788867</v>
          </cell>
          <cell r="AH155">
            <v>166.74361248704037</v>
          </cell>
          <cell r="AI155">
            <v>399.2603344180198</v>
          </cell>
          <cell r="AJ155">
            <v>437.49152043940774</v>
          </cell>
          <cell r="AK155">
            <v>758.85391059070434</v>
          </cell>
          <cell r="AL155">
            <v>1052.1283632254576</v>
          </cell>
          <cell r="AM155">
            <v>1194.6527642751271</v>
          </cell>
          <cell r="AN155">
            <v>1475.4051159929688</v>
          </cell>
          <cell r="AO155">
            <v>1584.434394412368</v>
          </cell>
          <cell r="AP155">
            <v>1609.5109570646869</v>
          </cell>
          <cell r="AQ155">
            <v>1662.133596048724</v>
          </cell>
          <cell r="AR155">
            <v>1395.1633048273959</v>
          </cell>
          <cell r="AS155">
            <v>1461.8018740362536</v>
          </cell>
          <cell r="AT155">
            <v>1647.2155018252279</v>
          </cell>
          <cell r="AU155">
            <v>1918.984234472262</v>
          </cell>
          <cell r="AV155">
            <v>1715.7567228413006</v>
          </cell>
          <cell r="AW155">
            <v>1795.4080185658668</v>
          </cell>
          <cell r="AX155">
            <v>1878.4335708124877</v>
          </cell>
          <cell r="AY155">
            <v>1964.9762399582933</v>
          </cell>
          <cell r="AZ155">
            <v>1971.7795320871064</v>
          </cell>
          <cell r="BA155">
            <v>2019.8029369910112</v>
          </cell>
          <cell r="BB155">
            <v>2115.012230275503</v>
          </cell>
          <cell r="BC155">
            <v>1895.7997242045635</v>
          </cell>
          <cell r="BD155">
            <v>2130.7751623743598</v>
          </cell>
          <cell r="BE155">
            <v>2362.8442308257204</v>
          </cell>
          <cell r="BF155">
            <v>2227.1429596272983</v>
          </cell>
        </row>
        <row r="156">
          <cell r="Z156">
            <v>5.3834138068396584E-2</v>
          </cell>
          <cell r="AA156">
            <v>0.10265953466655685</v>
          </cell>
          <cell r="AB156">
            <v>5.4517433942619022E-2</v>
          </cell>
          <cell r="AC156">
            <v>0.14889332766739569</v>
          </cell>
          <cell r="AD156">
            <v>12.11953016163751</v>
          </cell>
          <cell r="AE156">
            <v>9.9362895262735691</v>
          </cell>
          <cell r="AF156">
            <v>14.924916021766371</v>
          </cell>
          <cell r="AG156">
            <v>23.740707048129646</v>
          </cell>
          <cell r="AH156">
            <v>65.936582086848688</v>
          </cell>
          <cell r="AI156">
            <v>164.75418032843351</v>
          </cell>
          <cell r="AJ156">
            <v>159.75705820274842</v>
          </cell>
          <cell r="AK156">
            <v>293.60672236393725</v>
          </cell>
          <cell r="AL156">
            <v>406.70392069460979</v>
          </cell>
          <cell r="AM156">
            <v>457.69131742942892</v>
          </cell>
          <cell r="AN156">
            <v>555.48084024040509</v>
          </cell>
          <cell r="AO156">
            <v>600.96930043424743</v>
          </cell>
          <cell r="AP156">
            <v>612.81284080580292</v>
          </cell>
          <cell r="AQ156">
            <v>630.98578134257741</v>
          </cell>
          <cell r="AR156">
            <v>534.88411462779106</v>
          </cell>
          <cell r="AS156">
            <v>556.87852317716511</v>
          </cell>
          <cell r="AT156">
            <v>627.31067166464493</v>
          </cell>
          <cell r="AU156">
            <v>729.96734861680648</v>
          </cell>
          <cell r="AV156">
            <v>652.99326803318263</v>
          </cell>
          <cell r="AW156">
            <v>682.52728974085574</v>
          </cell>
          <cell r="AX156">
            <v>714.21951738069515</v>
          </cell>
          <cell r="AY156">
            <v>742.31944757292183</v>
          </cell>
          <cell r="AZ156">
            <v>736.57905975177982</v>
          </cell>
          <cell r="BA156">
            <v>763.29443189767176</v>
          </cell>
          <cell r="BB156">
            <v>800.28190590383576</v>
          </cell>
          <cell r="BC156">
            <v>713.90695729291701</v>
          </cell>
          <cell r="BD156">
            <v>802.4484798144091</v>
          </cell>
          <cell r="BE156">
            <v>794.27424404871965</v>
          </cell>
          <cell r="BF156">
            <v>808.60222632724822</v>
          </cell>
        </row>
        <row r="157">
          <cell r="Z157">
            <v>0.10338156184028145</v>
          </cell>
          <cell r="AA157">
            <v>0.13404640109609456</v>
          </cell>
          <cell r="AB157">
            <v>0.24509149845394781</v>
          </cell>
          <cell r="AC157">
            <v>0.27583175038275526</v>
          </cell>
          <cell r="AD157">
            <v>1.6894352870692342</v>
          </cell>
          <cell r="AE157">
            <v>10.211781248987462</v>
          </cell>
          <cell r="AF157">
            <v>27.052989852021796</v>
          </cell>
          <cell r="AG157">
            <v>54.243812439542751</v>
          </cell>
          <cell r="AH157">
            <v>129.76781235899398</v>
          </cell>
          <cell r="AI157">
            <v>337.29383507114085</v>
          </cell>
          <cell r="AJ157">
            <v>360.3156035860423</v>
          </cell>
          <cell r="AK157">
            <v>591.98254473529005</v>
          </cell>
          <cell r="AL157">
            <v>795.59407469174982</v>
          </cell>
          <cell r="AM157">
            <v>902.410155841961</v>
          </cell>
          <cell r="AN157">
            <v>1108.1080402494108</v>
          </cell>
          <cell r="AO157">
            <v>1192.2901531820771</v>
          </cell>
          <cell r="AP157">
            <v>1225.1759257498798</v>
          </cell>
          <cell r="AQ157">
            <v>1265.1618055017689</v>
          </cell>
          <cell r="AR157">
            <v>1048.7460525137787</v>
          </cell>
          <cell r="AS157">
            <v>1106.1058760941962</v>
          </cell>
          <cell r="AT157">
            <v>1244.9303779101529</v>
          </cell>
          <cell r="AU157">
            <v>1395.9148584536974</v>
          </cell>
          <cell r="AV157">
            <v>1280.2508339767328</v>
          </cell>
          <cell r="AW157">
            <v>1337.7680405276496</v>
          </cell>
          <cell r="AX157">
            <v>1395.1566764433007</v>
          </cell>
          <cell r="AY157">
            <v>1444.4742676584628</v>
          </cell>
          <cell r="AZ157">
            <v>1439.9454559217502</v>
          </cell>
          <cell r="BA157">
            <v>1492.0710664966441</v>
          </cell>
          <cell r="BB157">
            <v>1563.8491841978746</v>
          </cell>
          <cell r="BC157">
            <v>1445.6511954840714</v>
          </cell>
          <cell r="BD157">
            <v>1581.0442931524601</v>
          </cell>
          <cell r="BE157">
            <v>1568.1180426261194</v>
          </cell>
          <cell r="BF157">
            <v>1589.2183134345498</v>
          </cell>
        </row>
        <row r="158">
          <cell r="Z158">
            <v>3.8265447168963698E-2</v>
          </cell>
          <cell r="AA158">
            <v>0.14843987747821055</v>
          </cell>
          <cell r="AB158">
            <v>0</v>
          </cell>
          <cell r="AC158">
            <v>0.16266218810718905</v>
          </cell>
          <cell r="AD158">
            <v>1.040977621730373</v>
          </cell>
          <cell r="AE158">
            <v>7.2126121913913419</v>
          </cell>
          <cell r="AF158">
            <v>47.863857485182464</v>
          </cell>
          <cell r="AG158">
            <v>64.150051523553486</v>
          </cell>
          <cell r="AH158">
            <v>169.96987188895656</v>
          </cell>
          <cell r="AI158">
            <v>435.82132790866604</v>
          </cell>
          <cell r="AJ158">
            <v>587.60426966907096</v>
          </cell>
          <cell r="AK158">
            <v>827.61042821812669</v>
          </cell>
          <cell r="AL158">
            <v>1109.4743813641326</v>
          </cell>
          <cell r="AM158">
            <v>1278.1174023055023</v>
          </cell>
          <cell r="AN158">
            <v>1608.7736284528874</v>
          </cell>
          <cell r="AO158">
            <v>1556.4971398680404</v>
          </cell>
          <cell r="AP158">
            <v>1716.4967517329787</v>
          </cell>
          <cell r="AQ158">
            <v>1770.7761721581253</v>
          </cell>
          <cell r="AR158">
            <v>1449.76691005213</v>
          </cell>
          <cell r="AS158">
            <v>1517.1448667400898</v>
          </cell>
          <cell r="AT158">
            <v>1721.3961871058448</v>
          </cell>
          <cell r="AU158">
            <v>1906.7030886798391</v>
          </cell>
          <cell r="AV158">
            <v>1760.3234666950443</v>
          </cell>
          <cell r="AW158">
            <v>1837.2647002260237</v>
          </cell>
          <cell r="AX158">
            <v>1916.8712604400889</v>
          </cell>
          <cell r="AY158">
            <v>1981.6713997230729</v>
          </cell>
          <cell r="AZ158">
            <v>1977.8353621381455</v>
          </cell>
          <cell r="BA158">
            <v>2045.9687380193523</v>
          </cell>
          <cell r="BB158">
            <v>2147.9778010333453</v>
          </cell>
          <cell r="BC158">
            <v>2235.654283514476</v>
          </cell>
          <cell r="BD158">
            <v>2233.2476739060153</v>
          </cell>
          <cell r="BE158">
            <v>2021.7197953850705</v>
          </cell>
          <cell r="BF158">
            <v>2228.7025608691565</v>
          </cell>
        </row>
        <row r="159">
          <cell r="Z159">
            <v>8.3640106800368194E-2</v>
          </cell>
          <cell r="AA159">
            <v>0.13737383937268477</v>
          </cell>
          <cell r="AB159">
            <v>0.11776057712153183</v>
          </cell>
          <cell r="AC159">
            <v>0.25977682926121076</v>
          </cell>
          <cell r="AD159">
            <v>10.431905868011583</v>
          </cell>
          <cell r="AE159">
            <v>9.2936495508133969</v>
          </cell>
          <cell r="AF159">
            <v>16.828619033267447</v>
          </cell>
          <cell r="AG159">
            <v>61.718508558420432</v>
          </cell>
          <cell r="AH159">
            <v>148.32952384723305</v>
          </cell>
          <cell r="AI159">
            <v>379.0707170712268</v>
          </cell>
          <cell r="AJ159">
            <v>531.7675189989634</v>
          </cell>
          <cell r="AK159">
            <v>726.44752992601707</v>
          </cell>
          <cell r="AL159">
            <v>987.64134389737853</v>
          </cell>
          <cell r="AM159">
            <v>1139.7829584060014</v>
          </cell>
          <cell r="AN159">
            <v>1439.465738147107</v>
          </cell>
          <cell r="AO159">
            <v>1385.2587798333975</v>
          </cell>
          <cell r="AP159">
            <v>1527.3768745196971</v>
          </cell>
          <cell r="AQ159">
            <v>1578.3511391412662</v>
          </cell>
          <cell r="AR159">
            <v>1293.18825351297</v>
          </cell>
          <cell r="AS159">
            <v>1351.133747922873</v>
          </cell>
          <cell r="AT159">
            <v>1534.4310215414405</v>
          </cell>
          <cell r="AU159">
            <v>1527.5340260199314</v>
          </cell>
          <cell r="AV159">
            <v>1527.3960746734322</v>
          </cell>
          <cell r="AW159">
            <v>1582.5210317951737</v>
          </cell>
          <cell r="AX159">
            <v>1637.4760359000725</v>
          </cell>
          <cell r="AY159">
            <v>1675.2047631181586</v>
          </cell>
          <cell r="AZ159">
            <v>1695.1843092747017</v>
          </cell>
          <cell r="BA159">
            <v>1748.5625236759372</v>
          </cell>
          <cell r="BB159">
            <v>1831.0468694019844</v>
          </cell>
          <cell r="BC159">
            <v>1905.5826839534923</v>
          </cell>
          <cell r="BD159">
            <v>1907.493236384443</v>
          </cell>
          <cell r="BE159">
            <v>1711.2492060563425</v>
          </cell>
          <cell r="BF159">
            <v>1897.6569092032105</v>
          </cell>
        </row>
        <row r="160">
          <cell r="Z160">
            <v>3.4126875501365003E-3</v>
          </cell>
          <cell r="AA160">
            <v>7.9905480823295461E-2</v>
          </cell>
          <cell r="AB160">
            <v>0.29794662368406288</v>
          </cell>
          <cell r="AC160">
            <v>1.1498439597190722</v>
          </cell>
          <cell r="AD160">
            <v>4.3044740775143442</v>
          </cell>
          <cell r="AE160">
            <v>6.176811417948171</v>
          </cell>
          <cell r="AF160">
            <v>24.804341187170916</v>
          </cell>
          <cell r="AG160">
            <v>68.484005973362713</v>
          </cell>
          <cell r="AH160">
            <v>146.13095399606848</v>
          </cell>
          <cell r="AI160">
            <v>378.05265251455262</v>
          </cell>
          <cell r="AJ160">
            <v>540.0501362465053</v>
          </cell>
          <cell r="AK160">
            <v>739.4954544309926</v>
          </cell>
          <cell r="AL160">
            <v>1005.4351668103139</v>
          </cell>
          <cell r="AM160">
            <v>1166.9684714307964</v>
          </cell>
          <cell r="AN160">
            <v>1471.4168592985611</v>
          </cell>
          <cell r="AO160">
            <v>1398.0918876904598</v>
          </cell>
          <cell r="AP160">
            <v>1544.9660796170126</v>
          </cell>
          <cell r="AQ160">
            <v>1597.5073908793024</v>
          </cell>
          <cell r="AR160">
            <v>1291.6899995710555</v>
          </cell>
          <cell r="AS160">
            <v>1361.7852698993099</v>
          </cell>
          <cell r="AT160">
            <v>1546.5117878863309</v>
          </cell>
          <cell r="AU160">
            <v>1536.8314371841325</v>
          </cell>
          <cell r="AV160">
            <v>1534.5449369234568</v>
          </cell>
          <cell r="AW160">
            <v>1592.5068511991299</v>
          </cell>
          <cell r="AX160">
            <v>1647.376340813918</v>
          </cell>
          <cell r="AY160">
            <v>1684.761746797994</v>
          </cell>
          <cell r="AZ160">
            <v>1705.8352927434948</v>
          </cell>
          <cell r="BA160">
            <v>1754.5067150414716</v>
          </cell>
          <cell r="BB160">
            <v>1851.2919005444312</v>
          </cell>
          <cell r="BC160">
            <v>1918.1560188438452</v>
          </cell>
          <cell r="BD160">
            <v>1920.5130348744469</v>
          </cell>
          <cell r="BE160">
            <v>1698.4197902974242</v>
          </cell>
          <cell r="BF160">
            <v>1906.2829992578115</v>
          </cell>
        </row>
        <row r="161">
          <cell r="Z161">
            <v>2.8808994619619409E-2</v>
          </cell>
          <cell r="AA161">
            <v>0.1445623322417742</v>
          </cell>
          <cell r="AB161">
            <v>1.0799930617584346E-2</v>
          </cell>
          <cell r="AC161">
            <v>0.5840997074521227</v>
          </cell>
          <cell r="AD161">
            <v>9.3745061157430314</v>
          </cell>
          <cell r="AE161">
            <v>11.897346518093032</v>
          </cell>
          <cell r="AF161">
            <v>26.814560866082935</v>
          </cell>
          <cell r="AG161">
            <v>68.252760482674915</v>
          </cell>
          <cell r="AH161">
            <v>164.59716386819179</v>
          </cell>
          <cell r="AI161">
            <v>418.19116217726781</v>
          </cell>
          <cell r="AJ161">
            <v>599.40898920111408</v>
          </cell>
          <cell r="AK161">
            <v>829.91994424020982</v>
          </cell>
          <cell r="AL161">
            <v>1121.8921853675231</v>
          </cell>
          <cell r="AM161">
            <v>1297.233068535882</v>
          </cell>
          <cell r="AN161">
            <v>1641.3437784074749</v>
          </cell>
          <cell r="AO161">
            <v>1571.4849669215034</v>
          </cell>
          <cell r="AP161">
            <v>1733.1455185043908</v>
          </cell>
          <cell r="AQ161">
            <v>1790.5232936179284</v>
          </cell>
          <cell r="AR161">
            <v>1444.5173895182495</v>
          </cell>
          <cell r="AS161">
            <v>1532.0837015806819</v>
          </cell>
          <cell r="AT161">
            <v>1723.3445773578719</v>
          </cell>
          <cell r="AU161">
            <v>1721.2715425892566</v>
          </cell>
          <cell r="AV161">
            <v>1718.1212651032347</v>
          </cell>
          <cell r="AW161">
            <v>1783.522594774802</v>
          </cell>
          <cell r="AX161">
            <v>1842.7908783741364</v>
          </cell>
          <cell r="AY161">
            <v>1886.2773957010115</v>
          </cell>
          <cell r="AZ161">
            <v>1908.4649494782398</v>
          </cell>
          <cell r="BA161">
            <v>1963.6811768434618</v>
          </cell>
          <cell r="BB161">
            <v>2071.7082533858975</v>
          </cell>
          <cell r="BC161">
            <v>2146.7545914477669</v>
          </cell>
          <cell r="BD161">
            <v>2149.1751728155723</v>
          </cell>
          <cell r="BE161">
            <v>2145.3567727940354</v>
          </cell>
          <cell r="BF161">
            <v>2195.9181960401997</v>
          </cell>
        </row>
        <row r="162">
          <cell r="Z162">
            <v>8.4408011422063417E-2</v>
          </cell>
          <cell r="AA162">
            <v>0.14532240818658898</v>
          </cell>
          <cell r="AB162">
            <v>5.6367503590109155E-2</v>
          </cell>
          <cell r="AC162">
            <v>0.13523067403851685</v>
          </cell>
          <cell r="AD162">
            <v>1.9877033856756026</v>
          </cell>
          <cell r="AE162">
            <v>6.537003549451156</v>
          </cell>
          <cell r="AF162">
            <v>76.158005979845029</v>
          </cell>
          <cell r="AG162">
            <v>76.210581458328988</v>
          </cell>
          <cell r="AH162">
            <v>217.55649903615</v>
          </cell>
          <cell r="AI162">
            <v>560.46560803921557</v>
          </cell>
          <cell r="AJ162">
            <v>824.43742550340562</v>
          </cell>
          <cell r="AK162">
            <v>1111.7512001918599</v>
          </cell>
          <cell r="AL162">
            <v>1488.3112877546203</v>
          </cell>
          <cell r="AM162">
            <v>1696.8873175711615</v>
          </cell>
          <cell r="AN162">
            <v>2189.2611118585269</v>
          </cell>
          <cell r="AO162">
            <v>2098.3691891227782</v>
          </cell>
          <cell r="AP162">
            <v>2309.3127532490798</v>
          </cell>
          <cell r="AQ162">
            <v>2382.0880568958069</v>
          </cell>
          <cell r="AR162">
            <v>1922.3861495815925</v>
          </cell>
          <cell r="AS162">
            <v>2034.4608347983094</v>
          </cell>
          <cell r="AT162">
            <v>2292.8285801289867</v>
          </cell>
          <cell r="AU162">
            <v>2289.0308516175442</v>
          </cell>
          <cell r="AV162">
            <v>2284.135171293548</v>
          </cell>
          <cell r="AW162">
            <v>2370.9387401504559</v>
          </cell>
          <cell r="AX162">
            <v>2450.519149763657</v>
          </cell>
          <cell r="AY162">
            <v>2508.0103338617673</v>
          </cell>
          <cell r="AZ162">
            <v>2537.3732888704121</v>
          </cell>
          <cell r="BA162">
            <v>2610.807028324185</v>
          </cell>
          <cell r="BB162">
            <v>2760.6361446470082</v>
          </cell>
          <cell r="BC162">
            <v>2855.8617107986838</v>
          </cell>
          <cell r="BD162">
            <v>2859.4440358032889</v>
          </cell>
          <cell r="BE162">
            <v>2854.8670458903753</v>
          </cell>
          <cell r="BF162">
            <v>2922.7956455991134</v>
          </cell>
        </row>
        <row r="169">
          <cell r="B169">
            <v>124.23748842289046</v>
          </cell>
          <cell r="C169">
            <v>132.29077300781483</v>
          </cell>
          <cell r="D169">
            <v>112.16838568412425</v>
          </cell>
          <cell r="E169">
            <v>109.4644614663614</v>
          </cell>
          <cell r="F169">
            <v>114.19007378621234</v>
          </cell>
          <cell r="G169">
            <v>124.05378341094512</v>
          </cell>
          <cell r="H169">
            <v>103.72409947288517</v>
          </cell>
          <cell r="I169">
            <v>106.92040168671249</v>
          </cell>
          <cell r="J169">
            <v>121.38104282050747</v>
          </cell>
          <cell r="K169">
            <v>110.02974175675085</v>
          </cell>
          <cell r="L169">
            <v>117.86445624792935</v>
          </cell>
          <cell r="M169">
            <v>124.49629613624634</v>
          </cell>
          <cell r="N169">
            <v>122.10238781863592</v>
          </cell>
          <cell r="O169">
            <v>108.03673056373489</v>
          </cell>
          <cell r="P169">
            <v>102.98652142607303</v>
          </cell>
          <cell r="Q169">
            <v>144.09598939997537</v>
          </cell>
          <cell r="R169">
            <v>100.2511680090069</v>
          </cell>
          <cell r="S169">
            <v>92.984013182629397</v>
          </cell>
          <cell r="T169">
            <v>87.96707570462236</v>
          </cell>
          <cell r="U169">
            <v>104.78900083338131</v>
          </cell>
          <cell r="V169">
            <v>51.353261903573127</v>
          </cell>
          <cell r="W169">
            <v>53.768066141284208</v>
          </cell>
          <cell r="X169">
            <v>59.060658429072987</v>
          </cell>
          <cell r="Y169">
            <v>47.433002706579401</v>
          </cell>
          <cell r="Z169">
            <v>41.351869935892395</v>
          </cell>
          <cell r="AA169">
            <v>26.061126204581129</v>
          </cell>
        </row>
        <row r="182">
          <cell r="U182" t="str">
            <v xml:space="preserve">12/13  </v>
          </cell>
          <cell r="V182" t="str">
            <v xml:space="preserve">13/14  </v>
          </cell>
          <cell r="W182" t="str">
            <v xml:space="preserve">14/15  </v>
          </cell>
          <cell r="X182" t="str">
            <v xml:space="preserve">15/16  </v>
          </cell>
          <cell r="Y182" t="str">
            <v xml:space="preserve">16/17  </v>
          </cell>
          <cell r="Z182" t="str">
            <v xml:space="preserve">17/18  </v>
          </cell>
          <cell r="AA182" t="str">
            <v xml:space="preserve">18/19  </v>
          </cell>
        </row>
        <row r="183">
          <cell r="U183">
            <v>77.579402481323854</v>
          </cell>
          <cell r="V183">
            <v>76.067861359059947</v>
          </cell>
          <cell r="W183">
            <v>93.446460094426115</v>
          </cell>
          <cell r="X183">
            <v>67.619699999999995</v>
          </cell>
          <cell r="Y183">
            <v>75.668399999999991</v>
          </cell>
          <cell r="Z183">
            <v>76.004099999999994</v>
          </cell>
          <cell r="AA183">
            <v>90.327600000000004</v>
          </cell>
        </row>
        <row r="184">
          <cell r="U184">
            <v>77.411680141765231</v>
          </cell>
          <cell r="V184">
            <v>75.910804273029214</v>
          </cell>
          <cell r="W184">
            <v>89.638920527709558</v>
          </cell>
          <cell r="X184">
            <v>71.527500000000003</v>
          </cell>
          <cell r="Y184">
            <v>78.480899999999991</v>
          </cell>
          <cell r="Z184">
            <v>80.614800000000002</v>
          </cell>
          <cell r="AA184">
            <v>82.197900000000004</v>
          </cell>
        </row>
        <row r="185">
          <cell r="T185">
            <v>76.006661368141138</v>
          </cell>
          <cell r="U185">
            <v>71.503727334386227</v>
          </cell>
          <cell r="V185">
            <v>67.94835648021143</v>
          </cell>
          <cell r="W185">
            <v>82.815660893419306</v>
          </cell>
          <cell r="X185">
            <v>81.017100000000013</v>
          </cell>
          <cell r="Y185">
            <v>68.546700000000001</v>
          </cell>
          <cell r="Z185">
            <v>77.676299999999998</v>
          </cell>
          <cell r="AA185">
            <v>84.031199999999998</v>
          </cell>
          <cell r="AB185">
            <v>81.558000000000007</v>
          </cell>
          <cell r="AC185">
            <v>79.229700000000008</v>
          </cell>
          <cell r="AD185">
            <v>81.886499999999998</v>
          </cell>
          <cell r="AE185">
            <v>89.079300000000003</v>
          </cell>
          <cell r="AF185">
            <v>93.15</v>
          </cell>
          <cell r="AG185">
            <v>86.940000000000012</v>
          </cell>
          <cell r="AH185">
            <v>718.23893285134227</v>
          </cell>
          <cell r="AI185">
            <v>638.89966329445349</v>
          </cell>
          <cell r="AJ185">
            <v>1994.2349358564047</v>
          </cell>
          <cell r="AK185">
            <v>4893.6287303635572</v>
          </cell>
          <cell r="AL185">
            <v>6853.4629526445178</v>
          </cell>
          <cell r="AM185">
            <v>8950.6710912594917</v>
          </cell>
          <cell r="AN185">
            <v>11391.919971614097</v>
          </cell>
          <cell r="AO185">
            <v>14449.75416231304</v>
          </cell>
          <cell r="AP185">
            <v>19063.361374732449</v>
          </cell>
          <cell r="AQ185">
            <v>23993.167724399522</v>
          </cell>
          <cell r="AR185">
            <v>28870.95415094179</v>
          </cell>
          <cell r="AS185">
            <v>32180.090024205085</v>
          </cell>
          <cell r="AT185">
            <v>36964.552117023071</v>
          </cell>
          <cell r="AU185">
            <v>42166.225884778833</v>
          </cell>
          <cell r="AV185">
            <v>45713.43272184016</v>
          </cell>
          <cell r="AW185">
            <v>49972.940892458864</v>
          </cell>
          <cell r="AX185">
            <v>53685.673848947852</v>
          </cell>
          <cell r="AY185">
            <v>57263.030226743387</v>
          </cell>
          <cell r="AZ185">
            <v>60115.116021051668</v>
          </cell>
          <cell r="BA185">
            <v>62597.296769190798</v>
          </cell>
          <cell r="BB185">
            <v>66310.659053992946</v>
          </cell>
          <cell r="BC185">
            <v>69549.901232365068</v>
          </cell>
          <cell r="BD185">
            <v>75244.143415726998</v>
          </cell>
          <cell r="BE185">
            <v>79050.909844716574</v>
          </cell>
          <cell r="BF185">
            <v>84240.221009444722</v>
          </cell>
          <cell r="BG185">
            <v>88226.199179282761</v>
          </cell>
        </row>
        <row r="186">
          <cell r="T186">
            <v>81.353570318763985</v>
          </cell>
          <cell r="U186">
            <v>75.070511573305851</v>
          </cell>
          <cell r="V186">
            <v>69.62473325088007</v>
          </cell>
          <cell r="W186">
            <v>86.425784697796445</v>
          </cell>
          <cell r="X186">
            <v>66.736800000000002</v>
          </cell>
          <cell r="Y186">
            <v>81.063000000000002</v>
          </cell>
          <cell r="Z186">
            <v>88.555499999999995</v>
          </cell>
        </row>
        <row r="187">
          <cell r="T187">
            <v>79.455184496529881</v>
          </cell>
          <cell r="U187">
            <v>73.413709347717031</v>
          </cell>
          <cell r="V187">
            <v>67.018749889286838</v>
          </cell>
          <cell r="W187">
            <v>80.971808334308662</v>
          </cell>
          <cell r="X187">
            <v>72.81450000000001</v>
          </cell>
          <cell r="Y187">
            <v>82.536299999999997</v>
          </cell>
          <cell r="Z187">
            <v>82.571399999999997</v>
          </cell>
        </row>
        <row r="188">
          <cell r="T188">
            <v>81.583043510698317</v>
          </cell>
          <cell r="U188">
            <v>72.808435660408762</v>
          </cell>
          <cell r="V188">
            <v>68.197073847364194</v>
          </cell>
          <cell r="W188">
            <v>82.991921843762356</v>
          </cell>
          <cell r="X188">
            <v>83.568600000000004</v>
          </cell>
          <cell r="Y188">
            <v>70.029900000000012</v>
          </cell>
          <cell r="Z188">
            <v>91.680300000000003</v>
          </cell>
        </row>
        <row r="189">
          <cell r="T189">
            <v>93.037427359291101</v>
          </cell>
          <cell r="U189">
            <v>86.664060486275844</v>
          </cell>
          <cell r="V189">
            <v>81.527782735535382</v>
          </cell>
          <cell r="W189">
            <v>101.36942690215177</v>
          </cell>
          <cell r="X189">
            <v>77.952600000000004</v>
          </cell>
          <cell r="Y189">
            <v>79.955100000000002</v>
          </cell>
          <cell r="Z189">
            <v>84.725999999999999</v>
          </cell>
        </row>
        <row r="190">
          <cell r="T190">
            <v>82.806961727199123</v>
          </cell>
          <cell r="U190">
            <v>74.509944549052719</v>
          </cell>
          <cell r="V190">
            <v>69.503419797508357</v>
          </cell>
          <cell r="W190">
            <v>85.91040000000001</v>
          </cell>
          <cell r="X190">
            <v>71.93610000000001</v>
          </cell>
          <cell r="Y190">
            <v>71.265600000000006</v>
          </cell>
          <cell r="Z190">
            <v>79.378199999999993</v>
          </cell>
        </row>
        <row r="191">
          <cell r="T191">
            <v>99.834056147278105</v>
          </cell>
          <cell r="U191">
            <v>95.226603259279756</v>
          </cell>
          <cell r="V191">
            <v>91.357230821153522</v>
          </cell>
          <cell r="W191">
            <v>82.8108</v>
          </cell>
          <cell r="X191">
            <v>70.098300000000009</v>
          </cell>
          <cell r="Y191">
            <v>76.844700000000003</v>
          </cell>
          <cell r="Z191">
            <v>80.4375</v>
          </cell>
        </row>
        <row r="192">
          <cell r="T192">
            <v>104.73762289108392</v>
          </cell>
          <cell r="U192">
            <v>98.485053637975369</v>
          </cell>
          <cell r="V192">
            <v>94.421598269486282</v>
          </cell>
          <cell r="W192">
            <v>83.835899999999995</v>
          </cell>
          <cell r="X192">
            <v>66.805199999999999</v>
          </cell>
          <cell r="Y192">
            <v>83.640600000000006</v>
          </cell>
          <cell r="Z192">
            <v>90.745200000000011</v>
          </cell>
        </row>
        <row r="193">
          <cell r="T193">
            <v>88.383530567684062</v>
          </cell>
          <cell r="U193">
            <v>81.601356346154702</v>
          </cell>
          <cell r="V193">
            <v>76.229193033976358</v>
          </cell>
          <cell r="W193">
            <v>88.454700000000003</v>
          </cell>
          <cell r="X193">
            <v>75.618899999999996</v>
          </cell>
          <cell r="Y193">
            <v>73.06110000000001</v>
          </cell>
          <cell r="Z193">
            <v>100.2159</v>
          </cell>
        </row>
        <row r="198">
          <cell r="AB198">
            <v>24.456499999999998</v>
          </cell>
          <cell r="AC198">
            <v>26.965900000000001</v>
          </cell>
          <cell r="AD198">
            <v>54.166666666666664</v>
          </cell>
          <cell r="AE198">
            <v>64.607142857142861</v>
          </cell>
          <cell r="AF198">
            <v>48.795454545454547</v>
          </cell>
          <cell r="AG198">
            <v>37.173913043478258</v>
          </cell>
          <cell r="AH198">
            <v>47.25</v>
          </cell>
          <cell r="AI198">
            <v>41</v>
          </cell>
          <cell r="AJ198">
            <v>35.75</v>
          </cell>
          <cell r="AK198">
            <v>38.25</v>
          </cell>
          <cell r="AL198">
            <v>36.75</v>
          </cell>
          <cell r="AM198">
            <v>40.5</v>
          </cell>
          <cell r="AN198">
            <v>40.5</v>
          </cell>
          <cell r="AO198">
            <v>44.75</v>
          </cell>
          <cell r="AP198">
            <v>39.5</v>
          </cell>
          <cell r="AQ198">
            <v>30.75</v>
          </cell>
          <cell r="AR198">
            <v>16.75</v>
          </cell>
          <cell r="AS198">
            <v>26.5</v>
          </cell>
          <cell r="AT198">
            <v>21.5</v>
          </cell>
          <cell r="AU198">
            <v>13.5</v>
          </cell>
          <cell r="AV198">
            <v>11.5</v>
          </cell>
          <cell r="AW198">
            <v>22</v>
          </cell>
          <cell r="AX198">
            <v>34</v>
          </cell>
          <cell r="AY198">
            <v>32</v>
          </cell>
          <cell r="AZ198">
            <v>24.5</v>
          </cell>
          <cell r="BA198">
            <v>29.75</v>
          </cell>
          <cell r="BB198">
            <v>17.75</v>
          </cell>
          <cell r="BC198">
            <v>27.25</v>
          </cell>
          <cell r="BD198">
            <v>18.5</v>
          </cell>
          <cell r="BE198">
            <v>39.5</v>
          </cell>
          <cell r="BF198">
            <v>31</v>
          </cell>
          <cell r="BG198">
            <v>39.25</v>
          </cell>
        </row>
        <row r="199">
          <cell r="AB199">
            <v>23.815799999999999</v>
          </cell>
          <cell r="AC199">
            <v>29.776299999999999</v>
          </cell>
          <cell r="AD199">
            <v>55.975000000000001</v>
          </cell>
          <cell r="AE199">
            <v>66.75</v>
          </cell>
          <cell r="AF199">
            <v>41.375</v>
          </cell>
          <cell r="AG199">
            <v>37.5</v>
          </cell>
          <cell r="AH199">
            <v>41</v>
          </cell>
          <cell r="AI199">
            <v>37.5</v>
          </cell>
          <cell r="AJ199">
            <v>31</v>
          </cell>
          <cell r="AK199">
            <v>32.5</v>
          </cell>
          <cell r="AL199">
            <v>31.5</v>
          </cell>
          <cell r="AM199">
            <v>33</v>
          </cell>
          <cell r="AN199">
            <v>30.5</v>
          </cell>
          <cell r="AO199">
            <v>39</v>
          </cell>
          <cell r="AP199">
            <v>30.75</v>
          </cell>
          <cell r="AQ199">
            <v>21.25</v>
          </cell>
          <cell r="AR199">
            <v>9.5</v>
          </cell>
          <cell r="AS199">
            <v>21.25</v>
          </cell>
          <cell r="AT199">
            <v>12.75</v>
          </cell>
          <cell r="AU199" t="e">
            <v>#NUM!</v>
          </cell>
          <cell r="AV199" t="e">
            <v>#NUM!</v>
          </cell>
          <cell r="AW199" t="e">
            <v>#NUM!</v>
          </cell>
          <cell r="AX199" t="e">
            <v>#NUM!</v>
          </cell>
          <cell r="AY199" t="e">
            <v>#NUM!</v>
          </cell>
          <cell r="AZ199" t="e">
            <v>#NUM!</v>
          </cell>
          <cell r="BA199" t="e">
            <v>#NUM!</v>
          </cell>
          <cell r="BB199" t="e">
            <v>#NUM!</v>
          </cell>
          <cell r="BC199" t="e">
            <v>#NUM!</v>
          </cell>
          <cell r="BD199" t="e">
            <v>#NUM!</v>
          </cell>
          <cell r="BE199" t="e">
            <v>#NUM!</v>
          </cell>
          <cell r="BF199" t="e">
            <v>#NUM!</v>
          </cell>
          <cell r="BG199" t="e">
            <v>#NUM!</v>
          </cell>
        </row>
        <row r="200">
          <cell r="AB200">
            <v>24.011900000000001</v>
          </cell>
          <cell r="AC200">
            <v>31.590900000000001</v>
          </cell>
          <cell r="AD200">
            <v>55.785714285714285</v>
          </cell>
          <cell r="AE200">
            <v>62.928571428571431</v>
          </cell>
          <cell r="AF200">
            <v>39.225000000000001</v>
          </cell>
          <cell r="AG200">
            <v>37.5</v>
          </cell>
          <cell r="AH200">
            <v>32.25</v>
          </cell>
          <cell r="AI200">
            <v>34.75</v>
          </cell>
          <cell r="AJ200">
            <v>34</v>
          </cell>
          <cell r="AK200">
            <v>32.25</v>
          </cell>
          <cell r="AL200">
            <v>33.5</v>
          </cell>
          <cell r="AM200">
            <v>33.75</v>
          </cell>
          <cell r="AN200">
            <v>33.25</v>
          </cell>
          <cell r="AO200">
            <v>39.25</v>
          </cell>
          <cell r="AP200">
            <v>52.5</v>
          </cell>
          <cell r="AQ200">
            <v>52.25</v>
          </cell>
          <cell r="AR200">
            <v>38.5</v>
          </cell>
          <cell r="AS200">
            <v>32.25</v>
          </cell>
          <cell r="AT200">
            <v>29</v>
          </cell>
          <cell r="AU200">
            <v>9</v>
          </cell>
          <cell r="AV200">
            <v>8.5</v>
          </cell>
          <cell r="AW200">
            <v>26</v>
          </cell>
          <cell r="AX200">
            <v>36.75</v>
          </cell>
          <cell r="AY200">
            <v>31.75</v>
          </cell>
          <cell r="AZ200">
            <v>34.75</v>
          </cell>
          <cell r="BA200">
            <v>39</v>
          </cell>
          <cell r="BB200">
            <v>26.75</v>
          </cell>
          <cell r="BC200">
            <v>43.75</v>
          </cell>
          <cell r="BD200">
            <v>21</v>
          </cell>
          <cell r="BE200">
            <v>51.5</v>
          </cell>
          <cell r="BF200">
            <v>46</v>
          </cell>
          <cell r="BG200">
            <v>51.5</v>
          </cell>
        </row>
        <row r="201">
          <cell r="AA201">
            <v>24.666699999999999</v>
          </cell>
          <cell r="AB201">
            <v>24.25</v>
          </cell>
          <cell r="AC201">
            <v>34.684199999999997</v>
          </cell>
          <cell r="AD201">
            <v>59.2</v>
          </cell>
          <cell r="AE201">
            <v>61.875</v>
          </cell>
          <cell r="AF201">
            <v>34.142857142857146</v>
          </cell>
          <cell r="AG201">
            <v>40.357142857142854</v>
          </cell>
          <cell r="AH201">
            <v>36.25</v>
          </cell>
          <cell r="AI201">
            <v>37.5</v>
          </cell>
          <cell r="AJ201">
            <v>39.25</v>
          </cell>
          <cell r="AK201">
            <v>30.25</v>
          </cell>
          <cell r="AL201">
            <v>40</v>
          </cell>
          <cell r="AM201">
            <v>34.75</v>
          </cell>
          <cell r="AN201">
            <v>30.5</v>
          </cell>
          <cell r="AO201">
            <v>44.75</v>
          </cell>
          <cell r="AP201">
            <v>53</v>
          </cell>
          <cell r="AQ201">
            <v>52.5</v>
          </cell>
          <cell r="AR201">
            <v>42</v>
          </cell>
          <cell r="AS201">
            <v>30.25</v>
          </cell>
          <cell r="AT201">
            <v>28</v>
          </cell>
          <cell r="AU201">
            <v>5.75</v>
          </cell>
          <cell r="AV201">
            <v>7.75</v>
          </cell>
          <cell r="AW201">
            <v>24.75</v>
          </cell>
          <cell r="AX201">
            <v>33.5</v>
          </cell>
          <cell r="AY201">
            <v>26.75</v>
          </cell>
          <cell r="AZ201">
            <v>37.25</v>
          </cell>
          <cell r="BA201">
            <v>43.25</v>
          </cell>
          <cell r="BB201">
            <v>27</v>
          </cell>
          <cell r="BC201">
            <v>47.75</v>
          </cell>
          <cell r="BD201">
            <v>18</v>
          </cell>
          <cell r="BE201">
            <v>55.75</v>
          </cell>
          <cell r="BF201">
            <v>47.25</v>
          </cell>
        </row>
        <row r="202">
          <cell r="AA202">
            <v>24.552600000000002</v>
          </cell>
          <cell r="AB202">
            <v>25.026299999999999</v>
          </cell>
          <cell r="AC202">
            <v>39.1053</v>
          </cell>
          <cell r="AD202">
            <v>63.473684210526315</v>
          </cell>
          <cell r="AE202">
            <v>51.710526315789473</v>
          </cell>
          <cell r="AF202">
            <v>32.25</v>
          </cell>
          <cell r="AG202">
            <v>42.5</v>
          </cell>
          <cell r="AH202">
            <v>38.75</v>
          </cell>
          <cell r="AI202">
            <v>39.25</v>
          </cell>
          <cell r="AJ202">
            <v>36.25</v>
          </cell>
          <cell r="AK202">
            <v>33.5</v>
          </cell>
          <cell r="AL202">
            <v>40.75</v>
          </cell>
          <cell r="AM202">
            <v>30.25</v>
          </cell>
          <cell r="AN202">
            <v>27</v>
          </cell>
          <cell r="AO202">
            <v>47.25</v>
          </cell>
          <cell r="AP202">
            <v>53.25</v>
          </cell>
          <cell r="AQ202">
            <v>51.25</v>
          </cell>
          <cell r="AR202">
            <v>42.75</v>
          </cell>
          <cell r="AS202">
            <v>28</v>
          </cell>
          <cell r="AT202">
            <v>27.5</v>
          </cell>
          <cell r="AU202">
            <v>13.5</v>
          </cell>
          <cell r="AV202">
            <v>10.5</v>
          </cell>
          <cell r="AW202">
            <v>26</v>
          </cell>
          <cell r="AX202">
            <v>33</v>
          </cell>
          <cell r="AY202">
            <v>26.75</v>
          </cell>
          <cell r="AZ202">
            <v>36</v>
          </cell>
          <cell r="BA202">
            <v>41.5</v>
          </cell>
          <cell r="BB202">
            <v>27.25</v>
          </cell>
          <cell r="BC202">
            <v>38.75</v>
          </cell>
          <cell r="BD202">
            <v>17.75</v>
          </cell>
          <cell r="BE202">
            <v>54.25</v>
          </cell>
          <cell r="BF202">
            <v>43.75</v>
          </cell>
        </row>
        <row r="203">
          <cell r="AA203">
            <v>24.5</v>
          </cell>
          <cell r="AB203">
            <v>26</v>
          </cell>
          <cell r="AC203">
            <v>42.412999999999997</v>
          </cell>
          <cell r="AD203">
            <v>68.021739130434781</v>
          </cell>
          <cell r="AE203">
            <v>48</v>
          </cell>
          <cell r="AF203">
            <v>32.25</v>
          </cell>
          <cell r="AG203">
            <v>43.333333333333336</v>
          </cell>
          <cell r="AH203">
            <v>43.5</v>
          </cell>
          <cell r="AI203">
            <v>43</v>
          </cell>
          <cell r="AJ203">
            <v>37.25</v>
          </cell>
          <cell r="AK203">
            <v>40.75</v>
          </cell>
          <cell r="AL203">
            <v>47.5</v>
          </cell>
          <cell r="AM203">
            <v>37.75</v>
          </cell>
          <cell r="AN203">
            <v>35.75</v>
          </cell>
          <cell r="AO203">
            <v>59.5</v>
          </cell>
          <cell r="AP203">
            <v>65.5</v>
          </cell>
          <cell r="AQ203">
            <v>63.25</v>
          </cell>
          <cell r="AR203">
            <v>52.5</v>
          </cell>
          <cell r="AS203">
            <v>38</v>
          </cell>
          <cell r="AT203">
            <v>38.5</v>
          </cell>
          <cell r="AU203">
            <v>29.5</v>
          </cell>
          <cell r="AV203">
            <v>24.25</v>
          </cell>
          <cell r="AW203">
            <v>38.25</v>
          </cell>
          <cell r="AX203">
            <v>43.75</v>
          </cell>
          <cell r="AY203">
            <v>37.5</v>
          </cell>
          <cell r="AZ203">
            <v>46</v>
          </cell>
          <cell r="BA203">
            <v>51.25</v>
          </cell>
          <cell r="BB203">
            <v>39.5</v>
          </cell>
          <cell r="BC203">
            <v>45.75</v>
          </cell>
          <cell r="BD203">
            <v>31.5</v>
          </cell>
          <cell r="BE203">
            <v>66.75</v>
          </cell>
          <cell r="BF203">
            <v>54.25</v>
          </cell>
        </row>
        <row r="204">
          <cell r="AA204">
            <v>24.5</v>
          </cell>
          <cell r="AB204">
            <v>26</v>
          </cell>
          <cell r="AC204">
            <v>43.595199999999998</v>
          </cell>
          <cell r="AD204">
            <v>69</v>
          </cell>
          <cell r="AE204">
            <v>48</v>
          </cell>
          <cell r="AF204">
            <v>34.215909090909093</v>
          </cell>
          <cell r="AG204">
            <v>42.25</v>
          </cell>
          <cell r="AH204">
            <v>42.25</v>
          </cell>
          <cell r="AI204">
            <v>45.5</v>
          </cell>
          <cell r="AJ204">
            <v>37</v>
          </cell>
          <cell r="AK204">
            <v>45.5</v>
          </cell>
          <cell r="AL204">
            <v>51.75</v>
          </cell>
          <cell r="AM204">
            <v>41.5</v>
          </cell>
          <cell r="AN204">
            <v>36.5</v>
          </cell>
          <cell r="AO204">
            <v>65.75</v>
          </cell>
          <cell r="AP204">
            <v>70.75</v>
          </cell>
          <cell r="AQ204">
            <v>65.75</v>
          </cell>
          <cell r="AR204">
            <v>58</v>
          </cell>
          <cell r="AS204">
            <v>41.25</v>
          </cell>
          <cell r="AT204">
            <v>42.5</v>
          </cell>
          <cell r="AU204">
            <v>39.75</v>
          </cell>
          <cell r="AV204">
            <v>32.75</v>
          </cell>
          <cell r="AW204">
            <v>45.25</v>
          </cell>
          <cell r="AX204">
            <v>49</v>
          </cell>
          <cell r="AY204">
            <v>43</v>
          </cell>
          <cell r="AZ204">
            <v>50.25</v>
          </cell>
          <cell r="BA204">
            <v>55.75</v>
          </cell>
          <cell r="BB204">
            <v>46</v>
          </cell>
          <cell r="BC204">
            <v>45.5</v>
          </cell>
          <cell r="BD204">
            <v>38.5</v>
          </cell>
          <cell r="BE204">
            <v>72.5</v>
          </cell>
          <cell r="BF204">
            <v>58.25</v>
          </cell>
        </row>
        <row r="205">
          <cell r="AA205">
            <v>24.5</v>
          </cell>
          <cell r="AB205">
            <v>26</v>
          </cell>
          <cell r="AC205">
            <v>46.35</v>
          </cell>
          <cell r="AD205">
            <v>69</v>
          </cell>
          <cell r="AE205">
            <v>48</v>
          </cell>
          <cell r="AF205">
            <v>36</v>
          </cell>
          <cell r="AG205">
            <v>37.75</v>
          </cell>
          <cell r="AH205">
            <v>40.75</v>
          </cell>
          <cell r="AI205">
            <v>43.5</v>
          </cell>
          <cell r="AJ205">
            <v>39.75</v>
          </cell>
          <cell r="AK205">
            <v>46.25</v>
          </cell>
          <cell r="AL205">
            <v>45.5</v>
          </cell>
          <cell r="AM205">
            <v>43.75</v>
          </cell>
          <cell r="AN205">
            <v>35.5</v>
          </cell>
          <cell r="AO205">
            <v>63.25</v>
          </cell>
          <cell r="AP205">
            <v>69.75</v>
          </cell>
          <cell r="AQ205">
            <v>62.75</v>
          </cell>
          <cell r="AR205">
            <v>57.75</v>
          </cell>
          <cell r="AS205">
            <v>40</v>
          </cell>
          <cell r="AT205">
            <v>42.5</v>
          </cell>
          <cell r="AU205">
            <v>46.5</v>
          </cell>
          <cell r="AV205">
            <v>37.5</v>
          </cell>
          <cell r="AW205">
            <v>47.5</v>
          </cell>
          <cell r="AX205">
            <v>50</v>
          </cell>
          <cell r="AY205">
            <v>45.25</v>
          </cell>
          <cell r="AZ205">
            <v>50.5</v>
          </cell>
          <cell r="BA205">
            <v>55.5</v>
          </cell>
          <cell r="BB205">
            <v>48.25</v>
          </cell>
          <cell r="BC205">
            <v>49</v>
          </cell>
          <cell r="BD205">
            <v>43.75</v>
          </cell>
          <cell r="BE205">
            <v>67.25</v>
          </cell>
          <cell r="BF205">
            <v>58.75</v>
          </cell>
        </row>
        <row r="206">
          <cell r="AA206">
            <v>24.637499999999999</v>
          </cell>
          <cell r="AB206">
            <v>26</v>
          </cell>
          <cell r="AC206">
            <v>51.590899999999998</v>
          </cell>
          <cell r="AD206">
            <v>69</v>
          </cell>
          <cell r="AE206">
            <v>49.30952380952381</v>
          </cell>
          <cell r="AF206">
            <v>37.763157894736842</v>
          </cell>
          <cell r="AG206">
            <v>41</v>
          </cell>
          <cell r="AH206">
            <v>41</v>
          </cell>
          <cell r="AI206">
            <v>44</v>
          </cell>
          <cell r="AJ206">
            <v>45.5</v>
          </cell>
          <cell r="AK206">
            <v>50.25</v>
          </cell>
          <cell r="AL206">
            <v>50</v>
          </cell>
          <cell r="AM206">
            <v>48.75</v>
          </cell>
          <cell r="AN206">
            <v>41.5</v>
          </cell>
          <cell r="AO206">
            <v>65.5</v>
          </cell>
          <cell r="AP206">
            <v>73.75</v>
          </cell>
          <cell r="AQ206">
            <v>66.25</v>
          </cell>
          <cell r="AR206">
            <v>63.75</v>
          </cell>
          <cell r="AS206">
            <v>42.25</v>
          </cell>
          <cell r="AT206">
            <v>46.25</v>
          </cell>
          <cell r="AU206">
            <v>48</v>
          </cell>
          <cell r="AV206">
            <v>43</v>
          </cell>
          <cell r="AW206">
            <v>51</v>
          </cell>
          <cell r="AX206">
            <v>52</v>
          </cell>
          <cell r="AY206">
            <v>46</v>
          </cell>
          <cell r="AZ206">
            <v>51.5</v>
          </cell>
          <cell r="BA206">
            <v>56</v>
          </cell>
          <cell r="BB206">
            <v>50.75</v>
          </cell>
          <cell r="BC206">
            <v>52.25</v>
          </cell>
          <cell r="BD206">
            <v>48</v>
          </cell>
          <cell r="BE206">
            <v>64</v>
          </cell>
          <cell r="BF206">
            <v>59.5</v>
          </cell>
        </row>
        <row r="207">
          <cell r="AA207">
            <v>25.193200000000001</v>
          </cell>
          <cell r="AB207">
            <v>26</v>
          </cell>
          <cell r="AC207">
            <v>52.5</v>
          </cell>
          <cell r="AD207">
            <v>65.875</v>
          </cell>
          <cell r="AE207">
            <v>52.2</v>
          </cell>
          <cell r="AF207">
            <v>40.5</v>
          </cell>
          <cell r="AG207">
            <v>40.5</v>
          </cell>
          <cell r="AH207">
            <v>40.75</v>
          </cell>
          <cell r="AI207">
            <v>44.5</v>
          </cell>
          <cell r="AJ207">
            <v>51.5</v>
          </cell>
          <cell r="AK207">
            <v>52.75</v>
          </cell>
          <cell r="AL207">
            <v>54.25</v>
          </cell>
          <cell r="AM207">
            <v>54</v>
          </cell>
          <cell r="AN207">
            <v>48</v>
          </cell>
          <cell r="AO207">
            <v>67</v>
          </cell>
          <cell r="AP207">
            <v>76.75</v>
          </cell>
          <cell r="AQ207">
            <v>68.75</v>
          </cell>
          <cell r="AR207">
            <v>70</v>
          </cell>
          <cell r="AS207">
            <v>45.5</v>
          </cell>
          <cell r="AT207">
            <v>51</v>
          </cell>
          <cell r="AU207">
            <v>50.25</v>
          </cell>
          <cell r="AV207">
            <v>49.75</v>
          </cell>
          <cell r="AW207">
            <v>55.5</v>
          </cell>
          <cell r="AX207">
            <v>54.5</v>
          </cell>
          <cell r="AY207">
            <v>48</v>
          </cell>
          <cell r="AZ207">
            <v>53</v>
          </cell>
          <cell r="BA207">
            <v>57.25</v>
          </cell>
          <cell r="BB207">
            <v>54</v>
          </cell>
          <cell r="BC207">
            <v>56.5</v>
          </cell>
          <cell r="BD207">
            <v>53.5</v>
          </cell>
          <cell r="BE207">
            <v>60.25</v>
          </cell>
          <cell r="BF207">
            <v>61</v>
          </cell>
        </row>
        <row r="208">
          <cell r="AA208">
            <v>25.181799999999999</v>
          </cell>
          <cell r="AB208">
            <v>24.916699999999999</v>
          </cell>
          <cell r="AC208">
            <v>55.818199999999997</v>
          </cell>
          <cell r="AD208">
            <v>64</v>
          </cell>
          <cell r="AE208">
            <v>55.717391304347828</v>
          </cell>
          <cell r="AF208">
            <v>37.704545454545453</v>
          </cell>
          <cell r="AG208">
            <v>39.75</v>
          </cell>
          <cell r="AH208">
            <v>44.25</v>
          </cell>
          <cell r="AI208">
            <v>36.25</v>
          </cell>
          <cell r="AJ208">
            <v>46.25</v>
          </cell>
          <cell r="AK208">
            <v>43.5</v>
          </cell>
          <cell r="AL208">
            <v>48.75</v>
          </cell>
          <cell r="AM208">
            <v>34.25</v>
          </cell>
          <cell r="AN208">
            <v>26.5</v>
          </cell>
          <cell r="AO208">
            <v>29.75</v>
          </cell>
          <cell r="AP208">
            <v>42.25</v>
          </cell>
          <cell r="AQ208">
            <v>14.25</v>
          </cell>
          <cell r="AR208">
            <v>19</v>
          </cell>
          <cell r="AS208">
            <v>14.5</v>
          </cell>
          <cell r="AT208">
            <v>12</v>
          </cell>
          <cell r="AU208">
            <v>12.25</v>
          </cell>
          <cell r="AV208">
            <v>15</v>
          </cell>
          <cell r="AW208">
            <v>20.75</v>
          </cell>
          <cell r="AX208">
            <v>20.25</v>
          </cell>
          <cell r="AY208">
            <v>11.75</v>
          </cell>
          <cell r="AZ208">
            <v>14.5</v>
          </cell>
          <cell r="BA208">
            <v>19</v>
          </cell>
          <cell r="BB208">
            <v>14</v>
          </cell>
          <cell r="BC208">
            <v>15</v>
          </cell>
          <cell r="BD208">
            <v>16</v>
          </cell>
          <cell r="BE208">
            <v>20</v>
          </cell>
          <cell r="BF208">
            <v>20</v>
          </cell>
        </row>
        <row r="209">
          <cell r="AA209">
            <v>24.5</v>
          </cell>
          <cell r="AB209">
            <v>25.904800000000002</v>
          </cell>
          <cell r="AC209">
            <v>51.595199999999998</v>
          </cell>
          <cell r="AD209">
            <v>65.30952380952381</v>
          </cell>
          <cell r="AE209">
            <v>55.95</v>
          </cell>
          <cell r="AF209">
            <v>36</v>
          </cell>
          <cell r="AG209">
            <v>39</v>
          </cell>
          <cell r="AH209">
            <v>36.25</v>
          </cell>
          <cell r="AI209">
            <v>34</v>
          </cell>
          <cell r="AJ209">
            <v>36.75</v>
          </cell>
          <cell r="AK209">
            <v>32.75</v>
          </cell>
          <cell r="AL209">
            <v>36.25</v>
          </cell>
          <cell r="AM209">
            <v>35</v>
          </cell>
          <cell r="AN209">
            <v>34.75</v>
          </cell>
          <cell r="AO209">
            <v>34.25</v>
          </cell>
          <cell r="AP209">
            <v>26</v>
          </cell>
          <cell r="AQ209">
            <v>8</v>
          </cell>
          <cell r="AR209">
            <v>13.5</v>
          </cell>
          <cell r="AS209">
            <v>14</v>
          </cell>
          <cell r="AT209">
            <v>8.25</v>
          </cell>
          <cell r="AU209">
            <v>5.5</v>
          </cell>
          <cell r="AV209">
            <v>11.75</v>
          </cell>
          <cell r="AW209">
            <v>17.25</v>
          </cell>
          <cell r="AX209">
            <v>14</v>
          </cell>
          <cell r="AY209">
            <v>6</v>
          </cell>
          <cell r="AZ209">
            <v>7.25</v>
          </cell>
          <cell r="BA209">
            <v>11.25</v>
          </cell>
          <cell r="BB209">
            <v>7.75</v>
          </cell>
          <cell r="BC209">
            <v>9.75</v>
          </cell>
          <cell r="BD209">
            <v>11.75</v>
          </cell>
          <cell r="BE209">
            <v>15</v>
          </cell>
          <cell r="BF209">
            <v>13.5</v>
          </cell>
        </row>
        <row r="262">
          <cell r="Z262">
            <v>6.3209000000000053</v>
          </cell>
          <cell r="AA262">
            <v>3.2763157894736779</v>
          </cell>
        </row>
        <row r="263">
          <cell r="Z263">
            <v>5.8502272727272739</v>
          </cell>
          <cell r="AA263">
            <v>4.4386956521739158</v>
          </cell>
        </row>
        <row r="264">
          <cell r="Z264">
            <v>8.3652380952380945</v>
          </cell>
          <cell r="AA264">
            <v>2.990952380952379</v>
          </cell>
        </row>
        <row r="265">
          <cell r="Z265">
            <v>8.7430000000000092</v>
          </cell>
        </row>
        <row r="266">
          <cell r="Z266">
            <v>8.4319666666666677</v>
          </cell>
        </row>
        <row r="267">
          <cell r="Z267">
            <v>8.0593315789473614</v>
          </cell>
        </row>
        <row r="268">
          <cell r="Z268">
            <v>7.5347619047619006</v>
          </cell>
        </row>
        <row r="269">
          <cell r="Z269">
            <v>6.6871714285714283</v>
          </cell>
        </row>
        <row r="270">
          <cell r="Z270">
            <v>5.091618181818184</v>
          </cell>
        </row>
        <row r="271">
          <cell r="Z271">
            <v>3.7209523809523795</v>
          </cell>
        </row>
        <row r="272">
          <cell r="Z272">
            <v>2.6995454545454471</v>
          </cell>
        </row>
        <row r="273">
          <cell r="Z273">
            <v>3.1699999999999875</v>
          </cell>
        </row>
      </sheetData>
      <sheetData sheetId="49">
        <row r="25">
          <cell r="C25">
            <v>93.052243191922543</v>
          </cell>
          <cell r="D25">
            <v>95.376704461189433</v>
          </cell>
          <cell r="E25">
            <v>93.089139402545811</v>
          </cell>
          <cell r="F25">
            <v>93.01534698129926</v>
          </cell>
          <cell r="G25">
            <v>95.708770356798979</v>
          </cell>
          <cell r="H25">
            <v>95.561185514305862</v>
          </cell>
          <cell r="I25">
            <v>84.676803380437036</v>
          </cell>
          <cell r="J25">
            <v>77.408249887650072</v>
          </cell>
          <cell r="K25">
            <v>82.204757268677</v>
          </cell>
          <cell r="L25">
            <v>106.8</v>
          </cell>
          <cell r="M25">
            <v>95</v>
          </cell>
          <cell r="N25">
            <v>97.6</v>
          </cell>
          <cell r="O25">
            <v>106.1</v>
          </cell>
          <cell r="P25">
            <v>113.9</v>
          </cell>
          <cell r="Q25">
            <v>97.5</v>
          </cell>
          <cell r="R25">
            <v>109.3</v>
          </cell>
          <cell r="S25">
            <v>116.57292</v>
          </cell>
          <cell r="T25">
            <v>106.15027693849693</v>
          </cell>
          <cell r="U25">
            <v>116.35930163446399</v>
          </cell>
          <cell r="V25">
            <v>111.94748745365808</v>
          </cell>
          <cell r="W25">
            <v>106.94123958125972</v>
          </cell>
          <cell r="X25">
            <v>114.187</v>
          </cell>
          <cell r="Y25">
            <v>116.18300000000001</v>
          </cell>
          <cell r="Z25">
            <v>108.646</v>
          </cell>
          <cell r="AA25">
            <v>104.61</v>
          </cell>
          <cell r="AB25">
            <v>114.003</v>
          </cell>
          <cell r="AC25">
            <v>96.575999999999993</v>
          </cell>
          <cell r="AD25">
            <v>103.514</v>
          </cell>
          <cell r="AE25">
            <v>108.28700000000001</v>
          </cell>
          <cell r="AF25">
            <v>104.509</v>
          </cell>
          <cell r="AG25">
            <v>93.742000000000004</v>
          </cell>
          <cell r="AH25">
            <v>101.8397032149538</v>
          </cell>
          <cell r="AI25">
            <v>107.12944610069569</v>
          </cell>
          <cell r="AJ25">
            <v>107.14084870948844</v>
          </cell>
          <cell r="AK25">
            <v>108.01963108133482</v>
          </cell>
          <cell r="AL25">
            <v>109.41657994865025</v>
          </cell>
          <cell r="AM25">
            <v>110.57759431575955</v>
          </cell>
          <cell r="AN25">
            <v>112.82162949086333</v>
          </cell>
          <cell r="AO25">
            <v>113.77770360876549</v>
          </cell>
          <cell r="AP25">
            <v>114.50050320469842</v>
          </cell>
          <cell r="AQ25">
            <v>115.42202949704743</v>
          </cell>
          <cell r="AR25">
            <v>116.52436727603909</v>
          </cell>
          <cell r="AS25">
            <v>117.71242414919691</v>
          </cell>
          <cell r="AT25">
            <v>119.31574879945369</v>
          </cell>
          <cell r="AU25">
            <v>121.19327186147093</v>
          </cell>
          <cell r="AV25">
            <v>122.50269715666437</v>
          </cell>
          <cell r="AW25">
            <v>123.68035952317749</v>
          </cell>
          <cell r="AX25">
            <v>125.13261410102632</v>
          </cell>
          <cell r="AY25">
            <v>126.33039614199529</v>
          </cell>
          <cell r="AZ25">
            <v>127.54349117246619</v>
          </cell>
          <cell r="BA25">
            <v>128.7699921889274</v>
          </cell>
          <cell r="BB25">
            <v>130.0043759808301</v>
          </cell>
          <cell r="BC25">
            <v>131.25818370722246</v>
          </cell>
          <cell r="BD25">
            <v>132.55370042618614</v>
          </cell>
          <cell r="BE25">
            <v>133.89795972306254</v>
          </cell>
          <cell r="BF25">
            <v>135.29329625454329</v>
          </cell>
          <cell r="BG25">
            <v>136.66006674110929</v>
          </cell>
        </row>
        <row r="26">
          <cell r="C26">
            <v>95.845285609947766</v>
          </cell>
          <cell r="D26">
            <v>90.907121011777164</v>
          </cell>
          <cell r="E26">
            <v>83.799156817440661</v>
          </cell>
          <cell r="F26">
            <v>81.966050262059156</v>
          </cell>
          <cell r="G26">
            <v>89.859631551559133</v>
          </cell>
          <cell r="H26">
            <v>96.930185408030695</v>
          </cell>
          <cell r="I26">
            <v>82.414974316438304</v>
          </cell>
          <cell r="J26">
            <v>80.020712693082857</v>
          </cell>
          <cell r="K26">
            <v>78.225016475566264</v>
          </cell>
          <cell r="L26">
            <v>104.1</v>
          </cell>
          <cell r="M26">
            <v>92.5</v>
          </cell>
          <cell r="N26">
            <v>97</v>
          </cell>
          <cell r="O26">
            <v>102.4</v>
          </cell>
          <cell r="P26">
            <v>108</v>
          </cell>
          <cell r="Q26">
            <v>97.7</v>
          </cell>
          <cell r="R26">
            <v>94</v>
          </cell>
          <cell r="S26">
            <v>108.22875999999999</v>
          </cell>
          <cell r="T26">
            <v>106.63109602085819</v>
          </cell>
          <cell r="U26">
            <v>107.16250578605693</v>
          </cell>
          <cell r="V26">
            <v>102.81388883721641</v>
          </cell>
          <cell r="W26">
            <v>93.913050933260038</v>
          </cell>
          <cell r="X26">
            <v>116.64700000000001</v>
          </cell>
          <cell r="Y26">
            <v>127.696</v>
          </cell>
          <cell r="Z26">
            <v>116.982</v>
          </cell>
          <cell r="AA26">
            <v>116.736</v>
          </cell>
          <cell r="AB26">
            <v>121.381</v>
          </cell>
          <cell r="AC26">
            <v>116.917</v>
          </cell>
          <cell r="AD26">
            <v>129.988</v>
          </cell>
          <cell r="AE26">
            <v>116.593</v>
          </cell>
          <cell r="AF26">
            <v>118.97499999999999</v>
          </cell>
          <cell r="AG26">
            <v>117.111</v>
          </cell>
          <cell r="AH26">
            <v>130.65942921860761</v>
          </cell>
          <cell r="AI26">
            <v>126.54764142627366</v>
          </cell>
          <cell r="AJ26">
            <v>129.45008905677946</v>
          </cell>
          <cell r="AK26">
            <v>131.35388748582258</v>
          </cell>
          <cell r="AL26">
            <v>133.8916494787488</v>
          </cell>
          <cell r="AM26">
            <v>136.87364288209</v>
          </cell>
          <cell r="AN26">
            <v>138.24424021741049</v>
          </cell>
          <cell r="AO26">
            <v>138.45408571087106</v>
          </cell>
          <cell r="AP26">
            <v>139.87821706681967</v>
          </cell>
          <cell r="AQ26">
            <v>141.2161934709188</v>
          </cell>
          <cell r="AR26">
            <v>142.70889844630869</v>
          </cell>
          <cell r="AS26">
            <v>144.19179053542277</v>
          </cell>
          <cell r="AT26">
            <v>145.90875245188738</v>
          </cell>
          <cell r="AU26">
            <v>148.15095649027427</v>
          </cell>
          <cell r="AV26">
            <v>149.86174811865561</v>
          </cell>
          <cell r="AW26">
            <v>151.33828235472717</v>
          </cell>
          <cell r="AX26">
            <v>153.11849544565345</v>
          </cell>
          <cell r="AY26">
            <v>154.56207939473478</v>
          </cell>
          <cell r="AZ26">
            <v>156.01615223429366</v>
          </cell>
          <cell r="BA26">
            <v>157.52391743441603</v>
          </cell>
          <cell r="BB26">
            <v>159.05195613077373</v>
          </cell>
          <cell r="BC26">
            <v>160.58804023666838</v>
          </cell>
          <cell r="BD26">
            <v>162.16933831690241</v>
          </cell>
          <cell r="BE26">
            <v>163.80905615095895</v>
          </cell>
          <cell r="BF26">
            <v>165.51418865866935</v>
          </cell>
          <cell r="BG26">
            <v>167.18921786225906</v>
          </cell>
        </row>
        <row r="27">
          <cell r="C27">
            <v>99.18656461997864</v>
          </cell>
          <cell r="D27">
            <v>88.29033897804878</v>
          </cell>
          <cell r="E27">
            <v>86.126549488871206</v>
          </cell>
          <cell r="F27">
            <v>96.249993170380534</v>
          </cell>
          <cell r="G27">
            <v>102.50952704978704</v>
          </cell>
          <cell r="H27">
            <v>102.39360975572396</v>
          </cell>
          <cell r="I27">
            <v>79.789737413422628</v>
          </cell>
          <cell r="J27">
            <v>100.34573756060948</v>
          </cell>
          <cell r="K27">
            <v>80.407962981759084</v>
          </cell>
          <cell r="L27">
            <v>101.2</v>
          </cell>
          <cell r="M27">
            <v>92.4</v>
          </cell>
          <cell r="N27">
            <v>102.3</v>
          </cell>
          <cell r="O27">
            <v>96.7</v>
          </cell>
          <cell r="P27">
            <v>96.4</v>
          </cell>
          <cell r="Q27">
            <v>92.9</v>
          </cell>
          <cell r="R27">
            <v>103.9</v>
          </cell>
          <cell r="S27">
            <v>120.61141000000001</v>
          </cell>
          <cell r="T27">
            <v>103.79343756743988</v>
          </cell>
          <cell r="U27">
            <v>99.364450946323672</v>
          </cell>
          <cell r="V27">
            <v>102.9805482118004</v>
          </cell>
          <cell r="W27">
            <v>103.10125903507274</v>
          </cell>
          <cell r="X27">
            <v>117.902</v>
          </cell>
          <cell r="Y27">
            <v>121.4</v>
          </cell>
          <cell r="Z27">
            <v>103.68899999999999</v>
          </cell>
          <cell r="AA27">
            <v>118.32299999999999</v>
          </cell>
          <cell r="AB27">
            <v>112.592</v>
          </cell>
          <cell r="AC27">
            <v>110.63200000000001</v>
          </cell>
          <cell r="AD27">
            <v>123.435</v>
          </cell>
          <cell r="AE27">
            <v>110.98099999999999</v>
          </cell>
          <cell r="AF27">
            <v>112.90900000000001</v>
          </cell>
          <cell r="AG27">
            <v>101.498</v>
          </cell>
          <cell r="AH27">
            <v>109.96258570402277</v>
          </cell>
          <cell r="AI27">
            <v>119.11437691330828</v>
          </cell>
          <cell r="AJ27">
            <v>119.23786974469539</v>
          </cell>
          <cell r="AK27">
            <v>119.59186943761645</v>
          </cell>
          <cell r="AL27">
            <v>121.79963532028941</v>
          </cell>
          <cell r="AM27">
            <v>123.5649272748433</v>
          </cell>
          <cell r="AN27">
            <v>124.88230352649455</v>
          </cell>
          <cell r="AO27">
            <v>126.51304692456725</v>
          </cell>
          <cell r="AP27">
            <v>127.33288939209847</v>
          </cell>
          <cell r="AQ27">
            <v>128.3123261989702</v>
          </cell>
          <cell r="AR27">
            <v>129.58765256796568</v>
          </cell>
          <cell r="AS27">
            <v>130.8934994780343</v>
          </cell>
          <cell r="AT27">
            <v>132.57835438466611</v>
          </cell>
          <cell r="AU27">
            <v>134.74405420862951</v>
          </cell>
          <cell r="AV27">
            <v>136.19724463589074</v>
          </cell>
          <cell r="AW27">
            <v>137.50190520064839</v>
          </cell>
          <cell r="AX27">
            <v>139.11824811292172</v>
          </cell>
          <cell r="AY27">
            <v>140.44287764557765</v>
          </cell>
          <cell r="AZ27">
            <v>141.78596952542696</v>
          </cell>
          <cell r="BA27">
            <v>143.15989704576364</v>
          </cell>
          <cell r="BB27">
            <v>144.53092378840608</v>
          </cell>
          <cell r="BC27">
            <v>145.9237725241988</v>
          </cell>
          <cell r="BD27">
            <v>147.36356257787739</v>
          </cell>
          <cell r="BE27">
            <v>148.85716280790794</v>
          </cell>
          <cell r="BF27">
            <v>150.40860872109383</v>
          </cell>
          <cell r="BG27">
            <v>151.92928851075226</v>
          </cell>
        </row>
        <row r="28">
          <cell r="B28">
            <v>79.129878243096286</v>
          </cell>
          <cell r="C28">
            <v>90.423902550561309</v>
          </cell>
          <cell r="D28">
            <v>83.862612238605436</v>
          </cell>
          <cell r="E28">
            <v>83.862612238605436</v>
          </cell>
          <cell r="F28">
            <v>85.727022600472679</v>
          </cell>
          <cell r="G28">
            <v>92.646853366633806</v>
          </cell>
          <cell r="H28">
            <v>73.859333566279261</v>
          </cell>
          <cell r="I28">
            <v>66.401692118810288</v>
          </cell>
          <cell r="J28">
            <v>88.523638143273558</v>
          </cell>
          <cell r="K28">
            <v>114.8</v>
          </cell>
          <cell r="L28">
            <v>93.1</v>
          </cell>
          <cell r="M28">
            <v>94.5</v>
          </cell>
          <cell r="N28">
            <v>97.5</v>
          </cell>
          <cell r="O28">
            <v>114.4</v>
          </cell>
          <cell r="P28">
            <v>84.6</v>
          </cell>
          <cell r="Q28">
            <v>102.4</v>
          </cell>
          <cell r="R28">
            <v>108.66800000000001</v>
          </cell>
          <cell r="S28">
            <v>106.545</v>
          </cell>
          <cell r="T28">
            <v>105.28278409646015</v>
          </cell>
          <cell r="U28">
            <v>112.10207598672959</v>
          </cell>
          <cell r="V28">
            <v>110.01977283090967</v>
          </cell>
          <cell r="W28">
            <v>110.30293426165277</v>
          </cell>
          <cell r="X28">
            <v>111.92</v>
          </cell>
          <cell r="Y28">
            <v>113.02500000000001</v>
          </cell>
          <cell r="Z28">
            <v>106.90300000000001</v>
          </cell>
          <cell r="AA28">
            <v>111.538</v>
          </cell>
          <cell r="AB28">
            <v>115.706</v>
          </cell>
          <cell r="AC28">
            <v>112.172</v>
          </cell>
          <cell r="AD28">
            <v>109.46299999999999</v>
          </cell>
          <cell r="AE28">
            <v>114.801</v>
          </cell>
          <cell r="AF28">
            <v>117.828</v>
          </cell>
          <cell r="AG28">
            <v>110.215803623977</v>
          </cell>
          <cell r="AH28">
            <v>118.32410308653969</v>
          </cell>
          <cell r="AI28">
            <v>119.40639295570509</v>
          </cell>
          <cell r="AJ28">
            <v>120.76768372156604</v>
          </cell>
          <cell r="AK28">
            <v>123.26686671364671</v>
          </cell>
          <cell r="AL28">
            <v>124.52933795163649</v>
          </cell>
          <cell r="AM28">
            <v>126.02795436467377</v>
          </cell>
          <cell r="AN28">
            <v>128.30583520534177</v>
          </cell>
          <cell r="AO28">
            <v>129.01119038258463</v>
          </cell>
          <cell r="AP28">
            <v>130.13307709435466</v>
          </cell>
          <cell r="AQ28">
            <v>131.29659490064597</v>
          </cell>
          <cell r="AR28">
            <v>132.50073089799497</v>
          </cell>
          <cell r="AS28">
            <v>133.8427261227489</v>
          </cell>
          <cell r="AT28">
            <v>135.61186072989565</v>
          </cell>
          <cell r="AU28">
            <v>137.72894038838038</v>
          </cell>
          <cell r="AV28">
            <v>139.26677358564143</v>
          </cell>
          <cell r="AW28">
            <v>140.61478911649542</v>
          </cell>
          <cell r="AX28">
            <v>142.25379525677255</v>
          </cell>
          <cell r="AY28">
            <v>143.60908184988952</v>
          </cell>
          <cell r="AZ28">
            <v>144.98283233776147</v>
          </cell>
          <cell r="BA28">
            <v>146.38020518018408</v>
          </cell>
          <cell r="BB28">
            <v>147.79008124860823</v>
          </cell>
          <cell r="BC28">
            <v>149.21460874351399</v>
          </cell>
          <cell r="BD28">
            <v>150.68479583620717</v>
          </cell>
          <cell r="BE28">
            <v>152.21203960535217</v>
          </cell>
          <cell r="BF28">
            <v>153.79828868644177</v>
          </cell>
        </row>
        <row r="29">
          <cell r="B29">
            <v>84.364680765202124</v>
          </cell>
          <cell r="C29">
            <v>82.314150329936794</v>
          </cell>
          <cell r="D29">
            <v>82.460616789598603</v>
          </cell>
          <cell r="E29">
            <v>75.173910421423599</v>
          </cell>
          <cell r="F29">
            <v>82.460616789598603</v>
          </cell>
          <cell r="G29">
            <v>91.688003748292587</v>
          </cell>
          <cell r="H29">
            <v>75.06406057667725</v>
          </cell>
          <cell r="I29">
            <v>64.848025015266046</v>
          </cell>
          <cell r="J29">
            <v>84.620997069610283</v>
          </cell>
          <cell r="K29">
            <v>99.1</v>
          </cell>
          <cell r="L29">
            <v>89.1</v>
          </cell>
          <cell r="M29">
            <v>95.2</v>
          </cell>
          <cell r="N29">
            <v>95.8</v>
          </cell>
          <cell r="O29">
            <v>97.9</v>
          </cell>
          <cell r="P29">
            <v>82.1</v>
          </cell>
          <cell r="Q29">
            <v>99.2</v>
          </cell>
          <cell r="R29">
            <v>93.738600000000005</v>
          </cell>
          <cell r="S29">
            <v>106.97799999999999</v>
          </cell>
          <cell r="T29">
            <v>102.81727485088797</v>
          </cell>
          <cell r="U29">
            <v>98.975045310340619</v>
          </cell>
          <cell r="V29">
            <v>99.20785194412754</v>
          </cell>
          <cell r="W29">
            <v>103.21868548375106</v>
          </cell>
          <cell r="X29">
            <v>111.901</v>
          </cell>
          <cell r="Y29">
            <v>120.739</v>
          </cell>
          <cell r="Z29">
            <v>113.874</v>
          </cell>
          <cell r="AA29">
            <v>128.75700000000001</v>
          </cell>
          <cell r="AB29">
            <v>125.11199999999999</v>
          </cell>
          <cell r="AC29">
            <v>108.286</v>
          </cell>
          <cell r="AD29">
            <v>119.24299999999999</v>
          </cell>
          <cell r="AE29">
            <v>114.672</v>
          </cell>
          <cell r="AF29">
            <v>114.158</v>
          </cell>
          <cell r="AG29">
            <v>134.3899084465198</v>
          </cell>
          <cell r="AH29">
            <v>127.74348902388631</v>
          </cell>
          <cell r="AI29">
            <v>130.47199876633013</v>
          </cell>
          <cell r="AJ29">
            <v>132.48193937402161</v>
          </cell>
          <cell r="AK29">
            <v>135.44448420688661</v>
          </cell>
          <cell r="AL29">
            <v>138.37449629579686</v>
          </cell>
          <cell r="AM29">
            <v>140.38287909584147</v>
          </cell>
          <cell r="AN29">
            <v>141.01308762274653</v>
          </cell>
          <cell r="AO29">
            <v>142.14121310108797</v>
          </cell>
          <cell r="AP29">
            <v>143.61794573173711</v>
          </cell>
          <cell r="AQ29">
            <v>145.04437934101952</v>
          </cell>
          <cell r="AR29">
            <v>146.50707790540216</v>
          </cell>
          <cell r="AS29">
            <v>147.86441346759861</v>
          </cell>
          <cell r="AT29">
            <v>149.61982678117957</v>
          </cell>
          <cell r="AU29">
            <v>152.05169409304631</v>
          </cell>
          <cell r="AV29">
            <v>153.79843572734259</v>
          </cell>
          <cell r="AW29">
            <v>155.30356442669421</v>
          </cell>
          <cell r="AX29">
            <v>157.10796605247856</v>
          </cell>
          <cell r="AY29">
            <v>158.57526694515997</v>
          </cell>
          <cell r="AZ29">
            <v>160.0795276986143</v>
          </cell>
          <cell r="BA29">
            <v>161.64185454585527</v>
          </cell>
          <cell r="BB29">
            <v>163.20508886496913</v>
          </cell>
          <cell r="BC29">
            <v>164.77721085205636</v>
          </cell>
          <cell r="BD29">
            <v>166.39675531455231</v>
          </cell>
          <cell r="BE29">
            <v>168.07956684644458</v>
          </cell>
          <cell r="BF29">
            <v>169.83195316361099</v>
          </cell>
        </row>
        <row r="30">
          <cell r="B30">
            <v>94.589304613981227</v>
          </cell>
          <cell r="C30">
            <v>95.775715504236416</v>
          </cell>
          <cell r="D30">
            <v>81.646640356651972</v>
          </cell>
          <cell r="E30">
            <v>79.237866730982361</v>
          </cell>
          <cell r="F30">
            <v>85.026113801621278</v>
          </cell>
          <cell r="G30">
            <v>99.334948175001927</v>
          </cell>
          <cell r="H30">
            <v>85.888958085443207</v>
          </cell>
          <cell r="I30">
            <v>70.501568357285123</v>
          </cell>
          <cell r="J30">
            <v>88.51344278206831</v>
          </cell>
          <cell r="K30">
            <v>101.7</v>
          </cell>
          <cell r="L30">
            <v>98.9</v>
          </cell>
          <cell r="M30">
            <v>98.5</v>
          </cell>
          <cell r="N30">
            <v>106.2</v>
          </cell>
          <cell r="O30">
            <v>107</v>
          </cell>
          <cell r="P30">
            <v>89.6</v>
          </cell>
          <cell r="Q30">
            <v>108.7</v>
          </cell>
          <cell r="R30">
            <v>112.61749</v>
          </cell>
          <cell r="S30">
            <v>123.38</v>
          </cell>
          <cell r="T30">
            <v>106.49732376090286</v>
          </cell>
          <cell r="U30">
            <v>105.48837767123722</v>
          </cell>
          <cell r="V30">
            <v>98.525385014929839</v>
          </cell>
          <cell r="W30">
            <v>111.96576435329777</v>
          </cell>
          <cell r="X30">
            <v>112.681</v>
          </cell>
          <cell r="Y30">
            <v>110.196</v>
          </cell>
          <cell r="Z30">
            <v>109.976</v>
          </cell>
          <cell r="AA30">
            <v>121.01600000000001</v>
          </cell>
          <cell r="AB30">
            <v>126.508</v>
          </cell>
          <cell r="AC30">
            <v>108.982</v>
          </cell>
          <cell r="AD30">
            <v>121.744</v>
          </cell>
          <cell r="AE30">
            <v>119.429</v>
          </cell>
          <cell r="AF30">
            <v>109.828</v>
          </cell>
          <cell r="AG30">
            <v>107.8456114808121</v>
          </cell>
          <cell r="AH30">
            <v>121.91761095552394</v>
          </cell>
          <cell r="AI30">
            <v>123.28757010525811</v>
          </cell>
          <cell r="AJ30">
            <v>123.70009664626059</v>
          </cell>
          <cell r="AK30">
            <v>124.58989094894041</v>
          </cell>
          <cell r="AL30">
            <v>124.8400790362785</v>
          </cell>
          <cell r="AM30">
            <v>127.58696774915238</v>
          </cell>
          <cell r="AN30">
            <v>130.69077291315602</v>
          </cell>
          <cell r="AO30">
            <v>131.12801975637589</v>
          </cell>
          <cell r="AP30">
            <v>131.97083790865889</v>
          </cell>
          <cell r="AQ30">
            <v>132.94610499615226</v>
          </cell>
          <cell r="AR30">
            <v>134.20665663628617</v>
          </cell>
          <cell r="AS30">
            <v>135.78034418205527</v>
          </cell>
          <cell r="AT30">
            <v>137.62061130570675</v>
          </cell>
          <cell r="AU30">
            <v>139.68546751427263</v>
          </cell>
          <cell r="AV30">
            <v>141.19564532377001</v>
          </cell>
          <cell r="AW30">
            <v>142.55629335067107</v>
          </cell>
          <cell r="AX30">
            <v>144.24625288801326</v>
          </cell>
          <cell r="AY30">
            <v>145.64647480739595</v>
          </cell>
          <cell r="AZ30">
            <v>147.03303708601652</v>
          </cell>
          <cell r="BA30">
            <v>148.43445101186023</v>
          </cell>
          <cell r="BB30">
            <v>149.86003408250167</v>
          </cell>
          <cell r="BC30">
            <v>151.30825428830249</v>
          </cell>
          <cell r="BD30">
            <v>152.80449397473879</v>
          </cell>
          <cell r="BE30">
            <v>154.35471330643571</v>
          </cell>
          <cell r="BF30">
            <v>155.9605614957884</v>
          </cell>
        </row>
        <row r="31">
          <cell r="B31">
            <v>88.292041008965413</v>
          </cell>
          <cell r="C31">
            <v>84.95889871400243</v>
          </cell>
          <cell r="D31">
            <v>86.806618899253635</v>
          </cell>
          <cell r="E31">
            <v>81.118539113284186</v>
          </cell>
          <cell r="F31">
            <v>90.53828907731004</v>
          </cell>
          <cell r="G31">
            <v>100.17541788665957</v>
          </cell>
          <cell r="H31">
            <v>73.691428564725342</v>
          </cell>
          <cell r="I31">
            <v>71.408950688826778</v>
          </cell>
          <cell r="J31">
            <v>91.117965998173176</v>
          </cell>
          <cell r="K31">
            <v>99.5</v>
          </cell>
          <cell r="L31">
            <v>97.6</v>
          </cell>
          <cell r="M31">
            <v>103.2</v>
          </cell>
          <cell r="N31">
            <v>100.8</v>
          </cell>
          <cell r="O31">
            <v>109.5</v>
          </cell>
          <cell r="P31">
            <v>80.900000000000006</v>
          </cell>
          <cell r="Q31">
            <v>99</v>
          </cell>
          <cell r="R31">
            <v>115.9234</v>
          </cell>
          <cell r="S31">
            <v>108.76900000000001</v>
          </cell>
          <cell r="T31">
            <v>104.96330204571717</v>
          </cell>
          <cell r="U31">
            <v>113.76216280716154</v>
          </cell>
          <cell r="V31">
            <v>107.09833684647973</v>
          </cell>
          <cell r="W31">
            <v>116.01333714252368</v>
          </cell>
          <cell r="X31">
            <v>111.10299999999999</v>
          </cell>
          <cell r="Y31">
            <v>101.511</v>
          </cell>
          <cell r="Z31">
            <v>104.166</v>
          </cell>
          <cell r="AA31">
            <v>105.54600000000001</v>
          </cell>
          <cell r="AB31">
            <v>88.974000000000004</v>
          </cell>
          <cell r="AC31">
            <v>97.444999999999993</v>
          </cell>
          <cell r="AD31">
            <v>121.473</v>
          </cell>
          <cell r="AE31">
            <v>103.83</v>
          </cell>
          <cell r="AF31">
            <v>97.825999999999993</v>
          </cell>
          <cell r="AG31">
            <v>105.69988888998344</v>
          </cell>
          <cell r="AH31">
            <v>108.95495876555873</v>
          </cell>
          <cell r="AI31">
            <v>113.03351836247478</v>
          </cell>
          <cell r="AJ31">
            <v>113.60951425983801</v>
          </cell>
          <cell r="AK31">
            <v>115.01030784452504</v>
          </cell>
          <cell r="AL31">
            <v>117.40213525812328</v>
          </cell>
          <cell r="AM31">
            <v>118.70267382116056</v>
          </cell>
          <cell r="AN31">
            <v>120.26347589437663</v>
          </cell>
          <cell r="AO31">
            <v>121.23633436771036</v>
          </cell>
          <cell r="AP31">
            <v>122.20623233950026</v>
          </cell>
          <cell r="AQ31">
            <v>123.30863698681233</v>
          </cell>
          <cell r="AR31">
            <v>124.54610592800758</v>
          </cell>
          <cell r="AS31">
            <v>125.74440117227655</v>
          </cell>
          <cell r="AT31">
            <v>127.35573551232471</v>
          </cell>
          <cell r="AU31">
            <v>129.38675432959386</v>
          </cell>
          <cell r="AV31">
            <v>130.82607402931117</v>
          </cell>
          <cell r="AW31">
            <v>132.09739326122042</v>
          </cell>
          <cell r="AX31">
            <v>133.64290027352897</v>
          </cell>
          <cell r="AY31">
            <v>134.90490981808389</v>
          </cell>
          <cell r="AZ31">
            <v>136.19296652668282</v>
          </cell>
          <cell r="BA31">
            <v>137.51157741543116</v>
          </cell>
          <cell r="BB31">
            <v>138.83554547241553</v>
          </cell>
          <cell r="BC31">
            <v>140.17420811980026</v>
          </cell>
          <cell r="BD31">
            <v>141.55500611596318</v>
          </cell>
          <cell r="BE31">
            <v>142.98832223052389</v>
          </cell>
          <cell r="BF31">
            <v>144.47875202888179</v>
          </cell>
        </row>
        <row r="32">
          <cell r="B32">
            <v>93.358838744599879</v>
          </cell>
          <cell r="C32">
            <v>97.072801908386637</v>
          </cell>
          <cell r="D32">
            <v>94.196301026630238</v>
          </cell>
          <cell r="E32">
            <v>80.105087846380556</v>
          </cell>
          <cell r="F32">
            <v>87.3873685596879</v>
          </cell>
          <cell r="G32">
            <v>102.46168963623407</v>
          </cell>
          <cell r="H32">
            <v>85.676032592060665</v>
          </cell>
          <cell r="I32">
            <v>78.175283457354126</v>
          </cell>
          <cell r="J32">
            <v>98.784137876013858</v>
          </cell>
          <cell r="K32">
            <v>103.5</v>
          </cell>
          <cell r="L32">
            <v>92.1</v>
          </cell>
          <cell r="M32">
            <v>106.1</v>
          </cell>
          <cell r="N32">
            <v>102.1</v>
          </cell>
          <cell r="O32">
            <v>111</v>
          </cell>
          <cell r="P32">
            <v>98.8</v>
          </cell>
          <cell r="Q32">
            <v>78.900000000000006</v>
          </cell>
          <cell r="R32">
            <v>96.414100000000005</v>
          </cell>
          <cell r="S32">
            <v>112.911</v>
          </cell>
          <cell r="T32">
            <v>111.01026785437271</v>
          </cell>
          <cell r="U32">
            <v>112.06638601827439</v>
          </cell>
          <cell r="V32">
            <v>102.70131752791653</v>
          </cell>
          <cell r="W32">
            <v>118.849</v>
          </cell>
          <cell r="X32">
            <v>116.462</v>
          </cell>
          <cell r="Y32">
            <v>108.828</v>
          </cell>
          <cell r="Z32">
            <v>113.59399999999999</v>
          </cell>
          <cell r="AA32">
            <v>114.886</v>
          </cell>
          <cell r="AB32">
            <v>110.913</v>
          </cell>
          <cell r="AC32">
            <v>91.738</v>
          </cell>
          <cell r="AD32">
            <v>121.17700000000001</v>
          </cell>
          <cell r="AE32">
            <v>118.053</v>
          </cell>
          <cell r="AF32">
            <v>90.384</v>
          </cell>
          <cell r="AG32">
            <v>126.22337170425239</v>
          </cell>
          <cell r="AH32">
            <v>119.13969441196232</v>
          </cell>
          <cell r="AI32">
            <v>125.40846746906735</v>
          </cell>
          <cell r="AJ32">
            <v>128.54991560341952</v>
          </cell>
          <cell r="AK32">
            <v>131.04059565449563</v>
          </cell>
          <cell r="AL32">
            <v>132.27068623066992</v>
          </cell>
          <cell r="AM32">
            <v>134.0786820424874</v>
          </cell>
          <cell r="AN32">
            <v>135.23204820096211</v>
          </cell>
          <cell r="AO32">
            <v>136.75397236673587</v>
          </cell>
          <cell r="AP32">
            <v>138.13317489615267</v>
          </cell>
          <cell r="AQ32">
            <v>139.27764556363155</v>
          </cell>
          <cell r="AR32">
            <v>140.50312270426997</v>
          </cell>
          <cell r="AS32">
            <v>141.89635370545307</v>
          </cell>
          <cell r="AT32">
            <v>143.68190789764967</v>
          </cell>
          <cell r="AU32">
            <v>146.04782027425156</v>
          </cell>
          <cell r="AV32">
            <v>147.68560443189995</v>
          </cell>
          <cell r="AW32">
            <v>149.09175379283209</v>
          </cell>
          <cell r="AX32">
            <v>150.81855255442008</v>
          </cell>
          <cell r="AY32">
            <v>152.25067717727612</v>
          </cell>
          <cell r="AZ32">
            <v>153.70710687765731</v>
          </cell>
          <cell r="BA32">
            <v>155.20407746827911</v>
          </cell>
          <cell r="BB32">
            <v>156.69609049990734</v>
          </cell>
          <cell r="BC32">
            <v>158.20192081337032</v>
          </cell>
          <cell r="BD32">
            <v>159.75932310756698</v>
          </cell>
          <cell r="BE32">
            <v>161.37889196116805</v>
          </cell>
          <cell r="BF32">
            <v>163.06190253250284</v>
          </cell>
        </row>
        <row r="33">
          <cell r="B33">
            <v>94.343394313007892</v>
          </cell>
          <cell r="C33">
            <v>94.306883711493569</v>
          </cell>
          <cell r="D33">
            <v>83.171150249625384</v>
          </cell>
          <cell r="E33">
            <v>82.660001828424882</v>
          </cell>
          <cell r="F33">
            <v>92.627396041834771</v>
          </cell>
          <cell r="G33">
            <v>102.81385386433058</v>
          </cell>
          <cell r="H33">
            <v>84.63157431019826</v>
          </cell>
          <cell r="I33">
            <v>72.0354167877572</v>
          </cell>
          <cell r="J33">
            <v>87.881017844972916</v>
          </cell>
          <cell r="K33">
            <v>102.3</v>
          </cell>
          <cell r="L33">
            <v>97.7</v>
          </cell>
          <cell r="M33">
            <v>108</v>
          </cell>
          <cell r="N33">
            <v>109.8</v>
          </cell>
          <cell r="O33">
            <v>106.6</v>
          </cell>
          <cell r="P33">
            <v>91.5</v>
          </cell>
          <cell r="Q33">
            <v>94.1</v>
          </cell>
          <cell r="R33">
            <v>108.15302</v>
          </cell>
          <cell r="S33">
            <v>109.566</v>
          </cell>
          <cell r="T33">
            <v>101.24473528449499</v>
          </cell>
          <cell r="U33">
            <v>98.332609260539897</v>
          </cell>
          <cell r="V33">
            <v>95.889214563425242</v>
          </cell>
          <cell r="W33">
            <v>116.705</v>
          </cell>
          <cell r="X33">
            <v>115.55800000000001</v>
          </cell>
          <cell r="Y33">
            <v>118.16800000000001</v>
          </cell>
          <cell r="Z33">
            <v>99.298000000000002</v>
          </cell>
          <cell r="AA33">
            <v>110.23699999999999</v>
          </cell>
          <cell r="AB33">
            <v>114.97499999999999</v>
          </cell>
          <cell r="AC33">
            <v>88.614999999999995</v>
          </cell>
          <cell r="AD33">
            <v>113.678</v>
          </cell>
          <cell r="AE33">
            <v>109.628</v>
          </cell>
          <cell r="AF33">
            <v>94.590999999999994</v>
          </cell>
          <cell r="AG33">
            <v>106.98607160813829</v>
          </cell>
          <cell r="AH33">
            <v>114.39137218754652</v>
          </cell>
          <cell r="AI33">
            <v>115.39268024131115</v>
          </cell>
          <cell r="AJ33">
            <v>116.36901658373402</v>
          </cell>
          <cell r="AK33">
            <v>117.56444393916675</v>
          </cell>
          <cell r="AL33">
            <v>118.57893526375504</v>
          </cell>
          <cell r="AM33">
            <v>121.22059105906729</v>
          </cell>
          <cell r="AN33">
            <v>123.2542317095393</v>
          </cell>
          <cell r="AO33">
            <v>123.80981119535764</v>
          </cell>
          <cell r="AP33">
            <v>124.77226879862525</v>
          </cell>
          <cell r="AQ33">
            <v>125.76874262213593</v>
          </cell>
          <cell r="AR33">
            <v>127.01381583026254</v>
          </cell>
          <cell r="AS33">
            <v>128.43036279876057</v>
          </cell>
          <cell r="AT33">
            <v>130.07979319879126</v>
          </cell>
          <cell r="AU33">
            <v>132.07831234900587</v>
          </cell>
          <cell r="AV33">
            <v>133.53560483465711</v>
          </cell>
          <cell r="AW33">
            <v>134.82881076464494</v>
          </cell>
          <cell r="AX33">
            <v>136.42182479044575</v>
          </cell>
          <cell r="AY33">
            <v>137.73128937699883</v>
          </cell>
          <cell r="AZ33">
            <v>139.03734526245756</v>
          </cell>
          <cell r="BA33">
            <v>140.37234071902358</v>
          </cell>
          <cell r="BB33">
            <v>141.723989049469</v>
          </cell>
          <cell r="BC33">
            <v>143.09260985420266</v>
          </cell>
          <cell r="BD33">
            <v>144.50538915866377</v>
          </cell>
          <cell r="BE33">
            <v>145.96970408237553</v>
          </cell>
          <cell r="BF33">
            <v>147.4888758570923</v>
          </cell>
        </row>
        <row r="34">
          <cell r="B34">
            <v>86.873303700403753</v>
          </cell>
          <cell r="C34">
            <v>87.599972907433468</v>
          </cell>
          <cell r="D34">
            <v>88.580976336923612</v>
          </cell>
          <cell r="E34">
            <v>85.02029722247795</v>
          </cell>
          <cell r="F34">
            <v>91.414986244339545</v>
          </cell>
          <cell r="G34">
            <v>97.08300605917141</v>
          </cell>
          <cell r="H34">
            <v>80.333280837136229</v>
          </cell>
          <cell r="I34">
            <v>73.030255306487462</v>
          </cell>
          <cell r="J34">
            <v>78.225940136750012</v>
          </cell>
          <cell r="K34">
            <v>108.8</v>
          </cell>
          <cell r="L34">
            <v>97.9</v>
          </cell>
          <cell r="M34">
            <v>94.5</v>
          </cell>
          <cell r="N34">
            <v>95.6</v>
          </cell>
          <cell r="O34">
            <v>101.8</v>
          </cell>
          <cell r="P34">
            <v>100.2</v>
          </cell>
          <cell r="Q34">
            <v>102.2</v>
          </cell>
          <cell r="R34">
            <v>111.3717</v>
          </cell>
          <cell r="S34">
            <v>102.866</v>
          </cell>
          <cell r="T34">
            <v>102.5331778676843</v>
          </cell>
          <cell r="U34">
            <v>109.58902801733132</v>
          </cell>
          <cell r="V34">
            <v>101.51839247600013</v>
          </cell>
          <cell r="W34">
            <v>107.58</v>
          </cell>
          <cell r="X34">
            <v>95.777000000000001</v>
          </cell>
          <cell r="Y34">
            <v>88.858999999999995</v>
          </cell>
          <cell r="Z34">
            <v>90.094999999999999</v>
          </cell>
          <cell r="AA34">
            <v>93.334999999999994</v>
          </cell>
          <cell r="AB34">
            <v>98.436000000000007</v>
          </cell>
          <cell r="AC34">
            <v>83.644999999999996</v>
          </cell>
          <cell r="AD34">
            <v>96.405000000000001</v>
          </cell>
          <cell r="AE34">
            <v>92.936999999999998</v>
          </cell>
          <cell r="AF34">
            <v>91.188000000000002</v>
          </cell>
          <cell r="AG34">
            <v>92.612174126252825</v>
          </cell>
          <cell r="AH34">
            <v>94.664678288935249</v>
          </cell>
          <cell r="AI34">
            <v>96.374353842128201</v>
          </cell>
          <cell r="AJ34">
            <v>96.938691254350971</v>
          </cell>
          <cell r="AK34">
            <v>98.617760212171035</v>
          </cell>
          <cell r="AL34">
            <v>100.83152308346457</v>
          </cell>
          <cell r="AM34">
            <v>101.82330206630331</v>
          </cell>
          <cell r="AN34">
            <v>103.0669876191055</v>
          </cell>
          <cell r="AO34">
            <v>103.63239750992993</v>
          </cell>
          <cell r="AP34">
            <v>104.67870885728736</v>
          </cell>
          <cell r="AQ34">
            <v>105.72118339720858</v>
          </cell>
          <cell r="AR34">
            <v>106.74774220235132</v>
          </cell>
          <cell r="AS34">
            <v>107.72958697577771</v>
          </cell>
          <cell r="AT34">
            <v>109.0892299418724</v>
          </cell>
          <cell r="AU34">
            <v>110.82514289567531</v>
          </cell>
          <cell r="AV34">
            <v>112.09502857987312</v>
          </cell>
          <cell r="AW34">
            <v>113.18775381004207</v>
          </cell>
          <cell r="AX34">
            <v>114.50061554959096</v>
          </cell>
          <cell r="AY34">
            <v>115.57516158615887</v>
          </cell>
          <cell r="AZ34">
            <v>116.67831771474856</v>
          </cell>
          <cell r="BA34">
            <v>117.8111106935404</v>
          </cell>
          <cell r="BB34">
            <v>118.94968877467925</v>
          </cell>
          <cell r="BC34">
            <v>120.09529774310174</v>
          </cell>
          <cell r="BD34">
            <v>121.27619651655782</v>
          </cell>
          <cell r="BE34">
            <v>122.50365530295413</v>
          </cell>
          <cell r="BF34">
            <v>123.7811005212845</v>
          </cell>
        </row>
        <row r="35">
          <cell r="B35">
            <v>96.854107434561328</v>
          </cell>
          <cell r="C35">
            <v>97.807973644144141</v>
          </cell>
          <cell r="D35">
            <v>86.178143319615373</v>
          </cell>
          <cell r="E35">
            <v>81.995806862213854</v>
          </cell>
          <cell r="F35">
            <v>88.159250062595021</v>
          </cell>
          <cell r="G35">
            <v>100.44944930145034</v>
          </cell>
          <cell r="H35">
            <v>84.894092652869276</v>
          </cell>
          <cell r="I35">
            <v>84.52722103379898</v>
          </cell>
          <cell r="J35">
            <v>80.748443357374796</v>
          </cell>
          <cell r="K35">
            <v>106.8</v>
          </cell>
          <cell r="L35">
            <v>99.3</v>
          </cell>
          <cell r="M35">
            <v>94.5</v>
          </cell>
          <cell r="N35">
            <v>107.1</v>
          </cell>
          <cell r="O35">
            <v>111.1</v>
          </cell>
          <cell r="P35">
            <v>95.5</v>
          </cell>
          <cell r="Q35">
            <v>103.4</v>
          </cell>
          <cell r="R35">
            <v>115.26674</v>
          </cell>
          <cell r="S35">
            <v>119.81350058755397</v>
          </cell>
          <cell r="T35">
            <v>112.48656583519076</v>
          </cell>
          <cell r="U35">
            <v>110.364753797443</v>
          </cell>
          <cell r="V35">
            <v>96.841842906946653</v>
          </cell>
          <cell r="W35">
            <v>107.163</v>
          </cell>
          <cell r="X35">
            <v>114.60299999999999</v>
          </cell>
          <cell r="Y35">
            <v>111.63500000000001</v>
          </cell>
          <cell r="Z35">
            <v>113.405</v>
          </cell>
          <cell r="AA35">
            <v>107.277</v>
          </cell>
          <cell r="AB35">
            <v>104.807</v>
          </cell>
          <cell r="AC35">
            <v>96.855999999999995</v>
          </cell>
          <cell r="AD35">
            <v>114.771</v>
          </cell>
          <cell r="AE35">
            <v>126.669</v>
          </cell>
          <cell r="AF35">
            <v>109.625</v>
          </cell>
          <cell r="AG35">
            <v>107.22997754385941</v>
          </cell>
          <cell r="AH35">
            <v>114.00671682468811</v>
          </cell>
          <cell r="AI35">
            <v>116.23361981256016</v>
          </cell>
          <cell r="AJ35">
            <v>117.9696742500651</v>
          </cell>
          <cell r="AK35">
            <v>118.89368851338664</v>
          </cell>
          <cell r="AL35">
            <v>120.21733782634752</v>
          </cell>
          <cell r="AM35">
            <v>122.27025639943031</v>
          </cell>
          <cell r="AN35">
            <v>124.22086535669149</v>
          </cell>
          <cell r="AO35">
            <v>125.04122656459471</v>
          </cell>
          <cell r="AP35">
            <v>126.13002517177827</v>
          </cell>
          <cell r="AQ35">
            <v>127.12685102139368</v>
          </cell>
          <cell r="AR35">
            <v>128.31360263978758</v>
          </cell>
          <cell r="AS35">
            <v>129.67150604413322</v>
          </cell>
          <cell r="AT35">
            <v>131.36601766925287</v>
          </cell>
          <cell r="AU35">
            <v>133.42873637401635</v>
          </cell>
          <cell r="AV35">
            <v>134.90889881236896</v>
          </cell>
          <cell r="AW35">
            <v>136.20069895967478</v>
          </cell>
          <cell r="AX35">
            <v>137.79673797353922</v>
          </cell>
          <cell r="AY35">
            <v>139.11631135550672</v>
          </cell>
          <cell r="AZ35">
            <v>140.44424961522233</v>
          </cell>
          <cell r="BA35">
            <v>141.79787436921396</v>
          </cell>
          <cell r="BB35">
            <v>143.16160376890105</v>
          </cell>
          <cell r="BC35">
            <v>144.54090659178672</v>
          </cell>
          <cell r="BD35">
            <v>145.96673477364803</v>
          </cell>
          <cell r="BE35">
            <v>147.44666693997991</v>
          </cell>
          <cell r="BF35">
            <v>148.98268621563858</v>
          </cell>
        </row>
        <row r="36">
          <cell r="B36">
            <v>94.218245524696783</v>
          </cell>
          <cell r="C36">
            <v>90.915525824100712</v>
          </cell>
          <cell r="D36">
            <v>79.700796291307455</v>
          </cell>
          <cell r="E36">
            <v>86.088473953998758</v>
          </cell>
          <cell r="F36">
            <v>95.234466971034038</v>
          </cell>
          <cell r="G36">
            <v>97.194322617541616</v>
          </cell>
          <cell r="H36">
            <v>80.825898606895123</v>
          </cell>
          <cell r="I36">
            <v>72.550952543863218</v>
          </cell>
          <cell r="J36">
            <v>75.817378621375809</v>
          </cell>
          <cell r="K36">
            <v>101.5</v>
          </cell>
          <cell r="L36">
            <v>97.9</v>
          </cell>
          <cell r="M36">
            <v>117.4</v>
          </cell>
          <cell r="N36">
            <v>102.7</v>
          </cell>
          <cell r="O36">
            <v>98.9</v>
          </cell>
          <cell r="P36">
            <v>93.5</v>
          </cell>
          <cell r="Q36">
            <v>117.6</v>
          </cell>
          <cell r="R36">
            <v>111.79478</v>
          </cell>
          <cell r="S36">
            <v>121.83888935404454</v>
          </cell>
          <cell r="T36">
            <v>108.86810282194305</v>
          </cell>
          <cell r="U36">
            <v>106.96066644014562</v>
          </cell>
          <cell r="V36">
            <v>102.78479050303147</v>
          </cell>
          <cell r="W36">
            <v>118.14400000000001</v>
          </cell>
          <cell r="X36">
            <v>112.21599999999999</v>
          </cell>
          <cell r="Y36">
            <v>103.468</v>
          </cell>
          <cell r="Z36">
            <v>103.973</v>
          </cell>
          <cell r="AA36">
            <v>106.205</v>
          </cell>
          <cell r="AB36">
            <v>105.61799999999999</v>
          </cell>
          <cell r="AC36">
            <v>102.84399999999999</v>
          </cell>
          <cell r="AD36">
            <v>107.242</v>
          </cell>
          <cell r="AE36">
            <v>100.468</v>
          </cell>
          <cell r="AF36">
            <v>95.906999999999996</v>
          </cell>
          <cell r="AG36">
            <v>100.98685405134879</v>
          </cell>
          <cell r="AH36">
            <v>113.91854131803794</v>
          </cell>
          <cell r="AI36">
            <v>116.79580571529296</v>
          </cell>
          <cell r="AJ36">
            <v>117.33213194432093</v>
          </cell>
          <cell r="AK36">
            <v>120.0826845067818</v>
          </cell>
          <cell r="AL36">
            <v>123.49739896353661</v>
          </cell>
          <cell r="AM36">
            <v>124.56828796353693</v>
          </cell>
          <cell r="AN36">
            <v>125.50554968658037</v>
          </cell>
          <cell r="AO36">
            <v>126.53651283542484</v>
          </cell>
          <cell r="AP36">
            <v>127.63832191428813</v>
          </cell>
          <cell r="AQ36">
            <v>128.98941303928532</v>
          </cell>
          <cell r="AR36">
            <v>130.33475686425268</v>
          </cell>
          <cell r="AS36">
            <v>131.48447063728116</v>
          </cell>
          <cell r="AT36">
            <v>133.09229194066552</v>
          </cell>
          <cell r="AU36">
            <v>135.2397225034629</v>
          </cell>
          <cell r="AV36">
            <v>136.77533250223755</v>
          </cell>
          <cell r="AW36">
            <v>138.12754296848078</v>
          </cell>
          <cell r="AX36">
            <v>139.7350289711888</v>
          </cell>
          <cell r="AY36">
            <v>141.03519804096365</v>
          </cell>
          <cell r="AZ36">
            <v>142.37718067655146</v>
          </cell>
          <cell r="BA36">
            <v>143.76367545972332</v>
          </cell>
          <cell r="BB36">
            <v>145.15303359487689</v>
          </cell>
          <cell r="BC36">
            <v>146.55326568634931</v>
          </cell>
          <cell r="BD36">
            <v>147.9936637016423</v>
          </cell>
          <cell r="BE36">
            <v>149.48986735527328</v>
          </cell>
          <cell r="BF36">
            <v>151.04871024576303</v>
          </cell>
        </row>
        <row r="41">
          <cell r="C41">
            <v>0</v>
          </cell>
          <cell r="D41">
            <v>0.17681068439999997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0.17989715519999999</v>
          </cell>
          <cell r="M41">
            <v>0</v>
          </cell>
          <cell r="N41">
            <v>0.71562030119999998</v>
          </cell>
          <cell r="O41">
            <v>0</v>
          </cell>
          <cell r="P41">
            <v>1.0540297782000001</v>
          </cell>
          <cell r="Q41">
            <v>1.4416023257999997</v>
          </cell>
          <cell r="R41">
            <v>1.011921498</v>
          </cell>
          <cell r="S41">
            <v>0.15586677539999999</v>
          </cell>
          <cell r="T41">
            <v>0.85252732740000003</v>
          </cell>
          <cell r="U41">
            <v>2.1402040000000002</v>
          </cell>
          <cell r="V41">
            <v>3.0495199999999998</v>
          </cell>
          <cell r="W41">
            <v>2.4060579999999998</v>
          </cell>
          <cell r="X41">
            <v>2.8982579999999998</v>
          </cell>
          <cell r="Y41">
            <v>3.1237460000000001</v>
          </cell>
          <cell r="Z41">
            <v>3.2760180000000001</v>
          </cell>
          <cell r="AA41">
            <v>3.2536499999999999</v>
          </cell>
          <cell r="AB41">
            <v>4.0856959999999996</v>
          </cell>
          <cell r="AC41">
            <v>3.2256522744600002</v>
          </cell>
          <cell r="AD41">
            <v>4.1403579309400005</v>
          </cell>
          <cell r="AE41">
            <v>4.0155960000000004</v>
          </cell>
          <cell r="AF41">
            <v>9.5116619999999994</v>
          </cell>
          <cell r="AG41">
            <v>7.1352173560800001</v>
          </cell>
          <cell r="AH41">
            <v>7.9136063522319287</v>
          </cell>
          <cell r="AI41">
            <v>12.797101063141373</v>
          </cell>
          <cell r="AJ41">
            <v>14.807963475254653</v>
          </cell>
          <cell r="AK41">
            <v>12.653377211989328</v>
          </cell>
          <cell r="AL41">
            <v>21.850636618028041</v>
          </cell>
          <cell r="AM41">
            <v>32.597025482736626</v>
          </cell>
          <cell r="AN41">
            <v>41.163335375065067</v>
          </cell>
          <cell r="AO41">
            <v>43.714291964523554</v>
          </cell>
          <cell r="AP41">
            <v>27.442807424871798</v>
          </cell>
          <cell r="AQ41">
            <v>29.378592156641925</v>
          </cell>
          <cell r="AR41">
            <v>22.298372868727103</v>
          </cell>
          <cell r="AS41">
            <v>25.788701631180253</v>
          </cell>
          <cell r="AT41">
            <v>32.175765126287097</v>
          </cell>
          <cell r="AU41">
            <v>31.82658834649213</v>
          </cell>
          <cell r="AV41">
            <v>25.212031011875649</v>
          </cell>
          <cell r="AW41">
            <v>25.447443369404187</v>
          </cell>
          <cell r="AX41">
            <v>27.183514197807497</v>
          </cell>
          <cell r="AY41">
            <v>29.89886359555587</v>
          </cell>
          <cell r="AZ41">
            <v>29.901195798389988</v>
          </cell>
          <cell r="BA41">
            <v>29.148807046891978</v>
          </cell>
          <cell r="BB41">
            <v>27.429763599652933</v>
          </cell>
          <cell r="BC41">
            <v>28.661884092380006</v>
          </cell>
          <cell r="BD41">
            <v>28.66300986513356</v>
          </cell>
          <cell r="BE41">
            <v>28.168004448291772</v>
          </cell>
          <cell r="BF41">
            <v>28.662097262343682</v>
          </cell>
          <cell r="BG41">
            <v>27.178889731753959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1.8739287E-2</v>
          </cell>
          <cell r="L42">
            <v>0.17945623079999998</v>
          </cell>
          <cell r="M42">
            <v>0</v>
          </cell>
          <cell r="N42">
            <v>0.38272237919999996</v>
          </cell>
          <cell r="O42">
            <v>0</v>
          </cell>
          <cell r="P42">
            <v>2.0222997605999997</v>
          </cell>
          <cell r="Q42">
            <v>1.6051852781999998</v>
          </cell>
          <cell r="R42">
            <v>1.3379850917999998</v>
          </cell>
          <cell r="S42">
            <v>0.22222589759999997</v>
          </cell>
          <cell r="T42">
            <v>0.81130089599999999</v>
          </cell>
          <cell r="U42">
            <v>2.1403760000000003</v>
          </cell>
          <cell r="V42">
            <v>2.1527880000000001</v>
          </cell>
          <cell r="W42">
            <v>2.3309129999999998</v>
          </cell>
          <cell r="X42">
            <v>5.1043430000000001</v>
          </cell>
          <cell r="Y42">
            <v>5.2670519999999996</v>
          </cell>
          <cell r="Z42">
            <v>2.964823</v>
          </cell>
          <cell r="AA42">
            <v>2.1780219999999999</v>
          </cell>
          <cell r="AB42">
            <v>2.3898679999999999</v>
          </cell>
          <cell r="AC42">
            <v>3.6190975781400003</v>
          </cell>
          <cell r="AD42">
            <v>5.1396450000000007</v>
          </cell>
          <cell r="AE42">
            <v>4.2114500000000001</v>
          </cell>
          <cell r="AF42">
            <v>11.570852</v>
          </cell>
          <cell r="AG42">
            <v>15.912507</v>
          </cell>
          <cell r="AH42">
            <v>8.5320047339552474</v>
          </cell>
          <cell r="AI42">
            <v>18.470073481955339</v>
          </cell>
          <cell r="AJ42">
            <v>20.533556564879849</v>
          </cell>
          <cell r="AK42">
            <v>17.951576488936912</v>
          </cell>
          <cell r="AL42">
            <v>31.423281548872463</v>
          </cell>
          <cell r="AM42">
            <v>47.975409174901252</v>
          </cell>
          <cell r="AN42">
            <v>56.969525421219743</v>
          </cell>
          <cell r="AO42">
            <v>62.938013844099807</v>
          </cell>
          <cell r="AP42">
            <v>38.988995100578414</v>
          </cell>
          <cell r="AQ42">
            <v>41.997529192471724</v>
          </cell>
          <cell r="AR42">
            <v>31.862183965443798</v>
          </cell>
          <cell r="AS42">
            <v>36.822524026861515</v>
          </cell>
          <cell r="AT42">
            <v>45.666031056588821</v>
          </cell>
          <cell r="AU42">
            <v>45.528872428120394</v>
          </cell>
          <cell r="AV42">
            <v>35.925713777277892</v>
          </cell>
          <cell r="AW42">
            <v>36.313911087944611</v>
          </cell>
          <cell r="AX42">
            <v>38.766353092102527</v>
          </cell>
          <cell r="AY42">
            <v>42.630371811386304</v>
          </cell>
          <cell r="AZ42">
            <v>42.624227621056001</v>
          </cell>
          <cell r="BA42">
            <v>41.595568529603803</v>
          </cell>
          <cell r="BB42">
            <v>39.111174309271412</v>
          </cell>
          <cell r="BC42">
            <v>40.879459212011902</v>
          </cell>
          <cell r="BD42">
            <v>40.875064822989195</v>
          </cell>
          <cell r="BE42">
            <v>40.170104547017978</v>
          </cell>
          <cell r="BF42">
            <v>40.876146669093046</v>
          </cell>
          <cell r="BG42">
            <v>38.764262358779781</v>
          </cell>
        </row>
        <row r="43">
          <cell r="C43">
            <v>0</v>
          </cell>
          <cell r="D43">
            <v>4.4533364399999997E-2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5.2910927999999992E-3</v>
          </cell>
          <cell r="L43">
            <v>0.3421573343999999</v>
          </cell>
          <cell r="M43">
            <v>0</v>
          </cell>
          <cell r="N43">
            <v>4.60765998E-2</v>
          </cell>
          <cell r="O43">
            <v>0</v>
          </cell>
          <cell r="P43">
            <v>1.0577776355999999</v>
          </cell>
          <cell r="Q43">
            <v>0.89507653199999992</v>
          </cell>
          <cell r="R43">
            <v>0.70812458639999987</v>
          </cell>
          <cell r="S43">
            <v>0.65587504499999993</v>
          </cell>
          <cell r="T43">
            <v>0.90830426399999997</v>
          </cell>
          <cell r="U43">
            <v>2.4140459999999999</v>
          </cell>
          <cell r="V43">
            <v>4.0831010000000001</v>
          </cell>
          <cell r="W43">
            <v>3.5636170000000003</v>
          </cell>
          <cell r="X43">
            <v>6.0365130000000002</v>
          </cell>
          <cell r="Y43">
            <v>6.5003530000000005</v>
          </cell>
          <cell r="Z43">
            <v>3.1578359999999996</v>
          </cell>
          <cell r="AA43">
            <v>10.038877000000001</v>
          </cell>
          <cell r="AB43">
            <v>7.9355959999999994</v>
          </cell>
          <cell r="AC43">
            <v>4.4081685546799996</v>
          </cell>
          <cell r="AD43">
            <v>5.2700709999999997</v>
          </cell>
          <cell r="AE43">
            <v>11.318961</v>
          </cell>
          <cell r="AF43">
            <v>20.752654</v>
          </cell>
          <cell r="AG43">
            <v>7.6166490439599999</v>
          </cell>
          <cell r="AH43">
            <v>15.74088876903952</v>
          </cell>
          <cell r="AI43">
            <v>22.539503045928036</v>
          </cell>
          <cell r="AJ43">
            <v>27.473401724337396</v>
          </cell>
          <cell r="AK43">
            <v>23.845562444267745</v>
          </cell>
          <cell r="AL43">
            <v>39.425436347894539</v>
          </cell>
          <cell r="AM43">
            <v>57.297220662244932</v>
          </cell>
          <cell r="AN43">
            <v>75.848145777712531</v>
          </cell>
          <cell r="AO43">
            <v>78.73656253153375</v>
          </cell>
          <cell r="AP43">
            <v>49.923190301660796</v>
          </cell>
          <cell r="AQ43">
            <v>53.189081227866744</v>
          </cell>
          <cell r="AR43">
            <v>40.277195548500444</v>
          </cell>
          <cell r="AS43">
            <v>46.606284768007875</v>
          </cell>
          <cell r="AT43">
            <v>58.461579837527403</v>
          </cell>
          <cell r="AU43">
            <v>57.547258556949672</v>
          </cell>
          <cell r="AV43">
            <v>45.69536211994852</v>
          </cell>
          <cell r="AW43">
            <v>46.064240645654507</v>
          </cell>
          <cell r="AX43">
            <v>49.216423490645674</v>
          </cell>
          <cell r="AY43">
            <v>54.150847708125696</v>
          </cell>
          <cell r="AZ43">
            <v>54.172767635431747</v>
          </cell>
          <cell r="BA43">
            <v>52.770880774365025</v>
          </cell>
          <cell r="BB43">
            <v>49.680898056693863</v>
          </cell>
          <cell r="BC43">
            <v>51.901428602949082</v>
          </cell>
          <cell r="BD43">
            <v>51.908865489105665</v>
          </cell>
          <cell r="BE43">
            <v>51.013897438913894</v>
          </cell>
          <cell r="BF43">
            <v>51.907975094143069</v>
          </cell>
          <cell r="BG43">
            <v>49.218011721431353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4.8501684000000003E-3</v>
          </cell>
          <cell r="K44">
            <v>1.9841597999999998E-2</v>
          </cell>
          <cell r="L44">
            <v>0.12654530279999998</v>
          </cell>
          <cell r="M44">
            <v>0</v>
          </cell>
          <cell r="N44">
            <v>0.54718718040000003</v>
          </cell>
          <cell r="O44">
            <v>0</v>
          </cell>
          <cell r="P44">
            <v>1.5820367471999999</v>
          </cell>
          <cell r="Q44">
            <v>0.97179737759999996</v>
          </cell>
          <cell r="R44">
            <v>0.44511318179999992</v>
          </cell>
          <cell r="S44">
            <v>0.38757254759999998</v>
          </cell>
          <cell r="T44">
            <v>1.241738</v>
          </cell>
          <cell r="U44">
            <v>2.929103</v>
          </cell>
          <cell r="V44">
            <v>3.0306660000000001</v>
          </cell>
          <cell r="W44">
            <v>2.6591990000000001</v>
          </cell>
          <cell r="X44">
            <v>6.3975200000000001</v>
          </cell>
          <cell r="Y44">
            <v>4.4655040000000001</v>
          </cell>
          <cell r="Z44">
            <v>2.3921160000000001</v>
          </cell>
          <cell r="AA44">
            <v>1.694636</v>
          </cell>
          <cell r="AB44">
            <v>4.1660946648200001</v>
          </cell>
          <cell r="AC44">
            <v>2.6593713766400002</v>
          </cell>
          <cell r="AD44">
            <v>3.2203300000000001</v>
          </cell>
          <cell r="AE44">
            <v>3.7657280000000002</v>
          </cell>
          <cell r="AF44">
            <v>6.8089779999999998</v>
          </cell>
          <cell r="AG44">
            <v>13.84864901838</v>
          </cell>
          <cell r="AH44">
            <v>6.5327983418236446</v>
          </cell>
          <cell r="AI44">
            <v>13.835612857445687</v>
          </cell>
          <cell r="AJ44">
            <v>15.468801706141752</v>
          </cell>
          <cell r="AK44">
            <v>13.698900494892936</v>
          </cell>
          <cell r="AL44">
            <v>23.66405054926695</v>
          </cell>
          <cell r="AM44">
            <v>37.357744929950051</v>
          </cell>
          <cell r="AN44">
            <v>43.031239236069219</v>
          </cell>
          <cell r="AO44">
            <v>48.015744168231031</v>
          </cell>
          <cell r="AP44">
            <v>29.705708713763801</v>
          </cell>
          <cell r="AQ44">
            <v>32.04410956145356</v>
          </cell>
          <cell r="AR44">
            <v>24.304860333938265</v>
          </cell>
          <cell r="AS44">
            <v>28.135111488135522</v>
          </cell>
          <cell r="AT44">
            <v>34.746779447252138</v>
          </cell>
          <cell r="AU44">
            <v>34.735248871600866</v>
          </cell>
          <cell r="AV44">
            <v>27.391868181650587</v>
          </cell>
          <cell r="AW44">
            <v>27.695615262565799</v>
          </cell>
          <cell r="AX44">
            <v>29.56178098539149</v>
          </cell>
          <cell r="AY44">
            <v>32.507493689999642</v>
          </cell>
          <cell r="AZ44">
            <v>32.491091328508297</v>
          </cell>
          <cell r="BA44">
            <v>31.722578451261217</v>
          </cell>
          <cell r="BB44">
            <v>29.822102852317517</v>
          </cell>
          <cell r="BC44">
            <v>31.171924829417573</v>
          </cell>
          <cell r="BD44">
            <v>31.167272784281348</v>
          </cell>
          <cell r="BE44">
            <v>30.629526049866239</v>
          </cell>
          <cell r="BF44">
            <v>31.167519842802697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7.9586854200000001E-2</v>
          </cell>
          <cell r="M45">
            <v>0</v>
          </cell>
          <cell r="N45">
            <v>0.17636975999999999</v>
          </cell>
          <cell r="O45">
            <v>0</v>
          </cell>
          <cell r="P45">
            <v>2.1102641784</v>
          </cell>
          <cell r="Q45">
            <v>1.859598657</v>
          </cell>
          <cell r="R45">
            <v>0.75927181679999989</v>
          </cell>
          <cell r="S45">
            <v>1.1849843249999998</v>
          </cell>
          <cell r="T45">
            <v>2.2163119999999998</v>
          </cell>
          <cell r="U45">
            <v>3.9908600000000001</v>
          </cell>
          <cell r="V45">
            <v>2.2056900000000002</v>
          </cell>
          <cell r="W45">
            <v>4.0018029999999998</v>
          </cell>
          <cell r="X45">
            <v>4.1526860000000001</v>
          </cell>
          <cell r="Y45">
            <v>4.9776229999999995</v>
          </cell>
          <cell r="Z45">
            <v>4.0967000000000002</v>
          </cell>
          <cell r="AA45">
            <v>8.2168899999999994</v>
          </cell>
          <cell r="AB45">
            <v>3.4328049835200001</v>
          </cell>
          <cell r="AC45">
            <v>4.2399340024800001</v>
          </cell>
          <cell r="AD45">
            <v>6.7439480000000005</v>
          </cell>
          <cell r="AE45">
            <v>4.2189019999999999</v>
          </cell>
          <cell r="AF45">
            <v>17.348935000000001</v>
          </cell>
          <cell r="AG45">
            <v>9.788966538529003</v>
          </cell>
          <cell r="AH45">
            <v>11.400286867623207</v>
          </cell>
          <cell r="AI45">
            <v>19.331691352444587</v>
          </cell>
          <cell r="AJ45">
            <v>22.404930878421222</v>
          </cell>
          <cell r="AK45">
            <v>18.988937364675721</v>
          </cell>
          <cell r="AL45">
            <v>33.624790853637883</v>
          </cell>
          <cell r="AM45">
            <v>48.278995981529235</v>
          </cell>
          <cell r="AN45">
            <v>62.166267508377537</v>
          </cell>
          <cell r="AO45">
            <v>65.834625637019741</v>
          </cell>
          <cell r="AP45">
            <v>41.354952605699516</v>
          </cell>
          <cell r="AQ45">
            <v>44.246816868231925</v>
          </cell>
          <cell r="AR45">
            <v>33.59564017088794</v>
          </cell>
          <cell r="AS45">
            <v>38.747796425637148</v>
          </cell>
          <cell r="AT45">
            <v>48.499516092255</v>
          </cell>
          <cell r="AU45">
            <v>47.920979897517327</v>
          </cell>
          <cell r="AV45">
            <v>37.968556906953793</v>
          </cell>
          <cell r="AW45">
            <v>38.316638480294309</v>
          </cell>
          <cell r="AX45">
            <v>40.929758538980614</v>
          </cell>
          <cell r="AY45">
            <v>45.013849444267358</v>
          </cell>
          <cell r="AZ45">
            <v>45.034650592048997</v>
          </cell>
          <cell r="BA45">
            <v>43.88968924889484</v>
          </cell>
          <cell r="BB45">
            <v>41.303848096665178</v>
          </cell>
          <cell r="BC45">
            <v>43.157787105271183</v>
          </cell>
          <cell r="BD45">
            <v>43.159945485059225</v>
          </cell>
          <cell r="BE45">
            <v>42.414957396141091</v>
          </cell>
          <cell r="BF45">
            <v>43.160355294228474</v>
          </cell>
        </row>
        <row r="46">
          <cell r="B46">
            <v>0</v>
          </cell>
          <cell r="C46">
            <v>0</v>
          </cell>
          <cell r="D46">
            <v>8.9948577599999996E-2</v>
          </cell>
          <cell r="E46">
            <v>0</v>
          </cell>
          <cell r="F46">
            <v>0</v>
          </cell>
          <cell r="G46">
            <v>4.6297062E-2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7.8705005399999986E-2</v>
          </cell>
          <cell r="M46">
            <v>0</v>
          </cell>
          <cell r="N46">
            <v>0</v>
          </cell>
          <cell r="O46">
            <v>0.39065901839999995</v>
          </cell>
          <cell r="P46">
            <v>1.5937212437999999</v>
          </cell>
          <cell r="Q46">
            <v>1.3748022791999999</v>
          </cell>
          <cell r="R46">
            <v>1.5721159482</v>
          </cell>
          <cell r="S46">
            <v>1.4182333325999998</v>
          </cell>
          <cell r="T46">
            <v>2.1110250000000002</v>
          </cell>
          <cell r="U46">
            <v>4.1246099999999997</v>
          </cell>
          <cell r="V46">
            <v>3.4464600000000001</v>
          </cell>
          <cell r="W46">
            <v>6.4875259999999999</v>
          </cell>
          <cell r="X46">
            <v>4.9222539999999997</v>
          </cell>
          <cell r="Y46">
            <v>6.4268080000000003</v>
          </cell>
          <cell r="Z46">
            <v>4.8455979999999998</v>
          </cell>
          <cell r="AA46">
            <v>4.2346919999999999</v>
          </cell>
          <cell r="AB46">
            <v>2.7578936398199998</v>
          </cell>
          <cell r="AC46">
            <v>10.461159998959999</v>
          </cell>
          <cell r="AD46">
            <v>6.4962229999999996</v>
          </cell>
          <cell r="AE46">
            <v>4.3893300000000002</v>
          </cell>
          <cell r="AF46">
            <v>17.693777999999998</v>
          </cell>
          <cell r="AG46">
            <v>10.607830454417545</v>
          </cell>
          <cell r="AH46">
            <v>13.242180879500804</v>
          </cell>
          <cell r="AI46">
            <v>22.668173985375098</v>
          </cell>
          <cell r="AJ46">
            <v>23.730326247995038</v>
          </cell>
          <cell r="AK46">
            <v>20.980692889749665</v>
          </cell>
          <cell r="AL46">
            <v>36.836475482466255</v>
          </cell>
          <cell r="AM46">
            <v>53.768716963174697</v>
          </cell>
          <cell r="AN46">
            <v>69.048435804447479</v>
          </cell>
          <cell r="AO46">
            <v>72.922180047055193</v>
          </cell>
          <cell r="AP46">
            <v>45.569457332361353</v>
          </cell>
          <cell r="AQ46">
            <v>49.01433340032537</v>
          </cell>
          <cell r="AR46">
            <v>37.190487636794174</v>
          </cell>
          <cell r="AS46">
            <v>42.955972361599791</v>
          </cell>
          <cell r="AT46">
            <v>53.707872394699457</v>
          </cell>
          <cell r="AU46">
            <v>53.033140057070931</v>
          </cell>
          <cell r="AV46">
            <v>42.013502630417548</v>
          </cell>
          <cell r="AW46">
            <v>42.434310168704926</v>
          </cell>
          <cell r="AX46">
            <v>45.318767564550051</v>
          </cell>
          <cell r="AY46">
            <v>49.844335874580594</v>
          </cell>
          <cell r="AZ46">
            <v>49.856130192802432</v>
          </cell>
          <cell r="BA46">
            <v>48.587608217430514</v>
          </cell>
          <cell r="BB46">
            <v>45.728621461125968</v>
          </cell>
          <cell r="BC46">
            <v>47.784945260202342</v>
          </cell>
          <cell r="BD46">
            <v>47.784705239271581</v>
          </cell>
          <cell r="BE46">
            <v>46.959773551448329</v>
          </cell>
          <cell r="BF46">
            <v>47.783630933018223</v>
          </cell>
        </row>
        <row r="47">
          <cell r="B47">
            <v>4.4974288799999998E-2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0.12610437839999999</v>
          </cell>
          <cell r="M47">
            <v>0</v>
          </cell>
          <cell r="N47">
            <v>5.9304331799999992E-2</v>
          </cell>
          <cell r="O47">
            <v>0</v>
          </cell>
          <cell r="P47">
            <v>1.0756350737999998</v>
          </cell>
          <cell r="Q47">
            <v>1.155221928</v>
          </cell>
          <cell r="R47">
            <v>0.61883739539999982</v>
          </cell>
          <cell r="S47">
            <v>1.0156693553999998</v>
          </cell>
          <cell r="T47">
            <v>1.838087</v>
          </cell>
          <cell r="U47">
            <v>1.2988820000000001</v>
          </cell>
          <cell r="V47">
            <v>3.6940010000000001</v>
          </cell>
          <cell r="W47">
            <v>4.9088209999999997</v>
          </cell>
          <cell r="X47">
            <v>3.4110300000000002</v>
          </cell>
          <cell r="Y47">
            <v>3.6878549999999999</v>
          </cell>
          <cell r="Z47">
            <v>2.9819789999999999</v>
          </cell>
          <cell r="AA47">
            <v>2.946059</v>
          </cell>
          <cell r="AB47">
            <v>3.8954356720400001</v>
          </cell>
          <cell r="AC47">
            <v>4.0907826409999997</v>
          </cell>
          <cell r="AD47">
            <v>7.2028699999999999</v>
          </cell>
          <cell r="AE47">
            <v>11.821236000000001</v>
          </cell>
          <cell r="AF47">
            <v>6.8892370000000005</v>
          </cell>
          <cell r="AG47">
            <v>16.498437654969408</v>
          </cell>
          <cell r="AH47">
            <v>10.739748115206252</v>
          </cell>
          <cell r="AI47">
            <v>21.231899985759558</v>
          </cell>
          <cell r="AJ47">
            <v>24.057198929996542</v>
          </cell>
          <cell r="AK47">
            <v>20.546182196009021</v>
          </cell>
          <cell r="AL47">
            <v>33.265278495486584</v>
          </cell>
          <cell r="AM47">
            <v>54.855689330418194</v>
          </cell>
          <cell r="AN47">
            <v>64.570409468273496</v>
          </cell>
          <cell r="AO47">
            <v>71.062879182548556</v>
          </cell>
          <cell r="AP47">
            <v>43.993005593893947</v>
          </cell>
          <cell r="AQ47">
            <v>47.225068554346272</v>
          </cell>
          <cell r="AR47">
            <v>35.800182387740868</v>
          </cell>
          <cell r="AS47">
            <v>41.681145468137416</v>
          </cell>
          <cell r="AT47">
            <v>51.531392807552685</v>
          </cell>
          <cell r="AU47">
            <v>51.343516389575115</v>
          </cell>
          <cell r="AV47">
            <v>40.504040877732528</v>
          </cell>
          <cell r="AW47">
            <v>40.937608238835651</v>
          </cell>
          <cell r="AX47">
            <v>43.726836883335579</v>
          </cell>
          <cell r="AY47">
            <v>48.109996758623929</v>
          </cell>
          <cell r="AZ47">
            <v>48.071865538050211</v>
          </cell>
          <cell r="BA47">
            <v>46.912205131816165</v>
          </cell>
          <cell r="BB47">
            <v>44.111110701831507</v>
          </cell>
          <cell r="BC47">
            <v>46.108180551268305</v>
          </cell>
          <cell r="BD47">
            <v>46.106908333191498</v>
          </cell>
          <cell r="BE47">
            <v>45.311282605964692</v>
          </cell>
          <cell r="BF47">
            <v>46.1030779204713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3.0864707999999994E-3</v>
          </cell>
          <cell r="I48">
            <v>0</v>
          </cell>
          <cell r="J48">
            <v>0</v>
          </cell>
          <cell r="K48">
            <v>0</v>
          </cell>
          <cell r="L48">
            <v>4.4974288799999998E-2</v>
          </cell>
          <cell r="M48">
            <v>0.16666942319999997</v>
          </cell>
          <cell r="N48">
            <v>0.37059695819999994</v>
          </cell>
          <cell r="O48">
            <v>0</v>
          </cell>
          <cell r="P48">
            <v>0.52183402739999996</v>
          </cell>
          <cell r="Q48">
            <v>0.26345232899999999</v>
          </cell>
          <cell r="R48">
            <v>0.26808203520000001</v>
          </cell>
          <cell r="S48">
            <v>0.84437022599999989</v>
          </cell>
          <cell r="T48">
            <v>2.1526109999999998</v>
          </cell>
          <cell r="U48">
            <v>1.923268</v>
          </cell>
          <cell r="V48">
            <v>1.4616659999999999</v>
          </cell>
          <cell r="W48">
            <v>5.6066929999999999</v>
          </cell>
          <cell r="X48">
            <v>2.9288670000000003</v>
          </cell>
          <cell r="Y48">
            <v>4.443943</v>
          </cell>
          <cell r="Z48">
            <v>10.734292999999999</v>
          </cell>
          <cell r="AA48">
            <v>3.6354830000000002</v>
          </cell>
          <cell r="AB48">
            <v>3.20712023874</v>
          </cell>
          <cell r="AC48">
            <v>2.5369532372800001</v>
          </cell>
          <cell r="AD48">
            <v>8.1988619999999983</v>
          </cell>
          <cell r="AE48">
            <v>12.173249999999999</v>
          </cell>
          <cell r="AF48">
            <v>23.658798999999998</v>
          </cell>
          <cell r="AG48">
            <v>16.385691234938406</v>
          </cell>
          <cell r="AH48">
            <v>15.769254084864075</v>
          </cell>
          <cell r="AI48">
            <v>28.743008961184696</v>
          </cell>
          <cell r="AJ48">
            <v>34.482889646742429</v>
          </cell>
          <cell r="AK48">
            <v>29.583443603855535</v>
          </cell>
          <cell r="AL48">
            <v>49.862255232662477</v>
          </cell>
          <cell r="AM48">
            <v>73.651518138084697</v>
          </cell>
          <cell r="AN48">
            <v>93.140586291872481</v>
          </cell>
          <cell r="AO48">
            <v>99.850077753306863</v>
          </cell>
          <cell r="AP48">
            <v>62.595413646780138</v>
          </cell>
          <cell r="AQ48">
            <v>66.90132852721581</v>
          </cell>
          <cell r="AR48">
            <v>50.689010622377907</v>
          </cell>
          <cell r="AS48">
            <v>58.612391869186425</v>
          </cell>
          <cell r="AT48">
            <v>73.216019000002902</v>
          </cell>
          <cell r="AU48">
            <v>72.519290657426723</v>
          </cell>
          <cell r="AV48">
            <v>57.384501792079782</v>
          </cell>
          <cell r="AW48">
            <v>57.910615070991277</v>
          </cell>
          <cell r="AX48">
            <v>61.854452004172266</v>
          </cell>
          <cell r="AY48">
            <v>68.045005322224043</v>
          </cell>
          <cell r="AZ48">
            <v>68.064582406769048</v>
          </cell>
          <cell r="BA48">
            <v>66.354400091917697</v>
          </cell>
          <cell r="BB48">
            <v>62.426869626898089</v>
          </cell>
          <cell r="BC48">
            <v>65.233107099379794</v>
          </cell>
          <cell r="BD48">
            <v>65.23658501967266</v>
          </cell>
          <cell r="BE48">
            <v>64.11266091717124</v>
          </cell>
          <cell r="BF48">
            <v>65.23814971198955</v>
          </cell>
        </row>
        <row r="49">
          <cell r="B49">
            <v>0</v>
          </cell>
          <cell r="C49">
            <v>4.4974288799999998E-2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8.9948577599999996E-2</v>
          </cell>
          <cell r="M49">
            <v>0</v>
          </cell>
          <cell r="N49">
            <v>0.54145516319999987</v>
          </cell>
          <cell r="O49">
            <v>0.43938116460000004</v>
          </cell>
          <cell r="P49">
            <v>0.41623263360000001</v>
          </cell>
          <cell r="Q49">
            <v>0.36243985680000002</v>
          </cell>
          <cell r="R49">
            <v>0</v>
          </cell>
          <cell r="S49">
            <v>0.21715526699999999</v>
          </cell>
          <cell r="T49">
            <v>1.5578800000000002</v>
          </cell>
          <cell r="U49">
            <v>2.326279</v>
          </cell>
          <cell r="V49">
            <v>1.712672</v>
          </cell>
          <cell r="W49">
            <v>9.5740869999999987</v>
          </cell>
          <cell r="X49">
            <v>4.0216469999999997</v>
          </cell>
          <cell r="Y49">
            <v>4.3393509999999997</v>
          </cell>
          <cell r="Z49">
            <v>2.3352849999999998</v>
          </cell>
          <cell r="AA49">
            <v>3.2446090000000001</v>
          </cell>
          <cell r="AB49">
            <v>1.6758396883800002</v>
          </cell>
          <cell r="AC49">
            <v>5.0196088885799997</v>
          </cell>
          <cell r="AD49">
            <v>10.247299999999999</v>
          </cell>
          <cell r="AE49">
            <v>15.314467</v>
          </cell>
          <cell r="AF49">
            <v>9.5109200000000005</v>
          </cell>
          <cell r="AG49">
            <v>19.552581942215625</v>
          </cell>
          <cell r="AH49">
            <v>13.232597649155485</v>
          </cell>
          <cell r="AI49">
            <v>27.232350025661113</v>
          </cell>
          <cell r="AJ49">
            <v>30.713513483544265</v>
          </cell>
          <cell r="AK49">
            <v>25.947953621334509</v>
          </cell>
          <cell r="AL49">
            <v>41.988452134207101</v>
          </cell>
          <cell r="AM49">
            <v>68.768329041409487</v>
          </cell>
          <cell r="AN49">
            <v>81.779668192958383</v>
          </cell>
          <cell r="AO49">
            <v>89.846511886901922</v>
          </cell>
          <cell r="AP49">
            <v>55.566429747997923</v>
          </cell>
          <cell r="AQ49">
            <v>59.60262974389304</v>
          </cell>
          <cell r="AR49">
            <v>45.186829333699123</v>
          </cell>
          <cell r="AS49">
            <v>52.608895356028881</v>
          </cell>
          <cell r="AT49">
            <v>65.133819736958273</v>
          </cell>
          <cell r="AU49">
            <v>64.845048460888449</v>
          </cell>
          <cell r="AV49">
            <v>51.146876306698296</v>
          </cell>
          <cell r="AW49">
            <v>51.6937721464219</v>
          </cell>
          <cell r="AX49">
            <v>55.222033137815025</v>
          </cell>
          <cell r="AY49">
            <v>60.761502204163435</v>
          </cell>
          <cell r="AZ49">
            <v>60.719560147112567</v>
          </cell>
          <cell r="BA49">
            <v>59.244193639303511</v>
          </cell>
          <cell r="BB49">
            <v>55.707999241625572</v>
          </cell>
          <cell r="BC49">
            <v>58.231000188269988</v>
          </cell>
          <cell r="BD49">
            <v>58.230659984375784</v>
          </cell>
          <cell r="BE49">
            <v>57.226107526293283</v>
          </cell>
          <cell r="BF49">
            <v>58.225903661992675</v>
          </cell>
        </row>
        <row r="50">
          <cell r="B50">
            <v>0</v>
          </cell>
          <cell r="C50">
            <v>0.17989715519999999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8.9948577599999996E-2</v>
          </cell>
          <cell r="M50">
            <v>0.85649564699999992</v>
          </cell>
          <cell r="N50">
            <v>0.39264317819999994</v>
          </cell>
          <cell r="O50">
            <v>0</v>
          </cell>
          <cell r="P50">
            <v>0.60781428539999993</v>
          </cell>
          <cell r="Q50">
            <v>0.75089425320000003</v>
          </cell>
          <cell r="R50">
            <v>0</v>
          </cell>
          <cell r="S50">
            <v>4.3651515599999996E-2</v>
          </cell>
          <cell r="T50">
            <v>2.1097330000000003</v>
          </cell>
          <cell r="U50">
            <v>1.9233800000000001</v>
          </cell>
          <cell r="V50">
            <v>1.615135</v>
          </cell>
          <cell r="W50">
            <v>3.340058</v>
          </cell>
          <cell r="X50">
            <v>3.002097</v>
          </cell>
          <cell r="Y50">
            <v>1.3929339999999999</v>
          </cell>
          <cell r="Z50">
            <v>3.2662100000000001</v>
          </cell>
          <cell r="AA50">
            <v>2.417192</v>
          </cell>
          <cell r="AB50">
            <v>3.346282467</v>
          </cell>
          <cell r="AC50">
            <v>2.4194161266000003</v>
          </cell>
          <cell r="AD50">
            <v>8.2197569999999995</v>
          </cell>
          <cell r="AE50">
            <v>7.5522819999999999</v>
          </cell>
          <cell r="AF50">
            <v>27.503287</v>
          </cell>
          <cell r="AG50">
            <v>13.193145123668939</v>
          </cell>
          <cell r="AH50">
            <v>15.536727646215883</v>
          </cell>
          <cell r="AI50">
            <v>26.886727179160999</v>
          </cell>
          <cell r="AJ50">
            <v>32.590659777467337</v>
          </cell>
          <cell r="AK50">
            <v>27.730744397385934</v>
          </cell>
          <cell r="AL50">
            <v>48.467793350918434</v>
          </cell>
          <cell r="AM50">
            <v>68.331602430545843</v>
          </cell>
          <cell r="AN50">
            <v>88.891437774996632</v>
          </cell>
          <cell r="AO50">
            <v>94.165468132627439</v>
          </cell>
          <cell r="AP50">
            <v>59.315705882233566</v>
          </cell>
          <cell r="AQ50">
            <v>63.32498129351923</v>
          </cell>
          <cell r="AR50">
            <v>48.024481296965952</v>
          </cell>
          <cell r="AS50">
            <v>55.34105443828448</v>
          </cell>
          <cell r="AT50">
            <v>69.39913925361391</v>
          </cell>
          <cell r="AU50">
            <v>68.562662922689839</v>
          </cell>
          <cell r="AV50">
            <v>54.329871873045342</v>
          </cell>
          <cell r="AW50">
            <v>54.801237998816916</v>
          </cell>
          <cell r="AX50">
            <v>58.535444701774558</v>
          </cell>
          <cell r="AY50">
            <v>64.381614962808769</v>
          </cell>
          <cell r="AZ50">
            <v>64.426883565754025</v>
          </cell>
          <cell r="BA50">
            <v>62.782439345447763</v>
          </cell>
          <cell r="BB50">
            <v>59.082102144244438</v>
          </cell>
          <cell r="BC50">
            <v>61.730547969727468</v>
          </cell>
          <cell r="BD50">
            <v>61.735256845995579</v>
          </cell>
          <cell r="BE50">
            <v>60.671224924412257</v>
          </cell>
          <cell r="BF50">
            <v>61.738554407312094</v>
          </cell>
        </row>
        <row r="51">
          <cell r="B51">
            <v>0</v>
          </cell>
          <cell r="C51">
            <v>4.4974288799999998E-2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0.359353386</v>
          </cell>
          <cell r="N51">
            <v>0.3723606558</v>
          </cell>
          <cell r="O51">
            <v>0.35075536019999992</v>
          </cell>
          <cell r="P51">
            <v>0.74692593360000004</v>
          </cell>
          <cell r="Q51">
            <v>0.97664754599999992</v>
          </cell>
          <cell r="R51">
            <v>0</v>
          </cell>
          <cell r="S51">
            <v>0.18188131499999996</v>
          </cell>
          <cell r="T51">
            <v>2.4850079999999997</v>
          </cell>
          <cell r="U51">
            <v>2.9788270000000003</v>
          </cell>
          <cell r="V51">
            <v>2.0084170000000001</v>
          </cell>
          <cell r="W51">
            <v>1.3182170000000002</v>
          </cell>
          <cell r="X51">
            <v>5.5452879999999993</v>
          </cell>
          <cell r="Y51">
            <v>4.4491940000000003</v>
          </cell>
          <cell r="Z51">
            <v>3.1922459999999999</v>
          </cell>
          <cell r="AA51">
            <v>2.7616260000000001</v>
          </cell>
          <cell r="AB51">
            <v>2.7880815014800002</v>
          </cell>
          <cell r="AC51">
            <v>2.7070595118599998</v>
          </cell>
          <cell r="AD51">
            <v>3.2137579999999999</v>
          </cell>
          <cell r="AE51">
            <v>14.343232</v>
          </cell>
          <cell r="AF51">
            <v>6.2858985241800003</v>
          </cell>
          <cell r="AG51">
            <v>14.216891814831701</v>
          </cell>
          <cell r="AH51">
            <v>9.2946054528512168</v>
          </cell>
          <cell r="AI51">
            <v>18.613113022184887</v>
          </cell>
          <cell r="AJ51">
            <v>21.433322908331522</v>
          </cell>
          <cell r="AK51">
            <v>19.192305275856953</v>
          </cell>
          <cell r="AL51">
            <v>29.25555620057359</v>
          </cell>
          <cell r="AM51">
            <v>48.771379490019008</v>
          </cell>
          <cell r="AN51">
            <v>57.485905038295641</v>
          </cell>
          <cell r="AO51">
            <v>63.358871631050235</v>
          </cell>
          <cell r="AP51">
            <v>39.2755525298343</v>
          </cell>
          <cell r="AQ51">
            <v>42.153375728816854</v>
          </cell>
          <cell r="AR51">
            <v>31.842400375122306</v>
          </cell>
          <cell r="AS51">
            <v>37.144425755726864</v>
          </cell>
          <cell r="AT51">
            <v>45.932830802000467</v>
          </cell>
          <cell r="AU51">
            <v>45.778430870934635</v>
          </cell>
          <cell r="AV51">
            <v>36.111712386464262</v>
          </cell>
          <cell r="AW51">
            <v>36.489173496084383</v>
          </cell>
          <cell r="AX51">
            <v>38.965223219811627</v>
          </cell>
          <cell r="AY51">
            <v>42.885723734441392</v>
          </cell>
          <cell r="AZ51">
            <v>42.851153072841015</v>
          </cell>
          <cell r="BA51">
            <v>41.818001977898909</v>
          </cell>
          <cell r="BB51">
            <v>39.318907425440464</v>
          </cell>
          <cell r="BC51">
            <v>41.09786380126522</v>
          </cell>
          <cell r="BD51">
            <v>41.096945084217346</v>
          </cell>
          <cell r="BE51">
            <v>40.389724193109238</v>
          </cell>
          <cell r="BF51">
            <v>41.094867831534195</v>
          </cell>
        </row>
        <row r="52">
          <cell r="B52">
            <v>0</v>
          </cell>
          <cell r="C52">
            <v>4.4974288799999998E-2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0.13492286640000001</v>
          </cell>
          <cell r="L52">
            <v>0</v>
          </cell>
          <cell r="M52">
            <v>0.73237542839999992</v>
          </cell>
          <cell r="N52">
            <v>0.35450321759999998</v>
          </cell>
          <cell r="O52">
            <v>0.71010874620000008</v>
          </cell>
          <cell r="P52">
            <v>0.88405342199999992</v>
          </cell>
          <cell r="Q52">
            <v>1.1159796564</v>
          </cell>
          <cell r="R52">
            <v>0.13161593340000002</v>
          </cell>
          <cell r="S52">
            <v>0.54520302059999992</v>
          </cell>
          <cell r="T52">
            <v>2.2162350000000002</v>
          </cell>
          <cell r="U52">
            <v>3.0357919999999998</v>
          </cell>
          <cell r="V52">
            <v>2.2240859999999998</v>
          </cell>
          <cell r="W52">
            <v>9.6975730000000002</v>
          </cell>
          <cell r="X52">
            <v>3.886666</v>
          </cell>
          <cell r="Y52">
            <v>3.139351</v>
          </cell>
          <cell r="Z52">
            <v>14.495994000000001</v>
          </cell>
          <cell r="AA52">
            <v>2.587647</v>
          </cell>
          <cell r="AB52">
            <v>2.7657905886600003</v>
          </cell>
          <cell r="AC52">
            <v>1.25594776318</v>
          </cell>
          <cell r="AD52">
            <v>4.5903649999999994</v>
          </cell>
          <cell r="AE52">
            <v>6.5637929999999995</v>
          </cell>
          <cell r="AF52">
            <v>22.907716994359998</v>
          </cell>
          <cell r="AG52">
            <v>25.243432818009353</v>
          </cell>
          <cell r="AH52">
            <v>12.065301107532747</v>
          </cell>
          <cell r="AI52">
            <v>27.650745039758647</v>
          </cell>
          <cell r="AJ52">
            <v>32.303434656887987</v>
          </cell>
          <cell r="AK52">
            <v>28.88032401104573</v>
          </cell>
          <cell r="AL52">
            <v>50.335993185985672</v>
          </cell>
          <cell r="AM52">
            <v>74.3463683749859</v>
          </cell>
          <cell r="AN52">
            <v>88.905044110711742</v>
          </cell>
          <cell r="AO52">
            <v>98.554773221101982</v>
          </cell>
          <cell r="AP52">
            <v>61.268781120324547</v>
          </cell>
          <cell r="AQ52">
            <v>65.922153745217656</v>
          </cell>
          <cell r="AR52">
            <v>49.928355459802106</v>
          </cell>
          <cell r="AS52">
            <v>57.555696411213887</v>
          </cell>
          <cell r="AT52">
            <v>71.529254445261813</v>
          </cell>
          <cell r="AU52">
            <v>71.358962540733955</v>
          </cell>
          <cell r="AV52">
            <v>56.315962135855784</v>
          </cell>
          <cell r="AW52">
            <v>56.895434034281493</v>
          </cell>
          <cell r="AX52">
            <v>60.719412183613088</v>
          </cell>
          <cell r="AY52">
            <v>66.770394893822981</v>
          </cell>
          <cell r="AZ52">
            <v>66.785892101235618</v>
          </cell>
          <cell r="BA52">
            <v>65.173627545168642</v>
          </cell>
          <cell r="BB52">
            <v>61.276602484233081</v>
          </cell>
          <cell r="BC52">
            <v>64.041871287857134</v>
          </cell>
          <cell r="BD52">
            <v>64.034781046706485</v>
          </cell>
          <cell r="BE52">
            <v>62.932736401369993</v>
          </cell>
          <cell r="BF52">
            <v>64.041721371071048</v>
          </cell>
        </row>
        <row r="57">
          <cell r="C57">
            <v>4.8495070133999993</v>
          </cell>
          <cell r="D57">
            <v>6.5697735600000001E-2</v>
          </cell>
          <cell r="E57">
            <v>0</v>
          </cell>
          <cell r="F57">
            <v>3.2879732508000004</v>
          </cell>
          <cell r="G57">
            <v>0</v>
          </cell>
          <cell r="H57">
            <v>0.13845026160000001</v>
          </cell>
          <cell r="I57">
            <v>0</v>
          </cell>
          <cell r="J57">
            <v>0.15652816199999997</v>
          </cell>
          <cell r="K57">
            <v>8.531887140000001E-2</v>
          </cell>
          <cell r="L57">
            <v>4.0368833441999996</v>
          </cell>
          <cell r="M57">
            <v>2.0242839203999998</v>
          </cell>
          <cell r="N57">
            <v>0.19047934080000001</v>
          </cell>
          <cell r="O57">
            <v>0.62501033699999997</v>
          </cell>
          <cell r="P57">
            <v>4.1887817999999993E-2</v>
          </cell>
          <cell r="Q57">
            <v>5.8642945199999998E-2</v>
          </cell>
          <cell r="R57">
            <v>0.364864941</v>
          </cell>
          <cell r="S57">
            <v>0.31173355079999998</v>
          </cell>
          <cell r="T57">
            <v>0.2462562774</v>
          </cell>
          <cell r="U57">
            <v>0.11298800000000001</v>
          </cell>
          <cell r="V57">
            <v>0.103772</v>
          </cell>
          <cell r="W57">
            <v>0.54336899999999999</v>
          </cell>
          <cell r="X57">
            <v>0</v>
          </cell>
          <cell r="Y57">
            <v>0</v>
          </cell>
          <cell r="Z57">
            <v>3.1432000000000002E-2</v>
          </cell>
          <cell r="AA57">
            <v>2.8889999999999999E-2</v>
          </cell>
          <cell r="AB57">
            <v>3.1412000000000002E-2</v>
          </cell>
          <cell r="AC57">
            <v>0</v>
          </cell>
          <cell r="AD57">
            <v>7.3162519320000008E-2</v>
          </cell>
          <cell r="AE57">
            <v>0</v>
          </cell>
          <cell r="AF57">
            <v>0</v>
          </cell>
          <cell r="AG57">
            <v>1.274490822E-2</v>
          </cell>
          <cell r="AH57">
            <v>3.539057907787043E-4</v>
          </cell>
          <cell r="AI57">
            <v>1.1932816346276404E-3</v>
          </cell>
          <cell r="AJ57">
            <v>2.2607949576928495E-3</v>
          </cell>
          <cell r="AK57">
            <v>4.5862445818389347E-4</v>
          </cell>
          <cell r="AL57">
            <v>7.3177148857880717E-4</v>
          </cell>
          <cell r="AM57">
            <v>1.2151082186630776E-3</v>
          </cell>
          <cell r="AN57">
            <v>9.9967566597237881E-4</v>
          </cell>
          <cell r="AO57">
            <v>1.1719161515492535E-3</v>
          </cell>
          <cell r="AP57">
            <v>1.1331949578182014E-3</v>
          </cell>
          <cell r="AQ57">
            <v>9.1541919658948221E-4</v>
          </cell>
          <cell r="AR57">
            <v>1.0503332965163437E-3</v>
          </cell>
          <cell r="AS57">
            <v>1.0870628381184787E-3</v>
          </cell>
          <cell r="AT57">
            <v>1.0541078536891318E-3</v>
          </cell>
          <cell r="AU57">
            <v>1.071585288118352E-3</v>
          </cell>
          <cell r="AV57">
            <v>1.0480236285463275E-3</v>
          </cell>
          <cell r="AW57">
            <v>1.0357016946063577E-3</v>
          </cell>
          <cell r="AX57">
            <v>1.0622225809977267E-3</v>
          </cell>
          <cell r="AY57">
            <v>1.0592962606157297E-3</v>
          </cell>
          <cell r="AZ57">
            <v>1.0543282091915792E-3</v>
          </cell>
          <cell r="BA57">
            <v>1.0553658905768989E-3</v>
          </cell>
          <cell r="BB57">
            <v>1.0519144747915441E-3</v>
          </cell>
          <cell r="BC57">
            <v>1.0533829271976583E-3</v>
          </cell>
          <cell r="BD57">
            <v>1.0566254832346956E-3</v>
          </cell>
          <cell r="BE57">
            <v>1.0548575524746821E-3</v>
          </cell>
          <cell r="BF57">
            <v>1.0543233969984751E-3</v>
          </cell>
          <cell r="BG57">
            <v>1.0544292656550958E-3</v>
          </cell>
        </row>
        <row r="58">
          <cell r="C58">
            <v>0.76919261579999987</v>
          </cell>
          <cell r="D58">
            <v>0</v>
          </cell>
          <cell r="E58">
            <v>0.55093503779999997</v>
          </cell>
          <cell r="F58">
            <v>0</v>
          </cell>
          <cell r="G58">
            <v>0</v>
          </cell>
          <cell r="H58">
            <v>0</v>
          </cell>
          <cell r="I58">
            <v>8.135055179999999E-2</v>
          </cell>
          <cell r="J58">
            <v>0.46958448599999997</v>
          </cell>
          <cell r="K58">
            <v>0.16931496959999998</v>
          </cell>
          <cell r="L58">
            <v>0.45304982100000002</v>
          </cell>
          <cell r="M58">
            <v>1.3893527844</v>
          </cell>
          <cell r="N58">
            <v>0.31548140819999992</v>
          </cell>
          <cell r="O58">
            <v>4.6297062E-2</v>
          </cell>
          <cell r="P58">
            <v>7.5398072400000002E-2</v>
          </cell>
          <cell r="Q58">
            <v>7.650038340000001E-2</v>
          </cell>
          <cell r="R58">
            <v>0.20899816559999995</v>
          </cell>
          <cell r="S58">
            <v>0.34899166259999997</v>
          </cell>
          <cell r="T58">
            <v>6.6138659999999988E-2</v>
          </cell>
          <cell r="U58">
            <v>0.12334300000000001</v>
          </cell>
          <cell r="V58">
            <v>1.7769E-2</v>
          </cell>
          <cell r="W58">
            <v>4.7527E-2</v>
          </cell>
          <cell r="X58">
            <v>1.3658E-2</v>
          </cell>
          <cell r="Y58">
            <v>3.9454000000000003E-2</v>
          </cell>
          <cell r="Z58">
            <v>0.75255100000000008</v>
          </cell>
          <cell r="AA58">
            <v>0</v>
          </cell>
          <cell r="AB58">
            <v>0</v>
          </cell>
          <cell r="AC58">
            <v>1.543234</v>
          </cell>
          <cell r="AD58">
            <v>2.6347000000000002E-2</v>
          </cell>
          <cell r="AE58">
            <v>2.7425999999999999E-2</v>
          </cell>
          <cell r="AF58">
            <v>0</v>
          </cell>
          <cell r="AG58">
            <v>0</v>
          </cell>
          <cell r="AH58">
            <v>5.4046629034424157E-3</v>
          </cell>
          <cell r="AI58">
            <v>2.2182937820882435E-2</v>
          </cell>
          <cell r="AJ58">
            <v>1.550967933536601E-3</v>
          </cell>
          <cell r="AK58">
            <v>1.7653522234192401E-3</v>
          </cell>
          <cell r="AL58">
            <v>1.2881601330601916E-3</v>
          </cell>
          <cell r="AM58">
            <v>2.2074229200914775E-3</v>
          </cell>
          <cell r="AN58">
            <v>6.4384162028681777E-3</v>
          </cell>
          <cell r="AO58">
            <v>5.7989682061979899E-3</v>
          </cell>
          <cell r="AP58">
            <v>2.6500638825951378E-3</v>
          </cell>
          <cell r="AQ58">
            <v>3.4996639371274157E-3</v>
          </cell>
          <cell r="AR58">
            <v>3.676606268962595E-3</v>
          </cell>
          <cell r="AS58">
            <v>4.1189070297760399E-3</v>
          </cell>
          <cell r="AT58">
            <v>4.4127436995502634E-3</v>
          </cell>
          <cell r="AU58">
            <v>3.948841864931836E-3</v>
          </cell>
          <cell r="AV58">
            <v>3.6715969636022905E-3</v>
          </cell>
          <cell r="AW58">
            <v>3.9313525600696304E-3</v>
          </cell>
          <cell r="AX58">
            <v>3.9657391653646051E-3</v>
          </cell>
          <cell r="AY58">
            <v>4.0166884235860126E-3</v>
          </cell>
          <cell r="AZ58">
            <v>3.9860548507037255E-3</v>
          </cell>
          <cell r="BA58">
            <v>3.9068437955108752E-3</v>
          </cell>
          <cell r="BB58">
            <v>3.9142863926652531E-3</v>
          </cell>
          <cell r="BC58">
            <v>3.9613357590469701E-3</v>
          </cell>
          <cell r="BD58">
            <v>3.957922525566095E-3</v>
          </cell>
          <cell r="BE58">
            <v>3.9570418443025676E-3</v>
          </cell>
          <cell r="BF58">
            <v>3.9452886646985852E-3</v>
          </cell>
          <cell r="BG58">
            <v>3.939486063418352E-3</v>
          </cell>
        </row>
        <row r="59">
          <cell r="C59">
            <v>6.3305720729999999</v>
          </cell>
          <cell r="D59">
            <v>1.7857438199999996E-2</v>
          </cell>
          <cell r="E59">
            <v>0</v>
          </cell>
          <cell r="F59">
            <v>0.44445179519999994</v>
          </cell>
          <cell r="G59">
            <v>0</v>
          </cell>
          <cell r="H59">
            <v>2.2187315807999997</v>
          </cell>
          <cell r="I59">
            <v>0.1177268148</v>
          </cell>
          <cell r="J59">
            <v>2.9621301191999998</v>
          </cell>
          <cell r="K59">
            <v>0.49890595860000003</v>
          </cell>
          <cell r="L59">
            <v>0.2323671588</v>
          </cell>
          <cell r="M59">
            <v>0.43629469380000002</v>
          </cell>
          <cell r="N59">
            <v>0.87038476559999989</v>
          </cell>
          <cell r="O59">
            <v>0.41689402019999994</v>
          </cell>
          <cell r="P59">
            <v>5.1588154800000001E-2</v>
          </cell>
          <cell r="Q59">
            <v>0.1313954712</v>
          </cell>
          <cell r="R59">
            <v>3.8139960600000002E-2</v>
          </cell>
          <cell r="S59">
            <v>0.76919261579999987</v>
          </cell>
          <cell r="T59">
            <v>0.60759382319999999</v>
          </cell>
          <cell r="U59">
            <v>0.477549</v>
          </cell>
          <cell r="V59">
            <v>6.9610000000000005E-2</v>
          </cell>
          <cell r="W59">
            <v>0</v>
          </cell>
          <cell r="X59">
            <v>0.101905</v>
          </cell>
          <cell r="Y59">
            <v>0</v>
          </cell>
          <cell r="Z59">
            <v>0.43170700000000001</v>
          </cell>
          <cell r="AA59">
            <v>0</v>
          </cell>
          <cell r="AB59">
            <v>8.0296000000000006E-2</v>
          </cell>
          <cell r="AC59">
            <v>0</v>
          </cell>
          <cell r="AD59">
            <v>0</v>
          </cell>
          <cell r="AE59">
            <v>0.21419099999999999</v>
          </cell>
          <cell r="AF59">
            <v>0</v>
          </cell>
          <cell r="AG59">
            <v>4.7141389460000002E-2</v>
          </cell>
          <cell r="AH59">
            <v>9.9661614786037051E-4</v>
          </cell>
          <cell r="AI59">
            <v>3.6299904421043944E-3</v>
          </cell>
          <cell r="AJ59">
            <v>6.8752947611026224E-3</v>
          </cell>
          <cell r="AK59">
            <v>8.5344587308126309E-3</v>
          </cell>
          <cell r="AL59">
            <v>2.5925072086164808E-3</v>
          </cell>
          <cell r="AM59">
            <v>4.7984106815628577E-3</v>
          </cell>
          <cell r="AN59">
            <v>4.5257734580993001E-3</v>
          </cell>
          <cell r="AO59">
            <v>5.2861323648397979E-3</v>
          </cell>
          <cell r="AP59">
            <v>5.4652889680387789E-3</v>
          </cell>
          <cell r="AQ59">
            <v>5.1474564887862137E-3</v>
          </cell>
          <cell r="AR59">
            <v>4.533622536231444E-3</v>
          </cell>
          <cell r="AS59">
            <v>5.0446123922653907E-3</v>
          </cell>
          <cell r="AT59">
            <v>4.991654763199108E-3</v>
          </cell>
          <cell r="AU59">
            <v>5.0954225500323249E-3</v>
          </cell>
          <cell r="AV59">
            <v>5.0365270297041869E-3</v>
          </cell>
          <cell r="AW59">
            <v>4.9625537461028962E-3</v>
          </cell>
          <cell r="AX59">
            <v>4.9403678542864907E-3</v>
          </cell>
          <cell r="AY59">
            <v>5.026154096260782E-3</v>
          </cell>
          <cell r="AZ59">
            <v>5.0053051886650018E-3</v>
          </cell>
          <cell r="BA59">
            <v>5.012205055277337E-3</v>
          </cell>
          <cell r="BB59">
            <v>4.9941815830038712E-3</v>
          </cell>
          <cell r="BC59">
            <v>4.9893171881185017E-3</v>
          </cell>
          <cell r="BD59">
            <v>4.9956427554986964E-3</v>
          </cell>
          <cell r="BE59">
            <v>5.0054326222650995E-3</v>
          </cell>
          <cell r="BF59">
            <v>4.9993303541126825E-3</v>
          </cell>
          <cell r="BG59">
            <v>4.9993558408327008E-3</v>
          </cell>
        </row>
        <row r="60">
          <cell r="B60">
            <v>9.9207989999999992E-3</v>
          </cell>
          <cell r="C60">
            <v>1.3221118134000001</v>
          </cell>
          <cell r="D60">
            <v>0.20128198859999999</v>
          </cell>
          <cell r="E60">
            <v>0</v>
          </cell>
          <cell r="F60">
            <v>0</v>
          </cell>
          <cell r="G60">
            <v>5.2910927999999992E-3</v>
          </cell>
          <cell r="H60">
            <v>0</v>
          </cell>
          <cell r="I60">
            <v>0</v>
          </cell>
          <cell r="J60">
            <v>5.1588154800000001E-2</v>
          </cell>
          <cell r="K60">
            <v>0.3183474168</v>
          </cell>
          <cell r="L60">
            <v>3.3492617424</v>
          </cell>
          <cell r="M60">
            <v>0.25110644579999997</v>
          </cell>
          <cell r="N60">
            <v>1.3046952995999999</v>
          </cell>
          <cell r="O60">
            <v>3.0203321399999997E-2</v>
          </cell>
          <cell r="P60">
            <v>0.46032507360000002</v>
          </cell>
          <cell r="Q60">
            <v>1.164040416</v>
          </cell>
          <cell r="R60">
            <v>0.23898102479999997</v>
          </cell>
          <cell r="S60">
            <v>1.4550505199999998E-2</v>
          </cell>
          <cell r="T60">
            <v>0.90642600000000006</v>
          </cell>
          <cell r="U60">
            <v>6.9876000000000008E-2</v>
          </cell>
          <cell r="V60">
            <v>0</v>
          </cell>
          <cell r="W60">
            <v>3.4027000000000002E-2</v>
          </cell>
          <cell r="X60">
            <v>0</v>
          </cell>
          <cell r="Y60">
            <v>1.6861000000000001E-2</v>
          </cell>
          <cell r="Z60">
            <v>1.3023E-2</v>
          </cell>
          <cell r="AA60">
            <v>1.8265E-2</v>
          </cell>
          <cell r="AB60">
            <v>0</v>
          </cell>
          <cell r="AC60">
            <v>3.233957078E-2</v>
          </cell>
          <cell r="AD60">
            <v>4.002E-2</v>
          </cell>
          <cell r="AE60">
            <v>0</v>
          </cell>
          <cell r="AF60">
            <v>3.1343000000000003E-2</v>
          </cell>
          <cell r="AG60">
            <v>3.1709049459999999E-2</v>
          </cell>
          <cell r="AH60">
            <v>3.509549033199463E-4</v>
          </cell>
          <cell r="AI60">
            <v>1.8809106985810745E-3</v>
          </cell>
          <cell r="AJ60">
            <v>2.7105795580209418E-3</v>
          </cell>
          <cell r="AK60">
            <v>2.0949202213750248E-3</v>
          </cell>
          <cell r="AL60">
            <v>3.0059059614559475E-3</v>
          </cell>
          <cell r="AM60">
            <v>2.7676010600926411E-3</v>
          </cell>
          <cell r="AN60">
            <v>2.0086542685505871E-3</v>
          </cell>
          <cell r="AO60">
            <v>2.4919834999051257E-3</v>
          </cell>
          <cell r="AP60">
            <v>2.5175322138990285E-3</v>
          </cell>
          <cell r="AQ60">
            <v>2.4738130022758653E-3</v>
          </cell>
          <cell r="AR60">
            <v>2.5583354007806657E-3</v>
          </cell>
          <cell r="AS60">
            <v>2.4519168089446497E-3</v>
          </cell>
          <cell r="AT60">
            <v>2.4100636770822545E-3</v>
          </cell>
          <cell r="AU60">
            <v>2.4987161851610668E-3</v>
          </cell>
          <cell r="AV60">
            <v>2.4823322205964928E-3</v>
          </cell>
          <cell r="AW60">
            <v>2.4785690148489002E-3</v>
          </cell>
          <cell r="AX60">
            <v>2.4802728585130262E-3</v>
          </cell>
          <cell r="AY60">
            <v>2.464319581326673E-3</v>
          </cell>
          <cell r="AZ60">
            <v>2.4699907912403484E-3</v>
          </cell>
          <cell r="BA60">
            <v>2.4808419720892317E-3</v>
          </cell>
          <cell r="BB60">
            <v>2.4750968933050887E-3</v>
          </cell>
          <cell r="BC60">
            <v>2.474798843603636E-3</v>
          </cell>
          <cell r="BD60">
            <v>2.474104419294874E-3</v>
          </cell>
          <cell r="BE60">
            <v>2.4730096163129954E-3</v>
          </cell>
          <cell r="BF60">
            <v>2.4749665839066365E-3</v>
          </cell>
        </row>
        <row r="61">
          <cell r="B61">
            <v>0.11750635259999999</v>
          </cell>
          <cell r="C61">
            <v>2.2478325911999995</v>
          </cell>
          <cell r="D61">
            <v>3.8580884999999995E-2</v>
          </cell>
          <cell r="E61">
            <v>0</v>
          </cell>
          <cell r="F61">
            <v>1.7998534007999998</v>
          </cell>
          <cell r="G61">
            <v>0</v>
          </cell>
          <cell r="H61">
            <v>0.52866835560000003</v>
          </cell>
          <cell r="I61">
            <v>0.2204622</v>
          </cell>
          <cell r="J61">
            <v>0.62390802599999995</v>
          </cell>
          <cell r="K61">
            <v>5.5556474399999993E-2</v>
          </cell>
          <cell r="L61">
            <v>0.27910514519999996</v>
          </cell>
          <cell r="M61">
            <v>1.4219811899999999</v>
          </cell>
          <cell r="N61">
            <v>0.28748270879999993</v>
          </cell>
          <cell r="O61">
            <v>4.65175242E-2</v>
          </cell>
          <cell r="P61">
            <v>0.21627341819999998</v>
          </cell>
          <cell r="Q61">
            <v>0.65719781820000001</v>
          </cell>
          <cell r="R61">
            <v>2.1182008176</v>
          </cell>
          <cell r="S61">
            <v>0.16777173419999997</v>
          </cell>
          <cell r="T61">
            <v>0.44331900000000002</v>
          </cell>
          <cell r="U61">
            <v>3.4622E-2</v>
          </cell>
          <cell r="V61">
            <v>0.17811099999999999</v>
          </cell>
          <cell r="W61">
            <v>0</v>
          </cell>
          <cell r="X61">
            <v>0.315245</v>
          </cell>
          <cell r="Y61">
            <v>2.6348E-2</v>
          </cell>
          <cell r="Z61">
            <v>0.10116</v>
          </cell>
          <cell r="AA61">
            <v>2.1957999999999998E-2</v>
          </cell>
          <cell r="AB61">
            <v>11.046103005080001</v>
          </cell>
          <cell r="AC61">
            <v>1.6038610500000001E-2</v>
          </cell>
          <cell r="AD61">
            <v>3.2288999999999998E-2</v>
          </cell>
          <cell r="AE61">
            <v>0</v>
          </cell>
          <cell r="AF61">
            <v>0</v>
          </cell>
          <cell r="AG61">
            <v>0.34476539536914796</v>
          </cell>
          <cell r="AH61">
            <v>3.754627098243217E-2</v>
          </cell>
          <cell r="AI61">
            <v>5.4601875301855812E-3</v>
          </cell>
          <cell r="AJ61">
            <v>1.0866132712665851E-2</v>
          </cell>
          <cell r="AK61">
            <v>1.2443357559158878E-2</v>
          </cell>
          <cell r="AL61">
            <v>1.7623019438045982E-2</v>
          </cell>
          <cell r="AM61">
            <v>2.9362953153827882E-2</v>
          </cell>
          <cell r="AN61">
            <v>1.6787793644497694E-2</v>
          </cell>
          <cell r="AO61">
            <v>1.5151130078776835E-2</v>
          </cell>
          <cell r="AP61">
            <v>1.7416651301639257E-2</v>
          </cell>
          <cell r="AQ61">
            <v>1.8273650774861455E-2</v>
          </cell>
          <cell r="AR61">
            <v>1.9268309523357532E-2</v>
          </cell>
          <cell r="AS61">
            <v>1.9398435790720626E-2</v>
          </cell>
          <cell r="AT61">
            <v>1.7379507064626556E-2</v>
          </cell>
          <cell r="AU61">
            <v>1.7901635493871144E-2</v>
          </cell>
          <cell r="AV61">
            <v>1.834731089104109E-2</v>
          </cell>
          <cell r="AW61">
            <v>1.8444307729487464E-2</v>
          </cell>
          <cell r="AX61">
            <v>1.8459039752723391E-2</v>
          </cell>
          <cell r="AY61">
            <v>1.8294239393949377E-2</v>
          </cell>
          <cell r="AZ61">
            <v>1.810636018634993E-2</v>
          </cell>
          <cell r="BA61">
            <v>1.8289306652214492E-2</v>
          </cell>
          <cell r="BB61">
            <v>1.833025159071025E-2</v>
          </cell>
          <cell r="BC61">
            <v>1.8318650742944934E-2</v>
          </cell>
          <cell r="BD61">
            <v>1.829583951518949E-2</v>
          </cell>
          <cell r="BE61">
            <v>1.8267761713233795E-2</v>
          </cell>
          <cell r="BF61">
            <v>1.8268081737481817E-2</v>
          </cell>
        </row>
        <row r="62">
          <cell r="B62">
            <v>0</v>
          </cell>
          <cell r="C62">
            <v>4.6297062E-2</v>
          </cell>
          <cell r="D62">
            <v>6.3934037999999999E-2</v>
          </cell>
          <cell r="E62">
            <v>0.30556060919999994</v>
          </cell>
          <cell r="F62">
            <v>1.0482977609999999</v>
          </cell>
          <cell r="G62">
            <v>3.1832537058000003</v>
          </cell>
          <cell r="H62">
            <v>0</v>
          </cell>
          <cell r="I62">
            <v>0.69732193859999991</v>
          </cell>
          <cell r="J62">
            <v>5.8642945199999998E-2</v>
          </cell>
          <cell r="K62">
            <v>0.43453099619999996</v>
          </cell>
          <cell r="L62">
            <v>0.69070807259999989</v>
          </cell>
          <cell r="M62">
            <v>0.83268572939999985</v>
          </cell>
          <cell r="N62">
            <v>5.9524794000000002E-3</v>
          </cell>
          <cell r="O62">
            <v>0.2797665318</v>
          </cell>
          <cell r="P62">
            <v>0.1093492512</v>
          </cell>
          <cell r="Q62">
            <v>0.22972161239999997</v>
          </cell>
          <cell r="R62">
            <v>1.3448194200000001</v>
          </cell>
          <cell r="S62">
            <v>0.42505112159999997</v>
          </cell>
          <cell r="T62">
            <v>9.8575999999999997E-2</v>
          </cell>
          <cell r="U62">
            <v>0.43846800000000002</v>
          </cell>
          <cell r="V62">
            <v>0</v>
          </cell>
          <cell r="W62">
            <v>1.5212E-2</v>
          </cell>
          <cell r="X62">
            <v>8.6055000000000006E-2</v>
          </cell>
          <cell r="Y62">
            <v>0.165183</v>
          </cell>
          <cell r="Z62">
            <v>0</v>
          </cell>
          <cell r="AA62">
            <v>6.1203E-2</v>
          </cell>
          <cell r="AB62">
            <v>2.6347413620000003E-2</v>
          </cell>
          <cell r="AC62">
            <v>0</v>
          </cell>
          <cell r="AD62">
            <v>0</v>
          </cell>
          <cell r="AE62">
            <v>2.7425999999999999E-2</v>
          </cell>
          <cell r="AF62">
            <v>2.7425999999999999E-2</v>
          </cell>
          <cell r="AG62">
            <v>3.6693259156897304E-3</v>
          </cell>
          <cell r="AH62">
            <v>2.7479870693947542E-4</v>
          </cell>
          <cell r="AI62">
            <v>8.1287992725350691E-4</v>
          </cell>
          <cell r="AJ62">
            <v>1.5409683220290714E-3</v>
          </cell>
          <cell r="AK62">
            <v>1.9128158733920883E-3</v>
          </cell>
          <cell r="AL62">
            <v>1.4908720428956194E-3</v>
          </cell>
          <cell r="AM62">
            <v>5.864849103788479E-4</v>
          </cell>
          <cell r="AN62">
            <v>1.2064669745019524E-3</v>
          </cell>
          <cell r="AO62">
            <v>1.268804215189827E-3</v>
          </cell>
          <cell r="AP62">
            <v>1.3475216246395161E-3</v>
          </cell>
          <cell r="AQ62">
            <v>1.293088803271667E-3</v>
          </cell>
          <cell r="AR62">
            <v>1.1800299535211526E-3</v>
          </cell>
          <cell r="AS62">
            <v>1.1404733055963619E-3</v>
          </cell>
          <cell r="AT62">
            <v>1.2591823142248232E-3</v>
          </cell>
          <cell r="AU62">
            <v>1.245983580443705E-3</v>
          </cell>
          <cell r="AV62">
            <v>1.2440592002507043E-3</v>
          </cell>
          <cell r="AW62">
            <v>1.2237515914115421E-3</v>
          </cell>
          <cell r="AX62">
            <v>1.2139456708073497E-3</v>
          </cell>
          <cell r="AY62">
            <v>1.2226899983854276E-3</v>
          </cell>
          <cell r="AZ62">
            <v>1.2373844714276248E-3</v>
          </cell>
          <cell r="BA62">
            <v>1.2300860082597458E-3</v>
          </cell>
          <cell r="BB62">
            <v>1.2283661864565297E-3</v>
          </cell>
          <cell r="BC62">
            <v>1.225571548058338E-3</v>
          </cell>
          <cell r="BD62">
            <v>1.2264944670673356E-3</v>
          </cell>
          <cell r="BE62">
            <v>1.2288196425175335E-3</v>
          </cell>
          <cell r="BF62">
            <v>1.2295805362539148E-3</v>
          </cell>
        </row>
        <row r="63">
          <cell r="B63">
            <v>0.1739446758</v>
          </cell>
          <cell r="C63">
            <v>0.25287014339999997</v>
          </cell>
          <cell r="D63">
            <v>1.1023109999999998</v>
          </cell>
          <cell r="E63">
            <v>5.5997398799999994E-2</v>
          </cell>
          <cell r="F63">
            <v>0</v>
          </cell>
          <cell r="G63">
            <v>4.2535976868000009</v>
          </cell>
          <cell r="H63">
            <v>0.12742715159999998</v>
          </cell>
          <cell r="I63">
            <v>0.12919084920000001</v>
          </cell>
          <cell r="J63">
            <v>0.3093084666</v>
          </cell>
          <cell r="K63">
            <v>4.7840297399999995E-2</v>
          </cell>
          <cell r="L63">
            <v>0.65874105360000001</v>
          </cell>
          <cell r="M63">
            <v>0.95879010779999985</v>
          </cell>
          <cell r="N63">
            <v>0.30423783599999998</v>
          </cell>
          <cell r="O63">
            <v>6.7240970999999983E-2</v>
          </cell>
          <cell r="P63">
            <v>0.25661800080000002</v>
          </cell>
          <cell r="Q63">
            <v>0.38470653899999996</v>
          </cell>
          <cell r="R63">
            <v>1.3342372344</v>
          </cell>
          <cell r="S63">
            <v>0.53991192779999997</v>
          </cell>
          <cell r="T63">
            <v>4.9043999999999997E-2</v>
          </cell>
          <cell r="U63">
            <v>0</v>
          </cell>
          <cell r="V63">
            <v>0.31919099999999995</v>
          </cell>
          <cell r="W63">
            <v>6.0164999999999996E-2</v>
          </cell>
          <cell r="X63">
            <v>1.4631999999999999E-2</v>
          </cell>
          <cell r="Y63">
            <v>0.10335</v>
          </cell>
          <cell r="Z63">
            <v>1.771E-2</v>
          </cell>
          <cell r="AA63">
            <v>1.9608E-2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0.126773</v>
          </cell>
          <cell r="AG63">
            <v>6.2576436583449801E-4</v>
          </cell>
          <cell r="AH63">
            <v>4.2903088731489929E-4</v>
          </cell>
          <cell r="AI63">
            <v>1.7696095686396867E-3</v>
          </cell>
          <cell r="AJ63">
            <v>3.3501967081025785E-3</v>
          </cell>
          <cell r="AK63">
            <v>4.1587000985076226E-3</v>
          </cell>
          <cell r="AL63">
            <v>5.8773580160250607E-3</v>
          </cell>
          <cell r="AM63">
            <v>7.380929734570915E-4</v>
          </cell>
          <cell r="AN63">
            <v>3.1169790557179699E-3</v>
          </cell>
          <cell r="AO63">
            <v>3.178791472946408E-3</v>
          </cell>
          <cell r="AP63">
            <v>3.4482653703620651E-3</v>
          </cell>
          <cell r="AQ63">
            <v>3.413984323330831E-3</v>
          </cell>
          <cell r="AR63">
            <v>3.2718973777017195E-3</v>
          </cell>
          <cell r="AS63">
            <v>2.7792226391628733E-3</v>
          </cell>
          <cell r="AT63">
            <v>3.2859835200117989E-3</v>
          </cell>
          <cell r="AU63">
            <v>3.2184322367007794E-3</v>
          </cell>
          <cell r="AV63">
            <v>3.2398706461138579E-3</v>
          </cell>
          <cell r="AW63">
            <v>3.1939040193816009E-3</v>
          </cell>
          <cell r="AX63">
            <v>3.1590812839382061E-3</v>
          </cell>
          <cell r="AY63">
            <v>3.1434826122741818E-3</v>
          </cell>
          <cell r="AZ63">
            <v>3.2194543412292493E-3</v>
          </cell>
          <cell r="BA63">
            <v>3.1909541596817251E-3</v>
          </cell>
          <cell r="BB63">
            <v>3.1911585805874196E-3</v>
          </cell>
          <cell r="BC63">
            <v>3.1813752833009926E-3</v>
          </cell>
          <cell r="BD63">
            <v>3.1808261955421566E-3</v>
          </cell>
          <cell r="BE63">
            <v>3.1852849954147142E-3</v>
          </cell>
          <cell r="BF63">
            <v>3.1927537120683084E-3</v>
          </cell>
        </row>
        <row r="64">
          <cell r="B64">
            <v>4.7203161641999998</v>
          </cell>
          <cell r="C64">
            <v>0.64815886799999989</v>
          </cell>
          <cell r="D64">
            <v>0.46230923339999996</v>
          </cell>
          <cell r="E64">
            <v>1.1499308351999997</v>
          </cell>
          <cell r="F64">
            <v>9.3255510599999994E-2</v>
          </cell>
          <cell r="G64">
            <v>0</v>
          </cell>
          <cell r="H64">
            <v>0.18474732359999999</v>
          </cell>
          <cell r="I64">
            <v>1.1243572199999999E-2</v>
          </cell>
          <cell r="J64">
            <v>0.23258762099999999</v>
          </cell>
          <cell r="K64">
            <v>0</v>
          </cell>
          <cell r="L64">
            <v>0.173062827</v>
          </cell>
          <cell r="M64">
            <v>0.39572964900000002</v>
          </cell>
          <cell r="N64">
            <v>0.10339677179999998</v>
          </cell>
          <cell r="O64">
            <v>0.17857438199999998</v>
          </cell>
          <cell r="P64">
            <v>0.80953719839999982</v>
          </cell>
          <cell r="Q64">
            <v>6.4154500200000006E-2</v>
          </cell>
          <cell r="R64">
            <v>0.54762810480000002</v>
          </cell>
          <cell r="S64">
            <v>0.66667769279999989</v>
          </cell>
          <cell r="T64">
            <v>0.12851899999999999</v>
          </cell>
          <cell r="U64">
            <v>8.6059999999999998E-2</v>
          </cell>
          <cell r="V64">
            <v>2.6777000000000002E-2</v>
          </cell>
          <cell r="W64">
            <v>1.6798999999999998E-2</v>
          </cell>
          <cell r="X64">
            <v>7.277299999999999E-2</v>
          </cell>
          <cell r="Y64">
            <v>6.5841999999999998E-2</v>
          </cell>
          <cell r="Z64">
            <v>0.70580699999999996</v>
          </cell>
          <cell r="AA64">
            <v>1.4397999999999999E-2</v>
          </cell>
          <cell r="AB64">
            <v>0</v>
          </cell>
          <cell r="AC64">
            <v>0</v>
          </cell>
          <cell r="AD64">
            <v>0</v>
          </cell>
          <cell r="AE64">
            <v>4.3529999999999999E-2</v>
          </cell>
          <cell r="AF64">
            <v>0.15184600000000001</v>
          </cell>
          <cell r="AG64">
            <v>1.8486983977999184E-3</v>
          </cell>
          <cell r="AH64">
            <v>6.6120024484737103E-4</v>
          </cell>
          <cell r="AI64">
            <v>2.7395141169078707E-3</v>
          </cell>
          <cell r="AJ64">
            <v>5.1863265332833287E-3</v>
          </cell>
          <cell r="AK64">
            <v>6.4379446868832457E-3</v>
          </cell>
          <cell r="AL64">
            <v>7.1741638834515219E-3</v>
          </cell>
          <cell r="AM64">
            <v>1.2052631414086951E-3</v>
          </cell>
          <cell r="AN64">
            <v>4.4398298930746682E-3</v>
          </cell>
          <cell r="AO64">
            <v>4.5486424723869328E-3</v>
          </cell>
          <cell r="AP64">
            <v>4.8887056276202927E-3</v>
          </cell>
          <cell r="AQ64">
            <v>4.761168815441013E-3</v>
          </cell>
          <cell r="AR64">
            <v>4.4513210035884224E-3</v>
          </cell>
          <cell r="AS64">
            <v>3.9687219899863209E-3</v>
          </cell>
          <cell r="AT64">
            <v>4.6179335624222662E-3</v>
          </cell>
          <cell r="AU64">
            <v>4.5237119818045965E-3</v>
          </cell>
          <cell r="AV64">
            <v>4.5375701998116632E-3</v>
          </cell>
          <cell r="AW64">
            <v>4.4645714706485233E-3</v>
          </cell>
          <cell r="AX64">
            <v>4.419851747522653E-3</v>
          </cell>
          <cell r="AY64">
            <v>4.422501840934674E-3</v>
          </cell>
          <cell r="AZ64">
            <v>4.5127277924419404E-3</v>
          </cell>
          <cell r="BA64">
            <v>4.473641448144423E-3</v>
          </cell>
          <cell r="BB64">
            <v>4.4714446102718909E-3</v>
          </cell>
          <cell r="BC64">
            <v>4.4586588599384433E-3</v>
          </cell>
          <cell r="BD64">
            <v>4.4600334878631166E-3</v>
          </cell>
          <cell r="BE64">
            <v>4.4677949103462747E-3</v>
          </cell>
          <cell r="BF64">
            <v>4.4753012397319636E-3</v>
          </cell>
        </row>
        <row r="65">
          <cell r="B65">
            <v>0.91734321419999987</v>
          </cell>
          <cell r="C65">
            <v>1.2500206739999999</v>
          </cell>
          <cell r="D65">
            <v>0</v>
          </cell>
          <cell r="E65">
            <v>0.33840947699999996</v>
          </cell>
          <cell r="F65">
            <v>1.1219321357999998</v>
          </cell>
          <cell r="G65">
            <v>5.2249541399999988E-2</v>
          </cell>
          <cell r="H65">
            <v>0</v>
          </cell>
          <cell r="I65">
            <v>0.85715703359999995</v>
          </cell>
          <cell r="J65">
            <v>0.50177196719999995</v>
          </cell>
          <cell r="K65">
            <v>0.19092026519999997</v>
          </cell>
          <cell r="L65">
            <v>0.50066965619999992</v>
          </cell>
          <cell r="M65">
            <v>1.6296565824</v>
          </cell>
          <cell r="N65">
            <v>0.13073408459999999</v>
          </cell>
          <cell r="O65">
            <v>0.17151959159999999</v>
          </cell>
          <cell r="P65">
            <v>4.6737986399999994E-2</v>
          </cell>
          <cell r="Q65">
            <v>7.0768366200000002E-2</v>
          </cell>
          <cell r="R65">
            <v>0.20502984599999999</v>
          </cell>
          <cell r="S65">
            <v>0.85914119339999995</v>
          </cell>
          <cell r="T65">
            <v>0.10474899999999999</v>
          </cell>
          <cell r="U65">
            <v>4.4486999999999999E-2</v>
          </cell>
          <cell r="V65">
            <v>0.17329499999999998</v>
          </cell>
          <cell r="W65">
            <v>6.3548999999999994E-2</v>
          </cell>
          <cell r="X65">
            <v>0</v>
          </cell>
          <cell r="Y65">
            <v>3.9966000000000002E-2</v>
          </cell>
          <cell r="Z65">
            <v>1.771E-2</v>
          </cell>
          <cell r="AA65">
            <v>1.1003620000000001</v>
          </cell>
          <cell r="AB65">
            <v>0.17150179904000001</v>
          </cell>
          <cell r="AC65">
            <v>0</v>
          </cell>
          <cell r="AD65">
            <v>0</v>
          </cell>
          <cell r="AE65">
            <v>5.4852999999999999E-2</v>
          </cell>
          <cell r="AF65">
            <v>0</v>
          </cell>
          <cell r="AG65">
            <v>4.2340478192229747E-2</v>
          </cell>
          <cell r="AH65">
            <v>7.6604008960990842E-4</v>
          </cell>
          <cell r="AI65">
            <v>1.3500484865335753E-3</v>
          </cell>
          <cell r="AJ65">
            <v>2.5673888454791904E-3</v>
          </cell>
          <cell r="AK65">
            <v>3.1867822173623182E-3</v>
          </cell>
          <cell r="AL65">
            <v>2.0788387251209051E-3</v>
          </cell>
          <cell r="AM65">
            <v>3.5864812736581954E-3</v>
          </cell>
          <cell r="AN65">
            <v>1.9898196728211797E-3</v>
          </cell>
          <cell r="AO65">
            <v>2.553907909630837E-3</v>
          </cell>
          <cell r="AP65">
            <v>2.6818621468883579E-3</v>
          </cell>
          <cell r="AQ65">
            <v>2.6791659597186872E-3</v>
          </cell>
          <cell r="AR65">
            <v>2.5781819456238953E-3</v>
          </cell>
          <cell r="AS65">
            <v>2.6982473925434517E-3</v>
          </cell>
          <cell r="AT65">
            <v>2.4965875269365913E-3</v>
          </cell>
          <cell r="AU65">
            <v>2.6382730708810458E-3</v>
          </cell>
          <cell r="AV65">
            <v>2.6268089943421967E-3</v>
          </cell>
          <cell r="AW65">
            <v>2.6180911791407347E-3</v>
          </cell>
          <cell r="AX65">
            <v>2.6076197860654365E-3</v>
          </cell>
          <cell r="AY65">
            <v>2.6156016327688043E-3</v>
          </cell>
          <cell r="AZ65">
            <v>2.5974761114732014E-3</v>
          </cell>
          <cell r="BA65">
            <v>2.6212789326396438E-3</v>
          </cell>
          <cell r="BB65">
            <v>2.6131195407580752E-3</v>
          </cell>
          <cell r="BC65">
            <v>2.6120135284175647E-3</v>
          </cell>
          <cell r="BD65">
            <v>2.6110192007410323E-3</v>
          </cell>
          <cell r="BE65">
            <v>2.6118979492114579E-3</v>
          </cell>
          <cell r="BF65">
            <v>2.6109814628059039E-3</v>
          </cell>
        </row>
        <row r="66">
          <cell r="B66">
            <v>0</v>
          </cell>
          <cell r="C66">
            <v>2.4960730283999997</v>
          </cell>
          <cell r="D66">
            <v>0.59546840219999997</v>
          </cell>
          <cell r="E66">
            <v>1.9017069371999999</v>
          </cell>
          <cell r="F66">
            <v>5.2249541399999988E-2</v>
          </cell>
          <cell r="G66">
            <v>0</v>
          </cell>
          <cell r="H66">
            <v>0.104719545</v>
          </cell>
          <cell r="I66">
            <v>4.8133512126000007</v>
          </cell>
          <cell r="J66">
            <v>0.23192623439999999</v>
          </cell>
          <cell r="K66">
            <v>8.3945391893999979</v>
          </cell>
          <cell r="L66">
            <v>0.1684331208</v>
          </cell>
          <cell r="M66">
            <v>0.44533364399999997</v>
          </cell>
          <cell r="N66">
            <v>7.0988828400000009E-2</v>
          </cell>
          <cell r="O66">
            <v>0.18849518099999998</v>
          </cell>
          <cell r="P66">
            <v>4.6297062E-2</v>
          </cell>
          <cell r="Q66">
            <v>0.38250191699999991</v>
          </cell>
          <cell r="R66">
            <v>0.46649801519999995</v>
          </cell>
          <cell r="S66">
            <v>0.29343518819999997</v>
          </cell>
          <cell r="T66">
            <v>0.10362</v>
          </cell>
          <cell r="U66">
            <v>0.14657100000000001</v>
          </cell>
          <cell r="V66">
            <v>0</v>
          </cell>
          <cell r="W66">
            <v>0</v>
          </cell>
          <cell r="X66">
            <v>1.4631999999999999E-2</v>
          </cell>
          <cell r="Y66">
            <v>2.6348E-2</v>
          </cell>
          <cell r="Z66">
            <v>5.3200000000000004E-2</v>
          </cell>
          <cell r="AA66">
            <v>0</v>
          </cell>
          <cell r="AB66">
            <v>5.2694827240000006E-2</v>
          </cell>
          <cell r="AC66">
            <v>0</v>
          </cell>
          <cell r="AD66">
            <v>0</v>
          </cell>
          <cell r="AE66">
            <v>0.109707</v>
          </cell>
          <cell r="AF66">
            <v>0.143627</v>
          </cell>
          <cell r="AG66">
            <v>5.182847635312236E-3</v>
          </cell>
          <cell r="AH66">
            <v>1.0356765186176492E-3</v>
          </cell>
          <cell r="AI66">
            <v>3.5908816659818463E-3</v>
          </cell>
          <cell r="AJ66">
            <v>6.8025268704521987E-3</v>
          </cell>
          <cell r="AK66">
            <v>8.444108191901915E-3</v>
          </cell>
          <cell r="AL66">
            <v>7.08385532863684E-3</v>
          </cell>
          <cell r="AM66">
            <v>1.7897172058761316E-3</v>
          </cell>
          <cell r="AN66">
            <v>5.3914097151180895E-3</v>
          </cell>
          <cell r="AO66">
            <v>5.5422178525697868E-3</v>
          </cell>
          <cell r="AP66">
            <v>5.9023234623970348E-3</v>
          </cell>
          <cell r="AQ66">
            <v>5.650261658820553E-3</v>
          </cell>
          <cell r="AR66">
            <v>5.1419047129195768E-3</v>
          </cell>
          <cell r="AS66">
            <v>4.8551859789563202E-3</v>
          </cell>
          <cell r="AT66">
            <v>5.5256234803650085E-3</v>
          </cell>
          <cell r="AU66">
            <v>5.418378733132655E-3</v>
          </cell>
          <cell r="AV66">
            <v>5.4150598586916992E-3</v>
          </cell>
          <cell r="AW66">
            <v>5.3182709128388227E-3</v>
          </cell>
          <cell r="AX66">
            <v>5.2712305528130532E-3</v>
          </cell>
          <cell r="AY66">
            <v>5.3065037927969017E-3</v>
          </cell>
          <cell r="AZ66">
            <v>5.3897127075682484E-3</v>
          </cell>
          <cell r="BA66">
            <v>5.3458887700546269E-3</v>
          </cell>
          <cell r="BB66">
            <v>5.3401555649417454E-3</v>
          </cell>
          <cell r="BC66">
            <v>5.3263213472143313E-3</v>
          </cell>
          <cell r="BD66">
            <v>5.330698277634916E-3</v>
          </cell>
          <cell r="BE66">
            <v>5.3417164365151711E-3</v>
          </cell>
          <cell r="BF66">
            <v>5.3465553334827746E-3</v>
          </cell>
        </row>
        <row r="67">
          <cell r="B67">
            <v>0.46517524199999999</v>
          </cell>
          <cell r="C67">
            <v>0</v>
          </cell>
          <cell r="D67">
            <v>0.55534428179999995</v>
          </cell>
          <cell r="E67">
            <v>0.12059282340000001</v>
          </cell>
          <cell r="F67">
            <v>7.4957147999999991E-3</v>
          </cell>
          <cell r="G67">
            <v>1.780232265</v>
          </cell>
          <cell r="H67">
            <v>0</v>
          </cell>
          <cell r="I67">
            <v>0.47156864580000002</v>
          </cell>
          <cell r="J67">
            <v>1.4550505199999998E-2</v>
          </cell>
          <cell r="K67">
            <v>4.1226431399999992E-2</v>
          </cell>
          <cell r="L67">
            <v>1.022944608</v>
          </cell>
          <cell r="M67">
            <v>1.2204787392000001</v>
          </cell>
          <cell r="N67">
            <v>0.24008333580000002</v>
          </cell>
          <cell r="O67">
            <v>0.11199479759999999</v>
          </cell>
          <cell r="P67">
            <v>0.24228795780000001</v>
          </cell>
          <cell r="Q67">
            <v>0.23038299899999998</v>
          </cell>
          <cell r="R67">
            <v>0.21781665359999999</v>
          </cell>
          <cell r="S67">
            <v>1.1794727700000001</v>
          </cell>
          <cell r="T67">
            <v>0.45876699999999998</v>
          </cell>
          <cell r="U67">
            <v>5.6520000000000001E-2</v>
          </cell>
          <cell r="V67">
            <v>7.6561999999999991E-2</v>
          </cell>
          <cell r="W67">
            <v>7.5153999999999999E-2</v>
          </cell>
          <cell r="X67">
            <v>7.9045000000000004E-2</v>
          </cell>
          <cell r="Y67">
            <v>9.6409000000000009E-2</v>
          </cell>
          <cell r="Z67">
            <v>0</v>
          </cell>
          <cell r="AA67">
            <v>0.109226</v>
          </cell>
          <cell r="AB67">
            <v>6.7650969320000004E-2</v>
          </cell>
          <cell r="AC67">
            <v>5.2701441099999996E-2</v>
          </cell>
          <cell r="AD67">
            <v>5.4850999999999997E-2</v>
          </cell>
          <cell r="AE67">
            <v>0</v>
          </cell>
          <cell r="AF67">
            <v>0</v>
          </cell>
          <cell r="AG67">
            <v>9.0772026538224939E-3</v>
          </cell>
          <cell r="AH67">
            <v>5.9293126007185348E-4</v>
          </cell>
          <cell r="AI67">
            <v>1.6200230402638898E-3</v>
          </cell>
          <cell r="AJ67">
            <v>1.6910132104938171E-3</v>
          </cell>
          <cell r="AK67">
            <v>3.6229411308034396E-4</v>
          </cell>
          <cell r="AL67">
            <v>5.738725907548552E-4</v>
          </cell>
          <cell r="AM67">
            <v>9.5310459126659957E-4</v>
          </cell>
          <cell r="AN67">
            <v>9.6802684293295193E-4</v>
          </cell>
          <cell r="AO67">
            <v>1.0400615091719014E-3</v>
          </cell>
          <cell r="AP67">
            <v>9.096622697057137E-4</v>
          </cell>
          <cell r="AQ67">
            <v>7.7947192944133044E-4</v>
          </cell>
          <cell r="AR67">
            <v>8.8894556076640437E-4</v>
          </cell>
          <cell r="AS67">
            <v>9.3006542850369942E-4</v>
          </cell>
          <cell r="AT67">
            <v>9.1723362240366034E-4</v>
          </cell>
          <cell r="AU67">
            <v>9.096413395178098E-4</v>
          </cell>
          <cell r="AV67">
            <v>8.8507576216416179E-4</v>
          </cell>
          <cell r="AW67">
            <v>8.8507157612658098E-4</v>
          </cell>
          <cell r="AX67">
            <v>9.0619234267114721E-4</v>
          </cell>
          <cell r="AY67">
            <v>9.0541754574318247E-4</v>
          </cell>
          <cell r="AZ67">
            <v>9.0064292857667194E-4</v>
          </cell>
          <cell r="BA67">
            <v>8.9827971324457656E-4</v>
          </cell>
          <cell r="BB67">
            <v>8.9648003105634885E-4</v>
          </cell>
          <cell r="BC67">
            <v>8.9912082127243179E-4</v>
          </cell>
          <cell r="BD67">
            <v>9.0140251225838549E-4</v>
          </cell>
          <cell r="BE67">
            <v>8.9998820797864234E-4</v>
          </cell>
          <cell r="BF67">
            <v>8.9918520128168299E-4</v>
          </cell>
        </row>
        <row r="68">
          <cell r="B68">
            <v>0</v>
          </cell>
          <cell r="C68">
            <v>2.5794077399999997</v>
          </cell>
          <cell r="D68">
            <v>0</v>
          </cell>
          <cell r="E68">
            <v>6.6138659999999995E-3</v>
          </cell>
          <cell r="F68">
            <v>0</v>
          </cell>
          <cell r="G68">
            <v>0.22266682199999999</v>
          </cell>
          <cell r="H68">
            <v>4.5635675399999992E-2</v>
          </cell>
          <cell r="I68">
            <v>0.30004905419999994</v>
          </cell>
          <cell r="J68">
            <v>0.28814409539999991</v>
          </cell>
          <cell r="K68">
            <v>3.9213611513999997</v>
          </cell>
          <cell r="L68">
            <v>0.18937702980000001</v>
          </cell>
          <cell r="M68">
            <v>0.3498735114</v>
          </cell>
          <cell r="N68">
            <v>0.61663277339999989</v>
          </cell>
          <cell r="O68">
            <v>5.2249541399999988E-2</v>
          </cell>
          <cell r="P68">
            <v>0.11221525979999998</v>
          </cell>
          <cell r="Q68">
            <v>6.8343281999999991E-2</v>
          </cell>
          <cell r="R68">
            <v>0.2257532928</v>
          </cell>
          <cell r="S68">
            <v>0.48545776439999994</v>
          </cell>
          <cell r="T68">
            <v>0.10732599999999999</v>
          </cell>
          <cell r="U68">
            <v>7.8806000000000001E-2</v>
          </cell>
          <cell r="V68">
            <v>4.3531E-2</v>
          </cell>
          <cell r="W68">
            <v>6.4921999999999994E-2</v>
          </cell>
          <cell r="X68">
            <v>0.240342</v>
          </cell>
          <cell r="Y68">
            <v>0</v>
          </cell>
          <cell r="Z68">
            <v>2.6348E-2</v>
          </cell>
          <cell r="AA68">
            <v>0</v>
          </cell>
          <cell r="AB68">
            <v>0.19870901446</v>
          </cell>
          <cell r="AC68">
            <v>9.7550025759999992E-2</v>
          </cell>
          <cell r="AD68">
            <v>0.17294800000000002</v>
          </cell>
          <cell r="AE68">
            <v>0</v>
          </cell>
          <cell r="AF68">
            <v>0</v>
          </cell>
          <cell r="AG68">
            <v>8.9494033016335184E-4</v>
          </cell>
          <cell r="AH68">
            <v>1.5879115647652389E-3</v>
          </cell>
          <cell r="AI68">
            <v>3.7697350680385086E-3</v>
          </cell>
          <cell r="AJ68">
            <v>4.5978095871409483E-3</v>
          </cell>
          <cell r="AK68">
            <v>2.0064162592279416E-4</v>
          </cell>
          <cell r="AL68">
            <v>4.7967518335778614E-4</v>
          </cell>
          <cell r="AM68">
            <v>7.8935986971651051E-4</v>
          </cell>
          <cell r="AN68">
            <v>2.1271546058450538E-3</v>
          </cell>
          <cell r="AO68">
            <v>1.9674442668353095E-3</v>
          </cell>
          <cell r="AP68">
            <v>1.6389281743966269E-3</v>
          </cell>
          <cell r="AQ68">
            <v>1.1128551103354797E-3</v>
          </cell>
          <cell r="AR68">
            <v>1.4005124200302532E-3</v>
          </cell>
          <cell r="AS68">
            <v>1.5271484054257961E-3</v>
          </cell>
          <cell r="AT68">
            <v>1.6493789154885391E-3</v>
          </cell>
          <cell r="AU68">
            <v>1.5293776754046889E-3</v>
          </cell>
          <cell r="AV68">
            <v>1.4657646051353251E-3</v>
          </cell>
          <cell r="AW68">
            <v>1.4438545053369611E-3</v>
          </cell>
          <cell r="AX68">
            <v>1.5144364042969163E-3</v>
          </cell>
          <cell r="AY68">
            <v>1.5231048213582565E-3</v>
          </cell>
          <cell r="AZ68">
            <v>1.5205624211324861E-3</v>
          </cell>
          <cell r="BA68">
            <v>1.4953076023064282E-3</v>
          </cell>
          <cell r="BB68">
            <v>1.4935445514519807E-3</v>
          </cell>
          <cell r="BC68">
            <v>1.4994531508862041E-3</v>
          </cell>
          <cell r="BD68">
            <v>1.5093911601092025E-3</v>
          </cell>
          <cell r="BE68">
            <v>1.5063945094270711E-3</v>
          </cell>
          <cell r="BF68">
            <v>1.5036517771772617E-3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7.5</v>
          </cell>
          <cell r="Q105">
            <v>14</v>
          </cell>
          <cell r="R105">
            <v>36</v>
          </cell>
          <cell r="S105">
            <v>32</v>
          </cell>
          <cell r="T105">
            <v>29</v>
          </cell>
          <cell r="U105">
            <v>41</v>
          </cell>
          <cell r="V105">
            <v>36</v>
          </cell>
          <cell r="W105">
            <v>33.450000000000003</v>
          </cell>
          <cell r="X105">
            <v>52</v>
          </cell>
          <cell r="Y105">
            <v>47.25</v>
          </cell>
          <cell r="Z105">
            <v>49.41</v>
          </cell>
          <cell r="AA105">
            <v>59.01</v>
          </cell>
          <cell r="AB105">
            <v>46.44</v>
          </cell>
          <cell r="AC105">
            <v>57</v>
          </cell>
          <cell r="AD105">
            <v>42.256396960623931</v>
          </cell>
          <cell r="AE105">
            <v>18.342527144698717</v>
          </cell>
          <cell r="AF105">
            <v>12.854891234883162</v>
          </cell>
          <cell r="AG105">
            <v>3.4851336901183307</v>
          </cell>
          <cell r="AH105">
            <v>23.308549627765036</v>
          </cell>
          <cell r="AI105">
            <v>17.811095735700963</v>
          </cell>
          <cell r="AJ105">
            <v>14.067996481542524</v>
          </cell>
          <cell r="AK105">
            <v>10.799082107418785</v>
          </cell>
          <cell r="AL105">
            <v>12.532361836206279</v>
          </cell>
          <cell r="AM105">
            <v>14.663924106601634</v>
          </cell>
          <cell r="AN105">
            <v>13.485711014659108</v>
          </cell>
          <cell r="AO105">
            <v>13.654466494351905</v>
          </cell>
          <cell r="AP105">
            <v>12.798120200470308</v>
          </cell>
          <cell r="AQ105">
            <v>12.886200171632041</v>
          </cell>
          <cell r="AR105">
            <v>12.886200171632041</v>
          </cell>
          <cell r="AS105">
            <v>12.886200171632041</v>
          </cell>
          <cell r="AT105">
            <v>12.886200171632041</v>
          </cell>
          <cell r="AU105">
            <v>12.886200171632041</v>
          </cell>
          <cell r="AV105">
            <v>12.886200171632041</v>
          </cell>
          <cell r="AW105">
            <v>12.886200171632041</v>
          </cell>
          <cell r="AX105">
            <v>12.886200171632041</v>
          </cell>
          <cell r="AY105">
            <v>12.886200171632041</v>
          </cell>
          <cell r="AZ105">
            <v>12.886200171632041</v>
          </cell>
          <cell r="BA105">
            <v>12.886200171632041</v>
          </cell>
          <cell r="BB105">
            <v>12.886200171632041</v>
          </cell>
          <cell r="BC105">
            <v>12.886200171632041</v>
          </cell>
          <cell r="BD105">
            <v>12.886200171632041</v>
          </cell>
          <cell r="BE105">
            <v>12.886200171632041</v>
          </cell>
          <cell r="BF105">
            <v>12.886200171632041</v>
          </cell>
          <cell r="BG105">
            <v>12.886200171632041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7.2</v>
          </cell>
          <cell r="Q106">
            <v>20.6</v>
          </cell>
          <cell r="R106">
            <v>39</v>
          </cell>
          <cell r="S106">
            <v>32</v>
          </cell>
          <cell r="T106">
            <v>35</v>
          </cell>
          <cell r="U106">
            <v>28</v>
          </cell>
          <cell r="V106">
            <v>34</v>
          </cell>
          <cell r="W106">
            <v>23.92</v>
          </cell>
          <cell r="X106">
            <v>45</v>
          </cell>
          <cell r="Y106">
            <v>48.66</v>
          </cell>
          <cell r="Z106">
            <v>49.23</v>
          </cell>
          <cell r="AA106">
            <v>48.18</v>
          </cell>
          <cell r="AB106">
            <v>36.49</v>
          </cell>
          <cell r="AC106">
            <v>53</v>
          </cell>
          <cell r="AD106">
            <v>34.81884158560392</v>
          </cell>
          <cell r="AE106">
            <v>19.026145053098343</v>
          </cell>
          <cell r="AF106">
            <v>13.667000000000002</v>
          </cell>
          <cell r="AG106">
            <v>43.208416476024475</v>
          </cell>
          <cell r="AH106">
            <v>29.834693204556398</v>
          </cell>
          <cell r="AI106">
            <v>25.433544577728384</v>
          </cell>
          <cell r="AJ106">
            <v>24.497275175588317</v>
          </cell>
          <cell r="AK106">
            <v>20.492290057383972</v>
          </cell>
          <cell r="AL106">
            <v>25.45035577671457</v>
          </cell>
          <cell r="AM106">
            <v>23.781783898166566</v>
          </cell>
          <cell r="AN106">
            <v>23.25473427453635</v>
          </cell>
          <cell r="AO106">
            <v>24.526108564930578</v>
          </cell>
          <cell r="AP106">
            <v>23.122052746625414</v>
          </cell>
          <cell r="AQ106">
            <v>23.065292241945961</v>
          </cell>
          <cell r="AR106">
            <v>23.065292241945961</v>
          </cell>
          <cell r="AS106">
            <v>23.065292241945961</v>
          </cell>
          <cell r="AT106">
            <v>23.065292241945961</v>
          </cell>
          <cell r="AU106">
            <v>23.065292241945961</v>
          </cell>
          <cell r="AV106">
            <v>23.065292241945961</v>
          </cell>
          <cell r="AW106">
            <v>23.065292241945961</v>
          </cell>
          <cell r="AX106">
            <v>23.065292241945961</v>
          </cell>
          <cell r="AY106">
            <v>23.065292241945961</v>
          </cell>
          <cell r="AZ106">
            <v>23.065292241945961</v>
          </cell>
          <cell r="BA106">
            <v>23.065292241945961</v>
          </cell>
          <cell r="BB106">
            <v>23.065292241945961</v>
          </cell>
          <cell r="BC106">
            <v>23.065292241945961</v>
          </cell>
          <cell r="BD106">
            <v>23.065292241945961</v>
          </cell>
          <cell r="BE106">
            <v>23.065292241945961</v>
          </cell>
          <cell r="BF106">
            <v>23.065292241945961</v>
          </cell>
          <cell r="BG106">
            <v>23.065292241945961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6.4</v>
          </cell>
          <cell r="Q107">
            <v>17.7</v>
          </cell>
          <cell r="R107">
            <v>29</v>
          </cell>
          <cell r="S107">
            <v>35</v>
          </cell>
          <cell r="T107">
            <v>26</v>
          </cell>
          <cell r="U107">
            <v>35</v>
          </cell>
          <cell r="V107">
            <v>45</v>
          </cell>
          <cell r="W107">
            <v>35.6</v>
          </cell>
          <cell r="X107">
            <v>58</v>
          </cell>
          <cell r="Y107">
            <v>74.02</v>
          </cell>
          <cell r="Z107">
            <v>56.22</v>
          </cell>
          <cell r="AA107">
            <v>45.48</v>
          </cell>
          <cell r="AB107">
            <v>40.71</v>
          </cell>
          <cell r="AC107">
            <v>57</v>
          </cell>
          <cell r="AD107">
            <v>40.391914002886487</v>
          </cell>
          <cell r="AE107">
            <v>22.833451805726607</v>
          </cell>
          <cell r="AF107">
            <v>2.4820046687072925</v>
          </cell>
          <cell r="AG107">
            <v>37.746665459377326</v>
          </cell>
          <cell r="AH107">
            <v>57.137598923065383</v>
          </cell>
          <cell r="AI107">
            <v>24.850019160264722</v>
          </cell>
          <cell r="AJ107">
            <v>26.121324557391691</v>
          </cell>
          <cell r="AK107">
            <v>21.66301951699382</v>
          </cell>
          <cell r="AL107">
            <v>29.768560088886716</v>
          </cell>
          <cell r="AM107">
            <v>29.560253845522681</v>
          </cell>
          <cell r="AN107">
            <v>25.588900643158375</v>
          </cell>
          <cell r="AO107">
            <v>27.633234352864612</v>
          </cell>
          <cell r="AP107">
            <v>22.905291284620159</v>
          </cell>
          <cell r="AQ107">
            <v>24.728902571644923</v>
          </cell>
          <cell r="AR107">
            <v>24.728902571644923</v>
          </cell>
          <cell r="AS107">
            <v>24.728902571644923</v>
          </cell>
          <cell r="AT107">
            <v>24.728902571644923</v>
          </cell>
          <cell r="AU107">
            <v>24.728902571644923</v>
          </cell>
          <cell r="AV107">
            <v>24.728902571644923</v>
          </cell>
          <cell r="AW107">
            <v>24.728902571644923</v>
          </cell>
          <cell r="AX107">
            <v>24.728902571644923</v>
          </cell>
          <cell r="AY107">
            <v>24.728902571644923</v>
          </cell>
          <cell r="AZ107">
            <v>24.728902571644923</v>
          </cell>
          <cell r="BA107">
            <v>24.728902571644923</v>
          </cell>
          <cell r="BB107">
            <v>24.728902571644923</v>
          </cell>
          <cell r="BC107">
            <v>24.728902571644923</v>
          </cell>
          <cell r="BD107">
            <v>24.728902571644923</v>
          </cell>
          <cell r="BE107">
            <v>24.728902571644923</v>
          </cell>
          <cell r="BF107">
            <v>24.728902571644923</v>
          </cell>
          <cell r="BG107">
            <v>24.728902571644923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5.107805325987143</v>
          </cell>
          <cell r="P108">
            <v>7.3</v>
          </cell>
          <cell r="Q108">
            <v>12</v>
          </cell>
          <cell r="R108">
            <v>19</v>
          </cell>
          <cell r="S108">
            <v>31</v>
          </cell>
          <cell r="T108">
            <v>29</v>
          </cell>
          <cell r="U108">
            <v>31</v>
          </cell>
          <cell r="V108">
            <v>25</v>
          </cell>
          <cell r="W108">
            <v>28</v>
          </cell>
          <cell r="X108">
            <v>57.13</v>
          </cell>
          <cell r="Y108">
            <v>47.41</v>
          </cell>
          <cell r="Z108">
            <v>44.21</v>
          </cell>
          <cell r="AA108">
            <v>62.9</v>
          </cell>
          <cell r="AB108">
            <v>48</v>
          </cell>
          <cell r="AC108">
            <v>46.51149385066099</v>
          </cell>
          <cell r="AD108">
            <v>18.10479481541778</v>
          </cell>
          <cell r="AE108">
            <v>17.979682322250461</v>
          </cell>
          <cell r="AF108">
            <v>4.6272370370542362</v>
          </cell>
          <cell r="AG108">
            <v>5.0251836005057253</v>
          </cell>
          <cell r="AH108">
            <v>17.085867554012005</v>
          </cell>
          <cell r="AI108">
            <v>11.384785152925685</v>
          </cell>
          <cell r="AJ108">
            <v>8.2981188612837808</v>
          </cell>
          <cell r="AK108">
            <v>8.3899789342791031</v>
          </cell>
          <cell r="AL108">
            <v>9.1649518891954589</v>
          </cell>
          <cell r="AM108">
            <v>10.34662403073672</v>
          </cell>
          <cell r="AN108">
            <v>9.8926786975215162</v>
          </cell>
          <cell r="AO108">
            <v>11.263248423189459</v>
          </cell>
          <cell r="AP108">
            <v>9.9458942383949793</v>
          </cell>
          <cell r="AQ108">
            <v>10.066752516640349</v>
          </cell>
          <cell r="AR108">
            <v>10.066752516640349</v>
          </cell>
          <cell r="AS108">
            <v>10.066752516640349</v>
          </cell>
          <cell r="AT108">
            <v>10.066752516640349</v>
          </cell>
          <cell r="AU108">
            <v>10.066752516640349</v>
          </cell>
          <cell r="AV108">
            <v>10.066752516640349</v>
          </cell>
          <cell r="AW108">
            <v>10.066752516640349</v>
          </cell>
          <cell r="AX108">
            <v>10.066752516640349</v>
          </cell>
          <cell r="AY108">
            <v>10.066752516640349</v>
          </cell>
          <cell r="AZ108">
            <v>10.066752516640349</v>
          </cell>
          <cell r="BA108">
            <v>10.066752516640349</v>
          </cell>
          <cell r="BB108">
            <v>10.066752516640349</v>
          </cell>
          <cell r="BC108">
            <v>10.066752516640349</v>
          </cell>
          <cell r="BD108">
            <v>10.066752516640349</v>
          </cell>
          <cell r="BE108">
            <v>10.066752516640349</v>
          </cell>
          <cell r="BF108">
            <v>10.066752516640349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3.254973982246709</v>
          </cell>
          <cell r="P109">
            <v>14.4</v>
          </cell>
          <cell r="Q109">
            <v>10</v>
          </cell>
          <cell r="R109">
            <v>17</v>
          </cell>
          <cell r="S109">
            <v>48</v>
          </cell>
          <cell r="T109">
            <v>29</v>
          </cell>
          <cell r="U109">
            <v>32</v>
          </cell>
          <cell r="V109">
            <v>41</v>
          </cell>
          <cell r="W109">
            <v>33</v>
          </cell>
          <cell r="X109">
            <v>53.46</v>
          </cell>
          <cell r="Y109">
            <v>54.87</v>
          </cell>
          <cell r="Z109">
            <v>43.86</v>
          </cell>
          <cell r="AA109">
            <v>49.46</v>
          </cell>
          <cell r="AB109">
            <v>43.36</v>
          </cell>
          <cell r="AC109">
            <v>23.415303304755309</v>
          </cell>
          <cell r="AD109">
            <v>17.735924180117653</v>
          </cell>
          <cell r="AE109">
            <v>13.712724760479736</v>
          </cell>
          <cell r="AF109">
            <v>15.304777894846277</v>
          </cell>
          <cell r="AG109">
            <v>15.031204619536583</v>
          </cell>
          <cell r="AH109">
            <v>17.534649076842811</v>
          </cell>
          <cell r="AI109">
            <v>15.330730794076233</v>
          </cell>
          <cell r="AJ109">
            <v>12.08474038230589</v>
          </cell>
          <cell r="AK109">
            <v>14.073509156459961</v>
          </cell>
          <cell r="AL109">
            <v>14.116238367225067</v>
          </cell>
          <cell r="AM109">
            <v>14.178821614285852</v>
          </cell>
          <cell r="AN109">
            <v>14.555239173366745</v>
          </cell>
          <cell r="AO109">
            <v>13.572473326768868</v>
          </cell>
          <cell r="AP109">
            <v>13.190401280590509</v>
          </cell>
          <cell r="AQ109">
            <v>12.890291239162954</v>
          </cell>
          <cell r="AR109">
            <v>12.890291239162954</v>
          </cell>
          <cell r="AS109">
            <v>12.890291239162954</v>
          </cell>
          <cell r="AT109">
            <v>12.890291239162954</v>
          </cell>
          <cell r="AU109">
            <v>12.890291239162954</v>
          </cell>
          <cell r="AV109">
            <v>12.890291239162954</v>
          </cell>
          <cell r="AW109">
            <v>12.890291239162954</v>
          </cell>
          <cell r="AX109">
            <v>12.890291239162954</v>
          </cell>
          <cell r="AY109">
            <v>12.890291239162954</v>
          </cell>
          <cell r="AZ109">
            <v>12.890291239162954</v>
          </cell>
          <cell r="BA109">
            <v>12.890291239162954</v>
          </cell>
          <cell r="BB109">
            <v>12.890291239162954</v>
          </cell>
          <cell r="BC109">
            <v>12.890291239162954</v>
          </cell>
          <cell r="BD109">
            <v>12.890291239162954</v>
          </cell>
          <cell r="BE109">
            <v>12.890291239162954</v>
          </cell>
          <cell r="BF109">
            <v>12.890291239162954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3.6555861646770729</v>
          </cell>
          <cell r="P110">
            <v>17</v>
          </cell>
          <cell r="Q110">
            <v>20</v>
          </cell>
          <cell r="R110">
            <v>34</v>
          </cell>
          <cell r="S110">
            <v>60</v>
          </cell>
          <cell r="T110">
            <v>31</v>
          </cell>
          <cell r="U110">
            <v>36</v>
          </cell>
          <cell r="V110">
            <v>41</v>
          </cell>
          <cell r="W110">
            <v>43</v>
          </cell>
          <cell r="X110">
            <v>43.63</v>
          </cell>
          <cell r="Y110">
            <v>67.47</v>
          </cell>
          <cell r="Z110">
            <v>49.31</v>
          </cell>
          <cell r="AA110">
            <v>58.48</v>
          </cell>
          <cell r="AB110">
            <v>36</v>
          </cell>
          <cell r="AC110">
            <v>31.727419492229764</v>
          </cell>
          <cell r="AD110">
            <v>19.608091188659177</v>
          </cell>
          <cell r="AE110">
            <v>26.566346423946968</v>
          </cell>
          <cell r="AF110">
            <v>9.335565909043515</v>
          </cell>
          <cell r="AG110">
            <v>17.433205474839024</v>
          </cell>
          <cell r="AH110">
            <v>18.651867468989415</v>
          </cell>
          <cell r="AI110">
            <v>17.046038847545098</v>
          </cell>
          <cell r="AJ110">
            <v>13.433974208007522</v>
          </cell>
          <cell r="AK110">
            <v>14.011893819743582</v>
          </cell>
          <cell r="AL110">
            <v>15.248106107149209</v>
          </cell>
          <cell r="AM110">
            <v>15.181162301265566</v>
          </cell>
          <cell r="AN110">
            <v>15.61763564765071</v>
          </cell>
          <cell r="AO110">
            <v>14.461199173051128</v>
          </cell>
          <cell r="AP110">
            <v>13.938839049413211</v>
          </cell>
          <cell r="AQ110">
            <v>13.780939708985892</v>
          </cell>
          <cell r="AR110">
            <v>13.780939708985892</v>
          </cell>
          <cell r="AS110">
            <v>13.780939708985892</v>
          </cell>
          <cell r="AT110">
            <v>13.780939708985892</v>
          </cell>
          <cell r="AU110">
            <v>13.780939708985892</v>
          </cell>
          <cell r="AV110">
            <v>13.780939708985892</v>
          </cell>
          <cell r="AW110">
            <v>13.780939708985892</v>
          </cell>
          <cell r="AX110">
            <v>13.780939708985892</v>
          </cell>
          <cell r="AY110">
            <v>13.780939708985892</v>
          </cell>
          <cell r="AZ110">
            <v>13.780939708985892</v>
          </cell>
          <cell r="BA110">
            <v>13.780939708985892</v>
          </cell>
          <cell r="BB110">
            <v>13.780939708985892</v>
          </cell>
          <cell r="BC110">
            <v>13.780939708985892</v>
          </cell>
          <cell r="BD110">
            <v>13.780939708985892</v>
          </cell>
          <cell r="BE110">
            <v>13.780939708985892</v>
          </cell>
          <cell r="BF110">
            <v>13.780939708985892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5.2580348943985298</v>
          </cell>
          <cell r="P111">
            <v>26.7</v>
          </cell>
          <cell r="Q111">
            <v>32</v>
          </cell>
          <cell r="R111">
            <v>26</v>
          </cell>
          <cell r="S111">
            <v>55</v>
          </cell>
          <cell r="T111">
            <v>41</v>
          </cell>
          <cell r="U111">
            <v>48</v>
          </cell>
          <cell r="V111">
            <v>39</v>
          </cell>
          <cell r="W111">
            <v>57</v>
          </cell>
          <cell r="X111">
            <v>52.8</v>
          </cell>
          <cell r="Y111">
            <v>59.35</v>
          </cell>
          <cell r="Z111">
            <v>54</v>
          </cell>
          <cell r="AA111">
            <v>57.04</v>
          </cell>
          <cell r="AB111">
            <v>41.88</v>
          </cell>
          <cell r="AC111">
            <v>21.139088583794067</v>
          </cell>
          <cell r="AD111">
            <v>17.532824255587588</v>
          </cell>
          <cell r="AE111">
            <v>33.64198191490825</v>
          </cell>
          <cell r="AF111">
            <v>9.5585545551382758</v>
          </cell>
          <cell r="AG111">
            <v>25.329250883875016</v>
          </cell>
          <cell r="AH111">
            <v>19.142708457863737</v>
          </cell>
          <cell r="AI111">
            <v>19.395650065296863</v>
          </cell>
          <cell r="AJ111">
            <v>15.976276459378163</v>
          </cell>
          <cell r="AK111">
            <v>16.696339894972539</v>
          </cell>
          <cell r="AL111">
            <v>18.188167075150389</v>
          </cell>
          <cell r="AM111">
            <v>17.358990436559072</v>
          </cell>
          <cell r="AN111">
            <v>18.279386788590678</v>
          </cell>
          <cell r="AO111">
            <v>17.041359233466437</v>
          </cell>
          <cell r="AP111">
            <v>16.379843986407671</v>
          </cell>
          <cell r="AQ111">
            <v>16.147071244901969</v>
          </cell>
          <cell r="AR111">
            <v>16.147071244901969</v>
          </cell>
          <cell r="AS111">
            <v>16.147071244901969</v>
          </cell>
          <cell r="AT111">
            <v>16.147071244901969</v>
          </cell>
          <cell r="AU111">
            <v>16.147071244901969</v>
          </cell>
          <cell r="AV111">
            <v>16.147071244901969</v>
          </cell>
          <cell r="AW111">
            <v>16.147071244901969</v>
          </cell>
          <cell r="AX111">
            <v>16.147071244901969</v>
          </cell>
          <cell r="AY111">
            <v>16.147071244901969</v>
          </cell>
          <cell r="AZ111">
            <v>16.147071244901969</v>
          </cell>
          <cell r="BA111">
            <v>16.147071244901969</v>
          </cell>
          <cell r="BB111">
            <v>16.147071244901969</v>
          </cell>
          <cell r="BC111">
            <v>16.147071244901969</v>
          </cell>
          <cell r="BD111">
            <v>16.147071244901969</v>
          </cell>
          <cell r="BE111">
            <v>16.147071244901969</v>
          </cell>
          <cell r="BF111">
            <v>16.147071244901969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5.7588001224364849</v>
          </cell>
          <cell r="P112">
            <v>32.5</v>
          </cell>
          <cell r="Q112">
            <v>30</v>
          </cell>
          <cell r="R112">
            <v>23</v>
          </cell>
          <cell r="S112">
            <v>57</v>
          </cell>
          <cell r="T112">
            <v>38</v>
          </cell>
          <cell r="U112">
            <v>41</v>
          </cell>
          <cell r="V112">
            <v>46</v>
          </cell>
          <cell r="W112">
            <v>60</v>
          </cell>
          <cell r="X112">
            <v>46.67</v>
          </cell>
          <cell r="Y112">
            <v>48.64</v>
          </cell>
          <cell r="Z112">
            <v>52.71</v>
          </cell>
          <cell r="AA112">
            <v>42.99</v>
          </cell>
          <cell r="AB112">
            <v>39.71</v>
          </cell>
          <cell r="AC112">
            <v>18.700041479024726</v>
          </cell>
          <cell r="AD112">
            <v>20.553320262475836</v>
          </cell>
          <cell r="AE112">
            <v>48.676772042633772</v>
          </cell>
          <cell r="AF112">
            <v>21.709939631642687</v>
          </cell>
          <cell r="AG112">
            <v>29.300990067878448</v>
          </cell>
          <cell r="AH112">
            <v>24.565070788594394</v>
          </cell>
          <cell r="AI112">
            <v>26.429047152718624</v>
          </cell>
          <cell r="AJ112">
            <v>22.302129701567665</v>
          </cell>
          <cell r="AK112">
            <v>22.583497063960042</v>
          </cell>
          <cell r="AL112">
            <v>23.692647591557076</v>
          </cell>
          <cell r="AM112">
            <v>23.239886192966406</v>
          </cell>
          <cell r="AN112">
            <v>24.670710513364313</v>
          </cell>
          <cell r="AO112">
            <v>22.952367170480994</v>
          </cell>
          <cell r="AP112">
            <v>21.907292443203172</v>
          </cell>
          <cell r="AQ112">
            <v>21.555422916849263</v>
          </cell>
          <cell r="AR112">
            <v>21.555422916849263</v>
          </cell>
          <cell r="AS112">
            <v>21.555422916849263</v>
          </cell>
          <cell r="AT112">
            <v>21.555422916849263</v>
          </cell>
          <cell r="AU112">
            <v>21.555422916849263</v>
          </cell>
          <cell r="AV112">
            <v>21.555422916849263</v>
          </cell>
          <cell r="AW112">
            <v>21.555422916849263</v>
          </cell>
          <cell r="AX112">
            <v>21.555422916849263</v>
          </cell>
          <cell r="AY112">
            <v>21.555422916849263</v>
          </cell>
          <cell r="AZ112">
            <v>21.555422916849263</v>
          </cell>
          <cell r="BA112">
            <v>21.555422916849263</v>
          </cell>
          <cell r="BB112">
            <v>21.555422916849263</v>
          </cell>
          <cell r="BC112">
            <v>21.555422916849263</v>
          </cell>
          <cell r="BD112">
            <v>21.555422916849263</v>
          </cell>
          <cell r="BE112">
            <v>21.555422916849263</v>
          </cell>
          <cell r="BF112">
            <v>21.555422916849263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7.9621671258034876</v>
          </cell>
          <cell r="P113">
            <v>33.700000000000003</v>
          </cell>
          <cell r="Q113">
            <v>34</v>
          </cell>
          <cell r="R113">
            <v>20</v>
          </cell>
          <cell r="S113">
            <v>55</v>
          </cell>
          <cell r="T113">
            <v>39</v>
          </cell>
          <cell r="U113">
            <v>41</v>
          </cell>
          <cell r="V113">
            <v>28.62</v>
          </cell>
          <cell r="W113">
            <v>56</v>
          </cell>
          <cell r="X113">
            <v>42.2</v>
          </cell>
          <cell r="Y113">
            <v>43.7</v>
          </cell>
          <cell r="Z113">
            <v>56.86</v>
          </cell>
          <cell r="AA113">
            <v>44.81</v>
          </cell>
          <cell r="AB113">
            <v>52.95</v>
          </cell>
          <cell r="AC113">
            <v>27.632865208265326</v>
          </cell>
          <cell r="AD113">
            <v>21.490937486635943</v>
          </cell>
          <cell r="AE113">
            <v>24.272817833821286</v>
          </cell>
          <cell r="AF113">
            <v>3.2582435156062619</v>
          </cell>
          <cell r="AG113">
            <v>26.29647750429287</v>
          </cell>
          <cell r="AH113">
            <v>18.410033171135041</v>
          </cell>
          <cell r="AI113">
            <v>17.333001143532098</v>
          </cell>
          <cell r="AJ113">
            <v>13.434527473073462</v>
          </cell>
          <cell r="AK113">
            <v>14.325782544637518</v>
          </cell>
          <cell r="AL113">
            <v>16.783498298177005</v>
          </cell>
          <cell r="AM113">
            <v>15.537619765629637</v>
          </cell>
          <cell r="AN113">
            <v>16.122120545345634</v>
          </cell>
          <cell r="AO113">
            <v>14.990291835650687</v>
          </cell>
          <cell r="AP113">
            <v>14.542335085793297</v>
          </cell>
          <cell r="AQ113">
            <v>14.430574030025166</v>
          </cell>
          <cell r="AR113">
            <v>14.430574030025166</v>
          </cell>
          <cell r="AS113">
            <v>14.430574030025166</v>
          </cell>
          <cell r="AT113">
            <v>14.430574030025166</v>
          </cell>
          <cell r="AU113">
            <v>14.430574030025166</v>
          </cell>
          <cell r="AV113">
            <v>14.430574030025166</v>
          </cell>
          <cell r="AW113">
            <v>14.430574030025166</v>
          </cell>
          <cell r="AX113">
            <v>14.430574030025166</v>
          </cell>
          <cell r="AY113">
            <v>14.430574030025166</v>
          </cell>
          <cell r="AZ113">
            <v>14.430574030025166</v>
          </cell>
          <cell r="BA113">
            <v>14.430574030025166</v>
          </cell>
          <cell r="BB113">
            <v>14.430574030025166</v>
          </cell>
          <cell r="BC113">
            <v>14.430574030025166</v>
          </cell>
          <cell r="BD113">
            <v>14.430574030025166</v>
          </cell>
          <cell r="BE113">
            <v>14.430574030025166</v>
          </cell>
          <cell r="BF113">
            <v>14.430574030025166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6.8104071013161906</v>
          </cell>
          <cell r="P114">
            <v>40.5</v>
          </cell>
          <cell r="Q114">
            <v>33</v>
          </cell>
          <cell r="R114">
            <v>32</v>
          </cell>
          <cell r="S114">
            <v>49</v>
          </cell>
          <cell r="T114">
            <v>31</v>
          </cell>
          <cell r="U114">
            <v>43</v>
          </cell>
          <cell r="V114">
            <v>36.67</v>
          </cell>
          <cell r="W114">
            <v>49</v>
          </cell>
          <cell r="X114">
            <v>37.93</v>
          </cell>
          <cell r="Y114">
            <v>33.29</v>
          </cell>
          <cell r="Z114">
            <v>50.96</v>
          </cell>
          <cell r="AA114">
            <v>40.270000000000003</v>
          </cell>
          <cell r="AB114">
            <v>55.38</v>
          </cell>
          <cell r="AC114">
            <v>19.176138475083587</v>
          </cell>
          <cell r="AD114">
            <v>19.659876578107184</v>
          </cell>
          <cell r="AE114">
            <v>26.558214183198217</v>
          </cell>
          <cell r="AF114">
            <v>13.168262905898681</v>
          </cell>
          <cell r="AG114">
            <v>25.123495927040739</v>
          </cell>
          <cell r="AH114">
            <v>18.43053064439237</v>
          </cell>
          <cell r="AI114">
            <v>18.89435956427441</v>
          </cell>
          <cell r="AJ114">
            <v>15.170169444425385</v>
          </cell>
          <cell r="AK114">
            <v>16.324927340908491</v>
          </cell>
          <cell r="AL114">
            <v>17.674140726597773</v>
          </cell>
          <cell r="AM114">
            <v>16.784515424305081</v>
          </cell>
          <cell r="AN114">
            <v>17.687949360610109</v>
          </cell>
          <cell r="AO114">
            <v>16.465029019736878</v>
          </cell>
          <cell r="AP114">
            <v>15.88500433366675</v>
          </cell>
          <cell r="AQ114">
            <v>15.639559155239608</v>
          </cell>
          <cell r="AR114">
            <v>15.639559155239608</v>
          </cell>
          <cell r="AS114">
            <v>15.639559155239608</v>
          </cell>
          <cell r="AT114">
            <v>15.639559155239608</v>
          </cell>
          <cell r="AU114">
            <v>15.639559155239608</v>
          </cell>
          <cell r="AV114">
            <v>15.639559155239608</v>
          </cell>
          <cell r="AW114">
            <v>15.639559155239608</v>
          </cell>
          <cell r="AX114">
            <v>15.639559155239608</v>
          </cell>
          <cell r="AY114">
            <v>15.639559155239608</v>
          </cell>
          <cell r="AZ114">
            <v>15.639559155239608</v>
          </cell>
          <cell r="BA114">
            <v>15.639559155239608</v>
          </cell>
          <cell r="BB114">
            <v>15.639559155239608</v>
          </cell>
          <cell r="BC114">
            <v>15.639559155239608</v>
          </cell>
          <cell r="BD114">
            <v>15.639559155239608</v>
          </cell>
          <cell r="BE114">
            <v>15.639559155239608</v>
          </cell>
          <cell r="BF114">
            <v>15.639559155239608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11.367370676461583</v>
          </cell>
          <cell r="P115">
            <v>40</v>
          </cell>
          <cell r="Q115">
            <v>31</v>
          </cell>
          <cell r="R115">
            <v>30</v>
          </cell>
          <cell r="S115">
            <v>48</v>
          </cell>
          <cell r="T115">
            <v>34</v>
          </cell>
          <cell r="U115">
            <v>41</v>
          </cell>
          <cell r="V115">
            <v>36.380000000000003</v>
          </cell>
          <cell r="W115">
            <v>54</v>
          </cell>
          <cell r="X115">
            <v>38.28</v>
          </cell>
          <cell r="Y115">
            <v>35.130000000000003</v>
          </cell>
          <cell r="Z115">
            <v>54.77</v>
          </cell>
          <cell r="AA115">
            <v>29.61</v>
          </cell>
          <cell r="AB115">
            <v>54.52</v>
          </cell>
          <cell r="AC115">
            <v>14.715028424302634</v>
          </cell>
          <cell r="AD115">
            <v>19.731583582260278</v>
          </cell>
          <cell r="AE115">
            <v>40.577882091969094</v>
          </cell>
          <cell r="AF115">
            <v>9.0076143998447691</v>
          </cell>
          <cell r="AG115">
            <v>27.239233003150471</v>
          </cell>
          <cell r="AH115">
            <v>19.735068011785433</v>
          </cell>
          <cell r="AI115">
            <v>21.408091191230156</v>
          </cell>
          <cell r="AJ115">
            <v>17.526351193994614</v>
          </cell>
          <cell r="AK115">
            <v>17.278387458868576</v>
          </cell>
          <cell r="AL115">
            <v>19.440980535861843</v>
          </cell>
          <cell r="AM115">
            <v>18.528826329320903</v>
          </cell>
          <cell r="AN115">
            <v>19.645850185564019</v>
          </cell>
          <cell r="AO115">
            <v>18.215776186763847</v>
          </cell>
          <cell r="AP115">
            <v>17.412362467030125</v>
          </cell>
          <cell r="AQ115">
            <v>17.255752235373084</v>
          </cell>
          <cell r="AR115">
            <v>17.255752235373084</v>
          </cell>
          <cell r="AS115">
            <v>17.255752235373084</v>
          </cell>
          <cell r="AT115">
            <v>17.255752235373084</v>
          </cell>
          <cell r="AU115">
            <v>17.255752235373084</v>
          </cell>
          <cell r="AV115">
            <v>17.255752235373084</v>
          </cell>
          <cell r="AW115">
            <v>17.255752235373084</v>
          </cell>
          <cell r="AX115">
            <v>17.255752235373084</v>
          </cell>
          <cell r="AY115">
            <v>17.255752235373084</v>
          </cell>
          <cell r="AZ115">
            <v>17.255752235373084</v>
          </cell>
          <cell r="BA115">
            <v>17.255752235373084</v>
          </cell>
          <cell r="BB115">
            <v>17.255752235373084</v>
          </cell>
          <cell r="BC115">
            <v>17.255752235373084</v>
          </cell>
          <cell r="BD115">
            <v>17.255752235373084</v>
          </cell>
          <cell r="BE115">
            <v>17.255752235373084</v>
          </cell>
          <cell r="BF115">
            <v>17.255752235373084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10.9</v>
          </cell>
          <cell r="P116">
            <v>37.299999999999997</v>
          </cell>
          <cell r="Q116">
            <v>28</v>
          </cell>
          <cell r="R116">
            <v>33</v>
          </cell>
          <cell r="S116">
            <v>40</v>
          </cell>
          <cell r="T116">
            <v>33</v>
          </cell>
          <cell r="U116">
            <v>38</v>
          </cell>
          <cell r="V116">
            <v>40.76</v>
          </cell>
          <cell r="W116">
            <v>54</v>
          </cell>
          <cell r="X116">
            <v>36</v>
          </cell>
          <cell r="Y116">
            <v>45.87</v>
          </cell>
          <cell r="Z116">
            <v>58.35</v>
          </cell>
          <cell r="AA116">
            <v>26.9</v>
          </cell>
          <cell r="AB116">
            <v>73.08</v>
          </cell>
          <cell r="AC116">
            <v>15.515162820757276</v>
          </cell>
          <cell r="AD116">
            <v>17.589755161114937</v>
          </cell>
          <cell r="AE116">
            <v>28.447345668360651</v>
          </cell>
          <cell r="AF116">
            <v>-1.0099043615745145</v>
          </cell>
          <cell r="AG116">
            <v>25.493523392108013</v>
          </cell>
          <cell r="AH116">
            <v>15.293601924559983</v>
          </cell>
          <cell r="AI116">
            <v>15.747667452913078</v>
          </cell>
          <cell r="AJ116">
            <v>12.483080295454215</v>
          </cell>
          <cell r="AK116">
            <v>12.776177380934435</v>
          </cell>
          <cell r="AL116">
            <v>15.287256381685754</v>
          </cell>
          <cell r="AM116">
            <v>13.886923925194615</v>
          </cell>
          <cell r="AN116">
            <v>14.631373555172079</v>
          </cell>
          <cell r="AO116">
            <v>13.60051592754191</v>
          </cell>
          <cell r="AP116">
            <v>13.130081284318274</v>
          </cell>
          <cell r="AQ116">
            <v>13.05364753984677</v>
          </cell>
          <cell r="AR116">
            <v>13.05364753984677</v>
          </cell>
          <cell r="AS116">
            <v>13.05364753984677</v>
          </cell>
          <cell r="AT116">
            <v>13.05364753984677</v>
          </cell>
          <cell r="AU116">
            <v>13.05364753984677</v>
          </cell>
          <cell r="AV116">
            <v>13.05364753984677</v>
          </cell>
          <cell r="AW116">
            <v>13.05364753984677</v>
          </cell>
          <cell r="AX116">
            <v>13.05364753984677</v>
          </cell>
          <cell r="AY116">
            <v>13.05364753984677</v>
          </cell>
          <cell r="AZ116">
            <v>13.05364753984677</v>
          </cell>
          <cell r="BA116">
            <v>13.05364753984677</v>
          </cell>
          <cell r="BB116">
            <v>13.05364753984677</v>
          </cell>
          <cell r="BC116">
            <v>13.05364753984677</v>
          </cell>
          <cell r="BD116">
            <v>13.05364753984677</v>
          </cell>
          <cell r="BE116">
            <v>13.05364753984677</v>
          </cell>
          <cell r="BF116">
            <v>13.05364753984677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5.8724241436569038</v>
          </cell>
          <cell r="U121">
            <v>2.7838677652749415</v>
          </cell>
          <cell r="V121">
            <v>11.252966294467813</v>
          </cell>
          <cell r="W121">
            <v>14.130295344215407</v>
          </cell>
          <cell r="X121">
            <v>8.0925558223978431</v>
          </cell>
          <cell r="Y121">
            <v>8.1239342468021096</v>
          </cell>
          <cell r="Z121">
            <v>10.082807897022454</v>
          </cell>
          <cell r="AA121">
            <v>17.701104649247856</v>
          </cell>
          <cell r="AB121">
            <v>25.387848835491077</v>
          </cell>
          <cell r="AC121">
            <v>11.082834073754878</v>
          </cell>
          <cell r="AD121">
            <v>25.017622961455949</v>
          </cell>
          <cell r="AE121">
            <v>42.646067316317762</v>
          </cell>
          <cell r="AF121">
            <v>39.964994319050767</v>
          </cell>
          <cell r="AG121">
            <v>41.46952504892699</v>
          </cell>
          <cell r="AH121">
            <v>31.233073545060172</v>
          </cell>
          <cell r="AI121">
            <v>51.405863693375693</v>
          </cell>
          <cell r="AJ121">
            <v>45.798996147790866</v>
          </cell>
          <cell r="AK121">
            <v>44.556063750772807</v>
          </cell>
          <cell r="AL121">
            <v>47.65302038757271</v>
          </cell>
          <cell r="AM121">
            <v>51.953431845040875</v>
          </cell>
          <cell r="AN121">
            <v>53.770253405546789</v>
          </cell>
          <cell r="AO121">
            <v>63.733445029364034</v>
          </cell>
          <cell r="AP121">
            <v>64.175446721401187</v>
          </cell>
          <cell r="AQ121">
            <v>62.683831972330374</v>
          </cell>
          <cell r="AR121">
            <v>65.817637935090971</v>
          </cell>
          <cell r="AS121">
            <v>71.217043253480625</v>
          </cell>
          <cell r="AT121">
            <v>81.210830408775621</v>
          </cell>
          <cell r="AU121">
            <v>89.581612167457124</v>
          </cell>
          <cell r="AV121">
            <v>89.773064308434101</v>
          </cell>
          <cell r="AW121">
            <v>78.938132808259567</v>
          </cell>
          <cell r="AX121">
            <v>83.532983931399698</v>
          </cell>
          <cell r="AY121">
            <v>88.287417778522908</v>
          </cell>
          <cell r="AZ121">
            <v>95.93048821287401</v>
          </cell>
          <cell r="BA121">
            <v>97.851519625883427</v>
          </cell>
          <cell r="BB121">
            <v>97.293136730483653</v>
          </cell>
          <cell r="BC121">
            <v>92.705748739794572</v>
          </cell>
          <cell r="BD121">
            <v>96.521492946149564</v>
          </cell>
          <cell r="BE121">
            <v>99.987593551139796</v>
          </cell>
          <cell r="BF121">
            <v>103.60248835513119</v>
          </cell>
          <cell r="BG121">
            <v>108.08658210164415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3.7673232710027191</v>
          </cell>
          <cell r="U122">
            <v>3.7420666011930486</v>
          </cell>
          <cell r="V122">
            <v>11.462058697409221</v>
          </cell>
          <cell r="W122">
            <v>13.891470903898515</v>
          </cell>
          <cell r="X122">
            <v>7.6622748627163793</v>
          </cell>
          <cell r="Y122">
            <v>10.879099789136434</v>
          </cell>
          <cell r="Z122">
            <v>9.0683226171118783</v>
          </cell>
          <cell r="AA122">
            <v>19.675178914983647</v>
          </cell>
          <cell r="AB122">
            <v>21.368563598170429</v>
          </cell>
          <cell r="AC122">
            <v>22.77617867596371</v>
          </cell>
          <cell r="AD122">
            <v>13.846146407033714</v>
          </cell>
          <cell r="AE122">
            <v>41.199536434294487</v>
          </cell>
          <cell r="AF122">
            <v>20</v>
          </cell>
          <cell r="AG122">
            <v>12.565816501386035</v>
          </cell>
          <cell r="AH122">
            <v>5.8754770334525119</v>
          </cell>
          <cell r="AI122">
            <v>30.224061221332963</v>
          </cell>
          <cell r="AJ122">
            <v>21.958954925039972</v>
          </cell>
          <cell r="AK122">
            <v>19.905451561929773</v>
          </cell>
          <cell r="AL122">
            <v>21.380621226312204</v>
          </cell>
          <cell r="AM122">
            <v>25.753031023010841</v>
          </cell>
          <cell r="AN122">
            <v>25.159838746653811</v>
          </cell>
          <cell r="AO122">
            <v>29.671789868503602</v>
          </cell>
          <cell r="AP122">
            <v>30.188753203056553</v>
          </cell>
          <cell r="AQ122">
            <v>29.754581300217072</v>
          </cell>
          <cell r="AR122">
            <v>30.895239864066614</v>
          </cell>
          <cell r="AS122">
            <v>33.483978373393391</v>
          </cell>
          <cell r="AT122">
            <v>38.289644157714989</v>
          </cell>
          <cell r="AU122">
            <v>42.256430517765011</v>
          </cell>
          <cell r="AV122">
            <v>42.243352899425467</v>
          </cell>
          <cell r="AW122">
            <v>37.141778486480284</v>
          </cell>
          <cell r="AX122">
            <v>39.333132301723033</v>
          </cell>
          <cell r="AY122">
            <v>41.568374169571229</v>
          </cell>
          <cell r="AZ122">
            <v>45.155584159143729</v>
          </cell>
          <cell r="BA122">
            <v>46.065164275615814</v>
          </cell>
          <cell r="BB122">
            <v>45.804399588328145</v>
          </cell>
          <cell r="BC122">
            <v>43.631922936577816</v>
          </cell>
          <cell r="BD122">
            <v>45.441058612406252</v>
          </cell>
          <cell r="BE122">
            <v>47.073624803057335</v>
          </cell>
          <cell r="BF122">
            <v>48.775689530653963</v>
          </cell>
          <cell r="BG122">
            <v>50.895588918105119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5.6370203341304759</v>
          </cell>
          <cell r="U123">
            <v>1.6463473881767254</v>
          </cell>
          <cell r="V123">
            <v>13.569561234207274</v>
          </cell>
          <cell r="W123">
            <v>16.783959937076965</v>
          </cell>
          <cell r="X123">
            <v>8.0827696137652278</v>
          </cell>
          <cell r="Y123">
            <v>10.833556497486649</v>
          </cell>
          <cell r="Z123">
            <v>10.082161654350489</v>
          </cell>
          <cell r="AA123">
            <v>24.03682787108653</v>
          </cell>
          <cell r="AB123">
            <v>28.864079712019564</v>
          </cell>
          <cell r="AC123">
            <v>26.237467198707179</v>
          </cell>
          <cell r="AD123">
            <v>10.753734767633375</v>
          </cell>
          <cell r="AE123">
            <v>24.537963962559687</v>
          </cell>
          <cell r="AF123">
            <v>37.337066481050392</v>
          </cell>
          <cell r="AG123">
            <v>7.6301571834763919</v>
          </cell>
          <cell r="AH123">
            <v>4.8834716782897587</v>
          </cell>
          <cell r="AI123">
            <v>28.32624270939926</v>
          </cell>
          <cell r="AJ123">
            <v>23.972693220036973</v>
          </cell>
          <cell r="AK123">
            <v>17.795733502835173</v>
          </cell>
          <cell r="AL123">
            <v>20.424626370414408</v>
          </cell>
          <cell r="AM123">
            <v>24.879407373429203</v>
          </cell>
          <cell r="AN123">
            <v>24.631406813023791</v>
          </cell>
          <cell r="AO123">
            <v>28.197359953785906</v>
          </cell>
          <cell r="AP123">
            <v>29.078569348872747</v>
          </cell>
          <cell r="AQ123">
            <v>28.71464688133473</v>
          </cell>
          <cell r="AR123">
            <v>29.780559042841094</v>
          </cell>
          <cell r="AS123">
            <v>32.169298919839619</v>
          </cell>
          <cell r="AT123">
            <v>36.892067463926125</v>
          </cell>
          <cell r="AU123">
            <v>40.717212054316754</v>
          </cell>
          <cell r="AV123">
            <v>40.675718412497297</v>
          </cell>
          <cell r="AW123">
            <v>35.73791234575468</v>
          </cell>
          <cell r="AX123">
            <v>37.871787189158368</v>
          </cell>
          <cell r="AY123">
            <v>40.022235325846523</v>
          </cell>
          <cell r="AZ123">
            <v>43.471795840615201</v>
          </cell>
          <cell r="BA123">
            <v>44.345951500856742</v>
          </cell>
          <cell r="BB123">
            <v>44.097958640482169</v>
          </cell>
          <cell r="BC123">
            <v>42.000982300800885</v>
          </cell>
          <cell r="BD123">
            <v>43.748113821515027</v>
          </cell>
          <cell r="BE123">
            <v>45.319744820758643</v>
          </cell>
          <cell r="BF123">
            <v>46.958849085739203</v>
          </cell>
          <cell r="BG123">
            <v>49.0034832391582</v>
          </cell>
        </row>
        <row r="124"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3.7716318096448713</v>
          </cell>
          <cell r="U124">
            <v>0.89079952703630161</v>
          </cell>
          <cell r="V124">
            <v>10.277036478164135</v>
          </cell>
          <cell r="W124">
            <v>10.762364632597036</v>
          </cell>
          <cell r="X124">
            <v>6.8413708569851455</v>
          </cell>
          <cell r="Y124">
            <v>7.3358012685212444</v>
          </cell>
          <cell r="Z124">
            <v>5.4048121487600334</v>
          </cell>
          <cell r="AA124">
            <v>17.908570187061347</v>
          </cell>
          <cell r="AB124">
            <v>25.900736572615578</v>
          </cell>
          <cell r="AC124">
            <v>5.9888459600141681</v>
          </cell>
          <cell r="AD124">
            <v>25.188835125358384</v>
          </cell>
          <cell r="AE124">
            <v>22.653640084626534</v>
          </cell>
          <cell r="AF124">
            <v>38.985611907851876</v>
          </cell>
          <cell r="AG124">
            <v>25.047278792155979</v>
          </cell>
          <cell r="AH124">
            <v>29.770440633107786</v>
          </cell>
          <cell r="AI124">
            <v>29.257936212714871</v>
          </cell>
          <cell r="AJ124">
            <v>29.862451400027638</v>
          </cell>
          <cell r="AK124">
            <v>29.268575090883974</v>
          </cell>
          <cell r="AL124">
            <v>32.455807668071344</v>
          </cell>
          <cell r="AM124">
            <v>33.972825502405591</v>
          </cell>
          <cell r="AN124">
            <v>40.553623743741099</v>
          </cell>
          <cell r="AO124">
            <v>40.32488730429813</v>
          </cell>
          <cell r="AP124">
            <v>39.472683356121543</v>
          </cell>
          <cell r="AQ124">
            <v>41.571852974578668</v>
          </cell>
          <cell r="AR124">
            <v>44.923464648457447</v>
          </cell>
          <cell r="AS124">
            <v>51.166951045252482</v>
          </cell>
          <cell r="AT124">
            <v>56.460757718424745</v>
          </cell>
          <cell r="AU124">
            <v>56.616280912306621</v>
          </cell>
          <cell r="AV124">
            <v>49.833404757612698</v>
          </cell>
          <cell r="AW124">
            <v>52.706881155196726</v>
          </cell>
          <cell r="AX124">
            <v>55.714634068822981</v>
          </cell>
          <cell r="AY124">
            <v>60.528730780192461</v>
          </cell>
          <cell r="AZ124">
            <v>61.740047830753248</v>
          </cell>
          <cell r="BA124">
            <v>61.391986315850787</v>
          </cell>
          <cell r="BB124">
            <v>58.520693538265093</v>
          </cell>
          <cell r="BC124">
            <v>60.899211572536103</v>
          </cell>
          <cell r="BD124">
            <v>63.086020790751881</v>
          </cell>
          <cell r="BE124">
            <v>65.36726582779248</v>
          </cell>
          <cell r="BF124">
            <v>68.178937416206253</v>
          </cell>
        </row>
        <row r="125"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1.4931275279293936</v>
          </cell>
          <cell r="U125">
            <v>0.72240306340083849</v>
          </cell>
          <cell r="V125">
            <v>11.982783057866795</v>
          </cell>
          <cell r="W125">
            <v>8.1254103208707829</v>
          </cell>
          <cell r="X125">
            <v>4.0127750964301931</v>
          </cell>
          <cell r="Y125">
            <v>8.3586112271138795</v>
          </cell>
          <cell r="Z125">
            <v>8.1691532159213516</v>
          </cell>
          <cell r="AA125">
            <v>20.200603629913864</v>
          </cell>
          <cell r="AB125">
            <v>23.215910035985935</v>
          </cell>
          <cell r="AC125">
            <v>26.825504507983858</v>
          </cell>
          <cell r="AD125">
            <v>19.743035420778099</v>
          </cell>
          <cell r="AE125">
            <v>19.259742136543952</v>
          </cell>
          <cell r="AF125">
            <v>39.253174454193235</v>
          </cell>
          <cell r="AG125">
            <v>19.25429929694608</v>
          </cell>
          <cell r="AH125">
            <v>28.007837627078395</v>
          </cell>
          <cell r="AI125">
            <v>29.238922840400598</v>
          </cell>
          <cell r="AJ125">
            <v>29.850153641387266</v>
          </cell>
          <cell r="AK125">
            <v>28.562921210102839</v>
          </cell>
          <cell r="AL125">
            <v>31.539866480684523</v>
          </cell>
          <cell r="AM125">
            <v>33.66937731001584</v>
          </cell>
          <cell r="AN125">
            <v>39.93061750843296</v>
          </cell>
          <cell r="AO125">
            <v>39.527382312387708</v>
          </cell>
          <cell r="AP125">
            <v>38.724005368933774</v>
          </cell>
          <cell r="AQ125">
            <v>40.881191633220418</v>
          </cell>
          <cell r="AR125">
            <v>44.183303697034127</v>
          </cell>
          <cell r="AS125">
            <v>50.296090959572147</v>
          </cell>
          <cell r="AT125">
            <v>55.531454088245304</v>
          </cell>
          <cell r="AU125">
            <v>55.65493767818618</v>
          </cell>
          <cell r="AV125">
            <v>48.901356898231874</v>
          </cell>
          <cell r="AW125">
            <v>51.750862328523667</v>
          </cell>
          <cell r="AX125">
            <v>54.71013021354571</v>
          </cell>
          <cell r="AY125">
            <v>59.444884047012209</v>
          </cell>
          <cell r="AZ125">
            <v>60.628893578396365</v>
          </cell>
          <cell r="BA125">
            <v>60.284348267466171</v>
          </cell>
          <cell r="BB125">
            <v>57.435287248357398</v>
          </cell>
          <cell r="BC125">
            <v>59.810358021698129</v>
          </cell>
          <cell r="BD125">
            <v>61.95637730481414</v>
          </cell>
          <cell r="BE125">
            <v>64.197037295160669</v>
          </cell>
          <cell r="BF125">
            <v>66.98398095787222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4.7896411437078728</v>
          </cell>
          <cell r="U126">
            <v>1.2013686030915922</v>
          </cell>
          <cell r="V126">
            <v>14.471894654031134</v>
          </cell>
          <cell r="W126">
            <v>9.5642908650068819</v>
          </cell>
          <cell r="X126">
            <v>8.8949860656389355</v>
          </cell>
          <cell r="Y126">
            <v>6.2395923164890759</v>
          </cell>
          <cell r="Z126">
            <v>9.1690351731975213</v>
          </cell>
          <cell r="AA126">
            <v>17.562553203138918</v>
          </cell>
          <cell r="AB126">
            <v>28.684863038102449</v>
          </cell>
          <cell r="AC126">
            <v>31.65318283519581</v>
          </cell>
          <cell r="AD126">
            <v>26.785649829329582</v>
          </cell>
          <cell r="AE126">
            <v>15.69122701761828</v>
          </cell>
          <cell r="AF126">
            <v>56.757263749573816</v>
          </cell>
          <cell r="AG126">
            <v>42.549533368746722</v>
          </cell>
          <cell r="AH126">
            <v>37.84587837056538</v>
          </cell>
          <cell r="AI126">
            <v>40.72229183085642</v>
          </cell>
          <cell r="AJ126">
            <v>46.785460883874862</v>
          </cell>
          <cell r="AK126">
            <v>43.694399485211768</v>
          </cell>
          <cell r="AL126">
            <v>45.93479387200896</v>
          </cell>
          <cell r="AM126">
            <v>49.959769919504701</v>
          </cell>
          <cell r="AN126">
            <v>60.282361421249227</v>
          </cell>
          <cell r="AO126">
            <v>59.118861500481643</v>
          </cell>
          <cell r="AP126">
            <v>57.588737836678789</v>
          </cell>
          <cell r="AQ126">
            <v>61.109044516639166</v>
          </cell>
          <cell r="AR126">
            <v>66.075971555117164</v>
          </cell>
          <cell r="AS126">
            <v>75.007340022851821</v>
          </cell>
          <cell r="AT126">
            <v>82.761815679766798</v>
          </cell>
          <cell r="AU126">
            <v>83.123259022598887</v>
          </cell>
          <cell r="AV126">
            <v>73.193264096722118</v>
          </cell>
          <cell r="AW126">
            <v>77.363860995906279</v>
          </cell>
          <cell r="AX126">
            <v>81.781585569779395</v>
          </cell>
          <cell r="AY126">
            <v>88.861369951209653</v>
          </cell>
          <cell r="AZ126">
            <v>90.634850653991819</v>
          </cell>
          <cell r="BA126">
            <v>90.121459967768175</v>
          </cell>
          <cell r="BB126">
            <v>85.926292991382994</v>
          </cell>
          <cell r="BC126">
            <v>89.396820810666171</v>
          </cell>
          <cell r="BD126">
            <v>92.606199207618644</v>
          </cell>
          <cell r="BE126">
            <v>95.954813515444812</v>
          </cell>
          <cell r="BF126">
            <v>100.06896829256243</v>
          </cell>
        </row>
        <row r="127"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3.2395954990802656</v>
          </cell>
          <cell r="U127">
            <v>1.0423436182370875</v>
          </cell>
          <cell r="V127">
            <v>12.988143695311152</v>
          </cell>
          <cell r="W127">
            <v>9.4191072521346886</v>
          </cell>
          <cell r="X127">
            <v>9.9461118527016037</v>
          </cell>
          <cell r="Y127">
            <v>8.0352460486358002</v>
          </cell>
          <cell r="Z127">
            <v>9.9718675696773982</v>
          </cell>
          <cell r="AA127">
            <v>19.028587940647217</v>
          </cell>
          <cell r="AB127">
            <v>25.16029240774435</v>
          </cell>
          <cell r="AC127">
            <v>42.184652289280749</v>
          </cell>
          <cell r="AD127">
            <v>38.988505099559198</v>
          </cell>
          <cell r="AE127">
            <v>11.443236373317834</v>
          </cell>
          <cell r="AF127">
            <v>59.166951151108044</v>
          </cell>
          <cell r="AG127">
            <v>53.738104197431895</v>
          </cell>
          <cell r="AH127">
            <v>42.695787658101636</v>
          </cell>
          <cell r="AI127">
            <v>41.142850800676911</v>
          </cell>
          <cell r="AJ127">
            <v>48.720461570829322</v>
          </cell>
          <cell r="AK127">
            <v>49.780658393753633</v>
          </cell>
          <cell r="AL127">
            <v>49.497841311910918</v>
          </cell>
          <cell r="AM127">
            <v>53.318222843037205</v>
          </cell>
          <cell r="AN127">
            <v>65.155872705040096</v>
          </cell>
          <cell r="AO127">
            <v>64.532514702987939</v>
          </cell>
          <cell r="AP127">
            <v>62.119123239842864</v>
          </cell>
          <cell r="AQ127">
            <v>65.906194156763632</v>
          </cell>
          <cell r="AR127">
            <v>71.570027930314566</v>
          </cell>
          <cell r="AS127">
            <v>81.343633142799163</v>
          </cell>
          <cell r="AT127">
            <v>89.593539950238068</v>
          </cell>
          <cell r="AU127">
            <v>89.91645297000295</v>
          </cell>
          <cell r="AV127">
            <v>79.063311035047164</v>
          </cell>
          <cell r="AW127">
            <v>83.628124888879839</v>
          </cell>
          <cell r="AX127">
            <v>88.3889004009161</v>
          </cell>
          <cell r="AY127">
            <v>96.061946261634347</v>
          </cell>
          <cell r="AZ127">
            <v>97.977197520268007</v>
          </cell>
          <cell r="BA127">
            <v>97.412497542082292</v>
          </cell>
          <cell r="BB127">
            <v>92.814774162576796</v>
          </cell>
          <cell r="BC127">
            <v>96.649142304134926</v>
          </cell>
          <cell r="BD127">
            <v>100.11586389619085</v>
          </cell>
          <cell r="BE127">
            <v>103.73498976395952</v>
          </cell>
          <cell r="BF127">
            <v>108.23420325773915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3.4184731548993219</v>
          </cell>
          <cell r="U128">
            <v>0.98422314233840646</v>
          </cell>
          <cell r="V128">
            <v>15.736737845667692</v>
          </cell>
          <cell r="W128">
            <v>9.5590842991049154</v>
          </cell>
          <cell r="X128">
            <v>9.6933543978175187</v>
          </cell>
          <cell r="Y128">
            <v>9.6735773275883279</v>
          </cell>
          <cell r="Z128">
            <v>8.2745372879810599</v>
          </cell>
          <cell r="AA128">
            <v>19.751928333563626</v>
          </cell>
          <cell r="AB128">
            <v>28.835399167106448</v>
          </cell>
          <cell r="AC128">
            <v>39.677181664278109</v>
          </cell>
          <cell r="AD128">
            <v>42.194931195916446</v>
          </cell>
          <cell r="AE128">
            <v>13.992306874219544</v>
          </cell>
          <cell r="AF128">
            <v>44.593066972851631</v>
          </cell>
          <cell r="AG128">
            <v>39.980088702545274</v>
          </cell>
          <cell r="AH128">
            <v>40.176026728493767</v>
          </cell>
          <cell r="AI128">
            <v>39.360844303413792</v>
          </cell>
          <cell r="AJ128">
            <v>45.817855535663732</v>
          </cell>
          <cell r="AK128">
            <v>45.4961791519938</v>
          </cell>
          <cell r="AL128">
            <v>46.415454292399069</v>
          </cell>
          <cell r="AM128">
            <v>49.930996267864238</v>
          </cell>
          <cell r="AN128">
            <v>60.794521495457303</v>
          </cell>
          <cell r="AO128">
            <v>59.979987911120176</v>
          </cell>
          <cell r="AP128">
            <v>58.019378218771543</v>
          </cell>
          <cell r="AQ128">
            <v>61.510708786845093</v>
          </cell>
          <cell r="AR128">
            <v>66.740721995159959</v>
          </cell>
          <cell r="AS128">
            <v>75.847372507743458</v>
          </cell>
          <cell r="AT128">
            <v>83.59012183048921</v>
          </cell>
          <cell r="AU128">
            <v>83.874589000046015</v>
          </cell>
          <cell r="AV128">
            <v>73.737534408714524</v>
          </cell>
          <cell r="AW128">
            <v>77.999122222105555</v>
          </cell>
          <cell r="AX128">
            <v>82.446099953186959</v>
          </cell>
          <cell r="AY128">
            <v>89.598207606874709</v>
          </cell>
          <cell r="AZ128">
            <v>91.384582812717781</v>
          </cell>
          <cell r="BA128">
            <v>90.858838674269194</v>
          </cell>
          <cell r="BB128">
            <v>86.569119636650299</v>
          </cell>
          <cell r="BC128">
            <v>90.146776612306823</v>
          </cell>
          <cell r="BD128">
            <v>93.380330015891928</v>
          </cell>
          <cell r="BE128">
            <v>96.75640765057058</v>
          </cell>
          <cell r="BF128">
            <v>100.95430069919196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3.1379376067134794</v>
          </cell>
          <cell r="U129">
            <v>1.6285899375632027</v>
          </cell>
          <cell r="V129">
            <v>15.157280121725764</v>
          </cell>
          <cell r="W129">
            <v>8.6130156456188072</v>
          </cell>
          <cell r="X129">
            <v>8.8260616947618775</v>
          </cell>
          <cell r="Y129">
            <v>7.0079860646056016</v>
          </cell>
          <cell r="Z129">
            <v>4.4374176270868952</v>
          </cell>
          <cell r="AA129">
            <v>19.932414826842177</v>
          </cell>
          <cell r="AB129">
            <v>36.601617799564529</v>
          </cell>
          <cell r="AC129">
            <v>42.205418999045385</v>
          </cell>
          <cell r="AD129">
            <v>35.571376600113204</v>
          </cell>
          <cell r="AE129">
            <v>46.334547270147297</v>
          </cell>
          <cell r="AF129">
            <v>52.469775457957539</v>
          </cell>
          <cell r="AG129">
            <v>42.268085087308378</v>
          </cell>
          <cell r="AH129">
            <v>49.172978334317527</v>
          </cell>
          <cell r="AI129">
            <v>51.606761558569922</v>
          </cell>
          <cell r="AJ129">
            <v>51.629487300650545</v>
          </cell>
          <cell r="AK129">
            <v>53.749279370721688</v>
          </cell>
          <cell r="AL129">
            <v>56.060849320154489</v>
          </cell>
          <cell r="AM129">
            <v>60.105623619359207</v>
          </cell>
          <cell r="AN129">
            <v>71.55924666042759</v>
          </cell>
          <cell r="AO129">
            <v>71.533696949383696</v>
          </cell>
          <cell r="AP129">
            <v>69.423842422066485</v>
          </cell>
          <cell r="AQ129">
            <v>73.384542806434936</v>
          </cell>
          <cell r="AR129">
            <v>79.360952880061916</v>
          </cell>
          <cell r="AS129">
            <v>90.3640268364381</v>
          </cell>
          <cell r="AT129">
            <v>99.604989669574636</v>
          </cell>
          <cell r="AU129">
            <v>99.954175160404318</v>
          </cell>
          <cell r="AV129">
            <v>87.978982121839053</v>
          </cell>
          <cell r="AW129">
            <v>93.05016326795274</v>
          </cell>
          <cell r="AX129">
            <v>98.341946933151405</v>
          </cell>
          <cell r="AY129">
            <v>106.85431349714798</v>
          </cell>
          <cell r="AZ129">
            <v>108.99119920392786</v>
          </cell>
          <cell r="BA129">
            <v>108.37512880413493</v>
          </cell>
          <cell r="BB129">
            <v>103.30581244823554</v>
          </cell>
          <cell r="BC129">
            <v>107.50580258816206</v>
          </cell>
          <cell r="BD129">
            <v>111.36578503355943</v>
          </cell>
          <cell r="BE129">
            <v>115.39263502920009</v>
          </cell>
          <cell r="BF129">
            <v>120.35611706438584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5.8277841403859982</v>
          </cell>
          <cell r="U130">
            <v>11.560162452630509</v>
          </cell>
          <cell r="V130">
            <v>12.841409040912241</v>
          </cell>
          <cell r="W130">
            <v>9.3387139765117997</v>
          </cell>
          <cell r="X130">
            <v>7.6455292851873766</v>
          </cell>
          <cell r="Y130">
            <v>7.7100978970361203</v>
          </cell>
          <cell r="Z130">
            <v>0</v>
          </cell>
          <cell r="AA130">
            <v>23.023795701441198</v>
          </cell>
          <cell r="AB130">
            <v>27.720550684861088</v>
          </cell>
          <cell r="AC130">
            <v>39.386659029678334</v>
          </cell>
          <cell r="AD130">
            <v>42.285085782848462</v>
          </cell>
          <cell r="AE130">
            <v>38.998194290992615</v>
          </cell>
          <cell r="AF130">
            <v>53.035715775176904</v>
          </cell>
          <cell r="AG130">
            <v>43.26637486990407</v>
          </cell>
          <cell r="AH130">
            <v>51.478237180271478</v>
          </cell>
          <cell r="AI130">
            <v>50.14519589297106</v>
          </cell>
          <cell r="AJ130">
            <v>51.88119084603872</v>
          </cell>
          <cell r="AK130">
            <v>54.609630424495698</v>
          </cell>
          <cell r="AL130">
            <v>56.616030876143029</v>
          </cell>
          <cell r="AM130">
            <v>60.027737826416327</v>
          </cell>
          <cell r="AN130">
            <v>72.057709571761279</v>
          </cell>
          <cell r="AO130">
            <v>72.172415614863453</v>
          </cell>
          <cell r="AP130">
            <v>69.864736343442701</v>
          </cell>
          <cell r="AQ130">
            <v>73.719550407298556</v>
          </cell>
          <cell r="AR130">
            <v>79.892350887718791</v>
          </cell>
          <cell r="AS130">
            <v>91.018711246719747</v>
          </cell>
          <cell r="AT130">
            <v>100.29024268731501</v>
          </cell>
          <cell r="AU130">
            <v>100.57310606034217</v>
          </cell>
          <cell r="AV130">
            <v>88.475242065000828</v>
          </cell>
          <cell r="AW130">
            <v>93.607254972454911</v>
          </cell>
          <cell r="AX130">
            <v>98.930744876787557</v>
          </cell>
          <cell r="AY130">
            <v>107.49699675648989</v>
          </cell>
          <cell r="AZ130">
            <v>109.64496179840373</v>
          </cell>
          <cell r="BA130">
            <v>109.02179947963877</v>
          </cell>
          <cell r="BB130">
            <v>103.8950032690387</v>
          </cell>
          <cell r="BC130">
            <v>108.15697595016812</v>
          </cell>
          <cell r="BD130">
            <v>112.03871876246387</v>
          </cell>
          <cell r="BE130">
            <v>116.0893583334893</v>
          </cell>
          <cell r="BF130">
            <v>121.10633876048449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4.3243729288969677</v>
          </cell>
          <cell r="U131">
            <v>9.050597514944231</v>
          </cell>
          <cell r="V131">
            <v>1.5826274409803507</v>
          </cell>
          <cell r="W131">
            <v>9.0968240505263065</v>
          </cell>
          <cell r="X131">
            <v>9.7397455301895537</v>
          </cell>
          <cell r="Y131">
            <v>9.7722530581025389</v>
          </cell>
          <cell r="Z131">
            <v>5.902900917836849</v>
          </cell>
          <cell r="AA131">
            <v>14.262558304723646</v>
          </cell>
          <cell r="AB131">
            <v>22.982761827727906</v>
          </cell>
          <cell r="AC131">
            <v>39.682748457597292</v>
          </cell>
          <cell r="AD131">
            <v>43.627141795865406</v>
          </cell>
          <cell r="AE131">
            <v>18.849286736358728</v>
          </cell>
          <cell r="AF131">
            <v>46.565569139430352</v>
          </cell>
          <cell r="AG131">
            <v>31.382571690077782</v>
          </cell>
          <cell r="AH131">
            <v>40.674456498351212</v>
          </cell>
          <cell r="AI131">
            <v>36.522145019393946</v>
          </cell>
          <cell r="AJ131">
            <v>41.747275193382713</v>
          </cell>
          <cell r="AK131">
            <v>41.381523195605766</v>
          </cell>
          <cell r="AL131">
            <v>43.759134356089582</v>
          </cell>
          <cell r="AM131">
            <v>46.068625563451668</v>
          </cell>
          <cell r="AN131">
            <v>55.879785511277795</v>
          </cell>
          <cell r="AO131">
            <v>55.410358443677723</v>
          </cell>
          <cell r="AP131">
            <v>53.856277058312699</v>
          </cell>
          <cell r="AQ131">
            <v>56.869733729043205</v>
          </cell>
          <cell r="AR131">
            <v>61.596458971738343</v>
          </cell>
          <cell r="AS131">
            <v>70.003961232545791</v>
          </cell>
          <cell r="AT131">
            <v>77.176142346321825</v>
          </cell>
          <cell r="AU131">
            <v>77.496993655457871</v>
          </cell>
          <cell r="AV131">
            <v>68.316554576889914</v>
          </cell>
          <cell r="AW131">
            <v>72.198158654645638</v>
          </cell>
          <cell r="AX131">
            <v>76.303857434830547</v>
          </cell>
          <cell r="AY131">
            <v>82.904636880031134</v>
          </cell>
          <cell r="AZ131">
            <v>84.568782683809346</v>
          </cell>
          <cell r="BA131">
            <v>84.090705050198665</v>
          </cell>
          <cell r="BB131">
            <v>80.191351024767755</v>
          </cell>
          <cell r="BC131">
            <v>83.406672877814628</v>
          </cell>
          <cell r="BD131">
            <v>86.403241904175999</v>
          </cell>
          <cell r="BE131">
            <v>89.526949150202029</v>
          </cell>
          <cell r="BF131">
            <v>93.350000172969743</v>
          </cell>
        </row>
        <row r="132"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2.7476015168083139</v>
          </cell>
          <cell r="U132">
            <v>9.9446457534188841</v>
          </cell>
          <cell r="V132">
            <v>5.4196977264671444</v>
          </cell>
          <cell r="W132">
            <v>8.3647093782255162</v>
          </cell>
          <cell r="X132">
            <v>7.6441314951205657</v>
          </cell>
          <cell r="Y132">
            <v>8.6974045484892226</v>
          </cell>
          <cell r="Z132">
            <v>13.187057299971132</v>
          </cell>
          <cell r="AA132">
            <v>20.155688857931118</v>
          </cell>
          <cell r="AB132">
            <v>23.767852162619732</v>
          </cell>
          <cell r="AC132">
            <v>37.927154019818765</v>
          </cell>
          <cell r="AD132">
            <v>44.360165078380383</v>
          </cell>
          <cell r="AE132">
            <v>18.240668577987794</v>
          </cell>
          <cell r="AF132">
            <v>46.698294380795424</v>
          </cell>
          <cell r="AG132">
            <v>43.89234832870784</v>
          </cell>
          <cell r="AH132">
            <v>44.281788977725121</v>
          </cell>
          <cell r="AI132">
            <v>41.680610658048096</v>
          </cell>
          <cell r="AJ132">
            <v>48.563635661644675</v>
          </cell>
          <cell r="AK132">
            <v>49.273114574976567</v>
          </cell>
          <cell r="AL132">
            <v>50.012160922519442</v>
          </cell>
          <cell r="AM132">
            <v>53.401740168546858</v>
          </cell>
          <cell r="AN132">
            <v>65.079551423713042</v>
          </cell>
          <cell r="AO132">
            <v>64.578784228641297</v>
          </cell>
          <cell r="AP132">
            <v>62.317463085117957</v>
          </cell>
          <cell r="AQ132">
            <v>66.02783588450859</v>
          </cell>
          <cell r="AR132">
            <v>71.59793800388465</v>
          </cell>
          <cell r="AS132">
            <v>81.363609159077058</v>
          </cell>
          <cell r="AT132">
            <v>89.627228472589536</v>
          </cell>
          <cell r="AU132">
            <v>90.009743156956262</v>
          </cell>
          <cell r="AV132">
            <v>79.293498354945228</v>
          </cell>
          <cell r="AW132">
            <v>83.815878074486619</v>
          </cell>
          <cell r="AX132">
            <v>88.579304274213158</v>
          </cell>
          <cell r="AY132">
            <v>96.254446504764843</v>
          </cell>
          <cell r="AZ132">
            <v>98.181682140218825</v>
          </cell>
          <cell r="BA132">
            <v>97.623188884200857</v>
          </cell>
          <cell r="BB132">
            <v>93.072412896400081</v>
          </cell>
          <cell r="BC132">
            <v>96.838198568870141</v>
          </cell>
          <cell r="BD132">
            <v>100.31517467215015</v>
          </cell>
          <cell r="BE132">
            <v>103.94161087943765</v>
          </cell>
          <cell r="BF132">
            <v>108.40092019732734</v>
          </cell>
        </row>
        <row r="137"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</row>
        <row r="138"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</row>
        <row r="139"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</row>
        <row r="140"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</row>
        <row r="141"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</row>
        <row r="143"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</row>
        <row r="144"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</row>
        <row r="145"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</row>
        <row r="146"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</row>
        <row r="147"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</row>
        <row r="148"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</row>
        <row r="153">
          <cell r="Z153">
            <v>6.4659409162351009E-2</v>
          </cell>
          <cell r="AA153">
            <v>0.11168311790833652</v>
          </cell>
          <cell r="AB153">
            <v>0.11430299967840102</v>
          </cell>
          <cell r="AC153">
            <v>7.7349873787383366E-2</v>
          </cell>
          <cell r="AD153">
            <v>0.14298007792012157</v>
          </cell>
          <cell r="AE153">
            <v>0.64140553898352404</v>
          </cell>
          <cell r="AF153">
            <v>0.57511444606607409</v>
          </cell>
          <cell r="AG153">
            <v>1.3413412609546791</v>
          </cell>
          <cell r="AH153">
            <v>2.9031834444085436</v>
          </cell>
          <cell r="AI153">
            <v>12.383666398604413</v>
          </cell>
          <cell r="AJ153">
            <v>27.109226383611919</v>
          </cell>
          <cell r="AK153">
            <v>34.164946766874003</v>
          </cell>
          <cell r="AL153">
            <v>46.648982591879992</v>
          </cell>
          <cell r="AM153">
            <v>65.702733052206611</v>
          </cell>
          <cell r="AN153">
            <v>72.836397800669047</v>
          </cell>
          <cell r="AO153">
            <v>91.189390502837156</v>
          </cell>
          <cell r="AP153">
            <v>96.402737533802224</v>
          </cell>
          <cell r="AQ153">
            <v>105.13859672702868</v>
          </cell>
          <cell r="AR153">
            <v>108.90345021814963</v>
          </cell>
          <cell r="AS153">
            <v>84.319421634049803</v>
          </cell>
          <cell r="AT153">
            <v>92.009163870360183</v>
          </cell>
          <cell r="AU153">
            <v>103.35357860457528</v>
          </cell>
          <cell r="AV153">
            <v>102.95795916823221</v>
          </cell>
          <cell r="AW153">
            <v>102.3385241527677</v>
          </cell>
          <cell r="AX153">
            <v>106.77010687296074</v>
          </cell>
          <cell r="AY153">
            <v>110.21483240000941</v>
          </cell>
          <cell r="AZ153">
            <v>112.73480775031562</v>
          </cell>
          <cell r="BA153">
            <v>114.03403686843251</v>
          </cell>
          <cell r="BB153">
            <v>117.42293797845765</v>
          </cell>
          <cell r="BC153">
            <v>123.84838765036172</v>
          </cell>
          <cell r="BD153">
            <v>128.31963817117551</v>
          </cell>
          <cell r="BE153">
            <v>128.469222652578</v>
          </cell>
          <cell r="BF153">
            <v>128.25379620654243</v>
          </cell>
          <cell r="BG153">
            <v>131.26782796149055</v>
          </cell>
        </row>
        <row r="154">
          <cell r="Z154">
            <v>2.6522724200362304E-2</v>
          </cell>
          <cell r="AA154">
            <v>7.0993426302494472E-2</v>
          </cell>
          <cell r="AB154">
            <v>4.5220684291510237E-2</v>
          </cell>
          <cell r="AC154">
            <v>8.0647398331497949E-2</v>
          </cell>
          <cell r="AD154">
            <v>5.5012007362361275E-2</v>
          </cell>
          <cell r="AE154">
            <v>3.6318512607169638E-2</v>
          </cell>
          <cell r="AF154">
            <v>0</v>
          </cell>
          <cell r="AG154">
            <v>0.16776702258949741</v>
          </cell>
          <cell r="AH154">
            <v>0.49439065417899164</v>
          </cell>
          <cell r="AI154">
            <v>5.0109643992135933</v>
          </cell>
          <cell r="AJ154">
            <v>9.0480675160265545</v>
          </cell>
          <cell r="AK154">
            <v>10.563229194202524</v>
          </cell>
          <cell r="AL154">
            <v>14.460736604012386</v>
          </cell>
          <cell r="AM154">
            <v>22.777341933621329</v>
          </cell>
          <cell r="AN154">
            <v>23.730552656518483</v>
          </cell>
          <cell r="AO154">
            <v>29.539008113515877</v>
          </cell>
          <cell r="AP154">
            <v>31.542250372919657</v>
          </cell>
          <cell r="AQ154">
            <v>34.753132133300113</v>
          </cell>
          <cell r="AR154">
            <v>35.632864275170057</v>
          </cell>
          <cell r="AS154">
            <v>27.589033708612828</v>
          </cell>
          <cell r="AT154">
            <v>30.18174470417706</v>
          </cell>
          <cell r="AU154">
            <v>33.92671788861081</v>
          </cell>
          <cell r="AV154">
            <v>33.740179822597668</v>
          </cell>
          <cell r="AW154">
            <v>33.561992395244644</v>
          </cell>
          <cell r="AX154">
            <v>35.02745811755014</v>
          </cell>
          <cell r="AY154">
            <v>36.153116175752196</v>
          </cell>
          <cell r="AZ154">
            <v>36.970162937145801</v>
          </cell>
          <cell r="BA154">
            <v>37.402447774898327</v>
          </cell>
          <cell r="BB154">
            <v>38.516280357921175</v>
          </cell>
          <cell r="BC154">
            <v>40.621366728524777</v>
          </cell>
          <cell r="BD154">
            <v>42.086661544993035</v>
          </cell>
          <cell r="BE154">
            <v>42.137196831783136</v>
          </cell>
          <cell r="BF154">
            <v>42.066753839937597</v>
          </cell>
          <cell r="BG154">
            <v>43.054887967339035</v>
          </cell>
        </row>
        <row r="155">
          <cell r="Z155">
            <v>8.3554001202465436E-2</v>
          </cell>
          <cell r="AA155">
            <v>0.1417334238090398</v>
          </cell>
          <cell r="AB155">
            <v>7.6633485654713326E-2</v>
          </cell>
          <cell r="AC155">
            <v>8.6535146578878119E-2</v>
          </cell>
          <cell r="AD155">
            <v>2.8351229480139635E-2</v>
          </cell>
          <cell r="AE155">
            <v>0.25458423171370503</v>
          </cell>
          <cell r="AF155">
            <v>0.33262588824231681</v>
          </cell>
          <cell r="AG155">
            <v>0.128177357146286</v>
          </cell>
          <cell r="AH155">
            <v>0.29212916134126832</v>
          </cell>
          <cell r="AI155">
            <v>3.7546992263825705</v>
          </cell>
          <cell r="AJ155">
            <v>7.8944196503128037</v>
          </cell>
          <cell r="AK155">
            <v>7.5414835716381274</v>
          </cell>
          <cell r="AL155">
            <v>11.06658796383447</v>
          </cell>
          <cell r="AM155">
            <v>17.614095343770632</v>
          </cell>
          <cell r="AN155">
            <v>18.570379944814778</v>
          </cell>
          <cell r="AO155">
            <v>22.451093628256224</v>
          </cell>
          <cell r="AP155">
            <v>24.295538369714404</v>
          </cell>
          <cell r="AQ155">
            <v>26.833621583490942</v>
          </cell>
          <cell r="AR155">
            <v>27.479152200452429</v>
          </cell>
          <cell r="AS155">
            <v>21.196824524761769</v>
          </cell>
          <cell r="AT155">
            <v>23.254786688259056</v>
          </cell>
          <cell r="AU155">
            <v>26.142130442929897</v>
          </cell>
          <cell r="AV155">
            <v>25.986027147416856</v>
          </cell>
          <cell r="AW155">
            <v>25.837921336843912</v>
          </cell>
          <cell r="AX155">
            <v>26.980022723807416</v>
          </cell>
          <cell r="AY155">
            <v>27.8458252242797</v>
          </cell>
          <cell r="AZ155">
            <v>28.471952762964772</v>
          </cell>
          <cell r="BA155">
            <v>28.804335932804015</v>
          </cell>
          <cell r="BB155">
            <v>29.664301745549416</v>
          </cell>
          <cell r="BC155">
            <v>31.284973951392978</v>
          </cell>
          <cell r="BD155">
            <v>32.413007139987826</v>
          </cell>
          <cell r="BE155">
            <v>32.452038527076219</v>
          </cell>
          <cell r="BF155">
            <v>32.398094458617138</v>
          </cell>
          <cell r="BG155">
            <v>33.158908418461721</v>
          </cell>
        </row>
        <row r="156">
          <cell r="Z156">
            <v>5.0283928493882912E-2</v>
          </cell>
          <cell r="AA156">
            <v>9.8359330568608849E-2</v>
          </cell>
          <cell r="AB156">
            <v>2.4337227447044193E-2</v>
          </cell>
          <cell r="AC156">
            <v>4.5660189324841671E-2</v>
          </cell>
          <cell r="AD156">
            <v>0.12037005922383748</v>
          </cell>
          <cell r="AE156">
            <v>1.5677593123005453E-2</v>
          </cell>
          <cell r="AF156">
            <v>1.6611510550938893</v>
          </cell>
          <cell r="AG156">
            <v>2.002537607338299</v>
          </cell>
          <cell r="AH156">
            <v>4.8475674437985035</v>
          </cell>
          <cell r="AI156">
            <v>11.492387932752894</v>
          </cell>
          <cell r="AJ156">
            <v>15.030601876703942</v>
          </cell>
          <cell r="AK156">
            <v>19.619685893649134</v>
          </cell>
          <cell r="AL156">
            <v>28.150030811913773</v>
          </cell>
          <cell r="AM156">
            <v>31.060856723275478</v>
          </cell>
          <cell r="AN156">
            <v>38.931792964206281</v>
          </cell>
          <cell r="AO156">
            <v>40.696329971802669</v>
          </cell>
          <cell r="AP156">
            <v>44.623604391235787</v>
          </cell>
          <cell r="AQ156">
            <v>46.338516016527564</v>
          </cell>
          <cell r="AR156">
            <v>35.857155997497017</v>
          </cell>
          <cell r="AS156">
            <v>39.05978099933315</v>
          </cell>
          <cell r="AT156">
            <v>43.878504144094592</v>
          </cell>
          <cell r="AU156">
            <v>43.688348549306163</v>
          </cell>
          <cell r="AV156">
            <v>43.397034248552721</v>
          </cell>
          <cell r="AW156">
            <v>45.254498675637151</v>
          </cell>
          <cell r="AX156">
            <v>46.726529168376047</v>
          </cell>
          <cell r="AY156">
            <v>47.795358851720806</v>
          </cell>
          <cell r="AZ156">
            <v>48.344424743471613</v>
          </cell>
          <cell r="BA156">
            <v>49.780147095702191</v>
          </cell>
          <cell r="BB156">
            <v>52.504822609562169</v>
          </cell>
          <cell r="BC156">
            <v>54.400716496531231</v>
          </cell>
          <cell r="BD156">
            <v>54.46379273745444</v>
          </cell>
          <cell r="BE156">
            <v>54.372622774406373</v>
          </cell>
          <cell r="BF156">
            <v>55.650442210154807</v>
          </cell>
        </row>
        <row r="157">
          <cell r="Z157">
            <v>8.8308318359629295E-2</v>
          </cell>
          <cell r="AA157">
            <v>9.7903137965205111E-2</v>
          </cell>
          <cell r="AB157">
            <v>0</v>
          </cell>
          <cell r="AC157">
            <v>0.17119218726083216</v>
          </cell>
          <cell r="AD157">
            <v>0.45304039910425004</v>
          </cell>
          <cell r="AE157">
            <v>0.40453310297631362</v>
          </cell>
          <cell r="AF157">
            <v>0.21304765096048883</v>
          </cell>
          <cell r="AG157">
            <v>1.6134640294474438</v>
          </cell>
          <cell r="AH157">
            <v>7.3389355932036109</v>
          </cell>
          <cell r="AI157">
            <v>18.667564820214505</v>
          </cell>
          <cell r="AJ157">
            <v>24.768799144624946</v>
          </cell>
          <cell r="AK157">
            <v>30.140878307810215</v>
          </cell>
          <cell r="AL157">
            <v>43.28044222491998</v>
          </cell>
          <cell r="AM157">
            <v>49.456296062511477</v>
          </cell>
          <cell r="AN157">
            <v>61.907974081642436</v>
          </cell>
          <cell r="AO157">
            <v>64.421476925164754</v>
          </cell>
          <cell r="AP157">
            <v>70.53247660253777</v>
          </cell>
          <cell r="AQ157">
            <v>73.461576826366638</v>
          </cell>
          <cell r="AR157">
            <v>56.718821211060266</v>
          </cell>
          <cell r="AS157">
            <v>61.789802024812793</v>
          </cell>
          <cell r="AT157">
            <v>69.518337957083048</v>
          </cell>
          <cell r="AU157">
            <v>69.310634715775109</v>
          </cell>
          <cell r="AV157">
            <v>68.880535467391823</v>
          </cell>
          <cell r="AW157">
            <v>71.853823059061412</v>
          </cell>
          <cell r="AX157">
            <v>74.190384969099895</v>
          </cell>
          <cell r="AY157">
            <v>75.886347430443806</v>
          </cell>
          <cell r="AZ157">
            <v>76.754078567164058</v>
          </cell>
          <cell r="BA157">
            <v>79.03668638116207</v>
          </cell>
          <cell r="BB157">
            <v>83.364564744908407</v>
          </cell>
          <cell r="BC157">
            <v>86.372983345318957</v>
          </cell>
          <cell r="BD157">
            <v>86.472335685115681</v>
          </cell>
          <cell r="BE157">
            <v>86.328066275555415</v>
          </cell>
          <cell r="BF157">
            <v>88.357477392478074</v>
          </cell>
        </row>
        <row r="158">
          <cell r="Z158">
            <v>3.767635067163147E-2</v>
          </cell>
          <cell r="AA158">
            <v>9.0819293043526469E-2</v>
          </cell>
          <cell r="AB158">
            <v>0.17761675561802068</v>
          </cell>
          <cell r="AC158">
            <v>0.19039767257442433</v>
          </cell>
          <cell r="AD158">
            <v>0.64925898201124099</v>
          </cell>
          <cell r="AE158">
            <v>0.18342655843475458</v>
          </cell>
          <cell r="AF158">
            <v>1.9931703413826678</v>
          </cell>
          <cell r="AG158">
            <v>1.6535593388556329</v>
          </cell>
          <cell r="AH158">
            <v>3.8368031235518605</v>
          </cell>
          <cell r="AI158">
            <v>9.8345650346776292</v>
          </cell>
          <cell r="AJ158">
            <v>14.544329395559307</v>
          </cell>
          <cell r="AK158">
            <v>17.937993960216254</v>
          </cell>
          <cell r="AL158">
            <v>24.217242137012718</v>
          </cell>
          <cell r="AM158">
            <v>27.982849894998331</v>
          </cell>
          <cell r="AN158">
            <v>35.457141803561406</v>
          </cell>
          <cell r="AO158">
            <v>36.573128121753861</v>
          </cell>
          <cell r="AP158">
            <v>39.859297751283904</v>
          </cell>
          <cell r="AQ158">
            <v>41.683379884156409</v>
          </cell>
          <cell r="AR158">
            <v>32.299569736752588</v>
          </cell>
          <cell r="AS158">
            <v>35.076848247595386</v>
          </cell>
          <cell r="AT158">
            <v>39.407373857220435</v>
          </cell>
          <cell r="AU158">
            <v>39.287584270037698</v>
          </cell>
          <cell r="AV158">
            <v>39.022208041022864</v>
          </cell>
          <cell r="AW158">
            <v>40.681348145360097</v>
          </cell>
          <cell r="AX158">
            <v>42.006504608907363</v>
          </cell>
          <cell r="AY158">
            <v>42.974366631559235</v>
          </cell>
          <cell r="AZ158">
            <v>43.464051628987093</v>
          </cell>
          <cell r="BA158">
            <v>44.753331246912182</v>
          </cell>
          <cell r="BB158">
            <v>47.205171321933534</v>
          </cell>
          <cell r="BC158">
            <v>48.909872516007241</v>
          </cell>
          <cell r="BD158">
            <v>48.965560869055643</v>
          </cell>
          <cell r="BE158">
            <v>48.883510851390312</v>
          </cell>
          <cell r="BF158">
            <v>50.032896278274741</v>
          </cell>
        </row>
        <row r="159">
          <cell r="Z159">
            <v>7.2352602208039948E-2</v>
          </cell>
          <cell r="AA159">
            <v>0.11858615395168155</v>
          </cell>
          <cell r="AB159">
            <v>0.79850340774967965</v>
          </cell>
          <cell r="AC159">
            <v>0.2952591269251838</v>
          </cell>
          <cell r="AD159">
            <v>0.1386706448532086</v>
          </cell>
          <cell r="AE159">
            <v>0.15078171177390753</v>
          </cell>
          <cell r="AF159">
            <v>1.6848872937536792</v>
          </cell>
          <cell r="AG159">
            <v>3.5884232959722158</v>
          </cell>
          <cell r="AH159">
            <v>7.1214432113204253</v>
          </cell>
          <cell r="AI159">
            <v>16.538521669409398</v>
          </cell>
          <cell r="AJ159">
            <v>25.481033884226779</v>
          </cell>
          <cell r="AK159">
            <v>33.797545802154751</v>
          </cell>
          <cell r="AL159">
            <v>43.540278421304883</v>
          </cell>
          <cell r="AM159">
            <v>49.834195083331551</v>
          </cell>
          <cell r="AN159">
            <v>64.050595592216993</v>
          </cell>
          <cell r="AO159">
            <v>66.74992055951958</v>
          </cell>
          <cell r="AP159">
            <v>71.884541100436479</v>
          </cell>
          <cell r="AQ159">
            <v>75.227564272856512</v>
          </cell>
          <cell r="AR159">
            <v>58.406685213464129</v>
          </cell>
          <cell r="AS159">
            <v>63.491386891540088</v>
          </cell>
          <cell r="AT159">
            <v>71.228695690715682</v>
          </cell>
          <cell r="AU159">
            <v>71.063851995724761</v>
          </cell>
          <cell r="AV159">
            <v>70.636444542925176</v>
          </cell>
          <cell r="AW159">
            <v>73.638310667562592</v>
          </cell>
          <cell r="AX159">
            <v>76.017119730585947</v>
          </cell>
          <cell r="AY159">
            <v>77.777723753414762</v>
          </cell>
          <cell r="AZ159">
            <v>78.668134421295548</v>
          </cell>
          <cell r="BA159">
            <v>80.999199398059403</v>
          </cell>
          <cell r="BB159">
            <v>85.434160243616191</v>
          </cell>
          <cell r="BC159">
            <v>88.521829594088899</v>
          </cell>
          <cell r="BD159">
            <v>88.622820004415942</v>
          </cell>
          <cell r="BE159">
            <v>88.473445802217981</v>
          </cell>
          <cell r="BF159">
            <v>90.5537098913058</v>
          </cell>
        </row>
        <row r="160">
          <cell r="Z160">
            <v>2.5951781008311744E-2</v>
          </cell>
          <cell r="AA160">
            <v>0.131319558147486</v>
          </cell>
          <cell r="AB160">
            <v>0</v>
          </cell>
          <cell r="AC160">
            <v>0.22277685669716502</v>
          </cell>
          <cell r="AD160">
            <v>6.2748541607716896E-2</v>
          </cell>
          <cell r="AE160">
            <v>0.10092108314668474</v>
          </cell>
          <cell r="AF160">
            <v>3.7119933955056821</v>
          </cell>
          <cell r="AG160">
            <v>3.2997875134839645</v>
          </cell>
          <cell r="AH160">
            <v>8.1143380069980111</v>
          </cell>
          <cell r="AI160">
            <v>19.436155731338665</v>
          </cell>
          <cell r="AJ160">
            <v>29.331974730014938</v>
          </cell>
          <cell r="AK160">
            <v>38.266968801178237</v>
          </cell>
          <cell r="AL160">
            <v>49.872166952884996</v>
          </cell>
          <cell r="AM160">
            <v>57.165467981376686</v>
          </cell>
          <cell r="AN160">
            <v>73.299397570901505</v>
          </cell>
          <cell r="AO160">
            <v>76.063258903552111</v>
          </cell>
          <cell r="AP160">
            <v>82.344430686787476</v>
          </cell>
          <cell r="AQ160">
            <v>86.009260759385626</v>
          </cell>
          <cell r="AR160">
            <v>66.771588278640095</v>
          </cell>
          <cell r="AS160">
            <v>72.58192373144449</v>
          </cell>
          <cell r="AT160">
            <v>81.458119172648225</v>
          </cell>
          <cell r="AU160">
            <v>81.244156393231862</v>
          </cell>
          <cell r="AV160">
            <v>80.734022564717478</v>
          </cell>
          <cell r="AW160">
            <v>84.174178013811897</v>
          </cell>
          <cell r="AX160">
            <v>86.901103499831692</v>
          </cell>
          <cell r="AY160">
            <v>88.906431782886187</v>
          </cell>
          <cell r="AZ160">
            <v>89.923720297108204</v>
          </cell>
          <cell r="BA160">
            <v>92.589138580896332</v>
          </cell>
          <cell r="BB160">
            <v>97.660543344037592</v>
          </cell>
          <cell r="BC160">
            <v>101.18874902971339</v>
          </cell>
          <cell r="BD160">
            <v>101.30392799626694</v>
          </cell>
          <cell r="BE160">
            <v>101.13358131086423</v>
          </cell>
          <cell r="BF160">
            <v>103.51151517382428</v>
          </cell>
        </row>
        <row r="161">
          <cell r="Z161">
            <v>5.5022495788666304E-2</v>
          </cell>
          <cell r="AA161">
            <v>0.12152982199876008</v>
          </cell>
          <cell r="AB161">
            <v>0.38366170480523865</v>
          </cell>
          <cell r="AC161">
            <v>0.24371579268928281</v>
          </cell>
          <cell r="AD161">
            <v>0.67468591325085603</v>
          </cell>
          <cell r="AE161">
            <v>0.5556348960314148</v>
          </cell>
          <cell r="AF161">
            <v>1.139346918636198</v>
          </cell>
          <cell r="AG161">
            <v>3.5109707957292358</v>
          </cell>
          <cell r="AH161">
            <v>9.21844391837862</v>
          </cell>
          <cell r="AI161">
            <v>23.569193856612877</v>
          </cell>
          <cell r="AJ161">
            <v>30.495896607322553</v>
          </cell>
          <cell r="AK161">
            <v>40.992486170891439</v>
          </cell>
          <cell r="AL161">
            <v>55.563360720974195</v>
          </cell>
          <cell r="AM161">
            <v>63.30595774823378</v>
          </cell>
          <cell r="AN161">
            <v>79.492278293154442</v>
          </cell>
          <cell r="AO161">
            <v>83.519220727373551</v>
          </cell>
          <cell r="AP161">
            <v>90.609940040411843</v>
          </cell>
          <cell r="AQ161">
            <v>94.480477361588754</v>
          </cell>
          <cell r="AR161">
            <v>73.089974304901446</v>
          </cell>
          <cell r="AS161">
            <v>79.665322741592405</v>
          </cell>
          <cell r="AT161">
            <v>89.448991160260803</v>
          </cell>
          <cell r="AU161">
            <v>89.18172457589084</v>
          </cell>
          <cell r="AV161">
            <v>88.627431561575193</v>
          </cell>
          <cell r="AW161">
            <v>92.441661330302182</v>
          </cell>
          <cell r="AX161">
            <v>95.430098089257086</v>
          </cell>
          <cell r="AY161">
            <v>97.622270754623855</v>
          </cell>
          <cell r="AZ161">
            <v>98.740930279194231</v>
          </cell>
          <cell r="BA161">
            <v>101.6744341703952</v>
          </cell>
          <cell r="BB161">
            <v>107.23956728101065</v>
          </cell>
          <cell r="BC161">
            <v>111.11254804305065</v>
          </cell>
          <cell r="BD161">
            <v>111.24023888944012</v>
          </cell>
          <cell r="BE161">
            <v>111.05390780763491</v>
          </cell>
          <cell r="BF161">
            <v>113.66437019332712</v>
          </cell>
        </row>
        <row r="162">
          <cell r="Z162">
            <v>0</v>
          </cell>
          <cell r="AA162">
            <v>7.0689578929475097E-2</v>
          </cell>
          <cell r="AB162">
            <v>0.97070439342039716</v>
          </cell>
          <cell r="AC162">
            <v>0.77120249523808204</v>
          </cell>
          <cell r="AD162">
            <v>0.45503763904435385</v>
          </cell>
          <cell r="AE162">
            <v>0.37059152580917593</v>
          </cell>
          <cell r="AF162">
            <v>1.7540213189244145</v>
          </cell>
          <cell r="AG162">
            <v>4.3935358968781815</v>
          </cell>
          <cell r="AH162">
            <v>11.242149174292713</v>
          </cell>
          <cell r="AI162">
            <v>26.096041423060058</v>
          </cell>
          <cell r="AJ162">
            <v>34.500961590498768</v>
          </cell>
          <cell r="AK162">
            <v>47.267449225302435</v>
          </cell>
          <cell r="AL162">
            <v>64.104944481208605</v>
          </cell>
          <cell r="AM162">
            <v>72.052428060472678</v>
          </cell>
          <cell r="AN162">
            <v>90.827533535773995</v>
          </cell>
          <cell r="AO162">
            <v>95.543687913703991</v>
          </cell>
          <cell r="AP162">
            <v>103.58047024939468</v>
          </cell>
          <cell r="AQ162">
            <v>107.90731536620387</v>
          </cell>
          <cell r="AR162">
            <v>83.604485244841428</v>
          </cell>
          <cell r="AS162">
            <v>91.086200493691862</v>
          </cell>
          <cell r="AT162">
            <v>102.21539870914086</v>
          </cell>
          <cell r="AU162">
            <v>101.88589679273217</v>
          </cell>
          <cell r="AV162">
            <v>101.2664139288632</v>
          </cell>
          <cell r="AW162">
            <v>105.60786938220761</v>
          </cell>
          <cell r="AX162">
            <v>109.01336915683984</v>
          </cell>
          <cell r="AY162">
            <v>111.52095751818283</v>
          </cell>
          <cell r="AZ162">
            <v>112.80435041052621</v>
          </cell>
          <cell r="BA162">
            <v>116.15341523908053</v>
          </cell>
          <cell r="BB162">
            <v>122.5088649974541</v>
          </cell>
          <cell r="BC162">
            <v>126.93399926532749</v>
          </cell>
          <cell r="BD162">
            <v>127.08090833841587</v>
          </cell>
          <cell r="BE162">
            <v>126.86775650179156</v>
          </cell>
          <cell r="BF162">
            <v>129.84964639879908</v>
          </cell>
        </row>
        <row r="163">
          <cell r="Z163">
            <v>2.5381805472189767E-2</v>
          </cell>
          <cell r="AA163">
            <v>0.12788922974923969</v>
          </cell>
          <cell r="AB163">
            <v>3.5185967102084506E-2</v>
          </cell>
          <cell r="AC163">
            <v>0.40022311810007555</v>
          </cell>
          <cell r="AD163">
            <v>0.71127462187431068</v>
          </cell>
          <cell r="AE163">
            <v>0.26383117167218201</v>
          </cell>
          <cell r="AF163">
            <v>1.9978164607248776</v>
          </cell>
          <cell r="AG163">
            <v>2.9643965866704547</v>
          </cell>
          <cell r="AH163">
            <v>9.0620572921775242</v>
          </cell>
          <cell r="AI163">
            <v>19.920947773510168</v>
          </cell>
          <cell r="AJ163">
            <v>29.305776295374375</v>
          </cell>
          <cell r="AK163">
            <v>37.847783702372027</v>
          </cell>
          <cell r="AL163">
            <v>51.603503991014584</v>
          </cell>
          <cell r="AM163">
            <v>57.849090964031248</v>
          </cell>
          <cell r="AN163">
            <v>73.999391079712353</v>
          </cell>
          <cell r="AO163">
            <v>77.089515283937487</v>
          </cell>
          <cell r="AP163">
            <v>83.764843227657963</v>
          </cell>
          <cell r="AQ163">
            <v>87.184561293607644</v>
          </cell>
          <cell r="AR163">
            <v>67.641546294630317</v>
          </cell>
          <cell r="AS163">
            <v>73.609480460358739</v>
          </cell>
          <cell r="AT163">
            <v>82.656375591203158</v>
          </cell>
          <cell r="AU163">
            <v>82.3997543481712</v>
          </cell>
          <cell r="AV163">
            <v>81.904700355541962</v>
          </cell>
          <cell r="AW163">
            <v>85.407991839028142</v>
          </cell>
          <cell r="AX163">
            <v>88.173635443113156</v>
          </cell>
          <cell r="AY163">
            <v>90.20035914815422</v>
          </cell>
          <cell r="AZ163">
            <v>91.236488502793677</v>
          </cell>
          <cell r="BA163">
            <v>93.942757105708395</v>
          </cell>
          <cell r="BB163">
            <v>99.086409540473582</v>
          </cell>
          <cell r="BC163">
            <v>102.66528318936675</v>
          </cell>
          <cell r="BD163">
            <v>102.78332191562924</v>
          </cell>
          <cell r="BE163">
            <v>102.61054338977816</v>
          </cell>
          <cell r="BF163">
            <v>105.02281555315527</v>
          </cell>
        </row>
        <row r="164">
          <cell r="Z164">
            <v>6.2313694342119308E-2</v>
          </cell>
          <cell r="AA164">
            <v>0.12856164230392036</v>
          </cell>
          <cell r="AB164">
            <v>0.18364424709534213</v>
          </cell>
          <cell r="AC164">
            <v>0.2306831594239615</v>
          </cell>
          <cell r="AD164">
            <v>0.14107976050468052</v>
          </cell>
          <cell r="AE164">
            <v>0.15898575365155784</v>
          </cell>
          <cell r="AF164">
            <v>3.9516099807790908</v>
          </cell>
          <cell r="AG164">
            <v>4.4216461504478417</v>
          </cell>
          <cell r="AH164">
            <v>11.935530864832662</v>
          </cell>
          <cell r="AI164">
            <v>27.729810818126687</v>
          </cell>
          <cell r="AJ164">
            <v>41.470831364150904</v>
          </cell>
          <cell r="AK164">
            <v>55.502057611089128</v>
          </cell>
          <cell r="AL164">
            <v>71.621403859012034</v>
          </cell>
          <cell r="AM164">
            <v>81.770749060231182</v>
          </cell>
          <cell r="AN164">
            <v>105.11940514893939</v>
          </cell>
          <cell r="AO164">
            <v>109.57135342344365</v>
          </cell>
          <cell r="AP164">
            <v>118.30853753735646</v>
          </cell>
          <cell r="AQ164">
            <v>123.41064168436409</v>
          </cell>
          <cell r="AR164">
            <v>95.878344535784265</v>
          </cell>
          <cell r="AS164">
            <v>104.30163520138406</v>
          </cell>
          <cell r="AT164">
            <v>117.01258974326579</v>
          </cell>
          <cell r="AU164">
            <v>116.70684537756209</v>
          </cell>
          <cell r="AV164">
            <v>115.99805675567204</v>
          </cell>
          <cell r="AW164">
            <v>120.95868092491901</v>
          </cell>
          <cell r="AX164">
            <v>124.86618967220143</v>
          </cell>
          <cell r="AY164">
            <v>127.74613755724823</v>
          </cell>
          <cell r="AZ164">
            <v>129.21006828318315</v>
          </cell>
          <cell r="BA164">
            <v>133.04027655036728</v>
          </cell>
          <cell r="BB164">
            <v>140.32684001995591</v>
          </cell>
          <cell r="BC164">
            <v>145.39671041218978</v>
          </cell>
          <cell r="BD164">
            <v>145.56225016790069</v>
          </cell>
          <cell r="BE164">
            <v>145.3171407554139</v>
          </cell>
          <cell r="BF164">
            <v>148.73395939718299</v>
          </cell>
        </row>
        <row r="203">
          <cell r="L203">
            <v>10.390979017560001</v>
          </cell>
          <cell r="M203">
            <v>8.5963705306200016</v>
          </cell>
          <cell r="N203">
            <v>9.6175691834200023</v>
          </cell>
          <cell r="O203">
            <v>9.3183105979800001</v>
          </cell>
          <cell r="P203">
            <v>9.970618948080002</v>
          </cell>
          <cell r="Q203">
            <v>10.156368106080002</v>
          </cell>
          <cell r="R203">
            <v>11.336998462580002</v>
          </cell>
          <cell r="S203">
            <v>14.250009242919999</v>
          </cell>
          <cell r="T203">
            <v>11.257745020879575</v>
          </cell>
          <cell r="U203">
            <v>10.66030118216711</v>
          </cell>
          <cell r="V203">
            <v>11.017527753700884</v>
          </cell>
          <cell r="W203">
            <v>10.93137871471963</v>
          </cell>
          <cell r="X203">
            <v>12.529860800000002</v>
          </cell>
          <cell r="Y203">
            <v>13.109335300000001</v>
          </cell>
          <cell r="Z203">
            <v>10.607712900000001</v>
          </cell>
          <cell r="AA203">
            <v>12.779887700000002</v>
          </cell>
        </row>
        <row r="216">
          <cell r="I216" t="str">
            <v xml:space="preserve">00/01 </v>
          </cell>
          <cell r="J216" t="str">
            <v xml:space="preserve">01/02 </v>
          </cell>
          <cell r="K216" t="str">
            <v xml:space="preserve">02/03 </v>
          </cell>
          <cell r="L216" t="str">
            <v xml:space="preserve">03/04 </v>
          </cell>
          <cell r="M216" t="str">
            <v xml:space="preserve">04/05 </v>
          </cell>
          <cell r="N216" t="str">
            <v xml:space="preserve">05/06 </v>
          </cell>
          <cell r="O216" t="str">
            <v xml:space="preserve">06/07 </v>
          </cell>
          <cell r="P216" t="str">
            <v xml:space="preserve">07/08 </v>
          </cell>
          <cell r="Q216" t="str">
            <v xml:space="preserve">08/09 </v>
          </cell>
          <cell r="R216" t="str">
            <v xml:space="preserve">09/10 </v>
          </cell>
          <cell r="S216" t="str">
            <v xml:space="preserve">10/11 </v>
          </cell>
          <cell r="T216" t="str">
            <v xml:space="preserve">11/12 </v>
          </cell>
          <cell r="U216" t="str">
            <v xml:space="preserve">12/13 </v>
          </cell>
          <cell r="V216" t="str">
            <v xml:space="preserve">13/14 </v>
          </cell>
          <cell r="W216" t="str">
            <v xml:space="preserve">14/15 </v>
          </cell>
          <cell r="X216" t="str">
            <v xml:space="preserve">15/16 </v>
          </cell>
          <cell r="Y216" t="str">
            <v xml:space="preserve">16/17 </v>
          </cell>
          <cell r="Z216" t="str">
            <v xml:space="preserve">17/18 </v>
          </cell>
          <cell r="AA216" t="str">
            <v xml:space="preserve">18/19 </v>
          </cell>
        </row>
        <row r="217">
          <cell r="I217">
            <v>40.453667509772366</v>
          </cell>
          <cell r="J217">
            <v>26.657852379857442</v>
          </cell>
          <cell r="K217">
            <v>23.163715796734884</v>
          </cell>
          <cell r="L217">
            <v>41.4</v>
          </cell>
          <cell r="M217">
            <v>26.8</v>
          </cell>
          <cell r="N217">
            <v>21.2</v>
          </cell>
          <cell r="O217">
            <v>18.7</v>
          </cell>
          <cell r="P217">
            <v>22.9</v>
          </cell>
          <cell r="Q217">
            <v>30</v>
          </cell>
          <cell r="R217">
            <v>66.900000000000006</v>
          </cell>
          <cell r="S217">
            <v>80.456000000000003</v>
          </cell>
          <cell r="T217">
            <v>46.01940862909472</v>
          </cell>
          <cell r="U217">
            <v>28.762130393184197</v>
          </cell>
          <cell r="V217">
            <v>17.257278235910519</v>
          </cell>
          <cell r="W217">
            <v>14.369560344434825</v>
          </cell>
          <cell r="X217">
            <v>11.337999999999999</v>
          </cell>
          <cell r="Y217">
            <v>13.914</v>
          </cell>
          <cell r="Z217">
            <v>8.0980000000000008</v>
          </cell>
          <cell r="AA217">
            <v>7.5289999999999999</v>
          </cell>
        </row>
        <row r="218">
          <cell r="I218">
            <v>43.811271165024017</v>
          </cell>
          <cell r="J218">
            <v>26.356204195097298</v>
          </cell>
          <cell r="K218">
            <v>25.093631539044733</v>
          </cell>
          <cell r="L218">
            <v>34.4</v>
          </cell>
          <cell r="M218">
            <v>26.9</v>
          </cell>
          <cell r="N218">
            <v>18.600000000000001</v>
          </cell>
          <cell r="O218">
            <v>18.7</v>
          </cell>
          <cell r="P218">
            <v>26.3</v>
          </cell>
          <cell r="Q218">
            <v>28.9</v>
          </cell>
          <cell r="R218">
            <v>66.2</v>
          </cell>
          <cell r="S218">
            <v>79.641000000000005</v>
          </cell>
          <cell r="T218">
            <v>44.413868513371916</v>
          </cell>
          <cell r="U218">
            <v>27.758667820857447</v>
          </cell>
          <cell r="V218">
            <v>16.65520069251447</v>
          </cell>
          <cell r="W218">
            <v>13.86823044330038</v>
          </cell>
          <cell r="X218">
            <v>10.715</v>
          </cell>
          <cell r="Y218">
            <v>13.656000000000001</v>
          </cell>
          <cell r="Z218">
            <v>8.1850000000000005</v>
          </cell>
          <cell r="AA218">
            <v>9.9659999999999993</v>
          </cell>
        </row>
        <row r="219">
          <cell r="H219">
            <v>52.043810018167648</v>
          </cell>
          <cell r="I219">
            <v>42.102465611212033</v>
          </cell>
          <cell r="J219">
            <v>27.347417596677907</v>
          </cell>
          <cell r="K219">
            <v>18.801349597716062</v>
          </cell>
          <cell r="L219">
            <v>31.8</v>
          </cell>
          <cell r="M219">
            <v>32.9</v>
          </cell>
          <cell r="N219">
            <v>23.9</v>
          </cell>
          <cell r="O219">
            <v>21.8</v>
          </cell>
          <cell r="P219">
            <v>24</v>
          </cell>
          <cell r="Q219">
            <v>21</v>
          </cell>
          <cell r="R219">
            <v>57.4</v>
          </cell>
          <cell r="S219">
            <v>57.639000000000003</v>
          </cell>
          <cell r="T219">
            <v>35.930566312816076</v>
          </cell>
          <cell r="U219">
            <v>22.456603945510047</v>
          </cell>
          <cell r="V219">
            <v>13.473962367306029</v>
          </cell>
          <cell r="W219">
            <v>11.21931933117682</v>
          </cell>
          <cell r="X219">
            <v>9.2530000000000001</v>
          </cell>
          <cell r="Y219">
            <v>10.462999999999999</v>
          </cell>
          <cell r="Z219">
            <v>8.5229999999999997</v>
          </cell>
          <cell r="AB219">
            <v>9.7379999999999995</v>
          </cell>
          <cell r="AC219">
            <v>9.577</v>
          </cell>
          <cell r="AD219">
            <v>6.3150000000000004</v>
          </cell>
          <cell r="AE219">
            <v>6.6539999999999999</v>
          </cell>
          <cell r="AF219">
            <v>7.2759999999999998</v>
          </cell>
          <cell r="AG219">
            <v>9.84</v>
          </cell>
          <cell r="AH219">
            <v>9.6080105754946032</v>
          </cell>
          <cell r="AI219">
            <v>10.727931434621837</v>
          </cell>
          <cell r="AJ219">
            <v>12.512487554254392</v>
          </cell>
          <cell r="AK219">
            <v>11.226730201486788</v>
          </cell>
          <cell r="AL219">
            <v>11.581530888928199</v>
          </cell>
          <cell r="AM219">
            <v>13.611611498794588</v>
          </cell>
          <cell r="AN219">
            <v>10.339362825015598</v>
          </cell>
          <cell r="AO219">
            <v>11.72581678410458</v>
          </cell>
          <cell r="AP219">
            <v>11.895358352381209</v>
          </cell>
          <cell r="AQ219">
            <v>12.181703222591096</v>
          </cell>
          <cell r="AR219">
            <v>13.721114146732532</v>
          </cell>
          <cell r="AS219">
            <v>14.552785889565456</v>
          </cell>
          <cell r="AT219">
            <v>11.288010259967621</v>
          </cell>
          <cell r="AU219">
            <v>10.136479229576622</v>
          </cell>
          <cell r="AV219">
            <v>10.251426255539769</v>
          </cell>
          <cell r="AW219">
            <v>12.920536367676675</v>
          </cell>
          <cell r="AX219">
            <v>13.510918692794633</v>
          </cell>
          <cell r="AY219">
            <v>11.134964104676754</v>
          </cell>
          <cell r="AZ219">
            <v>12.105053626827441</v>
          </cell>
          <cell r="BA219">
            <v>16.532555408453703</v>
          </cell>
          <cell r="BB219">
            <v>14.03018781405234</v>
          </cell>
          <cell r="BC219">
            <v>13.110200808570823</v>
          </cell>
          <cell r="BD219">
            <v>12.367362885797576</v>
          </cell>
          <cell r="BE219">
            <v>10.755579959791504</v>
          </cell>
          <cell r="BF219">
            <v>11.966728807854395</v>
          </cell>
          <cell r="BG219">
            <v>10.919325545678078</v>
          </cell>
        </row>
        <row r="220">
          <cell r="H220">
            <v>33.772759538598059</v>
          </cell>
          <cell r="I220">
            <v>18.999023957409054</v>
          </cell>
          <cell r="J220">
            <v>25.085803016858925</v>
          </cell>
          <cell r="K220">
            <v>39.4</v>
          </cell>
          <cell r="L220">
            <v>39</v>
          </cell>
          <cell r="M220">
            <v>24.3</v>
          </cell>
          <cell r="N220">
            <v>22.5</v>
          </cell>
          <cell r="O220">
            <v>21.6</v>
          </cell>
          <cell r="P220">
            <v>25.8</v>
          </cell>
          <cell r="Q220">
            <v>35.799999999999997</v>
          </cell>
          <cell r="R220">
            <v>51.814</v>
          </cell>
          <cell r="S220">
            <v>49.804000000000002</v>
          </cell>
          <cell r="T220">
            <v>43.672149072850701</v>
          </cell>
          <cell r="U220">
            <v>27.295093170531686</v>
          </cell>
          <cell r="V220">
            <v>16.377055902319011</v>
          </cell>
          <cell r="W220">
            <v>13.636628547997631</v>
          </cell>
          <cell r="X220">
            <v>10.395</v>
          </cell>
          <cell r="Y220">
            <v>13.569000000000001</v>
          </cell>
          <cell r="Z220">
            <v>19.318999999999999</v>
          </cell>
        </row>
        <row r="221">
          <cell r="H221">
            <v>38.541763440860215</v>
          </cell>
          <cell r="I221">
            <v>22.93883870967742</v>
          </cell>
          <cell r="J221">
            <v>26.070709677419359</v>
          </cell>
          <cell r="K221">
            <v>39.5</v>
          </cell>
          <cell r="L221">
            <v>34.799999999999997</v>
          </cell>
          <cell r="M221">
            <v>26.7</v>
          </cell>
          <cell r="N221">
            <v>25.3</v>
          </cell>
          <cell r="O221">
            <v>14</v>
          </cell>
          <cell r="P221">
            <v>30.4</v>
          </cell>
          <cell r="Q221">
            <v>43.7</v>
          </cell>
          <cell r="R221">
            <v>55.892000000000003</v>
          </cell>
          <cell r="S221">
            <v>62.225000000000001</v>
          </cell>
          <cell r="T221">
            <v>42.061141737664585</v>
          </cell>
          <cell r="U221">
            <v>26.288213586040364</v>
          </cell>
          <cell r="V221">
            <v>15.772928151624219</v>
          </cell>
          <cell r="W221">
            <v>13.133591507585766</v>
          </cell>
          <cell r="X221">
            <v>11.792999999999999</v>
          </cell>
          <cell r="Y221">
            <v>11.287000000000001</v>
          </cell>
          <cell r="Z221">
            <v>8.9019999999999992</v>
          </cell>
        </row>
        <row r="222">
          <cell r="H222">
            <v>41.996725540781902</v>
          </cell>
          <cell r="I222">
            <v>26.770490176622349</v>
          </cell>
          <cell r="J222">
            <v>27.185751141099427</v>
          </cell>
          <cell r="K222">
            <v>38.700000000000003</v>
          </cell>
          <cell r="L222">
            <v>41.1</v>
          </cell>
          <cell r="M222">
            <v>25.2</v>
          </cell>
          <cell r="N222">
            <v>22.1</v>
          </cell>
          <cell r="O222">
            <v>22.8</v>
          </cell>
          <cell r="P222">
            <v>28.3</v>
          </cell>
          <cell r="Q222">
            <v>45.4</v>
          </cell>
          <cell r="R222">
            <v>62.994999999999997</v>
          </cell>
          <cell r="S222">
            <v>59.737000000000002</v>
          </cell>
          <cell r="T222">
            <v>37.260923048886056</v>
          </cell>
          <cell r="U222">
            <v>23.288076905553783</v>
          </cell>
          <cell r="V222">
            <v>13.972846143332271</v>
          </cell>
          <cell r="W222">
            <v>11.634723222014671</v>
          </cell>
          <cell r="X222">
            <v>11.811</v>
          </cell>
          <cell r="Y222">
            <v>8.6349999999999998</v>
          </cell>
          <cell r="Z222">
            <v>8.1</v>
          </cell>
        </row>
        <row r="223">
          <cell r="H223">
            <v>40.414845280062679</v>
          </cell>
          <cell r="I223">
            <v>29.577046611829221</v>
          </cell>
          <cell r="J223">
            <v>24.665334900117511</v>
          </cell>
          <cell r="K223">
            <v>29.8</v>
          </cell>
          <cell r="L223">
            <v>40.6</v>
          </cell>
          <cell r="M223">
            <v>20.8</v>
          </cell>
          <cell r="N223">
            <v>26.2</v>
          </cell>
          <cell r="O223">
            <v>23.1</v>
          </cell>
          <cell r="P223">
            <v>25.6</v>
          </cell>
          <cell r="Q223">
            <v>41.9</v>
          </cell>
          <cell r="R223">
            <v>64.813999999999993</v>
          </cell>
          <cell r="S223">
            <v>63.851999999999997</v>
          </cell>
          <cell r="T223">
            <v>36.750649232311268</v>
          </cell>
          <cell r="U223">
            <v>22.96915577019454</v>
          </cell>
          <cell r="V223">
            <v>13.781493462116725</v>
          </cell>
          <cell r="W223">
            <v>11.475390222789192</v>
          </cell>
          <cell r="X223">
            <v>11.968999999999999</v>
          </cell>
          <cell r="Y223">
            <v>8.1969999999999992</v>
          </cell>
          <cell r="Z223">
            <v>6.9969999999999999</v>
          </cell>
        </row>
        <row r="224">
          <cell r="H224">
            <v>36.54908802537669</v>
          </cell>
          <cell r="I224">
            <v>20.736399682791436</v>
          </cell>
          <cell r="J224">
            <v>23.955749405233945</v>
          </cell>
          <cell r="K224">
            <v>38.200000000000003</v>
          </cell>
          <cell r="L224">
            <v>27.9</v>
          </cell>
          <cell r="M224">
            <v>25.6</v>
          </cell>
          <cell r="N224">
            <v>17.899999999999999</v>
          </cell>
          <cell r="O224">
            <v>20.6</v>
          </cell>
          <cell r="P224">
            <v>27.4</v>
          </cell>
          <cell r="Q224">
            <v>36.9</v>
          </cell>
          <cell r="R224">
            <v>69.629000000000005</v>
          </cell>
          <cell r="S224">
            <v>54.36</v>
          </cell>
          <cell r="T224">
            <v>46.925868927669214</v>
          </cell>
          <cell r="U224">
            <v>29.328668079793257</v>
          </cell>
          <cell r="V224">
            <v>17.597200847875953</v>
          </cell>
          <cell r="W224">
            <v>19.634</v>
          </cell>
          <cell r="X224">
            <v>12.861000000000001</v>
          </cell>
          <cell r="Y224">
            <v>7.907</v>
          </cell>
          <cell r="Z224">
            <v>7.86</v>
          </cell>
        </row>
        <row r="225">
          <cell r="H225">
            <v>45.04630788485607</v>
          </cell>
          <cell r="I225">
            <v>25.111389236545683</v>
          </cell>
          <cell r="J225">
            <v>28.112640801001252</v>
          </cell>
          <cell r="K225">
            <v>32.1</v>
          </cell>
          <cell r="L225">
            <v>36.1</v>
          </cell>
          <cell r="M225">
            <v>33.5</v>
          </cell>
          <cell r="N225">
            <v>31</v>
          </cell>
          <cell r="O225">
            <v>23.3</v>
          </cell>
          <cell r="P225">
            <v>30.1</v>
          </cell>
          <cell r="Q225">
            <v>47.2</v>
          </cell>
          <cell r="R225">
            <v>78.218999999999994</v>
          </cell>
          <cell r="S225">
            <v>53.268000000000001</v>
          </cell>
          <cell r="T225">
            <v>44.161561020935565</v>
          </cell>
          <cell r="U225">
            <v>27.60097563808473</v>
          </cell>
          <cell r="V225">
            <v>16.560585382850839</v>
          </cell>
          <cell r="W225">
            <v>18.84</v>
          </cell>
          <cell r="X225">
            <v>12.824999999999999</v>
          </cell>
          <cell r="Y225">
            <v>6.3570000000000002</v>
          </cell>
          <cell r="Z225">
            <v>7.3079999999999998</v>
          </cell>
        </row>
        <row r="226">
          <cell r="H226">
            <v>37.640384615384605</v>
          </cell>
          <cell r="I226">
            <v>22.603205128205122</v>
          </cell>
          <cell r="J226">
            <v>22.555769230769222</v>
          </cell>
          <cell r="K226">
            <v>36.799999999999997</v>
          </cell>
          <cell r="L226">
            <v>33.299999999999997</v>
          </cell>
          <cell r="M226">
            <v>25.4</v>
          </cell>
          <cell r="N226">
            <v>18.7</v>
          </cell>
          <cell r="O226">
            <v>20.8</v>
          </cell>
          <cell r="P226">
            <v>27.6</v>
          </cell>
          <cell r="Q226">
            <v>60.3</v>
          </cell>
          <cell r="R226">
            <v>68.704999999999998</v>
          </cell>
          <cell r="S226">
            <v>59.488999999999997</v>
          </cell>
          <cell r="T226">
            <v>40.729405615726357</v>
          </cell>
          <cell r="U226">
            <v>25.45587850982897</v>
          </cell>
          <cell r="V226">
            <v>15.273527105897383</v>
          </cell>
          <cell r="W226">
            <v>15.131</v>
          </cell>
          <cell r="X226">
            <v>12.252000000000001</v>
          </cell>
          <cell r="Y226">
            <v>7.6840000000000002</v>
          </cell>
          <cell r="Z226">
            <v>8.01</v>
          </cell>
        </row>
        <row r="227">
          <cell r="H227">
            <v>48.717297887836843</v>
          </cell>
          <cell r="I227">
            <v>26.604078659868893</v>
          </cell>
          <cell r="J227">
            <v>23.193299344501085</v>
          </cell>
          <cell r="K227">
            <v>23.8</v>
          </cell>
          <cell r="L227">
            <v>34.9</v>
          </cell>
          <cell r="M227">
            <v>33.6</v>
          </cell>
          <cell r="N227">
            <v>33.4</v>
          </cell>
          <cell r="O227">
            <v>23</v>
          </cell>
          <cell r="P227">
            <v>31.2</v>
          </cell>
          <cell r="Q227">
            <v>62.9</v>
          </cell>
          <cell r="R227">
            <v>76.063000000000002</v>
          </cell>
          <cell r="S227">
            <v>51.961439066174975</v>
          </cell>
          <cell r="T227">
            <v>41.569151252939982</v>
          </cell>
          <cell r="U227">
            <v>25.980719533087488</v>
          </cell>
          <cell r="V227">
            <v>15.588431719852492</v>
          </cell>
          <cell r="W227">
            <v>17.239999999999998</v>
          </cell>
          <cell r="X227">
            <v>11.268000000000001</v>
          </cell>
          <cell r="Y227">
            <v>7.282</v>
          </cell>
          <cell r="Z227">
            <v>6.944</v>
          </cell>
        </row>
        <row r="232">
          <cell r="AB232">
            <v>23.728300000000001</v>
          </cell>
          <cell r="AC232">
            <v>29.0227</v>
          </cell>
          <cell r="AD232">
            <v>58.904761904761905</v>
          </cell>
          <cell r="AE232">
            <v>72.976190476190482</v>
          </cell>
          <cell r="AF232">
            <v>55.909090909090907</v>
          </cell>
          <cell r="AG232">
            <v>43.086956521739133</v>
          </cell>
          <cell r="AH232">
            <v>47.75</v>
          </cell>
          <cell r="AI232">
            <v>48.5</v>
          </cell>
          <cell r="AJ232">
            <v>42</v>
          </cell>
          <cell r="AK232">
            <v>38</v>
          </cell>
          <cell r="AL232">
            <v>39.5</v>
          </cell>
          <cell r="AM232">
            <v>44</v>
          </cell>
          <cell r="AN232">
            <v>44.75</v>
          </cell>
          <cell r="AO232">
            <v>46.5</v>
          </cell>
          <cell r="AP232">
            <v>41.75</v>
          </cell>
          <cell r="AQ232">
            <v>33</v>
          </cell>
          <cell r="AR232">
            <v>18</v>
          </cell>
          <cell r="AS232">
            <v>28.25</v>
          </cell>
          <cell r="AT232">
            <v>22.75</v>
          </cell>
          <cell r="AU232">
            <v>14.5</v>
          </cell>
          <cell r="AV232">
            <v>12.25</v>
          </cell>
          <cell r="AW232">
            <v>23.5</v>
          </cell>
          <cell r="AX232">
            <v>36.25</v>
          </cell>
          <cell r="AY232">
            <v>34</v>
          </cell>
          <cell r="AZ232">
            <v>26.25</v>
          </cell>
          <cell r="BA232">
            <v>31.75</v>
          </cell>
          <cell r="BB232">
            <v>19</v>
          </cell>
          <cell r="BC232">
            <v>29.25</v>
          </cell>
          <cell r="BD232">
            <v>19.75</v>
          </cell>
          <cell r="BE232">
            <v>42.25</v>
          </cell>
          <cell r="BF232">
            <v>33.25</v>
          </cell>
          <cell r="BG232">
            <v>42</v>
          </cell>
        </row>
        <row r="233">
          <cell r="AB233">
            <v>22.078900000000001</v>
          </cell>
          <cell r="AC233">
            <v>28.8947</v>
          </cell>
          <cell r="AD233">
            <v>57.9</v>
          </cell>
          <cell r="AE233">
            <v>72.5</v>
          </cell>
          <cell r="AF233">
            <v>45.25</v>
          </cell>
          <cell r="AG233">
            <v>40.473684210526315</v>
          </cell>
          <cell r="AH233">
            <v>45</v>
          </cell>
          <cell r="AI233">
            <v>43.5</v>
          </cell>
          <cell r="AJ233">
            <v>36.25</v>
          </cell>
          <cell r="AK233">
            <v>31</v>
          </cell>
          <cell r="AL233">
            <v>33.5</v>
          </cell>
          <cell r="AM233">
            <v>36</v>
          </cell>
          <cell r="AN233">
            <v>33.25</v>
          </cell>
          <cell r="AO233">
            <v>40</v>
          </cell>
          <cell r="AP233">
            <v>32</v>
          </cell>
          <cell r="AQ233">
            <v>22.5</v>
          </cell>
          <cell r="AR233">
            <v>10</v>
          </cell>
          <cell r="AS233">
            <v>22.25</v>
          </cell>
          <cell r="AT233">
            <v>13.25</v>
          </cell>
          <cell r="AU233" t="e">
            <v>#NUM!</v>
          </cell>
          <cell r="AV233" t="e">
            <v>#NUM!</v>
          </cell>
          <cell r="AW233" t="e">
            <v>#NUM!</v>
          </cell>
          <cell r="AX233" t="e">
            <v>#NUM!</v>
          </cell>
          <cell r="AY233" t="e">
            <v>#NUM!</v>
          </cell>
          <cell r="AZ233" t="e">
            <v>#NUM!</v>
          </cell>
          <cell r="BA233" t="e">
            <v>#NUM!</v>
          </cell>
          <cell r="BB233" t="e">
            <v>#NUM!</v>
          </cell>
          <cell r="BC233" t="e">
            <v>#NUM!</v>
          </cell>
          <cell r="BD233" t="e">
            <v>#NUM!</v>
          </cell>
          <cell r="BE233" t="e">
            <v>#NUM!</v>
          </cell>
          <cell r="BF233" t="e">
            <v>#NUM!</v>
          </cell>
          <cell r="BG233" t="e">
            <v>#NUM!</v>
          </cell>
        </row>
        <row r="234">
          <cell r="AB234">
            <v>23.823499999999999</v>
          </cell>
          <cell r="AC234">
            <v>31.045500000000001</v>
          </cell>
          <cell r="AD234">
            <v>50.952380952380949</v>
          </cell>
          <cell r="AE234">
            <v>67.547619047619051</v>
          </cell>
          <cell r="AF234">
            <v>39.85</v>
          </cell>
          <cell r="AG234">
            <v>40.571428571428569</v>
          </cell>
          <cell r="AH234">
            <v>34.5</v>
          </cell>
          <cell r="AI234">
            <v>38.5</v>
          </cell>
          <cell r="AJ234">
            <v>38.25</v>
          </cell>
          <cell r="AK234">
            <v>29.75</v>
          </cell>
          <cell r="AL234">
            <v>34.75</v>
          </cell>
          <cell r="AM234">
            <v>35.5</v>
          </cell>
          <cell r="AN234">
            <v>35</v>
          </cell>
          <cell r="AO234">
            <v>38.75</v>
          </cell>
          <cell r="AP234">
            <v>53</v>
          </cell>
          <cell r="AQ234">
            <v>53.5</v>
          </cell>
          <cell r="AR234">
            <v>39.5</v>
          </cell>
          <cell r="AS234">
            <v>32.75</v>
          </cell>
          <cell r="AT234">
            <v>29.25</v>
          </cell>
          <cell r="AU234">
            <v>9</v>
          </cell>
          <cell r="AV234">
            <v>8.75</v>
          </cell>
          <cell r="AW234">
            <v>26.5</v>
          </cell>
          <cell r="AX234">
            <v>37.25</v>
          </cell>
          <cell r="AY234">
            <v>32</v>
          </cell>
          <cell r="AZ234">
            <v>35.25</v>
          </cell>
          <cell r="BA234">
            <v>39.5</v>
          </cell>
          <cell r="BB234">
            <v>27.25</v>
          </cell>
          <cell r="BC234">
            <v>44.5</v>
          </cell>
          <cell r="BD234">
            <v>21.25</v>
          </cell>
          <cell r="BE234">
            <v>52.25</v>
          </cell>
          <cell r="BF234">
            <v>46.75</v>
          </cell>
          <cell r="BG234">
            <v>52.25</v>
          </cell>
        </row>
        <row r="235">
          <cell r="AA235">
            <v>25</v>
          </cell>
          <cell r="AB235">
            <v>25.8095</v>
          </cell>
          <cell r="AC235">
            <v>36.210500000000003</v>
          </cell>
          <cell r="AD235">
            <v>60.6</v>
          </cell>
          <cell r="AE235">
            <v>64.875</v>
          </cell>
          <cell r="AF235">
            <v>36.642857142857146</v>
          </cell>
          <cell r="AG235">
            <v>42</v>
          </cell>
          <cell r="AH235">
            <v>38.5</v>
          </cell>
          <cell r="AI235">
            <v>41.25</v>
          </cell>
          <cell r="AJ235">
            <v>36.5</v>
          </cell>
          <cell r="AK235">
            <v>30.5</v>
          </cell>
          <cell r="AL235">
            <v>41.25</v>
          </cell>
          <cell r="AM235">
            <v>35.75</v>
          </cell>
          <cell r="AN235">
            <v>29.25</v>
          </cell>
          <cell r="AO235">
            <v>44.5</v>
          </cell>
          <cell r="AP235">
            <v>53.25</v>
          </cell>
          <cell r="AQ235">
            <v>52.75</v>
          </cell>
          <cell r="AR235">
            <v>42</v>
          </cell>
          <cell r="AS235">
            <v>30</v>
          </cell>
          <cell r="AT235">
            <v>28</v>
          </cell>
          <cell r="AU235">
            <v>5.75</v>
          </cell>
          <cell r="AV235">
            <v>7.75</v>
          </cell>
          <cell r="AW235">
            <v>24.75</v>
          </cell>
          <cell r="AX235">
            <v>33.25</v>
          </cell>
          <cell r="AY235">
            <v>26.5</v>
          </cell>
          <cell r="AZ235">
            <v>37.25</v>
          </cell>
          <cell r="BA235">
            <v>43</v>
          </cell>
          <cell r="BB235">
            <v>26.75</v>
          </cell>
          <cell r="BC235">
            <v>47.5</v>
          </cell>
          <cell r="BD235">
            <v>17.75</v>
          </cell>
          <cell r="BE235">
            <v>55.5</v>
          </cell>
          <cell r="BF235">
            <v>47</v>
          </cell>
        </row>
        <row r="236">
          <cell r="AA236">
            <v>25</v>
          </cell>
          <cell r="AB236">
            <v>29.131599999999999</v>
          </cell>
          <cell r="AC236">
            <v>39.368400000000001</v>
          </cell>
          <cell r="AD236">
            <v>68.15789473684211</v>
          </cell>
          <cell r="AE236">
            <v>57.763157894736842</v>
          </cell>
          <cell r="AF236">
            <v>35.825000000000003</v>
          </cell>
          <cell r="AG236">
            <v>49</v>
          </cell>
          <cell r="AH236">
            <v>40.5</v>
          </cell>
          <cell r="AI236">
            <v>45.25</v>
          </cell>
          <cell r="AJ236">
            <v>35.25</v>
          </cell>
          <cell r="AK236">
            <v>35.5</v>
          </cell>
          <cell r="AL236">
            <v>44</v>
          </cell>
          <cell r="AM236">
            <v>32</v>
          </cell>
          <cell r="AN236">
            <v>26.75</v>
          </cell>
          <cell r="AO236">
            <v>48.75</v>
          </cell>
          <cell r="AP236">
            <v>55.5</v>
          </cell>
          <cell r="AQ236">
            <v>53.5</v>
          </cell>
          <cell r="AR236">
            <v>44.25</v>
          </cell>
          <cell r="AS236">
            <v>29</v>
          </cell>
          <cell r="AT236">
            <v>28.5</v>
          </cell>
          <cell r="AU236">
            <v>14</v>
          </cell>
          <cell r="AV236">
            <v>11</v>
          </cell>
          <cell r="AW236">
            <v>27</v>
          </cell>
          <cell r="AX236">
            <v>34.25</v>
          </cell>
          <cell r="AY236">
            <v>27.75</v>
          </cell>
          <cell r="AZ236">
            <v>37.5</v>
          </cell>
          <cell r="BA236">
            <v>43.25</v>
          </cell>
          <cell r="BB236">
            <v>28.5</v>
          </cell>
          <cell r="BC236">
            <v>40.25</v>
          </cell>
          <cell r="BD236">
            <v>18.5</v>
          </cell>
          <cell r="BE236">
            <v>56.5</v>
          </cell>
          <cell r="BF236">
            <v>45.5</v>
          </cell>
        </row>
        <row r="237">
          <cell r="AA237">
            <v>25</v>
          </cell>
          <cell r="AB237">
            <v>26.363600000000002</v>
          </cell>
          <cell r="AC237">
            <v>50.428600000000003</v>
          </cell>
          <cell r="AD237">
            <v>70.428571428571431</v>
          </cell>
          <cell r="AE237">
            <v>52.456521739130437</v>
          </cell>
          <cell r="AF237">
            <v>38.200000000000003</v>
          </cell>
          <cell r="AG237">
            <v>48.047619047619051</v>
          </cell>
          <cell r="AH237">
            <v>46.25</v>
          </cell>
          <cell r="AI237">
            <v>47.75</v>
          </cell>
          <cell r="AJ237">
            <v>36</v>
          </cell>
          <cell r="AK237">
            <v>43.25</v>
          </cell>
          <cell r="AL237">
            <v>50.75</v>
          </cell>
          <cell r="AM237">
            <v>40</v>
          </cell>
          <cell r="AN237">
            <v>35.75</v>
          </cell>
          <cell r="AO237">
            <v>61.5</v>
          </cell>
          <cell r="AP237">
            <v>68.25</v>
          </cell>
          <cell r="AQ237">
            <v>66</v>
          </cell>
          <cell r="AR237">
            <v>54.5</v>
          </cell>
          <cell r="AS237">
            <v>39.25</v>
          </cell>
          <cell r="AT237">
            <v>39.75</v>
          </cell>
          <cell r="AU237">
            <v>30.5</v>
          </cell>
          <cell r="AV237">
            <v>25.25</v>
          </cell>
          <cell r="AW237">
            <v>39.75</v>
          </cell>
          <cell r="AX237">
            <v>45.5</v>
          </cell>
          <cell r="AY237">
            <v>39</v>
          </cell>
          <cell r="AZ237">
            <v>47.75</v>
          </cell>
          <cell r="BA237">
            <v>53.5</v>
          </cell>
          <cell r="BB237">
            <v>41.25</v>
          </cell>
          <cell r="BC237">
            <v>47.5</v>
          </cell>
          <cell r="BD237">
            <v>32.75</v>
          </cell>
          <cell r="BE237">
            <v>69.5</v>
          </cell>
          <cell r="BF237">
            <v>56.5</v>
          </cell>
        </row>
        <row r="238">
          <cell r="AA238">
            <v>25</v>
          </cell>
          <cell r="AB238">
            <v>26.523800000000001</v>
          </cell>
          <cell r="AC238">
            <v>51.047600000000003</v>
          </cell>
          <cell r="AD238">
            <v>71.45</v>
          </cell>
          <cell r="AE238">
            <v>49.210526315789473</v>
          </cell>
          <cell r="AF238">
            <v>40.636363636363633</v>
          </cell>
          <cell r="AG238">
            <v>48.230769230769234</v>
          </cell>
          <cell r="AH238">
            <v>47</v>
          </cell>
          <cell r="AI238">
            <v>49.5</v>
          </cell>
          <cell r="AJ238">
            <v>35.5</v>
          </cell>
          <cell r="AK238">
            <v>49</v>
          </cell>
          <cell r="AL238">
            <v>55.75</v>
          </cell>
          <cell r="AM238">
            <v>44.25</v>
          </cell>
          <cell r="AN238">
            <v>36.5</v>
          </cell>
          <cell r="AO238">
            <v>68.25</v>
          </cell>
          <cell r="AP238">
            <v>74.5</v>
          </cell>
          <cell r="AQ238">
            <v>69</v>
          </cell>
          <cell r="AR238">
            <v>60.5</v>
          </cell>
          <cell r="AS238">
            <v>42.75</v>
          </cell>
          <cell r="AT238">
            <v>44.5</v>
          </cell>
          <cell r="AU238">
            <v>41.75</v>
          </cell>
          <cell r="AV238">
            <v>34.25</v>
          </cell>
          <cell r="AW238">
            <v>47.25</v>
          </cell>
          <cell r="AX238">
            <v>51.25</v>
          </cell>
          <cell r="AY238">
            <v>45</v>
          </cell>
          <cell r="AZ238">
            <v>52.5</v>
          </cell>
          <cell r="BA238">
            <v>58.25</v>
          </cell>
          <cell r="BB238">
            <v>48</v>
          </cell>
          <cell r="BC238">
            <v>47.5</v>
          </cell>
          <cell r="BD238">
            <v>40.25</v>
          </cell>
          <cell r="BE238">
            <v>75.75</v>
          </cell>
          <cell r="BF238">
            <v>60.75</v>
          </cell>
        </row>
        <row r="239">
          <cell r="AA239">
            <v>25.7895</v>
          </cell>
          <cell r="AB239">
            <v>26.95</v>
          </cell>
          <cell r="AC239">
            <v>52.024999999999999</v>
          </cell>
          <cell r="AD239">
            <v>74.7</v>
          </cell>
          <cell r="AE239">
            <v>53.761904761904759</v>
          </cell>
          <cell r="AF239">
            <v>40.295454545454547</v>
          </cell>
          <cell r="AG239">
            <v>52.5</v>
          </cell>
          <cell r="AH239">
            <v>46.25</v>
          </cell>
          <cell r="AI239">
            <v>49.25</v>
          </cell>
          <cell r="AJ239">
            <v>41.5</v>
          </cell>
          <cell r="AK239">
            <v>52.75</v>
          </cell>
          <cell r="AL239">
            <v>53</v>
          </cell>
          <cell r="AM239">
            <v>49.25</v>
          </cell>
          <cell r="AN239">
            <v>38</v>
          </cell>
          <cell r="AO239">
            <v>70.5</v>
          </cell>
          <cell r="AP239">
            <v>78.5</v>
          </cell>
          <cell r="AQ239">
            <v>70.5</v>
          </cell>
          <cell r="AR239">
            <v>64.5</v>
          </cell>
          <cell r="AS239">
            <v>44.5</v>
          </cell>
          <cell r="AT239">
            <v>47.5</v>
          </cell>
          <cell r="AU239">
            <v>52.25</v>
          </cell>
          <cell r="AV239">
            <v>42</v>
          </cell>
          <cell r="AW239">
            <v>53</v>
          </cell>
          <cell r="AX239">
            <v>56</v>
          </cell>
          <cell r="AY239">
            <v>50.5</v>
          </cell>
          <cell r="AZ239">
            <v>56.5</v>
          </cell>
          <cell r="BA239">
            <v>62</v>
          </cell>
          <cell r="BB239">
            <v>54</v>
          </cell>
          <cell r="BC239">
            <v>54.75</v>
          </cell>
          <cell r="BD239">
            <v>49</v>
          </cell>
          <cell r="BE239">
            <v>75.25</v>
          </cell>
          <cell r="BF239">
            <v>65.75</v>
          </cell>
        </row>
        <row r="240">
          <cell r="AA240">
            <v>27.4</v>
          </cell>
          <cell r="AB240">
            <v>22.7727</v>
          </cell>
          <cell r="AC240">
            <v>57.2273</v>
          </cell>
          <cell r="AD240">
            <v>78.238095238095241</v>
          </cell>
          <cell r="AE240">
            <v>55.904761904761905</v>
          </cell>
          <cell r="AF240">
            <v>43.911764705882355</v>
          </cell>
          <cell r="AG240">
            <v>53.25</v>
          </cell>
          <cell r="AH240">
            <v>45.75</v>
          </cell>
          <cell r="AI240">
            <v>49.25</v>
          </cell>
          <cell r="AJ240">
            <v>47.75</v>
          </cell>
          <cell r="AK240">
            <v>56.75</v>
          </cell>
          <cell r="AL240">
            <v>57</v>
          </cell>
          <cell r="AM240">
            <v>54.25</v>
          </cell>
          <cell r="AN240">
            <v>44.25</v>
          </cell>
          <cell r="AO240">
            <v>72.25</v>
          </cell>
          <cell r="AP240">
            <v>82</v>
          </cell>
          <cell r="AQ240">
            <v>73.25</v>
          </cell>
          <cell r="AR240">
            <v>70.25</v>
          </cell>
          <cell r="AS240">
            <v>46.5</v>
          </cell>
          <cell r="AT240">
            <v>51.25</v>
          </cell>
          <cell r="AU240">
            <v>53</v>
          </cell>
          <cell r="AV240">
            <v>47.5</v>
          </cell>
          <cell r="AW240">
            <v>56.25</v>
          </cell>
          <cell r="AX240">
            <v>57.5</v>
          </cell>
          <cell r="AY240">
            <v>50.75</v>
          </cell>
          <cell r="AZ240">
            <v>56.75</v>
          </cell>
          <cell r="BA240">
            <v>62</v>
          </cell>
          <cell r="BB240">
            <v>56</v>
          </cell>
          <cell r="BC240">
            <v>57.75</v>
          </cell>
          <cell r="BD240">
            <v>53</v>
          </cell>
          <cell r="BE240">
            <v>70.75</v>
          </cell>
          <cell r="BF240">
            <v>65.75</v>
          </cell>
        </row>
        <row r="241">
          <cell r="AA241">
            <v>28.5</v>
          </cell>
          <cell r="AB241">
            <v>21</v>
          </cell>
          <cell r="AC241">
            <v>60.6</v>
          </cell>
          <cell r="AD241">
            <v>75.599999999999994</v>
          </cell>
          <cell r="AE241">
            <v>61.222222222222221</v>
          </cell>
          <cell r="AF241">
            <v>48.772727272727273</v>
          </cell>
          <cell r="AG241">
            <v>53.25</v>
          </cell>
          <cell r="AH241">
            <v>45.75</v>
          </cell>
          <cell r="AI241">
            <v>49.75</v>
          </cell>
          <cell r="AJ241">
            <v>55.75</v>
          </cell>
          <cell r="AK241">
            <v>60.5</v>
          </cell>
          <cell r="AL241">
            <v>62.5</v>
          </cell>
          <cell r="AM241">
            <v>60.75</v>
          </cell>
          <cell r="AN241">
            <v>52</v>
          </cell>
          <cell r="AO241">
            <v>75</v>
          </cell>
          <cell r="AP241">
            <v>86.25</v>
          </cell>
          <cell r="AQ241">
            <v>77.25</v>
          </cell>
          <cell r="AR241">
            <v>78</v>
          </cell>
          <cell r="AS241">
            <v>50.75</v>
          </cell>
          <cell r="AT241">
            <v>57.25</v>
          </cell>
          <cell r="AU241">
            <v>56.25</v>
          </cell>
          <cell r="AV241">
            <v>55.75</v>
          </cell>
          <cell r="AW241">
            <v>62</v>
          </cell>
          <cell r="AX241">
            <v>61</v>
          </cell>
          <cell r="AY241">
            <v>53.75</v>
          </cell>
          <cell r="AZ241">
            <v>59.5</v>
          </cell>
          <cell r="BA241">
            <v>64</v>
          </cell>
          <cell r="BB241">
            <v>60.5</v>
          </cell>
          <cell r="BC241">
            <v>63.25</v>
          </cell>
          <cell r="BD241">
            <v>60</v>
          </cell>
          <cell r="BE241">
            <v>67.75</v>
          </cell>
          <cell r="BF241">
            <v>68.25</v>
          </cell>
        </row>
        <row r="242">
          <cell r="AA242">
            <v>28</v>
          </cell>
          <cell r="AB242">
            <v>25.675000000000001</v>
          </cell>
          <cell r="AC242">
            <v>64.5</v>
          </cell>
          <cell r="AD242">
            <v>74</v>
          </cell>
          <cell r="AE242">
            <v>65.318181818181813</v>
          </cell>
          <cell r="AF242">
            <v>45.852272727272727</v>
          </cell>
          <cell r="AG242">
            <v>50.75</v>
          </cell>
          <cell r="AH242">
            <v>48.5</v>
          </cell>
          <cell r="AI242">
            <v>38.5</v>
          </cell>
          <cell r="AJ242">
            <v>48.75</v>
          </cell>
          <cell r="AK242">
            <v>48.5</v>
          </cell>
          <cell r="AL242">
            <v>54.5</v>
          </cell>
          <cell r="AM242">
            <v>37.5</v>
          </cell>
          <cell r="AN242">
            <v>26.75</v>
          </cell>
          <cell r="AO242">
            <v>32.25</v>
          </cell>
          <cell r="AP242">
            <v>46</v>
          </cell>
          <cell r="AQ242">
            <v>15.5</v>
          </cell>
          <cell r="AR242">
            <v>20.25</v>
          </cell>
          <cell r="AS242">
            <v>15.25</v>
          </cell>
          <cell r="AT242">
            <v>13</v>
          </cell>
          <cell r="AU242">
            <v>13.25</v>
          </cell>
          <cell r="AV242">
            <v>16.25</v>
          </cell>
          <cell r="AW242">
            <v>22.25</v>
          </cell>
          <cell r="AX242">
            <v>21.75</v>
          </cell>
          <cell r="AY242">
            <v>12.5</v>
          </cell>
          <cell r="AZ242">
            <v>15.5</v>
          </cell>
          <cell r="BA242">
            <v>20.5</v>
          </cell>
          <cell r="BB242">
            <v>15</v>
          </cell>
          <cell r="BC242">
            <v>16</v>
          </cell>
          <cell r="BD242">
            <v>17.25</v>
          </cell>
          <cell r="BE242">
            <v>21.5</v>
          </cell>
          <cell r="BF242">
            <v>21.5</v>
          </cell>
        </row>
        <row r="243">
          <cell r="AA243">
            <v>25.8125</v>
          </cell>
          <cell r="AB243">
            <v>28.078900000000001</v>
          </cell>
          <cell r="AC243">
            <v>55.555599999999998</v>
          </cell>
          <cell r="AD243">
            <v>73.69047619047619</v>
          </cell>
          <cell r="AE243">
            <v>66.375</v>
          </cell>
          <cell r="AF243">
            <v>45</v>
          </cell>
          <cell r="AG243">
            <v>46.5</v>
          </cell>
          <cell r="AH243">
            <v>41.75</v>
          </cell>
          <cell r="AI243">
            <v>35.75</v>
          </cell>
          <cell r="AJ243">
            <v>37.75</v>
          </cell>
          <cell r="AK243">
            <v>36.25</v>
          </cell>
          <cell r="AL243">
            <v>40.25</v>
          </cell>
          <cell r="AM243">
            <v>38</v>
          </cell>
          <cell r="AN243">
            <v>35.25</v>
          </cell>
          <cell r="AO243">
            <v>36.5</v>
          </cell>
          <cell r="AP243">
            <v>28</v>
          </cell>
          <cell r="AQ243">
            <v>8.5</v>
          </cell>
          <cell r="AR243">
            <v>14.25</v>
          </cell>
          <cell r="AS243">
            <v>14.75</v>
          </cell>
          <cell r="AT243">
            <v>8.75</v>
          </cell>
          <cell r="AU243">
            <v>6</v>
          </cell>
          <cell r="AV243">
            <v>12.25</v>
          </cell>
          <cell r="AW243">
            <v>18.25</v>
          </cell>
          <cell r="AX243">
            <v>14.75</v>
          </cell>
          <cell r="AY243">
            <v>6.25</v>
          </cell>
          <cell r="AZ243">
            <v>7.75</v>
          </cell>
          <cell r="BA243">
            <v>11.75</v>
          </cell>
          <cell r="BB243">
            <v>8</v>
          </cell>
          <cell r="BC243">
            <v>10.25</v>
          </cell>
          <cell r="BD243">
            <v>12.25</v>
          </cell>
          <cell r="BE243">
            <v>15.75</v>
          </cell>
          <cell r="BF243">
            <v>14.25</v>
          </cell>
        </row>
        <row r="375">
          <cell r="N375">
            <v>3.979176350450301E-2</v>
          </cell>
          <cell r="O375">
            <v>4.0949313934962754E-2</v>
          </cell>
          <cell r="P375">
            <v>3.9585970370648413E-2</v>
          </cell>
          <cell r="Q375">
            <v>3.3728844101442661E-2</v>
          </cell>
          <cell r="R375">
            <v>3.8940832166652221E-2</v>
          </cell>
          <cell r="S375">
            <v>4.3398784670877391E-2</v>
          </cell>
          <cell r="T375">
            <v>3.8975040595436071E-2</v>
          </cell>
          <cell r="U375">
            <v>3.9117285269142044E-2</v>
          </cell>
          <cell r="V375">
            <v>3.8645758521126387E-2</v>
          </cell>
          <cell r="W375">
            <v>3.7574654633146368E-2</v>
          </cell>
          <cell r="X375">
            <v>3.937232947978473E-2</v>
          </cell>
          <cell r="Y375">
            <v>3.9364097522592449E-2</v>
          </cell>
          <cell r="Z375">
            <v>3.5031188094645282E-2</v>
          </cell>
          <cell r="AA375">
            <v>3.1747311189990954E-2</v>
          </cell>
        </row>
        <row r="376">
          <cell r="N376">
            <v>3.9046297799109127E-2</v>
          </cell>
          <cell r="O376">
            <v>4.0200171730108605E-2</v>
          </cell>
          <cell r="P376">
            <v>3.9511485842595603E-2</v>
          </cell>
          <cell r="Q376">
            <v>3.8669177115557236E-2</v>
          </cell>
          <cell r="R376">
            <v>3.6524576221661595E-2</v>
          </cell>
          <cell r="S376">
            <v>3.9042479700239205E-2</v>
          </cell>
          <cell r="T376">
            <v>3.8194564406935527E-2</v>
          </cell>
          <cell r="U376">
            <v>3.8412903747621262E-2</v>
          </cell>
          <cell r="V376">
            <v>3.7681245519897016E-2</v>
          </cell>
          <cell r="W376">
            <v>3.7272958631916132E-2</v>
          </cell>
          <cell r="X376">
            <v>4.1911598924606594E-2</v>
          </cell>
          <cell r="Y376">
            <v>4.2546897762532836E-2</v>
          </cell>
          <cell r="Z376">
            <v>3.8778142760926067E-2</v>
          </cell>
          <cell r="AA376">
            <v>3.7102457494315969E-2</v>
          </cell>
        </row>
        <row r="377">
          <cell r="N377">
            <v>4.0728024384262339E-2</v>
          </cell>
          <cell r="O377">
            <v>4.0170505726311825E-2</v>
          </cell>
          <cell r="P377">
            <v>3.6575378972526273E-2</v>
          </cell>
          <cell r="Q377">
            <v>3.3915965073492503E-2</v>
          </cell>
          <cell r="R377">
            <v>3.9132250812493247E-2</v>
          </cell>
          <cell r="S377">
            <v>4.3885207594144333E-2</v>
          </cell>
          <cell r="T377">
            <v>3.7554335139663879E-2</v>
          </cell>
          <cell r="U377">
            <v>3.802009975785605E-2</v>
          </cell>
          <cell r="V377">
            <v>3.7398265479206182E-2</v>
          </cell>
          <cell r="W377">
            <v>3.6597252135472484E-2</v>
          </cell>
          <cell r="X377">
            <v>3.9926190289939149E-2</v>
          </cell>
          <cell r="Y377">
            <v>4.0983201174887782E-2</v>
          </cell>
          <cell r="Z377">
            <v>3.4656866968956521E-2</v>
          </cell>
          <cell r="AA377">
            <v>3.9550383176404878E-2</v>
          </cell>
        </row>
        <row r="378">
          <cell r="M378">
            <v>4.1272124806905418E-2</v>
          </cell>
          <cell r="N378">
            <v>4.0055500902049873E-2</v>
          </cell>
          <cell r="O378">
            <v>4.5076371746098673E-2</v>
          </cell>
          <cell r="P378">
            <v>2.9338153113324227E-2</v>
          </cell>
          <cell r="Q378">
            <v>3.7922757268874126E-2</v>
          </cell>
          <cell r="R378">
            <v>4.4854014357511275E-2</v>
          </cell>
          <cell r="S378">
            <v>4.2095623619728177E-2</v>
          </cell>
          <cell r="T378">
            <v>3.9700923631613885E-2</v>
          </cell>
          <cell r="U378">
            <v>4.064728569876197E-2</v>
          </cell>
          <cell r="V378">
            <v>3.9570333636978552E-2</v>
          </cell>
          <cell r="W378">
            <v>3.9382592443767947E-2</v>
          </cell>
          <cell r="X378">
            <v>4.0300663401780012E-2</v>
          </cell>
          <cell r="Y378">
            <v>3.9301937775913343E-2</v>
          </cell>
          <cell r="Z378">
            <v>3.4887364621080011E-2</v>
          </cell>
        </row>
        <row r="379">
          <cell r="M379">
            <v>4.3488072299833813E-2</v>
          </cell>
          <cell r="N379">
            <v>4.3883203616782177E-2</v>
          </cell>
          <cell r="O379">
            <v>4.4835169384659507E-2</v>
          </cell>
          <cell r="P379">
            <v>3.2306612655991551E-2</v>
          </cell>
          <cell r="Q379">
            <v>4.089135233638018E-2</v>
          </cell>
          <cell r="R379">
            <v>3.9945692819256043E-2</v>
          </cell>
          <cell r="S379">
            <v>4.5403499419819172E-2</v>
          </cell>
          <cell r="T379">
            <v>4.0890943028875033E-2</v>
          </cell>
          <cell r="U379">
            <v>4.1590305532325664E-2</v>
          </cell>
          <cell r="V379">
            <v>4.0444152511196596E-2</v>
          </cell>
          <cell r="W379">
            <v>3.989939807413994E-2</v>
          </cell>
          <cell r="X379">
            <v>4.193239381877821E-2</v>
          </cell>
          <cell r="Y379">
            <v>4.5370727078499311E-2</v>
          </cell>
          <cell r="Z379">
            <v>4.1318850509099884E-2</v>
          </cell>
        </row>
        <row r="380">
          <cell r="M380">
            <v>4.0612381944237996E-2</v>
          </cell>
          <cell r="N380">
            <v>4.2430749780115226E-2</v>
          </cell>
          <cell r="O380">
            <v>4.3067726213231933E-2</v>
          </cell>
          <cell r="P380">
            <v>3.4224303487678062E-2</v>
          </cell>
          <cell r="Q380">
            <v>4.1383089080468519E-2</v>
          </cell>
          <cell r="R380">
            <v>4.1273477516411534E-2</v>
          </cell>
          <cell r="S380">
            <v>4.4954464384936714E-2</v>
          </cell>
          <cell r="T380">
            <v>4.0092728250307054E-2</v>
          </cell>
          <cell r="U380">
            <v>4.0877661291858283E-2</v>
          </cell>
          <cell r="V380">
            <v>3.9856474781874318E-2</v>
          </cell>
          <cell r="W380">
            <v>3.9733231966038209E-2</v>
          </cell>
          <cell r="X380">
            <v>3.9329132213261134E-2</v>
          </cell>
          <cell r="Y380">
            <v>3.6332607753831389E-2</v>
          </cell>
          <cell r="Z380">
            <v>3.5855087232294774E-2</v>
          </cell>
        </row>
        <row r="381">
          <cell r="M381">
            <v>4.5093168516054605E-2</v>
          </cell>
          <cell r="N381">
            <v>4.656040547461681E-2</v>
          </cell>
          <cell r="O381">
            <v>4.7898942417597415E-2</v>
          </cell>
          <cell r="P381">
            <v>3.0086383995977576E-2</v>
          </cell>
          <cell r="Q381">
            <v>3.8569689429068854E-2</v>
          </cell>
          <cell r="R381">
            <v>4.6888080964183516E-2</v>
          </cell>
          <cell r="S381">
            <v>4.5506660258216799E-2</v>
          </cell>
          <cell r="T381">
            <v>4.2773485595135927E-2</v>
          </cell>
          <cell r="U381">
            <v>4.3885505759134621E-2</v>
          </cell>
          <cell r="V381">
            <v>4.21269726857132E-2</v>
          </cell>
          <cell r="W381">
            <v>4.2214127190269693E-2</v>
          </cell>
          <cell r="X381">
            <v>4.1616146179227771E-2</v>
          </cell>
          <cell r="Y381">
            <v>3.8124586285086547E-2</v>
          </cell>
          <cell r="Z381">
            <v>3.632201503043659E-2</v>
          </cell>
        </row>
        <row r="382">
          <cell r="M382">
            <v>4.8926499117616803E-2</v>
          </cell>
          <cell r="N382">
            <v>4.4297797475329248E-2</v>
          </cell>
          <cell r="O382">
            <v>4.7096890395989383E-2</v>
          </cell>
          <cell r="P382">
            <v>4.0681157393750944E-2</v>
          </cell>
          <cell r="Q382">
            <v>3.444145025482527E-2</v>
          </cell>
          <cell r="R382">
            <v>4.4465803971746765E-2</v>
          </cell>
          <cell r="S382">
            <v>4.8063289226401157E-2</v>
          </cell>
          <cell r="T382">
            <v>4.3161991354547902E-2</v>
          </cell>
          <cell r="U382">
            <v>4.4084690187287646E-2</v>
          </cell>
          <cell r="V382">
            <v>4.1520968154641243E-2</v>
          </cell>
          <cell r="W382">
            <v>4.7851168528522926E-2</v>
          </cell>
          <cell r="X382">
            <v>4.4826641733125408E-2</v>
          </cell>
          <cell r="Y382">
            <v>3.8781518803840953E-2</v>
          </cell>
          <cell r="Z382">
            <v>3.9008332461952414E-2</v>
          </cell>
        </row>
        <row r="383">
          <cell r="M383">
            <v>4.7111818680219977E-2</v>
          </cell>
          <cell r="N383">
            <v>4.9290546086727928E-2</v>
          </cell>
          <cell r="O383">
            <v>4.8118755282455281E-2</v>
          </cell>
          <cell r="P383">
            <v>3.8723526967614344E-2</v>
          </cell>
          <cell r="Q383">
            <v>3.8096569094241313E-2</v>
          </cell>
          <cell r="R383">
            <v>4.4116228147015553E-2</v>
          </cell>
          <cell r="S383">
            <v>4.4897713316999585E-2</v>
          </cell>
          <cell r="T383">
            <v>4.3223687011486087E-2</v>
          </cell>
          <cell r="U383">
            <v>4.3785917374804396E-2</v>
          </cell>
          <cell r="V383">
            <v>4.1546687465494933E-2</v>
          </cell>
          <cell r="W383">
            <v>4.3898372587404429E-2</v>
          </cell>
          <cell r="X383">
            <v>4.3133206126245563E-2</v>
          </cell>
          <cell r="Y383">
            <v>4.2913716729957932E-2</v>
          </cell>
          <cell r="Z383">
            <v>3.6918146396597358E-2</v>
          </cell>
        </row>
        <row r="384">
          <cell r="M384">
            <v>4.6716941016228426E-2</v>
          </cell>
          <cell r="N384">
            <v>4.6117495414782488E-2</v>
          </cell>
          <cell r="O384">
            <v>4.5910948994649432E-2</v>
          </cell>
          <cell r="P384">
            <v>4.0415389534979397E-2</v>
          </cell>
          <cell r="Q384">
            <v>4.1840728395496914E-2</v>
          </cell>
          <cell r="R384">
            <v>4.888666779915906E-2</v>
          </cell>
          <cell r="S384">
            <v>4.705047417305587E-2</v>
          </cell>
          <cell r="T384">
            <v>4.4495783476108879E-2</v>
          </cell>
          <cell r="U384">
            <v>4.454883086120752E-2</v>
          </cell>
          <cell r="V384">
            <v>4.240265663867504E-2</v>
          </cell>
          <cell r="W384">
            <v>4.0865165466314149E-2</v>
          </cell>
          <cell r="X384">
            <v>3.932221454474838E-2</v>
          </cell>
          <cell r="Y384">
            <v>3.5573440424765901E-2</v>
          </cell>
          <cell r="Z384">
            <v>3.3895672809823918E-2</v>
          </cell>
        </row>
        <row r="385">
          <cell r="M385">
            <v>4.010217950465448E-2</v>
          </cell>
          <cell r="N385">
            <v>4.4941964439702102E-2</v>
          </cell>
          <cell r="O385">
            <v>4.4966039712176865E-2</v>
          </cell>
          <cell r="P385">
            <v>3.9498297995591652E-2</v>
          </cell>
          <cell r="Q385">
            <v>4.1308447058071525E-2</v>
          </cell>
          <cell r="R385">
            <v>4.7363178609103759E-2</v>
          </cell>
          <cell r="S385">
            <v>4.7264081210721176E-2</v>
          </cell>
          <cell r="T385">
            <v>4.2054596239694646E-2</v>
          </cell>
          <cell r="U385">
            <v>4.2620327358921732E-2</v>
          </cell>
          <cell r="V385">
            <v>4.1529403496168321E-2</v>
          </cell>
          <cell r="W385">
            <v>4.1240429359500487E-2</v>
          </cell>
          <cell r="X385">
            <v>3.9960759979363207E-2</v>
          </cell>
          <cell r="Y385">
            <v>3.7662466301648698E-2</v>
          </cell>
          <cell r="Z385">
            <v>3.6567105127984702E-2</v>
          </cell>
        </row>
        <row r="386">
          <cell r="M386">
            <v>4.9939564194353386E-2</v>
          </cell>
          <cell r="N386">
            <v>4.371146145164103E-2</v>
          </cell>
          <cell r="O386">
            <v>4.238151003991833E-2</v>
          </cell>
          <cell r="P386">
            <v>3.5257912573197873E-2</v>
          </cell>
          <cell r="Q386">
            <v>4.3819348030700367E-2</v>
          </cell>
          <cell r="R386">
            <v>4.4300038595932283E-2</v>
          </cell>
          <cell r="S386">
            <v>4.6563872600191979E-2</v>
          </cell>
          <cell r="T386">
            <v>4.2488346555910807E-2</v>
          </cell>
          <cell r="U386">
            <v>4.3417736562635485E-2</v>
          </cell>
          <cell r="V386">
            <v>4.113590581102293E-2</v>
          </cell>
          <cell r="W386">
            <v>4.3373614286742232E-2</v>
          </cell>
          <cell r="X386">
            <v>3.9405282785647561E-2</v>
          </cell>
          <cell r="Y386">
            <v>3.5677538060914019E-2</v>
          </cell>
          <cell r="Z386">
            <v>3.8478818571147308E-2</v>
          </cell>
        </row>
      </sheetData>
      <sheetData sheetId="50"/>
      <sheetData sheetId="51"/>
      <sheetData sheetId="52" refreshError="1"/>
      <sheetData sheetId="53" refreshError="1"/>
      <sheetData sheetId="54">
        <row r="146">
          <cell r="C146">
            <v>39.586990716130209</v>
          </cell>
          <cell r="D146">
            <v>46.020954175231267</v>
          </cell>
          <cell r="E146">
            <v>53.5541012360015</v>
          </cell>
          <cell r="F146">
            <v>58.651266842824782</v>
          </cell>
          <cell r="G146">
            <v>61.433138582926524</v>
          </cell>
          <cell r="H146">
            <v>64.893576709663847</v>
          </cell>
          <cell r="I146">
            <v>72.546908314240483</v>
          </cell>
          <cell r="J146">
            <v>83.957897138492314</v>
          </cell>
          <cell r="K146">
            <v>83.914937999999992</v>
          </cell>
          <cell r="L146">
            <v>79.099999999999994</v>
          </cell>
          <cell r="M146">
            <v>86.5</v>
          </cell>
          <cell r="N146">
            <v>96.6</v>
          </cell>
          <cell r="O146">
            <v>109.9</v>
          </cell>
          <cell r="P146">
            <v>125.2</v>
          </cell>
          <cell r="Q146">
            <v>118.5</v>
          </cell>
          <cell r="R146">
            <v>119.8</v>
          </cell>
          <cell r="S146">
            <v>113.85185</v>
          </cell>
          <cell r="T146">
            <v>114.35178734173103</v>
          </cell>
          <cell r="U146">
            <v>116.86101312394949</v>
          </cell>
          <cell r="V146">
            <v>117.36725881977404</v>
          </cell>
          <cell r="W146">
            <v>121.69650088376166</v>
          </cell>
          <cell r="X146">
            <v>202.70699999999999</v>
          </cell>
          <cell r="Y146">
            <v>197.48</v>
          </cell>
          <cell r="Z146">
            <v>196.93600000000001</v>
          </cell>
          <cell r="AA146">
            <v>168.97300000000001</v>
          </cell>
          <cell r="AB146">
            <v>210.77</v>
          </cell>
          <cell r="AC146">
            <v>209.06700000000001</v>
          </cell>
          <cell r="AD146">
            <v>174.26</v>
          </cell>
          <cell r="AE146">
            <v>181.94399999999999</v>
          </cell>
          <cell r="AF146">
            <v>194.64699999999999</v>
          </cell>
          <cell r="AG146">
            <v>186.316</v>
          </cell>
          <cell r="AH146">
            <v>202.6256698269394</v>
          </cell>
          <cell r="AI146">
            <v>205.39542133967819</v>
          </cell>
          <cell r="AJ146">
            <v>212.97685937214021</v>
          </cell>
          <cell r="AK146">
            <v>213.5267810068564</v>
          </cell>
          <cell r="AL146">
            <v>217.87389928205002</v>
          </cell>
          <cell r="AM146">
            <v>223.25856911079822</v>
          </cell>
          <cell r="AN146">
            <v>230.56825676818457</v>
          </cell>
          <cell r="AO146">
            <v>232.16919873856219</v>
          </cell>
          <cell r="AP146">
            <v>239.64639340791271</v>
          </cell>
          <cell r="AQ146">
            <v>241.10245491966813</v>
          </cell>
          <cell r="AR146">
            <v>244.37777562494696</v>
          </cell>
          <cell r="AS146">
            <v>251.1136917649533</v>
          </cell>
          <cell r="AT146">
            <v>253.43098013516658</v>
          </cell>
          <cell r="AU146">
            <v>258.28393619658419</v>
          </cell>
          <cell r="AV146">
            <v>263.82050081003166</v>
          </cell>
          <cell r="AW146">
            <v>268.47289328680654</v>
          </cell>
          <cell r="AX146">
            <v>273.05236492488388</v>
          </cell>
          <cell r="AY146">
            <v>277.52467329851459</v>
          </cell>
          <cell r="AZ146">
            <v>282.67242515307208</v>
          </cell>
          <cell r="BA146">
            <v>287.24868995721778</v>
          </cell>
          <cell r="BB146">
            <v>291.76516080925853</v>
          </cell>
          <cell r="BC146">
            <v>296.21542015883432</v>
          </cell>
          <cell r="BD146">
            <v>301.20696830978966</v>
          </cell>
          <cell r="BE146">
            <v>305.99186668756158</v>
          </cell>
          <cell r="BF146">
            <v>311.23263261728357</v>
          </cell>
          <cell r="BG146">
            <v>316.358125874687</v>
          </cell>
        </row>
        <row r="147">
          <cell r="C147">
            <v>38.218013069173836</v>
          </cell>
          <cell r="D147">
            <v>43.071653257375033</v>
          </cell>
          <cell r="E147">
            <v>45.226897569431472</v>
          </cell>
          <cell r="F147">
            <v>48.090836022627151</v>
          </cell>
          <cell r="G147">
            <v>55.372854719618118</v>
          </cell>
          <cell r="H147">
            <v>63.620447385525068</v>
          </cell>
          <cell r="I147">
            <v>68.747342811779092</v>
          </cell>
          <cell r="J147">
            <v>73.486671255470895</v>
          </cell>
          <cell r="K147">
            <v>71.226377999999997</v>
          </cell>
          <cell r="L147">
            <v>62.5</v>
          </cell>
          <cell r="M147">
            <v>82.9</v>
          </cell>
          <cell r="N147">
            <v>98.4</v>
          </cell>
          <cell r="O147">
            <v>118.1</v>
          </cell>
          <cell r="P147">
            <v>121.5</v>
          </cell>
          <cell r="Q147">
            <v>102.7</v>
          </cell>
          <cell r="R147">
            <v>111</v>
          </cell>
          <cell r="S147">
            <v>115.84833999999999</v>
          </cell>
          <cell r="T147">
            <v>110.68049311654913</v>
          </cell>
          <cell r="U147">
            <v>113.1091595447069</v>
          </cell>
          <cell r="V147">
            <v>113.59915208924446</v>
          </cell>
          <cell r="W147">
            <v>117.78940269749353</v>
          </cell>
          <cell r="X147">
            <v>208.09200000000001</v>
          </cell>
          <cell r="Y147">
            <v>207.19399999999999</v>
          </cell>
          <cell r="Z147">
            <v>205.767</v>
          </cell>
          <cell r="AA147">
            <v>165.512</v>
          </cell>
          <cell r="AB147">
            <v>214.43600000000001</v>
          </cell>
          <cell r="AC147">
            <v>216.16</v>
          </cell>
          <cell r="AD147">
            <v>167.55500000000001</v>
          </cell>
          <cell r="AE147">
            <v>192.12700000000001</v>
          </cell>
          <cell r="AF147">
            <v>222.197</v>
          </cell>
          <cell r="AG147">
            <v>203.518</v>
          </cell>
          <cell r="AH147">
            <v>181.53506384604654</v>
          </cell>
          <cell r="AI147">
            <v>184.01120200162077</v>
          </cell>
          <cell r="AJ147">
            <v>190.79269178513727</v>
          </cell>
          <cell r="AK147">
            <v>191.28066068248893</v>
          </cell>
          <cell r="AL147">
            <v>195.16564359339066</v>
          </cell>
          <cell r="AM147">
            <v>199.98495432573108</v>
          </cell>
          <cell r="AN147">
            <v>206.52566379451946</v>
          </cell>
          <cell r="AO147">
            <v>207.95519004951871</v>
          </cell>
          <cell r="AP147">
            <v>214.64584347333053</v>
          </cell>
          <cell r="AQ147">
            <v>215.94079354541444</v>
          </cell>
          <cell r="AR147">
            <v>218.86760247261793</v>
          </cell>
          <cell r="AS147">
            <v>224.89305783346586</v>
          </cell>
          <cell r="AT147">
            <v>226.96178376658764</v>
          </cell>
          <cell r="AU147">
            <v>231.2986446015847</v>
          </cell>
          <cell r="AV147">
            <v>236.25004658237174</v>
          </cell>
          <cell r="AW147">
            <v>240.40976605481913</v>
          </cell>
          <cell r="AX147">
            <v>244.50429556716676</v>
          </cell>
          <cell r="AY147">
            <v>248.5026143930622</v>
          </cell>
          <cell r="AZ147">
            <v>253.10824782143794</v>
          </cell>
          <cell r="BA147">
            <v>257.1993509423329</v>
          </cell>
          <cell r="BB147">
            <v>261.23964342368043</v>
          </cell>
          <cell r="BC147">
            <v>265.21520280431355</v>
          </cell>
          <cell r="BD147">
            <v>269.67812222325375</v>
          </cell>
          <cell r="BE147">
            <v>273.95578767651818</v>
          </cell>
          <cell r="BF147">
            <v>278.64168883897105</v>
          </cell>
          <cell r="BG147">
            <v>283.22415016379665</v>
          </cell>
        </row>
        <row r="148">
          <cell r="C148">
            <v>37.366871092204896</v>
          </cell>
          <cell r="D148">
            <v>41.097958066834089</v>
          </cell>
          <cell r="E148">
            <v>45.941464289113</v>
          </cell>
          <cell r="F148">
            <v>53.977334893655446</v>
          </cell>
          <cell r="G148">
            <v>59.166166196688167</v>
          </cell>
          <cell r="H148">
            <v>63.767898411494627</v>
          </cell>
          <cell r="I148">
            <v>64.102463955331785</v>
          </cell>
          <cell r="J148">
            <v>70.676227095735257</v>
          </cell>
          <cell r="K148">
            <v>72.539135999999999</v>
          </cell>
          <cell r="L148">
            <v>69.599999999999994</v>
          </cell>
          <cell r="M148">
            <v>87.2</v>
          </cell>
          <cell r="N148">
            <v>98.6</v>
          </cell>
          <cell r="O148">
            <v>115.7</v>
          </cell>
          <cell r="P148">
            <v>127.5</v>
          </cell>
          <cell r="Q148">
            <v>111.7</v>
          </cell>
          <cell r="R148">
            <v>115.4</v>
          </cell>
          <cell r="S148">
            <v>119.75515</v>
          </cell>
          <cell r="T148">
            <v>114.13110845387854</v>
          </cell>
          <cell r="U148">
            <v>116.63549187055237</v>
          </cell>
          <cell r="V148">
            <v>117.14076060099902</v>
          </cell>
          <cell r="W148">
            <v>121.4616479873193</v>
          </cell>
          <cell r="X148">
            <v>198.75299999999999</v>
          </cell>
          <cell r="Y148">
            <v>198.816</v>
          </cell>
          <cell r="Z148">
            <v>211.023</v>
          </cell>
          <cell r="AA148">
            <v>152.166</v>
          </cell>
          <cell r="AB148">
            <v>189.18299999999999</v>
          </cell>
          <cell r="AC148">
            <v>195.72900000000001</v>
          </cell>
          <cell r="AD148">
            <v>163.48500000000001</v>
          </cell>
          <cell r="AE148">
            <v>173.886</v>
          </cell>
          <cell r="AF148">
            <v>185.71899999999999</v>
          </cell>
          <cell r="AG148">
            <v>176.75399999999999</v>
          </cell>
          <cell r="AH148">
            <v>186.08930119449792</v>
          </cell>
          <cell r="AI148">
            <v>188.65934241331348</v>
          </cell>
          <cell r="AJ148">
            <v>195.67562530866249</v>
          </cell>
          <cell r="AK148">
            <v>196.20399738577689</v>
          </cell>
          <cell r="AL148">
            <v>200.24415462516231</v>
          </cell>
          <cell r="AM148">
            <v>205.21357086772588</v>
          </cell>
          <cell r="AN148">
            <v>211.96699334745765</v>
          </cell>
          <cell r="AO148">
            <v>213.46093773693178</v>
          </cell>
          <cell r="AP148">
            <v>220.36882964331579</v>
          </cell>
          <cell r="AQ148">
            <v>221.75335665860314</v>
          </cell>
          <cell r="AR148">
            <v>224.7989704338394</v>
          </cell>
          <cell r="AS148">
            <v>231.03140908115489</v>
          </cell>
          <cell r="AT148">
            <v>233.19603223398215</v>
          </cell>
          <cell r="AU148">
            <v>237.70722465974029</v>
          </cell>
          <cell r="AV148">
            <v>242.83590562038049</v>
          </cell>
          <cell r="AW148">
            <v>247.15029914946439</v>
          </cell>
          <cell r="AX148">
            <v>251.39702600953541</v>
          </cell>
          <cell r="AY148">
            <v>255.54633349804973</v>
          </cell>
          <cell r="AZ148">
            <v>260.30519198847634</v>
          </cell>
          <cell r="BA148">
            <v>264.55171266749147</v>
          </cell>
          <cell r="BB148">
            <v>268.72965994763092</v>
          </cell>
          <cell r="BC148">
            <v>272.87359405976491</v>
          </cell>
          <cell r="BD148">
            <v>277.50270269671063</v>
          </cell>
          <cell r="BE148">
            <v>281.942588898076</v>
          </cell>
          <cell r="BF148">
            <v>286.80204077606487</v>
          </cell>
          <cell r="BG148">
            <v>291.55644662133966</v>
          </cell>
        </row>
        <row r="149">
          <cell r="B149">
            <v>32.345863561606741</v>
          </cell>
          <cell r="C149">
            <v>38.615652842920831</v>
          </cell>
          <cell r="D149">
            <v>45.744165569353655</v>
          </cell>
          <cell r="E149">
            <v>51.579259587867405</v>
          </cell>
          <cell r="F149">
            <v>54.732974710422646</v>
          </cell>
          <cell r="G149">
            <v>59.211223266203312</v>
          </cell>
          <cell r="H149">
            <v>62.477677353627662</v>
          </cell>
          <cell r="I149">
            <v>71.936567063083928</v>
          </cell>
          <cell r="J149">
            <v>80.266643155139178</v>
          </cell>
          <cell r="K149">
            <v>78.5</v>
          </cell>
          <cell r="L149">
            <v>78.7</v>
          </cell>
          <cell r="M149">
            <v>95</v>
          </cell>
          <cell r="N149">
            <v>101</v>
          </cell>
          <cell r="O149">
            <v>111.6</v>
          </cell>
          <cell r="P149">
            <v>140.80000000000001</v>
          </cell>
          <cell r="Q149">
            <v>109.1</v>
          </cell>
          <cell r="R149">
            <v>111.13759</v>
          </cell>
          <cell r="S149">
            <v>115.093</v>
          </cell>
          <cell r="T149">
            <v>115.08155035597034</v>
          </cell>
          <cell r="U149">
            <v>117.60678935680835</v>
          </cell>
          <cell r="V149">
            <v>118.11626577944109</v>
          </cell>
          <cell r="W149">
            <v>122.47313592700687</v>
          </cell>
          <cell r="X149">
            <v>197.011</v>
          </cell>
          <cell r="Y149">
            <v>190.07</v>
          </cell>
          <cell r="Z149">
            <v>188.779</v>
          </cell>
          <cell r="AA149">
            <v>207.154</v>
          </cell>
          <cell r="AB149">
            <v>200.80699999999999</v>
          </cell>
          <cell r="AC149">
            <v>167.245</v>
          </cell>
          <cell r="AD149">
            <v>146.83600000000001</v>
          </cell>
          <cell r="AE149">
            <v>163.93299999999999</v>
          </cell>
          <cell r="AF149">
            <v>163.18299999999999</v>
          </cell>
          <cell r="AG149">
            <v>189.56763871541889</v>
          </cell>
          <cell r="AH149">
            <v>193.78419018613661</v>
          </cell>
          <cell r="AI149">
            <v>196.45079749527898</v>
          </cell>
          <cell r="AJ149">
            <v>203.73745946587681</v>
          </cell>
          <cell r="AK149">
            <v>204.2790796800935</v>
          </cell>
          <cell r="AL149">
            <v>208.46867508062542</v>
          </cell>
          <cell r="AM149">
            <v>213.6346612179801</v>
          </cell>
          <cell r="AN149">
            <v>220.65249175575482</v>
          </cell>
          <cell r="AO149">
            <v>222.19949094631647</v>
          </cell>
          <cell r="AP149">
            <v>229.37794504950404</v>
          </cell>
          <cell r="AQ149">
            <v>230.8022879687048</v>
          </cell>
          <cell r="AR149">
            <v>233.95998096783626</v>
          </cell>
          <cell r="AS149">
            <v>240.43308690352657</v>
          </cell>
          <cell r="AT149">
            <v>242.67378148445241</v>
          </cell>
          <cell r="AU149">
            <v>247.35150117833848</v>
          </cell>
          <cell r="AV149">
            <v>252.67605109985323</v>
          </cell>
          <cell r="AW149">
            <v>257.15348029175226</v>
          </cell>
          <cell r="AX149">
            <v>261.5607016805609</v>
          </cell>
          <cell r="AY149">
            <v>265.86610735925922</v>
          </cell>
          <cell r="AZ149">
            <v>270.81023927752614</v>
          </cell>
          <cell r="BA149">
            <v>275.2162362725698</v>
          </cell>
          <cell r="BB149">
            <v>279.55585968926982</v>
          </cell>
          <cell r="BC149">
            <v>283.85018581182868</v>
          </cell>
          <cell r="BD149">
            <v>288.65415005615188</v>
          </cell>
          <cell r="BE149">
            <v>293.26086003627506</v>
          </cell>
          <cell r="BF149">
            <v>298.30415255719907</v>
          </cell>
        </row>
        <row r="150">
          <cell r="B150">
            <v>30.393673271012126</v>
          </cell>
          <cell r="C150">
            <v>35.693980477249177</v>
          </cell>
          <cell r="D150">
            <v>44.077530383318248</v>
          </cell>
          <cell r="E150">
            <v>45.532713687814365</v>
          </cell>
          <cell r="F150">
            <v>49.905894239001228</v>
          </cell>
          <cell r="G150">
            <v>54.693634827180723</v>
          </cell>
          <cell r="H150">
            <v>63.999677396970668</v>
          </cell>
          <cell r="I150">
            <v>63.485757575614699</v>
          </cell>
          <cell r="J150">
            <v>71.423097314959421</v>
          </cell>
          <cell r="K150">
            <v>68.7</v>
          </cell>
          <cell r="L150">
            <v>77.400000000000006</v>
          </cell>
          <cell r="M150">
            <v>88.4</v>
          </cell>
          <cell r="N150">
            <v>95.7</v>
          </cell>
          <cell r="O150">
            <v>97.6</v>
          </cell>
          <cell r="P150">
            <v>117.7</v>
          </cell>
          <cell r="Q150">
            <v>101.7</v>
          </cell>
          <cell r="R150">
            <v>101.089</v>
          </cell>
          <cell r="S150">
            <v>106.32</v>
          </cell>
          <cell r="T150">
            <v>103.07489555529936</v>
          </cell>
          <cell r="U150">
            <v>105.33667205603662</v>
          </cell>
          <cell r="V150">
            <v>105.79299393289978</v>
          </cell>
          <cell r="W150">
            <v>109.69530437292458</v>
          </cell>
          <cell r="X150">
            <v>206.596</v>
          </cell>
          <cell r="Y150">
            <v>202.624</v>
          </cell>
          <cell r="Z150">
            <v>210.959</v>
          </cell>
          <cell r="AA150">
            <v>202.929</v>
          </cell>
          <cell r="AB150">
            <v>214.94900000000001</v>
          </cell>
          <cell r="AC150">
            <v>174.726</v>
          </cell>
          <cell r="AD150">
            <v>155.53299999999999</v>
          </cell>
          <cell r="AE150">
            <v>196.35</v>
          </cell>
          <cell r="AF150">
            <v>205.33</v>
          </cell>
          <cell r="AG150">
            <v>174.98632989060965</v>
          </cell>
          <cell r="AH150">
            <v>178.88369046343902</v>
          </cell>
          <cell r="AI150">
            <v>181.34880743110807</v>
          </cell>
          <cell r="AJ150">
            <v>188.08240632934252</v>
          </cell>
          <cell r="AK150">
            <v>188.58552654166965</v>
          </cell>
          <cell r="AL150">
            <v>192.45942239957978</v>
          </cell>
          <cell r="AM150">
            <v>197.23144693418297</v>
          </cell>
          <cell r="AN150">
            <v>203.7150933939522</v>
          </cell>
          <cell r="AO150">
            <v>205.14633073827056</v>
          </cell>
          <cell r="AP150">
            <v>211.77833539249016</v>
          </cell>
          <cell r="AQ150">
            <v>213.09953591463747</v>
          </cell>
          <cell r="AR150">
            <v>216.01949689909253</v>
          </cell>
          <cell r="AS150">
            <v>222.00110791110129</v>
          </cell>
          <cell r="AT150">
            <v>224.07442628760006</v>
          </cell>
          <cell r="AU150">
            <v>228.39978727072057</v>
          </cell>
          <cell r="AV150">
            <v>233.32084903863066</v>
          </cell>
          <cell r="AW150">
            <v>237.45962053906331</v>
          </cell>
          <cell r="AX150">
            <v>241.53348867923236</v>
          </cell>
          <cell r="AY150">
            <v>245.51350457693121</v>
          </cell>
          <cell r="AZ150">
            <v>250.08168122378603</v>
          </cell>
          <cell r="BA150">
            <v>254.15478850583511</v>
          </cell>
          <cell r="BB150">
            <v>258.16478365727818</v>
          </cell>
          <cell r="BC150">
            <v>262.13657822198564</v>
          </cell>
          <cell r="BD150">
            <v>266.57721346969305</v>
          </cell>
          <cell r="BE150">
            <v>270.83583764473678</v>
          </cell>
          <cell r="BF150">
            <v>275.49759615747757</v>
          </cell>
        </row>
        <row r="151">
          <cell r="B151">
            <v>35.158047839422451</v>
          </cell>
          <cell r="C151">
            <v>41.453914501682242</v>
          </cell>
          <cell r="D151">
            <v>43.839265586399925</v>
          </cell>
          <cell r="E151">
            <v>47.053792019205389</v>
          </cell>
          <cell r="F151">
            <v>54.368506991036064</v>
          </cell>
          <cell r="G151">
            <v>63.274445106272928</v>
          </cell>
          <cell r="H151">
            <v>69.471391930793558</v>
          </cell>
          <cell r="I151">
            <v>71.046871245919661</v>
          </cell>
          <cell r="J151">
            <v>74.632304144421965</v>
          </cell>
          <cell r="K151">
            <v>73.3</v>
          </cell>
          <cell r="L151">
            <v>90.6</v>
          </cell>
          <cell r="M151">
            <v>100.7</v>
          </cell>
          <cell r="N151">
            <v>111</v>
          </cell>
          <cell r="O151">
            <v>112</v>
          </cell>
          <cell r="P151">
            <v>117.3</v>
          </cell>
          <cell r="Q151">
            <v>109.2</v>
          </cell>
          <cell r="R151">
            <v>118.79325</v>
          </cell>
          <cell r="S151">
            <v>122.187</v>
          </cell>
          <cell r="T151">
            <v>114.00938398551084</v>
          </cell>
          <cell r="U151">
            <v>116.51109639737174</v>
          </cell>
          <cell r="V151">
            <v>117.01582624259744</v>
          </cell>
          <cell r="W151">
            <v>121.33210526466803</v>
          </cell>
          <cell r="X151">
            <v>207.255</v>
          </cell>
          <cell r="Y151">
            <v>197.09</v>
          </cell>
          <cell r="Z151">
            <v>206.82</v>
          </cell>
          <cell r="AA151">
            <v>200.261</v>
          </cell>
          <cell r="AB151">
            <v>210.15299999999999</v>
          </cell>
          <cell r="AC151">
            <v>179.452</v>
          </cell>
          <cell r="AD151">
            <v>153.76599999999999</v>
          </cell>
          <cell r="AE151">
            <v>183.30600000000001</v>
          </cell>
          <cell r="AF151">
            <v>170.81800000000001</v>
          </cell>
          <cell r="AG151">
            <v>190.18564062856794</v>
          </cell>
          <cell r="AH151">
            <v>194.41343011642505</v>
          </cell>
          <cell r="AI151">
            <v>197.08696373174035</v>
          </cell>
          <cell r="AJ151">
            <v>204.39376159942506</v>
          </cell>
          <cell r="AK151">
            <v>204.93560546741929</v>
          </cell>
          <cell r="AL151">
            <v>209.13565923227932</v>
          </cell>
          <cell r="AM151">
            <v>214.31682817156519</v>
          </cell>
          <cell r="AN151">
            <v>221.35479598223031</v>
          </cell>
          <cell r="AO151">
            <v>222.90526194634043</v>
          </cell>
          <cell r="AP151">
            <v>230.10433325333597</v>
          </cell>
          <cell r="AQ151">
            <v>231.53018924918629</v>
          </cell>
          <cell r="AR151">
            <v>234.6956620800741</v>
          </cell>
          <cell r="AS151">
            <v>241.18674422094699</v>
          </cell>
          <cell r="AT151">
            <v>243.43231628692817</v>
          </cell>
          <cell r="AU151">
            <v>248.12165303465832</v>
          </cell>
          <cell r="AV151">
            <v>253.46060006363601</v>
          </cell>
          <cell r="AW151">
            <v>257.94982521923714</v>
          </cell>
          <cell r="AX151">
            <v>262.36866045541728</v>
          </cell>
          <cell r="AY151">
            <v>266.68528369107042</v>
          </cell>
          <cell r="AZ151">
            <v>271.64341577853287</v>
          </cell>
          <cell r="BA151">
            <v>276.06084242863551</v>
          </cell>
          <cell r="BB151">
            <v>280.41257872778522</v>
          </cell>
          <cell r="BC151">
            <v>284.71710760712085</v>
          </cell>
          <cell r="BD151">
            <v>289.53371505417653</v>
          </cell>
          <cell r="BE151">
            <v>294.15239071410002</v>
          </cell>
          <cell r="BF151">
            <v>299.20900722122855</v>
          </cell>
        </row>
        <row r="152">
          <cell r="B152">
            <v>33.250225993958381</v>
          </cell>
          <cell r="C152">
            <v>36.084715775396333</v>
          </cell>
          <cell r="D152">
            <v>44.742734947607246</v>
          </cell>
          <cell r="E152">
            <v>51.278242122332188</v>
          </cell>
          <cell r="F152">
            <v>55.298846993379549</v>
          </cell>
          <cell r="G152">
            <v>61.651819675107518</v>
          </cell>
          <cell r="H152">
            <v>60.675621960893714</v>
          </cell>
          <cell r="I152">
            <v>68.607448732843324</v>
          </cell>
          <cell r="J152">
            <v>79.595407911315718</v>
          </cell>
          <cell r="K152">
            <v>73.099999999999994</v>
          </cell>
          <cell r="L152">
            <v>88</v>
          </cell>
          <cell r="M152">
            <v>96.2</v>
          </cell>
          <cell r="N152">
            <v>96.2</v>
          </cell>
          <cell r="O152">
            <v>106.1</v>
          </cell>
          <cell r="P152">
            <v>134.4</v>
          </cell>
          <cell r="Q152">
            <v>114.2</v>
          </cell>
          <cell r="R152">
            <v>117.26074</v>
          </cell>
          <cell r="S152">
            <v>111.79300000000001</v>
          </cell>
          <cell r="T152">
            <v>113.98280020421146</v>
          </cell>
          <cell r="U152">
            <v>116.48392928711027</v>
          </cell>
          <cell r="V152">
            <v>116.98854144353393</v>
          </cell>
          <cell r="W152">
            <v>121.30381403075206</v>
          </cell>
          <cell r="X152">
            <v>198.25700000000001</v>
          </cell>
          <cell r="Y152">
            <v>188.76300000000001</v>
          </cell>
          <cell r="Z152">
            <v>192.964</v>
          </cell>
          <cell r="AA152">
            <v>186.28200000000001</v>
          </cell>
          <cell r="AB152">
            <v>185.602</v>
          </cell>
          <cell r="AC152">
            <v>170.56700000000001</v>
          </cell>
          <cell r="AD152">
            <v>138.994</v>
          </cell>
          <cell r="AE152">
            <v>171.41</v>
          </cell>
          <cell r="AF152">
            <v>161.21899999999999</v>
          </cell>
          <cell r="AG152">
            <v>186.06992834971729</v>
          </cell>
          <cell r="AH152">
            <v>190.20988269061797</v>
          </cell>
          <cell r="AI152">
            <v>192.82813554508635</v>
          </cell>
          <cell r="AJ152">
            <v>199.98208635389784</v>
          </cell>
          <cell r="AK152">
            <v>200.51445239459528</v>
          </cell>
          <cell r="AL152">
            <v>204.62827966408469</v>
          </cell>
          <cell r="AM152">
            <v>209.69974338406539</v>
          </cell>
          <cell r="AN152">
            <v>216.58940216198252</v>
          </cell>
          <cell r="AO152">
            <v>218.1086134705568</v>
          </cell>
          <cell r="AP152">
            <v>225.15595310536608</v>
          </cell>
          <cell r="AQ152">
            <v>226.55551616916679</v>
          </cell>
          <cell r="AR152">
            <v>229.65615201707962</v>
          </cell>
          <cell r="AS152">
            <v>236.01132157873207</v>
          </cell>
          <cell r="AT152">
            <v>238.21183676949678</v>
          </cell>
          <cell r="AU152">
            <v>242.80498935444547</v>
          </cell>
          <cell r="AV152">
            <v>248.03271566938432</v>
          </cell>
          <cell r="AW152">
            <v>252.428874517</v>
          </cell>
          <cell r="AX152">
            <v>256.75609854587992</v>
          </cell>
          <cell r="AY152">
            <v>260.9834163214112</v>
          </cell>
          <cell r="AZ152">
            <v>265.83733947352715</v>
          </cell>
          <cell r="BA152">
            <v>270.16344808709323</v>
          </cell>
          <cell r="BB152">
            <v>274.42397651301434</v>
          </cell>
          <cell r="BC152">
            <v>278.64088833475228</v>
          </cell>
          <cell r="BD152">
            <v>283.35766150533624</v>
          </cell>
          <cell r="BE152">
            <v>287.8808364688839</v>
          </cell>
          <cell r="BF152">
            <v>292.8325697442271</v>
          </cell>
        </row>
        <row r="153">
          <cell r="B153">
            <v>34.494778448369409</v>
          </cell>
          <cell r="C153">
            <v>41.84006615636396</v>
          </cell>
          <cell r="D153">
            <v>47.221020439260698</v>
          </cell>
          <cell r="E153">
            <v>51.4644298528222</v>
          </cell>
          <cell r="F153">
            <v>52.316655482530443</v>
          </cell>
          <cell r="G153">
            <v>60.832938297676463</v>
          </cell>
          <cell r="H153">
            <v>71.326607039936164</v>
          </cell>
          <cell r="I153">
            <v>77.104721924437158</v>
          </cell>
          <cell r="J153">
            <v>82.953231153850879</v>
          </cell>
          <cell r="K153">
            <v>76</v>
          </cell>
          <cell r="L153">
            <v>86</v>
          </cell>
          <cell r="M153">
            <v>104.9</v>
          </cell>
          <cell r="N153">
            <v>113.2</v>
          </cell>
          <cell r="O153">
            <v>118.9</v>
          </cell>
          <cell r="P153">
            <v>134.5</v>
          </cell>
          <cell r="Q153">
            <v>116.6</v>
          </cell>
          <cell r="R153">
            <v>118.38805000000001</v>
          </cell>
          <cell r="S153">
            <v>121.705</v>
          </cell>
          <cell r="T153">
            <v>120.68889256302921</v>
          </cell>
          <cell r="U153">
            <v>123.33717369519506</v>
          </cell>
          <cell r="V153">
            <v>123.87147432847924</v>
          </cell>
          <cell r="W153">
            <v>189.37899999999999</v>
          </cell>
          <cell r="X153">
            <v>211.672</v>
          </cell>
          <cell r="Y153">
            <v>200.595</v>
          </cell>
          <cell r="Z153">
            <v>214.202</v>
          </cell>
          <cell r="AA153">
            <v>219.26</v>
          </cell>
          <cell r="AB153">
            <v>229.98599999999999</v>
          </cell>
          <cell r="AC153">
            <v>196.75399999999999</v>
          </cell>
          <cell r="AD153">
            <v>160.012</v>
          </cell>
          <cell r="AE153">
            <v>197.78299999999999</v>
          </cell>
          <cell r="AF153">
            <v>196.41399999999999</v>
          </cell>
          <cell r="AG153">
            <v>192.3886684326535</v>
          </cell>
          <cell r="AH153">
            <v>196.67639281742078</v>
          </cell>
          <cell r="AI153">
            <v>199.38861810191781</v>
          </cell>
          <cell r="AJ153">
            <v>206.79587177822748</v>
          </cell>
          <cell r="AK153">
            <v>207.35073168005536</v>
          </cell>
          <cell r="AL153">
            <v>211.61342245142109</v>
          </cell>
          <cell r="AM153">
            <v>216.86185678696651</v>
          </cell>
          <cell r="AN153">
            <v>223.99333006253249</v>
          </cell>
          <cell r="AO153">
            <v>225.5686461781643</v>
          </cell>
          <cell r="AP153">
            <v>232.86328014363062</v>
          </cell>
          <cell r="AQ153">
            <v>234.31933385097801</v>
          </cell>
          <cell r="AR153">
            <v>237.53246344936491</v>
          </cell>
          <cell r="AS153">
            <v>244.11239982220266</v>
          </cell>
          <cell r="AT153">
            <v>246.39459215395519</v>
          </cell>
          <cell r="AU153">
            <v>251.15412433003789</v>
          </cell>
          <cell r="AV153">
            <v>256.56785747499436</v>
          </cell>
          <cell r="AW153">
            <v>261.12132438424487</v>
          </cell>
          <cell r="AX153">
            <v>265.60338162075169</v>
          </cell>
          <cell r="AY153">
            <v>269.98232418378774</v>
          </cell>
          <cell r="AZ153">
            <v>275.00714579448567</v>
          </cell>
          <cell r="BA153">
            <v>279.48856569260261</v>
          </cell>
          <cell r="BB153">
            <v>283.8996025844778</v>
          </cell>
          <cell r="BC153">
            <v>288.27058800028436</v>
          </cell>
          <cell r="BD153">
            <v>293.15617909508376</v>
          </cell>
          <cell r="BE153">
            <v>297.84169626321972</v>
          </cell>
          <cell r="BF153">
            <v>302.97051118442533</v>
          </cell>
        </row>
        <row r="154">
          <cell r="B154">
            <v>36.46153462159868</v>
          </cell>
          <cell r="C154">
            <v>42.561287950449326</v>
          </cell>
          <cell r="D154">
            <v>42.802953772126635</v>
          </cell>
          <cell r="E154">
            <v>49.378921807888204</v>
          </cell>
          <cell r="F154">
            <v>54.499206467072</v>
          </cell>
          <cell r="G154">
            <v>63.063741584276642</v>
          </cell>
          <cell r="H154">
            <v>69.656926551378945</v>
          </cell>
          <cell r="I154">
            <v>71.851877900246919</v>
          </cell>
          <cell r="J154">
            <v>74.394181158718126</v>
          </cell>
          <cell r="K154">
            <v>76.900000000000006</v>
          </cell>
          <cell r="L154">
            <v>93</v>
          </cell>
          <cell r="M154">
            <v>103.3</v>
          </cell>
          <cell r="N154">
            <v>111.5</v>
          </cell>
          <cell r="O154">
            <v>111.3</v>
          </cell>
          <cell r="P154">
            <v>122.5</v>
          </cell>
          <cell r="Q154">
            <v>121.1</v>
          </cell>
          <cell r="R154">
            <v>124.04114</v>
          </cell>
          <cell r="S154">
            <v>125.476</v>
          </cell>
          <cell r="T154">
            <v>118.45263101594603</v>
          </cell>
          <cell r="U154">
            <v>121.05184177273631</v>
          </cell>
          <cell r="V154">
            <v>121.57624227407445</v>
          </cell>
          <cell r="W154">
            <v>181.315</v>
          </cell>
          <cell r="X154">
            <v>209.32400000000001</v>
          </cell>
          <cell r="Y154">
            <v>208.66200000000001</v>
          </cell>
          <cell r="Z154">
            <v>209.62899999999999</v>
          </cell>
          <cell r="AA154">
            <v>215.804</v>
          </cell>
          <cell r="AB154">
            <v>207.202</v>
          </cell>
          <cell r="AC154">
            <v>186.54900000000001</v>
          </cell>
          <cell r="AD154">
            <v>175.255</v>
          </cell>
          <cell r="AE154">
            <v>182.77199999999999</v>
          </cell>
          <cell r="AF154">
            <v>184.86199999999999</v>
          </cell>
          <cell r="AG154">
            <v>191.01519538434562</v>
          </cell>
          <cell r="AH154">
            <v>195.26151439943268</v>
          </cell>
          <cell r="AI154">
            <v>197.94677195572282</v>
          </cell>
          <cell r="AJ154">
            <v>205.2855686977054</v>
          </cell>
          <cell r="AK154">
            <v>205.82983051492593</v>
          </cell>
          <cell r="AL154">
            <v>210.04831728947863</v>
          </cell>
          <cell r="AM154">
            <v>215.25214418153982</v>
          </cell>
          <cell r="AN154">
            <v>222.32090724160454</v>
          </cell>
          <cell r="AO154">
            <v>223.87819179791177</v>
          </cell>
          <cell r="AP154">
            <v>231.10876260370839</v>
          </cell>
          <cell r="AQ154">
            <v>232.54094860818125</v>
          </cell>
          <cell r="AR154">
            <v>235.72031755733687</v>
          </cell>
          <cell r="AS154">
            <v>242.23982315450232</v>
          </cell>
          <cell r="AT154">
            <v>244.49527582033605</v>
          </cell>
          <cell r="AU154">
            <v>249.20519503733561</v>
          </cell>
          <cell r="AV154">
            <v>254.56753427772674</v>
          </cell>
          <cell r="AW154">
            <v>259.07643963845777</v>
          </cell>
          <cell r="AX154">
            <v>263.5146463983121</v>
          </cell>
          <cell r="AY154">
            <v>267.85019760360473</v>
          </cell>
          <cell r="AZ154">
            <v>272.83003104126425</v>
          </cell>
          <cell r="BA154">
            <v>277.26682944279889</v>
          </cell>
          <cell r="BB154">
            <v>281.63761915470934</v>
          </cell>
          <cell r="BC154">
            <v>285.96105785566397</v>
          </cell>
          <cell r="BD154">
            <v>290.79878117215895</v>
          </cell>
          <cell r="BE154">
            <v>295.43771057805475</v>
          </cell>
          <cell r="BF154">
            <v>300.51649334611977</v>
          </cell>
        </row>
        <row r="155">
          <cell r="B155">
            <v>32.851846974385566</v>
          </cell>
          <cell r="C155">
            <v>36.91125693174066</v>
          </cell>
          <cell r="D155">
            <v>46.06307035763767</v>
          </cell>
          <cell r="E155">
            <v>50.749552234505465</v>
          </cell>
          <cell r="F155">
            <v>54.87525332054814</v>
          </cell>
          <cell r="G155">
            <v>60.361567284132512</v>
          </cell>
          <cell r="H155">
            <v>62.539620549689559</v>
          </cell>
          <cell r="I155">
            <v>71.048102646812836</v>
          </cell>
          <cell r="J155">
            <v>81.181857467930016</v>
          </cell>
          <cell r="K155">
            <v>79.2</v>
          </cell>
          <cell r="L155">
            <v>88.6</v>
          </cell>
          <cell r="M155">
            <v>95.1</v>
          </cell>
          <cell r="N155">
            <v>101.8</v>
          </cell>
          <cell r="O155">
            <v>112.1</v>
          </cell>
          <cell r="P155">
            <v>126.6</v>
          </cell>
          <cell r="Q155">
            <v>128.80000000000001</v>
          </cell>
          <cell r="R155">
            <v>124.49252</v>
          </cell>
          <cell r="S155">
            <v>120.54</v>
          </cell>
          <cell r="T155">
            <v>119.12497538973781</v>
          </cell>
          <cell r="U155">
            <v>121.73893942565444</v>
          </cell>
          <cell r="V155">
            <v>122.26631645629094</v>
          </cell>
          <cell r="W155">
            <v>173.661</v>
          </cell>
          <cell r="X155">
            <v>191.21899999999999</v>
          </cell>
          <cell r="Y155">
            <v>189.24100000000001</v>
          </cell>
          <cell r="Z155">
            <v>199.346</v>
          </cell>
          <cell r="AA155">
            <v>207.494</v>
          </cell>
          <cell r="AB155">
            <v>195.113</v>
          </cell>
          <cell r="AC155">
            <v>176.39500000000001</v>
          </cell>
          <cell r="AD155">
            <v>161.88200000000001</v>
          </cell>
          <cell r="AE155">
            <v>175.875</v>
          </cell>
          <cell r="AF155">
            <v>171.54599999999999</v>
          </cell>
          <cell r="AG155">
            <v>190.657882921344</v>
          </cell>
          <cell r="AH155">
            <v>194.90785319711247</v>
          </cell>
          <cell r="AI155">
            <v>197.59625584886811</v>
          </cell>
          <cell r="AJ155">
            <v>204.93805417125949</v>
          </cell>
          <cell r="AK155">
            <v>205.48842624398969</v>
          </cell>
          <cell r="AL155">
            <v>209.71381414751781</v>
          </cell>
          <cell r="AM155">
            <v>214.91557395254668</v>
          </cell>
          <cell r="AN155">
            <v>221.98378606856937</v>
          </cell>
          <cell r="AO155">
            <v>223.54544529320853</v>
          </cell>
          <cell r="AP155">
            <v>230.77536453956421</v>
          </cell>
          <cell r="AQ155">
            <v>232.2193419765577</v>
          </cell>
          <cell r="AR155">
            <v>235.40438687915548</v>
          </cell>
          <cell r="AS155">
            <v>241.92614975346279</v>
          </cell>
          <cell r="AT155">
            <v>244.18860391032871</v>
          </cell>
          <cell r="AU155">
            <v>248.90650484249434</v>
          </cell>
          <cell r="AV155">
            <v>254.27250200037696</v>
          </cell>
          <cell r="AW155">
            <v>258.78591968391191</v>
          </cell>
          <cell r="AX155">
            <v>263.228554837123</v>
          </cell>
          <cell r="AY155">
            <v>267.56902399777857</v>
          </cell>
          <cell r="AZ155">
            <v>272.54933286106115</v>
          </cell>
          <cell r="BA155">
            <v>276.99139528860553</v>
          </cell>
          <cell r="BB155">
            <v>281.3634139566966</v>
          </cell>
          <cell r="BC155">
            <v>285.69631733032611</v>
          </cell>
          <cell r="BD155">
            <v>290.5389423077263</v>
          </cell>
          <cell r="BE155">
            <v>295.18330454305055</v>
          </cell>
          <cell r="BF155">
            <v>300.2669977247217</v>
          </cell>
        </row>
        <row r="156">
          <cell r="B156">
            <v>38.772771789622539</v>
          </cell>
          <cell r="C156">
            <v>41.236452530689185</v>
          </cell>
          <cell r="D156">
            <v>46.676323675152759</v>
          </cell>
          <cell r="E156">
            <v>49.151627870891723</v>
          </cell>
          <cell r="F156">
            <v>52.513384970712103</v>
          </cell>
          <cell r="G156">
            <v>61.756160738142228</v>
          </cell>
          <cell r="H156">
            <v>71.423077832321454</v>
          </cell>
          <cell r="I156">
            <v>77.358841443971855</v>
          </cell>
          <cell r="J156">
            <v>81.117092847087264</v>
          </cell>
          <cell r="K156">
            <v>75.2</v>
          </cell>
          <cell r="L156">
            <v>88.5</v>
          </cell>
          <cell r="M156">
            <v>103.5</v>
          </cell>
          <cell r="N156">
            <v>109.9</v>
          </cell>
          <cell r="O156">
            <v>123.6</v>
          </cell>
          <cell r="P156">
            <v>113.8</v>
          </cell>
          <cell r="Q156">
            <v>115.5</v>
          </cell>
          <cell r="R156">
            <v>127.30052000000001</v>
          </cell>
          <cell r="S156">
            <v>121.88400620563729</v>
          </cell>
          <cell r="T156">
            <v>118.38429679523665</v>
          </cell>
          <cell r="U156">
            <v>120.98200809152527</v>
          </cell>
          <cell r="V156">
            <v>121.5061060710934</v>
          </cell>
          <cell r="W156">
            <v>190.82499999999999</v>
          </cell>
          <cell r="X156">
            <v>220.41800000000001</v>
          </cell>
          <cell r="Y156">
            <v>216.053</v>
          </cell>
          <cell r="Z156">
            <v>179.65700000000001</v>
          </cell>
          <cell r="AA156">
            <v>233.381</v>
          </cell>
          <cell r="AB156">
            <v>225.399</v>
          </cell>
          <cell r="AC156">
            <v>176.93100000000001</v>
          </cell>
          <cell r="AD156">
            <v>196.48400000000001</v>
          </cell>
          <cell r="AE156">
            <v>212.50700000000001</v>
          </cell>
          <cell r="AF156">
            <v>213.26499999999999</v>
          </cell>
          <cell r="AG156">
            <v>197.7134433011172</v>
          </cell>
          <cell r="AH156">
            <v>202.12119441119327</v>
          </cell>
          <cell r="AI156">
            <v>204.90944074875188</v>
          </cell>
          <cell r="AJ156">
            <v>212.52366086531984</v>
          </cell>
          <cell r="AK156">
            <v>213.09471055856122</v>
          </cell>
          <cell r="AL156">
            <v>217.47710880931373</v>
          </cell>
          <cell r="AM156">
            <v>222.87170077129409</v>
          </cell>
          <cell r="AN156">
            <v>230.20203359158864</v>
          </cell>
          <cell r="AO156">
            <v>231.82180146389649</v>
          </cell>
          <cell r="AP156">
            <v>239.31983440884301</v>
          </cell>
          <cell r="AQ156">
            <v>240.81787821944042</v>
          </cell>
          <cell r="AR156">
            <v>244.12129616678101</v>
          </cell>
          <cell r="AS156">
            <v>250.88503515753311</v>
          </cell>
          <cell r="AT156">
            <v>253.23170307087261</v>
          </cell>
          <cell r="AU156">
            <v>258.12492754521827</v>
          </cell>
          <cell r="AV156">
            <v>263.69009684126218</v>
          </cell>
          <cell r="AW156">
            <v>268.37110346819964</v>
          </cell>
          <cell r="AX156">
            <v>272.97869874733624</v>
          </cell>
          <cell r="AY156">
            <v>277.48036019243932</v>
          </cell>
          <cell r="AZ156">
            <v>282.64539856024896</v>
          </cell>
          <cell r="BA156">
            <v>287.25243618413987</v>
          </cell>
          <cell r="BB156">
            <v>291.78665693769381</v>
          </cell>
          <cell r="BC156">
            <v>296.28066957016097</v>
          </cell>
          <cell r="BD156">
            <v>301.30310999320358</v>
          </cell>
          <cell r="BE156">
            <v>306.11995762081125</v>
          </cell>
          <cell r="BF156">
            <v>311.39240732489384</v>
          </cell>
        </row>
        <row r="157">
          <cell r="B157">
            <v>36.335275676948285</v>
          </cell>
          <cell r="C157">
            <v>38.887654369072209</v>
          </cell>
          <cell r="D157">
            <v>43.408306380207293</v>
          </cell>
          <cell r="E157">
            <v>50.042474116732706</v>
          </cell>
          <cell r="F157">
            <v>53.840310315623086</v>
          </cell>
          <cell r="G157">
            <v>61.285360653218845</v>
          </cell>
          <cell r="H157">
            <v>62.454850138782625</v>
          </cell>
          <cell r="I157">
            <v>66.420879651059394</v>
          </cell>
          <cell r="J157">
            <v>74.523435896500644</v>
          </cell>
          <cell r="K157">
            <v>77.099999999999994</v>
          </cell>
          <cell r="L157">
            <v>89</v>
          </cell>
          <cell r="M157">
            <v>100.3</v>
          </cell>
          <cell r="N157">
            <v>101.3</v>
          </cell>
          <cell r="O157">
            <v>110.1</v>
          </cell>
          <cell r="P157">
            <v>112.9</v>
          </cell>
          <cell r="Q157">
            <v>116.6</v>
          </cell>
          <cell r="R157">
            <v>125.66916000000001</v>
          </cell>
          <cell r="S157">
            <v>123.17193239943185</v>
          </cell>
          <cell r="T157">
            <v>113.66350192754953</v>
          </cell>
          <cell r="U157">
            <v>116.15762463576311</v>
          </cell>
          <cell r="V157">
            <v>116.6608232298629</v>
          </cell>
          <cell r="W157">
            <v>199.99799999999999</v>
          </cell>
          <cell r="X157">
            <v>209.20599999999999</v>
          </cell>
          <cell r="Y157">
            <v>207.91399999999999</v>
          </cell>
          <cell r="Z157">
            <v>171.97399999999999</v>
          </cell>
          <cell r="AA157">
            <v>212.82900000000001</v>
          </cell>
          <cell r="AB157">
            <v>237.47300000000001</v>
          </cell>
          <cell r="AC157">
            <v>176.13900000000001</v>
          </cell>
          <cell r="AD157">
            <v>187.018</v>
          </cell>
          <cell r="AE157">
            <v>210.43</v>
          </cell>
          <cell r="AF157">
            <v>194.226</v>
          </cell>
          <cell r="AG157">
            <v>191.05217732926354</v>
          </cell>
          <cell r="AH157">
            <v>195.32341125081916</v>
          </cell>
          <cell r="AI157">
            <v>198.0261617848243</v>
          </cell>
          <cell r="AJ157">
            <v>205.40114271862339</v>
          </cell>
          <cell r="AK157">
            <v>205.96032237360455</v>
          </cell>
          <cell r="AL157">
            <v>210.21036359499536</v>
          </cell>
          <cell r="AM157">
            <v>215.43113011301361</v>
          </cell>
          <cell r="AN157">
            <v>222.52759343093228</v>
          </cell>
          <cell r="AO157">
            <v>224.10032311936101</v>
          </cell>
          <cell r="AP157">
            <v>231.35904538738632</v>
          </cell>
          <cell r="AQ157">
            <v>232.82157782065565</v>
          </cell>
          <cell r="AR157">
            <v>236.02571507512852</v>
          </cell>
          <cell r="AS157">
            <v>242.57651499277998</v>
          </cell>
          <cell r="AT157">
            <v>244.8557202123813</v>
          </cell>
          <cell r="AU157">
            <v>249.60144465741172</v>
          </cell>
          <cell r="AV157">
            <v>254.99326671732905</v>
          </cell>
          <cell r="AW157">
            <v>259.52994776301927</v>
          </cell>
          <cell r="AX157">
            <v>263.99546730957604</v>
          </cell>
          <cell r="AY157">
            <v>268.35892969377443</v>
          </cell>
          <cell r="AZ157">
            <v>273.36007197328962</v>
          </cell>
          <cell r="BA157">
            <v>277.82591383024572</v>
          </cell>
          <cell r="BB157">
            <v>282.21709290423763</v>
          </cell>
          <cell r="BC157">
            <v>286.57784127846878</v>
          </cell>
          <cell r="BD157">
            <v>291.44549109980289</v>
          </cell>
          <cell r="BE157">
            <v>296.11463955330538</v>
          </cell>
          <cell r="BF157">
            <v>301.22435069165113</v>
          </cell>
        </row>
        <row r="178">
          <cell r="C178">
            <v>0.62875819440000003</v>
          </cell>
          <cell r="D178">
            <v>0.62699449679999997</v>
          </cell>
          <cell r="E178">
            <v>0.57342218220000007</v>
          </cell>
          <cell r="F178">
            <v>0.50000826960000011</v>
          </cell>
          <cell r="G178">
            <v>0.42747620580000001</v>
          </cell>
          <cell r="H178">
            <v>0.43916070239999999</v>
          </cell>
          <cell r="I178">
            <v>0.29211241500000001</v>
          </cell>
          <cell r="J178">
            <v>0.30666292019999997</v>
          </cell>
          <cell r="K178">
            <v>0.52712512020000002</v>
          </cell>
          <cell r="L178">
            <v>0.69996748500000006</v>
          </cell>
          <cell r="M178">
            <v>0.9949459086000001</v>
          </cell>
          <cell r="N178">
            <v>0.54762810480000013</v>
          </cell>
          <cell r="O178">
            <v>0.54233701200000006</v>
          </cell>
          <cell r="P178">
            <v>0.2980648944</v>
          </cell>
          <cell r="Q178">
            <v>0.45657721620000002</v>
          </cell>
          <cell r="R178">
            <v>0.44092439999999999</v>
          </cell>
          <cell r="S178">
            <v>0.82342631700000002</v>
          </cell>
          <cell r="T178">
            <v>1.2072510072</v>
          </cell>
          <cell r="U178">
            <v>4.2769666800000002E-2</v>
          </cell>
          <cell r="V178">
            <v>5.7320171999999999E-3</v>
          </cell>
          <cell r="W178">
            <v>0.1759288356</v>
          </cell>
          <cell r="X178">
            <v>0.18011761740000001</v>
          </cell>
          <cell r="Y178">
            <v>0.21891896460000002</v>
          </cell>
          <cell r="Z178">
            <v>8.3334711599999986E-2</v>
          </cell>
          <cell r="AA178">
            <v>0.17815534220000001</v>
          </cell>
          <cell r="AB178">
            <v>0.60118499999999997</v>
          </cell>
          <cell r="AC178">
            <v>8.2349170860000001E-2</v>
          </cell>
          <cell r="AD178">
            <v>4.5349033400000002E-2</v>
          </cell>
          <cell r="AE178">
            <v>0.54230699999999998</v>
          </cell>
          <cell r="AF178">
            <v>0.46299299999999999</v>
          </cell>
          <cell r="AG178">
            <v>0</v>
          </cell>
          <cell r="AH178">
            <v>0.37791316489402949</v>
          </cell>
          <cell r="AI178">
            <v>0.2630955251976318</v>
          </cell>
          <cell r="AJ178">
            <v>0.29781796621381817</v>
          </cell>
          <cell r="AK178">
            <v>0.3501572765743739</v>
          </cell>
          <cell r="AL178">
            <v>0.31152759524868656</v>
          </cell>
          <cell r="AM178">
            <v>0.25779678657597066</v>
          </cell>
          <cell r="AN178">
            <v>0.32010230562570802</v>
          </cell>
          <cell r="AO178">
            <v>0.29607902996209623</v>
          </cell>
          <cell r="AP178">
            <v>0.30748038604771144</v>
          </cell>
          <cell r="AQ178">
            <v>0.3071325987973671</v>
          </cell>
          <cell r="AR178">
            <v>0.29859722069203459</v>
          </cell>
          <cell r="AS178">
            <v>0.29771822140177068</v>
          </cell>
          <cell r="AT178">
            <v>0.30587830822498352</v>
          </cell>
          <cell r="AU178">
            <v>0.30140149138019595</v>
          </cell>
          <cell r="AV178">
            <v>0.30336134703277351</v>
          </cell>
          <cell r="AW178">
            <v>0.30214556809927035</v>
          </cell>
          <cell r="AX178">
            <v>0.30139131774635164</v>
          </cell>
          <cell r="AY178">
            <v>0.30210098722779882</v>
          </cell>
          <cell r="AZ178">
            <v>0.30283560649671498</v>
          </cell>
          <cell r="BA178">
            <v>0.30208014229727809</v>
          </cell>
          <cell r="BB178">
            <v>0.30236696532058188</v>
          </cell>
          <cell r="BC178">
            <v>0.3021107243734828</v>
          </cell>
          <cell r="BD178">
            <v>0.30215500381774513</v>
          </cell>
          <cell r="BE178">
            <v>0.30229888514317133</v>
          </cell>
          <cell r="BF178">
            <v>0.30230968846116058</v>
          </cell>
          <cell r="BG178">
            <v>0.30220234419045189</v>
          </cell>
        </row>
        <row r="179">
          <cell r="C179">
            <v>0.60075949500000003</v>
          </cell>
          <cell r="D179">
            <v>0.59194100699999996</v>
          </cell>
          <cell r="E179">
            <v>0.36751048739999997</v>
          </cell>
          <cell r="F179">
            <v>0.43916070239999999</v>
          </cell>
          <cell r="G179">
            <v>0.25022459699999999</v>
          </cell>
          <cell r="H179">
            <v>0.54233701200000006</v>
          </cell>
          <cell r="I179">
            <v>0.30798569339999998</v>
          </cell>
          <cell r="J179">
            <v>0.49427625239999995</v>
          </cell>
          <cell r="K179">
            <v>0.17129912940000003</v>
          </cell>
          <cell r="L179">
            <v>0.85362963839999995</v>
          </cell>
          <cell r="M179">
            <v>0.61685323560000005</v>
          </cell>
          <cell r="N179">
            <v>0.63294697620000007</v>
          </cell>
          <cell r="O179">
            <v>0.76257874979999996</v>
          </cell>
          <cell r="P179">
            <v>0.54696671820000009</v>
          </cell>
          <cell r="Q179">
            <v>0.41645309580000001</v>
          </cell>
          <cell r="R179">
            <v>0.50133104280000007</v>
          </cell>
          <cell r="S179">
            <v>0.60208226819999999</v>
          </cell>
          <cell r="T179">
            <v>1.1997552923999999</v>
          </cell>
          <cell r="U179">
            <v>0.15410307779999999</v>
          </cell>
          <cell r="V179">
            <v>0.178574382</v>
          </cell>
          <cell r="W179">
            <v>0.21913942680000001</v>
          </cell>
          <cell r="X179">
            <v>0.156528162</v>
          </cell>
          <cell r="Y179">
            <v>0.1250020674</v>
          </cell>
          <cell r="Z179">
            <v>0.44312902200000004</v>
          </cell>
          <cell r="AA179">
            <v>0.21953165036</v>
          </cell>
          <cell r="AB179">
            <v>0.383573</v>
          </cell>
          <cell r="AC179">
            <v>0.14299165320000001</v>
          </cell>
          <cell r="AD179">
            <v>0.27161599999999997</v>
          </cell>
          <cell r="AE179">
            <v>0.59529700000000008</v>
          </cell>
          <cell r="AF179">
            <v>0.33466199999999996</v>
          </cell>
          <cell r="AG179">
            <v>0.14550492000000001</v>
          </cell>
          <cell r="AH179">
            <v>0.37659615438287208</v>
          </cell>
          <cell r="AI179">
            <v>0.34601216635569554</v>
          </cell>
          <cell r="AJ179">
            <v>0.35934151379418472</v>
          </cell>
          <cell r="AK179">
            <v>0.38243622395381038</v>
          </cell>
          <cell r="AL179">
            <v>0.34715055809662843</v>
          </cell>
          <cell r="AM179">
            <v>0.32197819569731251</v>
          </cell>
          <cell r="AN179">
            <v>0.36230732331663823</v>
          </cell>
          <cell r="AO179">
            <v>0.35138373157952629</v>
          </cell>
          <cell r="AP179">
            <v>0.35464276297171482</v>
          </cell>
          <cell r="AQ179">
            <v>0.35305120652878319</v>
          </cell>
          <cell r="AR179">
            <v>0.34749251433236406</v>
          </cell>
          <cell r="AS179">
            <v>0.34867264401879505</v>
          </cell>
          <cell r="AT179">
            <v>0.35377550774580535</v>
          </cell>
          <cell r="AU179">
            <v>0.35104857188623667</v>
          </cell>
          <cell r="AV179">
            <v>0.35152692711949252</v>
          </cell>
          <cell r="AW179">
            <v>0.35080808890239684</v>
          </cell>
          <cell r="AX179">
            <v>0.35050323302053876</v>
          </cell>
          <cell r="AY179">
            <v>0.35116634793454526</v>
          </cell>
          <cell r="AZ179">
            <v>0.351532465734894</v>
          </cell>
          <cell r="BA179">
            <v>0.35101063377264197</v>
          </cell>
          <cell r="BB179">
            <v>0.35110741254237343</v>
          </cell>
          <cell r="BC179">
            <v>0.35100415387300332</v>
          </cell>
          <cell r="BD179">
            <v>0.35106401860099867</v>
          </cell>
          <cell r="BE179">
            <v>0.35116420277149163</v>
          </cell>
          <cell r="BF179">
            <v>0.35114373690478229</v>
          </cell>
          <cell r="BG179">
            <v>0.35107008431210179</v>
          </cell>
        </row>
        <row r="180">
          <cell r="C180">
            <v>0.43012175219999998</v>
          </cell>
          <cell r="D180">
            <v>0.58202020799999998</v>
          </cell>
          <cell r="E180">
            <v>0.25639753860000003</v>
          </cell>
          <cell r="F180">
            <v>0.39220225380000007</v>
          </cell>
          <cell r="G180">
            <v>0.2517678324</v>
          </cell>
          <cell r="H180">
            <v>0.35869199939999996</v>
          </cell>
          <cell r="I180">
            <v>0.17703114659999999</v>
          </cell>
          <cell r="J180">
            <v>0.36442401660000001</v>
          </cell>
          <cell r="K180">
            <v>0.22729652819999999</v>
          </cell>
          <cell r="L180">
            <v>0.54828949139999994</v>
          </cell>
          <cell r="M180">
            <v>0.35207813339999999</v>
          </cell>
          <cell r="N180">
            <v>0.53991192780000008</v>
          </cell>
          <cell r="O180">
            <v>0.3223157364</v>
          </cell>
          <cell r="P180">
            <v>0.56504461859999999</v>
          </cell>
          <cell r="Q180">
            <v>0.47752112520000001</v>
          </cell>
          <cell r="R180">
            <v>0.52888881780000008</v>
          </cell>
          <cell r="S180">
            <v>0.34480288080000004</v>
          </cell>
          <cell r="T180">
            <v>0.48656007540000001</v>
          </cell>
          <cell r="U180">
            <v>0</v>
          </cell>
          <cell r="V180">
            <v>4.0785507000000006E-2</v>
          </cell>
          <cell r="W180">
            <v>4.1226431399999999E-2</v>
          </cell>
          <cell r="X180">
            <v>4.1226431399999999E-2</v>
          </cell>
          <cell r="Y180">
            <v>0.24779951280000001</v>
          </cell>
          <cell r="Z180">
            <v>0.248019975</v>
          </cell>
          <cell r="AA180">
            <v>9.1449842219999994E-2</v>
          </cell>
          <cell r="AB180">
            <v>0.91756700000000002</v>
          </cell>
          <cell r="AC180">
            <v>0.1807347476</v>
          </cell>
          <cell r="AD180">
            <v>0.59553999999999996</v>
          </cell>
          <cell r="AE180">
            <v>0.89620199999999994</v>
          </cell>
          <cell r="AF180">
            <v>0.38834500000000005</v>
          </cell>
          <cell r="AG180">
            <v>0.1462985832</v>
          </cell>
          <cell r="AH180">
            <v>0.64905040893333887</v>
          </cell>
          <cell r="AI180">
            <v>0.51251933182494414</v>
          </cell>
          <cell r="AJ180">
            <v>0.55775863792554481</v>
          </cell>
          <cell r="AK180">
            <v>0.55138692703879522</v>
          </cell>
          <cell r="AL180">
            <v>0.50090213950503892</v>
          </cell>
          <cell r="AM180">
            <v>0.48340277778452456</v>
          </cell>
          <cell r="AN180">
            <v>0.55432348904553241</v>
          </cell>
          <cell r="AO180">
            <v>0.52119396281576957</v>
          </cell>
          <cell r="AP180">
            <v>0.52955479425988727</v>
          </cell>
          <cell r="AQ180">
            <v>0.52224185923793209</v>
          </cell>
          <cell r="AR180">
            <v>0.51787543268215053</v>
          </cell>
          <cell r="AS180">
            <v>0.52214337662872912</v>
          </cell>
          <cell r="AT180">
            <v>0.52903790760825442</v>
          </cell>
          <cell r="AU180">
            <v>0.52260188512489381</v>
          </cell>
          <cell r="AV180">
            <v>0.5241706740833908</v>
          </cell>
          <cell r="AW180">
            <v>0.52278009225639199</v>
          </cell>
          <cell r="AX180">
            <v>0.52316585522548376</v>
          </cell>
          <cell r="AY180">
            <v>0.52414678714033192</v>
          </cell>
          <cell r="AZ180">
            <v>0.52435128285968291</v>
          </cell>
          <cell r="BA180">
            <v>0.52337305876609852</v>
          </cell>
          <cell r="BB180">
            <v>0.52372293831305627</v>
          </cell>
          <cell r="BC180">
            <v>0.52356341524959782</v>
          </cell>
          <cell r="BD180">
            <v>0.52375198446093074</v>
          </cell>
          <cell r="BE180">
            <v>0.52383149646575355</v>
          </cell>
          <cell r="BF180">
            <v>0.52375253592987336</v>
          </cell>
          <cell r="BG180">
            <v>0.52364857865108738</v>
          </cell>
        </row>
        <row r="181">
          <cell r="B181">
            <v>0.68850345060000007</v>
          </cell>
          <cell r="C181">
            <v>0.53285713739999996</v>
          </cell>
          <cell r="D181">
            <v>0.47090725919999998</v>
          </cell>
          <cell r="E181">
            <v>0.32275666080000004</v>
          </cell>
          <cell r="F181">
            <v>0.37676989980000003</v>
          </cell>
          <cell r="G181">
            <v>0.31371771060000003</v>
          </cell>
          <cell r="H181">
            <v>0.74648500920000005</v>
          </cell>
          <cell r="I181">
            <v>0.1481505984</v>
          </cell>
          <cell r="J181">
            <v>0.4036662882</v>
          </cell>
          <cell r="K181">
            <v>0.26697972420000005</v>
          </cell>
          <cell r="L181">
            <v>0.48193036920000004</v>
          </cell>
          <cell r="M181">
            <v>0.45701814060000001</v>
          </cell>
          <cell r="N181">
            <v>0.33488208180000006</v>
          </cell>
          <cell r="O181">
            <v>0.56350138319999998</v>
          </cell>
          <cell r="P181">
            <v>0.41050061640000002</v>
          </cell>
          <cell r="Q181">
            <v>0.37963590840000005</v>
          </cell>
          <cell r="R181">
            <v>0.2063526192</v>
          </cell>
          <cell r="S181">
            <v>0.24493350419999999</v>
          </cell>
          <cell r="T181">
            <v>0.81174182040000009</v>
          </cell>
          <cell r="U181">
            <v>4.16673558E-2</v>
          </cell>
          <cell r="V181">
            <v>8.8184880000000002E-4</v>
          </cell>
          <cell r="W181">
            <v>0</v>
          </cell>
          <cell r="X181">
            <v>0.27513682560000002</v>
          </cell>
          <cell r="Y181">
            <v>8.4216560399999987E-2</v>
          </cell>
          <cell r="Z181">
            <v>0.12478160520000001</v>
          </cell>
          <cell r="AA181">
            <v>0.25447928660000002</v>
          </cell>
          <cell r="AB181">
            <v>1.0684580000000001</v>
          </cell>
          <cell r="AC181">
            <v>0.31791061323999997</v>
          </cell>
          <cell r="AD181">
            <v>0.70187100000000002</v>
          </cell>
          <cell r="AE181">
            <v>0.34652499999999997</v>
          </cell>
          <cell r="AF181">
            <v>0</v>
          </cell>
          <cell r="AG181">
            <v>0.189156396</v>
          </cell>
          <cell r="AH181">
            <v>0.53058384979235707</v>
          </cell>
          <cell r="AI181">
            <v>0.36119682785267276</v>
          </cell>
          <cell r="AJ181">
            <v>0.36861030016029661</v>
          </cell>
          <cell r="AK181">
            <v>0.30361027377734529</v>
          </cell>
          <cell r="AL181">
            <v>0.32213416720860777</v>
          </cell>
          <cell r="AM181">
            <v>0.35063152951653437</v>
          </cell>
          <cell r="AN181">
            <v>0.37722708375825592</v>
          </cell>
          <cell r="AO181">
            <v>0.34123661970309138</v>
          </cell>
          <cell r="AP181">
            <v>0.34444267088420799</v>
          </cell>
          <cell r="AQ181">
            <v>0.33896793479276699</v>
          </cell>
          <cell r="AR181">
            <v>0.34713441421413949</v>
          </cell>
          <cell r="AS181">
            <v>0.35050116773097134</v>
          </cell>
          <cell r="AT181">
            <v>0.34980174467049235</v>
          </cell>
          <cell r="AU181">
            <v>0.34445656146503545</v>
          </cell>
          <cell r="AV181">
            <v>0.34616958645851564</v>
          </cell>
          <cell r="AW181">
            <v>0.34617236457468115</v>
          </cell>
          <cell r="AX181">
            <v>0.34761269490783087</v>
          </cell>
          <cell r="AY181">
            <v>0.34742028497993915</v>
          </cell>
          <cell r="AZ181">
            <v>0.34684259041531107</v>
          </cell>
          <cell r="BA181">
            <v>0.34636629847720046</v>
          </cell>
          <cell r="BB181">
            <v>0.34684350426725552</v>
          </cell>
          <cell r="BC181">
            <v>0.34688284667099251</v>
          </cell>
          <cell r="BD181">
            <v>0.34701707460950743</v>
          </cell>
          <cell r="BE181">
            <v>0.34687110496213974</v>
          </cell>
          <cell r="BF181">
            <v>0.34679046288805337</v>
          </cell>
        </row>
        <row r="182">
          <cell r="B182">
            <v>0.41777586900000002</v>
          </cell>
          <cell r="C182">
            <v>0.61134168060000005</v>
          </cell>
          <cell r="D182">
            <v>0.76390152300000003</v>
          </cell>
          <cell r="E182">
            <v>0.42946036560000006</v>
          </cell>
          <cell r="F182">
            <v>0.22663514160000001</v>
          </cell>
          <cell r="G182">
            <v>0.37346296680000002</v>
          </cell>
          <cell r="H182">
            <v>0.56261953440000001</v>
          </cell>
          <cell r="I182">
            <v>0.2167143426</v>
          </cell>
          <cell r="J182">
            <v>0.33818901480000008</v>
          </cell>
          <cell r="K182">
            <v>0.22266682199999999</v>
          </cell>
          <cell r="L182">
            <v>0.70812458639999998</v>
          </cell>
          <cell r="M182">
            <v>0.46848217500000006</v>
          </cell>
          <cell r="N182">
            <v>0.5961297888</v>
          </cell>
          <cell r="O182">
            <v>1.0540297782000001</v>
          </cell>
          <cell r="P182">
            <v>0.7537602618</v>
          </cell>
          <cell r="Q182">
            <v>0.31570187040000003</v>
          </cell>
          <cell r="R182">
            <v>0.38228145480000003</v>
          </cell>
          <cell r="S182">
            <v>0.36376262999999998</v>
          </cell>
          <cell r="T182">
            <v>0.71231336820000002</v>
          </cell>
          <cell r="U182">
            <v>3.4612565400000003E-2</v>
          </cell>
          <cell r="V182">
            <v>0.20040013980000002</v>
          </cell>
          <cell r="W182">
            <v>0.19973875319999998</v>
          </cell>
          <cell r="X182">
            <v>9.2594124E-2</v>
          </cell>
          <cell r="Y182">
            <v>4.4974288799999998E-2</v>
          </cell>
          <cell r="Z182">
            <v>2.8825406500000001E-2</v>
          </cell>
          <cell r="AA182">
            <v>1.12602730196</v>
          </cell>
          <cell r="AB182">
            <v>0.56592999999999993</v>
          </cell>
          <cell r="AC182">
            <v>0.23441724459999999</v>
          </cell>
          <cell r="AD182">
            <v>0.22636000000000001</v>
          </cell>
          <cell r="AE182">
            <v>0.56672500000000003</v>
          </cell>
          <cell r="AF182">
            <v>0.13860499999999998</v>
          </cell>
          <cell r="AG182">
            <v>0.50098161968469646</v>
          </cell>
          <cell r="AH182">
            <v>0.37744551741315585</v>
          </cell>
          <cell r="AI182">
            <v>0.38711766589830804</v>
          </cell>
          <cell r="AJ182">
            <v>0.37736222127607066</v>
          </cell>
          <cell r="AK182">
            <v>0.4191900083135488</v>
          </cell>
          <cell r="AL182">
            <v>0.39590695873878262</v>
          </cell>
          <cell r="AM182">
            <v>0.41241940651715597</v>
          </cell>
          <cell r="AN182">
            <v>0.39140447432797326</v>
          </cell>
          <cell r="AO182">
            <v>0.39839925214877325</v>
          </cell>
          <cell r="AP182">
            <v>0.39925661383470623</v>
          </cell>
          <cell r="AQ182">
            <v>0.40346402000924675</v>
          </cell>
          <cell r="AR182">
            <v>0.39947734111347832</v>
          </cell>
          <cell r="AS182">
            <v>0.40098875336757106</v>
          </cell>
          <cell r="AT182">
            <v>0.39840034028683557</v>
          </cell>
          <cell r="AU182">
            <v>0.40031719609475513</v>
          </cell>
          <cell r="AV182">
            <v>0.40031741372236757</v>
          </cell>
          <cell r="AW182">
            <v>0.40052953017437731</v>
          </cell>
          <cell r="AX182">
            <v>0.39990020891700151</v>
          </cell>
          <cell r="AY182">
            <v>0.40011064672918129</v>
          </cell>
          <cell r="AZ182">
            <v>0.39989293783906749</v>
          </cell>
          <cell r="BA182">
            <v>0.40023499912753663</v>
          </cell>
          <cell r="BB182">
            <v>0.40015014747639904</v>
          </cell>
          <cell r="BC182">
            <v>0.40013366455743282</v>
          </cell>
          <cell r="BD182">
            <v>0.40005778801783715</v>
          </cell>
          <cell r="BE182">
            <v>0.40010447914592345</v>
          </cell>
          <cell r="BF182">
            <v>0.40009390740365464</v>
          </cell>
        </row>
        <row r="183">
          <cell r="B183">
            <v>0.70834504860000003</v>
          </cell>
          <cell r="C183">
            <v>0.68188958460000004</v>
          </cell>
          <cell r="D183">
            <v>0.61553046239999998</v>
          </cell>
          <cell r="E183">
            <v>0.47443465439999999</v>
          </cell>
          <cell r="F183">
            <v>0.38404515240000003</v>
          </cell>
          <cell r="G183">
            <v>0.62236479059999994</v>
          </cell>
          <cell r="H183">
            <v>0.42725574360000002</v>
          </cell>
          <cell r="I183">
            <v>0.28483716240000001</v>
          </cell>
          <cell r="J183">
            <v>0.34568472960000002</v>
          </cell>
          <cell r="K183">
            <v>0.21539156940000001</v>
          </cell>
          <cell r="L183">
            <v>0.75838996800000003</v>
          </cell>
          <cell r="M183">
            <v>0.44268809760000005</v>
          </cell>
          <cell r="N183">
            <v>0.3536213688</v>
          </cell>
          <cell r="O183">
            <v>1.5218505666</v>
          </cell>
          <cell r="P183">
            <v>0.38448607680000002</v>
          </cell>
          <cell r="Q183">
            <v>0.41931910440000003</v>
          </cell>
          <cell r="R183">
            <v>0.40388675039999999</v>
          </cell>
          <cell r="S183">
            <v>0.44290855979999999</v>
          </cell>
          <cell r="T183">
            <v>0.39043855620000001</v>
          </cell>
          <cell r="U183">
            <v>0.18651102119999999</v>
          </cell>
          <cell r="V183">
            <v>2.4250842000000002E-3</v>
          </cell>
          <cell r="W183">
            <v>0.18651102119999999</v>
          </cell>
          <cell r="X183">
            <v>0.16688988539999999</v>
          </cell>
          <cell r="Y183">
            <v>0.44489271960000004</v>
          </cell>
          <cell r="Z183">
            <v>0.12585293732</v>
          </cell>
          <cell r="AA183">
            <v>1.273884</v>
          </cell>
          <cell r="AB183">
            <v>1.6428910000000001</v>
          </cell>
          <cell r="AC183">
            <v>0.1501787144</v>
          </cell>
          <cell r="AD183">
            <v>0.58418599999999998</v>
          </cell>
          <cell r="AE183">
            <v>0.35214200000000001</v>
          </cell>
          <cell r="AF183">
            <v>0.24250899999999997</v>
          </cell>
          <cell r="AG183">
            <v>0.73748865279912001</v>
          </cell>
          <cell r="AH183">
            <v>0.64763784440408811</v>
          </cell>
          <cell r="AI183">
            <v>0.4798666491855153</v>
          </cell>
          <cell r="AJ183">
            <v>0.5345195295629428</v>
          </cell>
          <cell r="AK183">
            <v>0.52314751226492262</v>
          </cell>
          <cell r="AL183">
            <v>0.58713876325099013</v>
          </cell>
          <cell r="AM183">
            <v>0.58453203764331774</v>
          </cell>
          <cell r="AN183">
            <v>0.55446205973369178</v>
          </cell>
          <cell r="AO183">
            <v>0.54184089838153759</v>
          </cell>
          <cell r="AP183">
            <v>0.55675998049117303</v>
          </cell>
          <cell r="AQ183">
            <v>0.55822425425489197</v>
          </cell>
          <cell r="AR183">
            <v>0.56494674790014221</v>
          </cell>
          <cell r="AS183">
            <v>0.5591638461009224</v>
          </cell>
          <cell r="AT183">
            <v>0.55524678815228734</v>
          </cell>
          <cell r="AU183">
            <v>0.55618714542573344</v>
          </cell>
          <cell r="AV183">
            <v>0.55886832337988346</v>
          </cell>
          <cell r="AW183">
            <v>0.55875375636679536</v>
          </cell>
          <cell r="AX183">
            <v>0.55888257019179366</v>
          </cell>
          <cell r="AY183">
            <v>0.55764397188512438</v>
          </cell>
          <cell r="AZ183">
            <v>0.55758771670329865</v>
          </cell>
          <cell r="BA183">
            <v>0.55806715344986602</v>
          </cell>
          <cell r="BB183">
            <v>0.55834726770537912</v>
          </cell>
          <cell r="BC183">
            <v>0.55818703371937572</v>
          </cell>
          <cell r="BD183">
            <v>0.55810573598709234</v>
          </cell>
          <cell r="BE183">
            <v>0.55796662869260871</v>
          </cell>
          <cell r="BF183">
            <v>0.55805898151300237</v>
          </cell>
        </row>
        <row r="184">
          <cell r="B184">
            <v>0.44952242580000001</v>
          </cell>
          <cell r="C184">
            <v>0.8558342604000001</v>
          </cell>
          <cell r="D184">
            <v>0.572099409</v>
          </cell>
          <cell r="E184">
            <v>0.43607423160000003</v>
          </cell>
          <cell r="F184">
            <v>0.49648087439999999</v>
          </cell>
          <cell r="G184">
            <v>0.47002541040000001</v>
          </cell>
          <cell r="H184">
            <v>0.40719368340000001</v>
          </cell>
          <cell r="I184">
            <v>0.33223653539999998</v>
          </cell>
          <cell r="J184">
            <v>0.56460369420000012</v>
          </cell>
          <cell r="K184">
            <v>0.41182338960000003</v>
          </cell>
          <cell r="L184">
            <v>0.87236892539999999</v>
          </cell>
          <cell r="M184">
            <v>0.71231336820000013</v>
          </cell>
          <cell r="N184">
            <v>0.37390389119999995</v>
          </cell>
          <cell r="O184">
            <v>1.8013966362</v>
          </cell>
          <cell r="P184">
            <v>0.3168041814</v>
          </cell>
          <cell r="Q184">
            <v>0.24669720180000002</v>
          </cell>
          <cell r="R184">
            <v>0.30534014700000001</v>
          </cell>
          <cell r="S184">
            <v>0.3443619564</v>
          </cell>
          <cell r="T184">
            <v>9.060996419999999E-2</v>
          </cell>
          <cell r="U184">
            <v>0.36001477260000003</v>
          </cell>
          <cell r="V184">
            <v>0.178574382</v>
          </cell>
          <cell r="W184">
            <v>7.7161770000000003E-3</v>
          </cell>
          <cell r="X184">
            <v>0.26962527060000002</v>
          </cell>
          <cell r="Y184">
            <v>1.4766558156</v>
          </cell>
          <cell r="Z184">
            <v>9.2594040000000002E-4</v>
          </cell>
          <cell r="AA184">
            <v>1.3499860000000001</v>
          </cell>
          <cell r="AB184">
            <v>0.39485000000000003</v>
          </cell>
          <cell r="AC184">
            <v>0.25873199857999996</v>
          </cell>
          <cell r="AD184">
            <v>0.63766600000000007</v>
          </cell>
          <cell r="AE184">
            <v>0.58044700000000005</v>
          </cell>
          <cell r="AF184">
            <v>0.23802000000000001</v>
          </cell>
          <cell r="AG184">
            <v>0.59350136935026798</v>
          </cell>
          <cell r="AH184">
            <v>0.4597490450716164</v>
          </cell>
          <cell r="AI184">
            <v>0.53602985391828195</v>
          </cell>
          <cell r="AJ184">
            <v>0.52314100556928889</v>
          </cell>
          <cell r="AK184">
            <v>0.51210944292254224</v>
          </cell>
          <cell r="AL184">
            <v>0.52234059819368639</v>
          </cell>
          <cell r="AM184">
            <v>0.52490614336639951</v>
          </cell>
          <cell r="AN184">
            <v>0.51067398913508322</v>
          </cell>
          <cell r="AO184">
            <v>0.52370540879403982</v>
          </cell>
          <cell r="AP184">
            <v>0.51863423583740009</v>
          </cell>
          <cell r="AQ184">
            <v>0.51874711648235028</v>
          </cell>
          <cell r="AR184">
            <v>0.5200520750653217</v>
          </cell>
          <cell r="AS184">
            <v>0.51933337872305452</v>
          </cell>
          <cell r="AT184">
            <v>0.51836256506283895</v>
          </cell>
          <cell r="AU184">
            <v>0.52009444298043317</v>
          </cell>
          <cell r="AV184">
            <v>0.51902587423419311</v>
          </cell>
          <cell r="AW184">
            <v>0.51931791566279961</v>
          </cell>
          <cell r="AX184">
            <v>0.51937366721316836</v>
          </cell>
          <cell r="AY184">
            <v>0.51922683533266389</v>
          </cell>
          <cell r="AZ184">
            <v>0.51923489303068648</v>
          </cell>
          <cell r="BA184">
            <v>0.51940774708465154</v>
          </cell>
          <cell r="BB184">
            <v>0.51923583709470233</v>
          </cell>
          <cell r="BC184">
            <v>0.51931221166479402</v>
          </cell>
          <cell r="BD184">
            <v>0.51929579595117448</v>
          </cell>
          <cell r="BE184">
            <v>0.51928350484149965</v>
          </cell>
          <cell r="BF184">
            <v>0.51929729696520177</v>
          </cell>
        </row>
        <row r="185">
          <cell r="B185">
            <v>0.85407056279999993</v>
          </cell>
          <cell r="C185">
            <v>1.05821856</v>
          </cell>
          <cell r="D185">
            <v>0.67527571860000002</v>
          </cell>
          <cell r="E185">
            <v>0.63250605179999997</v>
          </cell>
          <cell r="F185">
            <v>0.64793840579999995</v>
          </cell>
          <cell r="G185">
            <v>0.48148944480000005</v>
          </cell>
          <cell r="H185">
            <v>0.80578934099999999</v>
          </cell>
          <cell r="I185">
            <v>0.60274365479999992</v>
          </cell>
          <cell r="J185">
            <v>0.61993970639999996</v>
          </cell>
          <cell r="K185">
            <v>0.55512381960000001</v>
          </cell>
          <cell r="L185">
            <v>1.1664655002000002</v>
          </cell>
          <cell r="M185">
            <v>1.0937129742000002</v>
          </cell>
          <cell r="N185">
            <v>0.52227495180000005</v>
          </cell>
          <cell r="O185">
            <v>2.0626443432000001</v>
          </cell>
          <cell r="P185">
            <v>0.49185116820000002</v>
          </cell>
          <cell r="Q185">
            <v>0.39021809400000002</v>
          </cell>
          <cell r="R185">
            <v>0.40895738100000001</v>
          </cell>
          <cell r="S185">
            <v>0.54895087799999998</v>
          </cell>
          <cell r="T185">
            <v>4.7619835199999995E-2</v>
          </cell>
          <cell r="U185">
            <v>2.3148531E-2</v>
          </cell>
          <cell r="V185">
            <v>4.4092440000000004E-2</v>
          </cell>
          <cell r="W185">
            <v>0.3536213688</v>
          </cell>
          <cell r="X185">
            <v>0.35163720900000001</v>
          </cell>
          <cell r="Y185">
            <v>1.155221928</v>
          </cell>
          <cell r="Z185">
            <v>4.78843464E-2</v>
          </cell>
          <cell r="AA185">
            <v>9.0787000000000007E-2</v>
          </cell>
          <cell r="AB185">
            <v>0.32222000000000001</v>
          </cell>
          <cell r="AC185">
            <v>0.46356103815999999</v>
          </cell>
          <cell r="AD185">
            <v>0.52479500000000001</v>
          </cell>
          <cell r="AE185">
            <v>0.59972900000000007</v>
          </cell>
          <cell r="AF185">
            <v>0.32181099999999996</v>
          </cell>
          <cell r="AG185">
            <v>0.36864322239456732</v>
          </cell>
          <cell r="AH185">
            <v>0.48642267686574714</v>
          </cell>
          <cell r="AI185">
            <v>0.52910364834211199</v>
          </cell>
          <cell r="AJ185">
            <v>0.47978207464739936</v>
          </cell>
          <cell r="AK185">
            <v>0.49040679953833316</v>
          </cell>
          <cell r="AL185">
            <v>0.4857439189350094</v>
          </cell>
          <cell r="AM185">
            <v>0.47087168435763183</v>
          </cell>
          <cell r="AN185">
            <v>0.49429182366572016</v>
          </cell>
          <cell r="AO185">
            <v>0.49118162516409719</v>
          </cell>
          <cell r="AP185">
            <v>0.48421926022881878</v>
          </cell>
          <cell r="AQ185">
            <v>0.48649917033215834</v>
          </cell>
          <cell r="AR185">
            <v>0.48526166247025548</v>
          </cell>
          <cell r="AS185">
            <v>0.48541271274968534</v>
          </cell>
          <cell r="AT185">
            <v>0.48829070837220995</v>
          </cell>
          <cell r="AU185">
            <v>0.48651488618900296</v>
          </cell>
          <cell r="AV185">
            <v>0.48593670283062557</v>
          </cell>
          <cell r="AW185">
            <v>0.4863958280226624</v>
          </cell>
          <cell r="AX185">
            <v>0.48628333452235584</v>
          </cell>
          <cell r="AY185">
            <v>0.48651016763283733</v>
          </cell>
          <cell r="AZ185">
            <v>0.48668429198737129</v>
          </cell>
          <cell r="BA185">
            <v>0.48632818383949683</v>
          </cell>
          <cell r="BB185">
            <v>0.48636206499917045</v>
          </cell>
          <cell r="BC185">
            <v>0.48644036120094469</v>
          </cell>
          <cell r="BD185">
            <v>0.4864336085962464</v>
          </cell>
          <cell r="BE185">
            <v>0.48646501393196417</v>
          </cell>
          <cell r="BF185">
            <v>0.48644970212464589</v>
          </cell>
        </row>
        <row r="186">
          <cell r="B186">
            <v>0.3220952742</v>
          </cell>
          <cell r="C186">
            <v>1.1012086890000001</v>
          </cell>
          <cell r="D186">
            <v>0.50706306000000001</v>
          </cell>
          <cell r="E186">
            <v>0.68607836640000008</v>
          </cell>
          <cell r="F186">
            <v>0.45150658560000007</v>
          </cell>
          <cell r="G186">
            <v>1.0070713296</v>
          </cell>
          <cell r="H186">
            <v>0.61861693320000011</v>
          </cell>
          <cell r="I186">
            <v>0.8703847656</v>
          </cell>
          <cell r="J186">
            <v>0.50375612699999994</v>
          </cell>
          <cell r="K186">
            <v>0.55181688660000006</v>
          </cell>
          <cell r="L186">
            <v>0.6871806774</v>
          </cell>
          <cell r="M186">
            <v>0.98480464740000007</v>
          </cell>
          <cell r="N186">
            <v>0.31437909720000001</v>
          </cell>
          <cell r="O186">
            <v>0.80358471900000006</v>
          </cell>
          <cell r="P186">
            <v>0.40322536380000001</v>
          </cell>
          <cell r="Q186">
            <v>0.32628405599999999</v>
          </cell>
          <cell r="R186">
            <v>0.33620485500000002</v>
          </cell>
          <cell r="S186">
            <v>0.57077663580000004</v>
          </cell>
          <cell r="T186">
            <v>7.5398072400000002E-2</v>
          </cell>
          <cell r="U186">
            <v>8.8184880000000002E-4</v>
          </cell>
          <cell r="V186">
            <v>3.3069329999999997E-3</v>
          </cell>
          <cell r="W186">
            <v>0</v>
          </cell>
          <cell r="X186">
            <v>2.2046220000000003E-3</v>
          </cell>
          <cell r="Y186">
            <v>0.12500206740000003</v>
          </cell>
          <cell r="Z186">
            <v>0.17310896702</v>
          </cell>
          <cell r="AA186">
            <v>0.142155</v>
          </cell>
          <cell r="AB186">
            <v>0.133799</v>
          </cell>
          <cell r="AC186">
            <v>0.1753995672</v>
          </cell>
          <cell r="AD186">
            <v>0.28359200000000001</v>
          </cell>
          <cell r="AE186">
            <v>0.53361400000000003</v>
          </cell>
          <cell r="AF186">
            <v>9.7003000000000006E-2</v>
          </cell>
          <cell r="AG186">
            <v>0.23369534121082461</v>
          </cell>
          <cell r="AH186">
            <v>0.2666049495463455</v>
          </cell>
          <cell r="AI186">
            <v>0.30728675073833583</v>
          </cell>
          <cell r="AJ186">
            <v>0.29488830144527239</v>
          </cell>
          <cell r="AK186">
            <v>0.30589500824434412</v>
          </cell>
          <cell r="AL186">
            <v>0.26656111008889366</v>
          </cell>
          <cell r="AM186">
            <v>0.28167407023702451</v>
          </cell>
          <cell r="AN186">
            <v>0.2882472240126383</v>
          </cell>
          <cell r="AO186">
            <v>0.29126104815077414</v>
          </cell>
          <cell r="AP186">
            <v>0.28745314280563461</v>
          </cell>
          <cell r="AQ186">
            <v>0.28672769214673494</v>
          </cell>
          <cell r="AR186">
            <v>0.28303931905899304</v>
          </cell>
          <cell r="AS186">
            <v>0.28707263547056128</v>
          </cell>
          <cell r="AT186">
            <v>0.28734568523495496</v>
          </cell>
          <cell r="AU186">
            <v>0.28711076752653958</v>
          </cell>
          <cell r="AV186">
            <v>0.28632769494337579</v>
          </cell>
          <cell r="AW186">
            <v>0.28625921988755676</v>
          </cell>
          <cell r="AX186">
            <v>0.28617922044688493</v>
          </cell>
          <cell r="AY186">
            <v>0.2868232006125977</v>
          </cell>
          <cell r="AZ186">
            <v>0.28664451760786241</v>
          </cell>
          <cell r="BA186">
            <v>0.28654002068339091</v>
          </cell>
          <cell r="BB186">
            <v>0.28644677069965552</v>
          </cell>
          <cell r="BC186">
            <v>0.28648923584765851</v>
          </cell>
          <cell r="BD186">
            <v>0.28652674601007827</v>
          </cell>
          <cell r="BE186">
            <v>0.28658874909023302</v>
          </cell>
          <cell r="BF186">
            <v>0.28652945816972913</v>
          </cell>
        </row>
        <row r="187">
          <cell r="B187">
            <v>0.46848217500000006</v>
          </cell>
          <cell r="C187">
            <v>0.64705655699999998</v>
          </cell>
          <cell r="D187">
            <v>0.69599916540000006</v>
          </cell>
          <cell r="E187">
            <v>0.56548554299999998</v>
          </cell>
          <cell r="F187">
            <v>0.32429989619999999</v>
          </cell>
          <cell r="G187">
            <v>0.283293927</v>
          </cell>
          <cell r="H187">
            <v>0.14572551419999999</v>
          </cell>
          <cell r="I187">
            <v>0.60825520980000003</v>
          </cell>
          <cell r="J187">
            <v>0.56328092100000005</v>
          </cell>
          <cell r="K187">
            <v>0.71253383040000007</v>
          </cell>
          <cell r="L187">
            <v>0.7872705162000001</v>
          </cell>
          <cell r="M187">
            <v>0.57871327500000003</v>
          </cell>
          <cell r="N187">
            <v>0.51125184180000005</v>
          </cell>
          <cell r="O187">
            <v>0.51433831259999996</v>
          </cell>
          <cell r="P187">
            <v>0.30578107139999999</v>
          </cell>
          <cell r="Q187">
            <v>0.49471717680000005</v>
          </cell>
          <cell r="R187">
            <v>0.3408345612</v>
          </cell>
          <cell r="S187">
            <v>0.93564157680000004</v>
          </cell>
          <cell r="T187">
            <v>5.0706306E-2</v>
          </cell>
          <cell r="U187">
            <v>0</v>
          </cell>
          <cell r="V187">
            <v>0.20304568620000002</v>
          </cell>
          <cell r="W187">
            <v>3.3069329999999997E-3</v>
          </cell>
          <cell r="X187">
            <v>6.7461433200000004E-2</v>
          </cell>
          <cell r="Y187">
            <v>0.41601217140000002</v>
          </cell>
          <cell r="Z187">
            <v>8.0159983199999993E-2</v>
          </cell>
          <cell r="AA187">
            <v>0.62815999999999994</v>
          </cell>
          <cell r="AB187">
            <v>9.0263999999999997E-2</v>
          </cell>
          <cell r="AC187">
            <v>0</v>
          </cell>
          <cell r="AD187">
            <v>0.92912099999999997</v>
          </cell>
          <cell r="AE187">
            <v>0.28668900000000003</v>
          </cell>
          <cell r="AF187">
            <v>0.12967200000000001</v>
          </cell>
          <cell r="AG187">
            <v>0.3563265662087059</v>
          </cell>
          <cell r="AH187">
            <v>0.31287773604950392</v>
          </cell>
          <cell r="AI187">
            <v>0.39517998954370925</v>
          </cell>
          <cell r="AJ187">
            <v>0.42000955773147408</v>
          </cell>
          <cell r="AK187">
            <v>0.31494320706575296</v>
          </cell>
          <cell r="AL187">
            <v>0.35869525043140948</v>
          </cell>
          <cell r="AM187">
            <v>0.35986741131982924</v>
          </cell>
          <cell r="AN187">
            <v>0.36034114816436991</v>
          </cell>
          <cell r="AO187">
            <v>0.36973908321843502</v>
          </cell>
          <cell r="AP187">
            <v>0.36277131494256715</v>
          </cell>
          <cell r="AQ187">
            <v>0.35271722003995931</v>
          </cell>
          <cell r="AR187">
            <v>0.3622828416153222</v>
          </cell>
          <cell r="AS187">
            <v>0.36108723553703209</v>
          </cell>
          <cell r="AT187">
            <v>0.36157032159613073</v>
          </cell>
          <cell r="AU187">
            <v>0.36171953907066312</v>
          </cell>
          <cell r="AV187">
            <v>0.36008578674620234</v>
          </cell>
          <cell r="AW187">
            <v>0.35987543157182156</v>
          </cell>
          <cell r="AX187">
            <v>0.36134914491307013</v>
          </cell>
          <cell r="AY187">
            <v>0.36086766290437</v>
          </cell>
          <cell r="AZ187">
            <v>0.36092004477957762</v>
          </cell>
          <cell r="BA187">
            <v>0.36077951304122546</v>
          </cell>
          <cell r="BB187">
            <v>0.36061961418300836</v>
          </cell>
          <cell r="BC187">
            <v>0.36075835944201295</v>
          </cell>
          <cell r="BD187">
            <v>0.36090719596425036</v>
          </cell>
          <cell r="BE187">
            <v>0.36078903887003888</v>
          </cell>
          <cell r="BF187">
            <v>0.36079694548201491</v>
          </cell>
        </row>
        <row r="188">
          <cell r="B188">
            <v>0.62677403460000003</v>
          </cell>
          <cell r="C188">
            <v>0.61949878199999997</v>
          </cell>
          <cell r="D188">
            <v>0.67836218940000004</v>
          </cell>
          <cell r="E188">
            <v>0.23567409180000001</v>
          </cell>
          <cell r="F188">
            <v>0.53638453260000007</v>
          </cell>
          <cell r="G188">
            <v>0.42923990340000001</v>
          </cell>
          <cell r="H188">
            <v>0.3498735114</v>
          </cell>
          <cell r="I188">
            <v>0.73943021879999993</v>
          </cell>
          <cell r="J188">
            <v>0.51125184180000005</v>
          </cell>
          <cell r="K188">
            <v>1.0286766251999999</v>
          </cell>
          <cell r="L188">
            <v>1.0401406596000002</v>
          </cell>
          <cell r="M188">
            <v>0.3035764494</v>
          </cell>
          <cell r="N188">
            <v>0.55931260139999994</v>
          </cell>
          <cell r="O188">
            <v>0.31239493740000002</v>
          </cell>
          <cell r="P188">
            <v>0.33995271240000002</v>
          </cell>
          <cell r="Q188">
            <v>0.48104852040000001</v>
          </cell>
          <cell r="R188">
            <v>0.5019924294</v>
          </cell>
          <cell r="S188">
            <v>1.3258596708000001</v>
          </cell>
          <cell r="T188">
            <v>0.11045156219999999</v>
          </cell>
          <cell r="U188">
            <v>4.1005969200000006E-2</v>
          </cell>
          <cell r="V188">
            <v>1.7636976E-3</v>
          </cell>
          <cell r="W188">
            <v>0.27337312800000002</v>
          </cell>
          <cell r="X188">
            <v>1.1023110000000001E-3</v>
          </cell>
          <cell r="Y188">
            <v>0.62655357239999998</v>
          </cell>
          <cell r="Z188">
            <v>0.26135549638</v>
          </cell>
          <cell r="AA188">
            <v>0.74175199999999997</v>
          </cell>
          <cell r="AB188">
            <v>0.12353600000000001</v>
          </cell>
          <cell r="AC188">
            <v>0.1488559424</v>
          </cell>
          <cell r="AD188">
            <v>0.37002200000000002</v>
          </cell>
          <cell r="AE188">
            <v>0.32011099999999998</v>
          </cell>
          <cell r="AF188">
            <v>9.7003279999999997E-2</v>
          </cell>
          <cell r="AG188">
            <v>0.31396364181069331</v>
          </cell>
          <cell r="AH188">
            <v>0.23089236641095801</v>
          </cell>
          <cell r="AI188">
            <v>0.29025447112968761</v>
          </cell>
          <cell r="AJ188">
            <v>0.27768565818442181</v>
          </cell>
          <cell r="AK188">
            <v>0.26633863626696436</v>
          </cell>
          <cell r="AL188">
            <v>0.26885477142720821</v>
          </cell>
          <cell r="AM188">
            <v>0.27582695476054508</v>
          </cell>
          <cell r="AN188">
            <v>0.26680518068384801</v>
          </cell>
          <cell r="AO188">
            <v>0.27579209835376545</v>
          </cell>
          <cell r="AP188">
            <v>0.2711022402645975</v>
          </cell>
          <cell r="AQ188">
            <v>0.27072352829846624</v>
          </cell>
          <cell r="AR188">
            <v>0.27167624909799282</v>
          </cell>
          <cell r="AS188">
            <v>0.27205000047224437</v>
          </cell>
          <cell r="AT188">
            <v>0.27121985933973403</v>
          </cell>
          <cell r="AU188">
            <v>0.27226882329741325</v>
          </cell>
          <cell r="AV188">
            <v>0.27135437549460695</v>
          </cell>
          <cell r="AW188">
            <v>0.27158769210117012</v>
          </cell>
          <cell r="AX188">
            <v>0.27171386154039834</v>
          </cell>
          <cell r="AY188">
            <v>0.27169615014103371</v>
          </cell>
          <cell r="AZ188">
            <v>0.27162892235466451</v>
          </cell>
          <cell r="BA188">
            <v>0.27172418051492447</v>
          </cell>
          <cell r="BB188">
            <v>0.27159620032637466</v>
          </cell>
          <cell r="BC188">
            <v>0.27167016133043825</v>
          </cell>
          <cell r="BD188">
            <v>0.27167186297547918</v>
          </cell>
          <cell r="BE188">
            <v>0.2716631229334871</v>
          </cell>
          <cell r="BF188">
            <v>0.27165826550037619</v>
          </cell>
        </row>
        <row r="189">
          <cell r="B189">
            <v>0.81571013999999997</v>
          </cell>
          <cell r="C189">
            <v>1.0227241458</v>
          </cell>
          <cell r="D189">
            <v>0.52712512020000002</v>
          </cell>
          <cell r="E189">
            <v>0.33862993920000001</v>
          </cell>
          <cell r="F189">
            <v>0.30600153360000004</v>
          </cell>
          <cell r="G189">
            <v>0.4093983054</v>
          </cell>
          <cell r="H189">
            <v>0.26345232900000004</v>
          </cell>
          <cell r="I189">
            <v>0.37280158019999998</v>
          </cell>
          <cell r="J189">
            <v>0.41380754939999997</v>
          </cell>
          <cell r="K189">
            <v>0.79454576880000005</v>
          </cell>
          <cell r="L189">
            <v>1.0189762884</v>
          </cell>
          <cell r="M189">
            <v>0.57783142620000016</v>
          </cell>
          <cell r="N189">
            <v>0.63162420300000011</v>
          </cell>
          <cell r="O189">
            <v>0.39683196000000004</v>
          </cell>
          <cell r="P189">
            <v>0.62412848820000011</v>
          </cell>
          <cell r="Q189">
            <v>0.34788935160000006</v>
          </cell>
          <cell r="R189">
            <v>0.91469766779999995</v>
          </cell>
          <cell r="S189">
            <v>0.89088775019999999</v>
          </cell>
          <cell r="T189">
            <v>0.1064832426</v>
          </cell>
          <cell r="U189">
            <v>6.1729416000000002E-2</v>
          </cell>
          <cell r="V189">
            <v>3.3069329999999997E-3</v>
          </cell>
          <cell r="W189">
            <v>0.17438560019999999</v>
          </cell>
          <cell r="X189">
            <v>0.32341804739999996</v>
          </cell>
          <cell r="Y189">
            <v>0.16226017919999999</v>
          </cell>
          <cell r="Z189">
            <v>0.13236318018000001</v>
          </cell>
          <cell r="AA189">
            <v>0.59986600000000001</v>
          </cell>
          <cell r="AB189">
            <v>0.16786000000000001</v>
          </cell>
          <cell r="AC189">
            <v>0.39312342915999998</v>
          </cell>
          <cell r="AD189">
            <v>0.30556499999999998</v>
          </cell>
          <cell r="AE189">
            <v>0.38921899999999998</v>
          </cell>
          <cell r="AF189">
            <v>4.8501639999999999E-2</v>
          </cell>
          <cell r="AG189">
            <v>1.4144396873411247</v>
          </cell>
          <cell r="AH189">
            <v>0.28422628623598722</v>
          </cell>
          <cell r="AI189">
            <v>0.59233712001310579</v>
          </cell>
          <cell r="AJ189">
            <v>0.50908323348928608</v>
          </cell>
          <cell r="AK189">
            <v>0.58037868403926662</v>
          </cell>
          <cell r="AL189">
            <v>0.63304416887505788</v>
          </cell>
          <cell r="AM189">
            <v>0.67609300222375524</v>
          </cell>
          <cell r="AN189">
            <v>0.51981389853054072</v>
          </cell>
          <cell r="AO189">
            <v>0.59818724172809468</v>
          </cell>
          <cell r="AP189">
            <v>0.58368259743158024</v>
          </cell>
          <cell r="AQ189">
            <v>0.60150339907934303</v>
          </cell>
          <cell r="AR189">
            <v>0.60216418175780539</v>
          </cell>
          <cell r="AS189">
            <v>0.59585602779866242</v>
          </cell>
          <cell r="AT189">
            <v>0.58107026370547299</v>
          </cell>
          <cell r="AU189">
            <v>0.59627868955909769</v>
          </cell>
          <cell r="AV189">
            <v>0.59285529395457282</v>
          </cell>
          <cell r="AW189">
            <v>0.59537451238007577</v>
          </cell>
          <cell r="AX189">
            <v>0.59364489135512244</v>
          </cell>
          <cell r="AY189">
            <v>0.59228695747957616</v>
          </cell>
          <cell r="AZ189">
            <v>0.5918447301908687</v>
          </cell>
          <cell r="BA189">
            <v>0.59408806894568844</v>
          </cell>
          <cell r="BB189">
            <v>0.59320127707204318</v>
          </cell>
          <cell r="BC189">
            <v>0.5934478320702663</v>
          </cell>
          <cell r="BD189">
            <v>0.59301318500865996</v>
          </cell>
          <cell r="BE189">
            <v>0.59297377315168909</v>
          </cell>
          <cell r="BF189">
            <v>0.59311901865750638</v>
          </cell>
        </row>
        <row r="194">
          <cell r="C194">
            <v>4.3426644155999998</v>
          </cell>
          <cell r="D194">
            <v>6.6628086083999998</v>
          </cell>
          <cell r="E194">
            <v>7.0126821198000009</v>
          </cell>
          <cell r="F194">
            <v>7.3345569318000008</v>
          </cell>
          <cell r="G194">
            <v>4.5710632548000003</v>
          </cell>
          <cell r="H194">
            <v>8.4549458322000017</v>
          </cell>
          <cell r="I194">
            <v>5.7024752651999995</v>
          </cell>
          <cell r="J194">
            <v>4.3252479018000001</v>
          </cell>
          <cell r="K194">
            <v>9.7442087778000008</v>
          </cell>
          <cell r="L194">
            <v>4.5166090913999994</v>
          </cell>
          <cell r="M194">
            <v>2.8212547734000006</v>
          </cell>
          <cell r="N194">
            <v>4.6685075471999999</v>
          </cell>
          <cell r="O194">
            <v>5.6358956808</v>
          </cell>
          <cell r="P194">
            <v>18.311149407599999</v>
          </cell>
          <cell r="Q194">
            <v>13.1917966614</v>
          </cell>
          <cell r="R194">
            <v>6.6251095722000013</v>
          </cell>
          <cell r="S194">
            <v>8.9417263698000014</v>
          </cell>
          <cell r="T194">
            <v>13.843042000199999</v>
          </cell>
          <cell r="U194">
            <v>3.3552142217999998</v>
          </cell>
          <cell r="V194">
            <v>5.1105342582000004</v>
          </cell>
          <cell r="W194">
            <v>6.4908480923999994</v>
          </cell>
          <cell r="X194">
            <v>3.3067125378000002</v>
          </cell>
          <cell r="Y194">
            <v>3.2610768624000004</v>
          </cell>
          <cell r="Z194">
            <v>7.9167976020000008</v>
          </cell>
          <cell r="AA194">
            <v>4.3001554023999997</v>
          </cell>
          <cell r="AB194">
            <v>4.2132870000000002</v>
          </cell>
          <cell r="AC194">
            <v>4.75332827112</v>
          </cell>
          <cell r="AD194">
            <v>3.47003440146</v>
          </cell>
          <cell r="AE194">
            <v>3.5063390000000001</v>
          </cell>
          <cell r="AF194">
            <v>3.2690965161799999</v>
          </cell>
          <cell r="AG194">
            <v>4.8947810995600003</v>
          </cell>
          <cell r="AH194">
            <v>4.636131672443379</v>
          </cell>
          <cell r="AI194">
            <v>4.5715086195783901</v>
          </cell>
          <cell r="AJ194">
            <v>4.349787892694847</v>
          </cell>
          <cell r="AK194">
            <v>4.3217667298650806</v>
          </cell>
          <cell r="AL194">
            <v>4.3381833800312286</v>
          </cell>
          <cell r="AM194">
            <v>4.5547952028283394</v>
          </cell>
          <cell r="AN194">
            <v>4.4434756589225843</v>
          </cell>
          <cell r="AO194">
            <v>4.4272083649995766</v>
          </cell>
          <cell r="AP194">
            <v>4.4016017728684149</v>
          </cell>
          <cell r="AQ194">
            <v>4.4170858673293614</v>
          </cell>
          <cell r="AR194">
            <v>4.4330528759300281</v>
          </cell>
          <cell r="AS194">
            <v>4.4488333733896557</v>
          </cell>
          <cell r="AT194">
            <v>4.4244849080099931</v>
          </cell>
          <cell r="AU194">
            <v>4.4255564509034073</v>
          </cell>
          <cell r="AV194">
            <v>4.4250117595054901</v>
          </cell>
          <cell r="AW194">
            <v>4.4298026951124889</v>
          </cell>
          <cell r="AX194">
            <v>4.431387873547715</v>
          </cell>
          <cell r="AY194">
            <v>4.430737837384207</v>
          </cell>
          <cell r="AZ194">
            <v>4.4272487374158187</v>
          </cell>
          <cell r="BA194">
            <v>4.4284993232906613</v>
          </cell>
          <cell r="BB194">
            <v>4.4288377805931436</v>
          </cell>
          <cell r="BC194">
            <v>4.4295352933501775</v>
          </cell>
          <cell r="BD194">
            <v>4.4293423104463088</v>
          </cell>
          <cell r="BE194">
            <v>4.4289717944068014</v>
          </cell>
          <cell r="BF194">
            <v>4.428692689019222</v>
          </cell>
          <cell r="BG194">
            <v>4.4290373004174182</v>
          </cell>
        </row>
        <row r="195">
          <cell r="C195">
            <v>5.1385329576000007</v>
          </cell>
          <cell r="D195">
            <v>7.1447389776000012</v>
          </cell>
          <cell r="E195">
            <v>4.7941710012000005</v>
          </cell>
          <cell r="F195">
            <v>5.9194100699999996</v>
          </cell>
          <cell r="G195">
            <v>5.6211247133999995</v>
          </cell>
          <cell r="H195">
            <v>4.9610608866000003</v>
          </cell>
          <cell r="I195">
            <v>4.7873366729999995</v>
          </cell>
          <cell r="J195">
            <v>6.1791145416000006</v>
          </cell>
          <cell r="K195">
            <v>7.6703208623999997</v>
          </cell>
          <cell r="L195">
            <v>6.4463147279999999</v>
          </cell>
          <cell r="M195">
            <v>4.5946527102000001</v>
          </cell>
          <cell r="N195">
            <v>5.3984578913999997</v>
          </cell>
          <cell r="O195">
            <v>6.2587013958000011</v>
          </cell>
          <cell r="P195">
            <v>22.998837166200001</v>
          </cell>
          <cell r="Q195">
            <v>9.6749836470000012</v>
          </cell>
          <cell r="R195">
            <v>7.3940817258000004</v>
          </cell>
          <cell r="S195">
            <v>12.553999516800001</v>
          </cell>
          <cell r="T195">
            <v>17.289307110599999</v>
          </cell>
          <cell r="U195">
            <v>3.1852378656</v>
          </cell>
          <cell r="V195">
            <v>6.8440285368000007</v>
          </cell>
          <cell r="W195">
            <v>6.4533695183999997</v>
          </cell>
          <cell r="X195">
            <v>2.1124688003999998</v>
          </cell>
          <cell r="Y195">
            <v>10.536770386799999</v>
          </cell>
          <cell r="Z195">
            <v>4.9753909296000005</v>
          </cell>
          <cell r="AA195">
            <v>2.3317472076799999</v>
          </cell>
          <cell r="AB195">
            <v>2.6242399999999999</v>
          </cell>
          <cell r="AC195">
            <v>3.8918289137199999</v>
          </cell>
          <cell r="AD195">
            <v>2.9101370000000002</v>
          </cell>
          <cell r="AE195">
            <v>3.3503130000000003</v>
          </cell>
          <cell r="AF195">
            <v>3.51726618034</v>
          </cell>
          <cell r="AG195">
            <v>4.5038887458400003</v>
          </cell>
          <cell r="AH195">
            <v>3.9319070468598594</v>
          </cell>
          <cell r="AI195">
            <v>4.1762222997858771</v>
          </cell>
          <cell r="AJ195">
            <v>4.0060366502348499</v>
          </cell>
          <cell r="AK195">
            <v>4.0323236133288605</v>
          </cell>
          <cell r="AL195">
            <v>4.0214301747080148</v>
          </cell>
          <cell r="AM195">
            <v>4.1300756712098892</v>
          </cell>
          <cell r="AN195">
            <v>4.0335839569834926</v>
          </cell>
          <cell r="AO195">
            <v>4.0732176818534978</v>
          </cell>
          <cell r="AP195">
            <v>4.044690013293021</v>
          </cell>
          <cell r="AQ195">
            <v>4.0581262196167511</v>
          </cell>
          <cell r="AR195">
            <v>4.0605994996095829</v>
          </cell>
          <cell r="AS195">
            <v>4.0679387085913303</v>
          </cell>
          <cell r="AT195">
            <v>4.0540434742712694</v>
          </cell>
          <cell r="AU195">
            <v>4.0609144245928368</v>
          </cell>
          <cell r="AV195">
            <v>4.0570795830763915</v>
          </cell>
          <cell r="AW195">
            <v>4.0603244653363548</v>
          </cell>
          <cell r="AX195">
            <v>4.0601151380282818</v>
          </cell>
          <cell r="AY195">
            <v>4.0600601311736355</v>
          </cell>
          <cell r="AZ195">
            <v>4.0584954170610263</v>
          </cell>
          <cell r="BA195">
            <v>4.0596987484414999</v>
          </cell>
          <cell r="BB195">
            <v>4.0592149469351382</v>
          </cell>
          <cell r="BC195">
            <v>4.0597387800081588</v>
          </cell>
          <cell r="BD195">
            <v>4.0595168763279172</v>
          </cell>
          <cell r="BE195">
            <v>4.0594416047238919</v>
          </cell>
          <cell r="BF195">
            <v>4.0593329537547493</v>
          </cell>
          <cell r="BG195">
            <v>4.0595221912873214</v>
          </cell>
        </row>
        <row r="196">
          <cell r="C196">
            <v>4.9348258848000004</v>
          </cell>
          <cell r="D196">
            <v>4.7075293566000012</v>
          </cell>
          <cell r="E196">
            <v>8.6434410131999986</v>
          </cell>
          <cell r="F196">
            <v>5.9066232623999992</v>
          </cell>
          <cell r="G196">
            <v>6.9368431230000009</v>
          </cell>
          <cell r="H196">
            <v>4.2267012984000001</v>
          </cell>
          <cell r="I196">
            <v>4.4969879555999999</v>
          </cell>
          <cell r="J196">
            <v>6.6751544915999999</v>
          </cell>
          <cell r="K196">
            <v>6.8422648392000003</v>
          </cell>
          <cell r="L196">
            <v>4.8193036920000001</v>
          </cell>
          <cell r="M196">
            <v>3.7441095426</v>
          </cell>
          <cell r="N196">
            <v>4.7725657056000008</v>
          </cell>
          <cell r="O196">
            <v>4.8369406680000004</v>
          </cell>
          <cell r="P196">
            <v>16.776732495600001</v>
          </cell>
          <cell r="Q196">
            <v>7.7089017474000006</v>
          </cell>
          <cell r="R196">
            <v>7.5885293862000003</v>
          </cell>
          <cell r="S196">
            <v>8.003659708799999</v>
          </cell>
          <cell r="T196">
            <v>14.855404422600001</v>
          </cell>
          <cell r="U196">
            <v>3.0659678153999996</v>
          </cell>
          <cell r="V196">
            <v>3.7474164756000001</v>
          </cell>
          <cell r="W196">
            <v>3.7496210976000004</v>
          </cell>
          <cell r="X196">
            <v>3.4824209111999997</v>
          </cell>
          <cell r="Y196">
            <v>9.6646219235999986</v>
          </cell>
          <cell r="Z196">
            <v>4.9546674828000006</v>
          </cell>
          <cell r="AA196">
            <v>2.4613369759000001</v>
          </cell>
          <cell r="AB196">
            <v>2.2149040000000002</v>
          </cell>
          <cell r="AC196">
            <v>2.6795877420400003</v>
          </cell>
          <cell r="AD196">
            <v>2.2713570000000001</v>
          </cell>
          <cell r="AE196">
            <v>3.5892719999999998</v>
          </cell>
          <cell r="AF196">
            <v>4.8216626726399996</v>
          </cell>
          <cell r="AG196">
            <v>4.3637300293400001</v>
          </cell>
          <cell r="AH196">
            <v>3.7588850056650047</v>
          </cell>
          <cell r="AI196">
            <v>4.0733130617773661</v>
          </cell>
          <cell r="AJ196">
            <v>4.1361131003500713</v>
          </cell>
          <cell r="AK196">
            <v>4.2656702896874368</v>
          </cell>
          <cell r="AL196">
            <v>4.2248218130615314</v>
          </cell>
          <cell r="AM196">
            <v>4.1195422973639744</v>
          </cell>
          <cell r="AN196">
            <v>4.091760654108282</v>
          </cell>
          <cell r="AO196">
            <v>4.1638921124480763</v>
          </cell>
          <cell r="AP196">
            <v>4.1675816309142588</v>
          </cell>
          <cell r="AQ196">
            <v>4.1731374333338609</v>
          </cell>
          <cell r="AR196">
            <v>4.1535197015792242</v>
          </cell>
          <cell r="AS196">
            <v>4.1431828256336898</v>
          </cell>
          <cell r="AT196">
            <v>4.1499783064767408</v>
          </cell>
          <cell r="AU196">
            <v>4.160262740781822</v>
          </cell>
          <cell r="AV196">
            <v>4.1574799795875546</v>
          </cell>
          <cell r="AW196">
            <v>4.1560162015610667</v>
          </cell>
          <cell r="AX196">
            <v>4.1528847108118061</v>
          </cell>
          <cell r="AY196">
            <v>4.1533840108081748</v>
          </cell>
          <cell r="AZ196">
            <v>4.1553243878437982</v>
          </cell>
          <cell r="BA196">
            <v>4.156005528710085</v>
          </cell>
          <cell r="BB196">
            <v>4.1550178581224797</v>
          </cell>
          <cell r="BC196">
            <v>4.154722967946987</v>
          </cell>
          <cell r="BD196">
            <v>4.1545232992592691</v>
          </cell>
          <cell r="BE196">
            <v>4.1548909506863057</v>
          </cell>
          <cell r="BF196">
            <v>4.1551188083765238</v>
          </cell>
          <cell r="BG196">
            <v>4.1550321209450249</v>
          </cell>
        </row>
        <row r="197">
          <cell r="B197">
            <v>1.6034215806000001</v>
          </cell>
          <cell r="C197">
            <v>2.6554671990000003</v>
          </cell>
          <cell r="D197">
            <v>3.6975920184</v>
          </cell>
          <cell r="E197">
            <v>5.0192629073999999</v>
          </cell>
          <cell r="F197">
            <v>4.7489762502000001</v>
          </cell>
          <cell r="G197">
            <v>5.7963921623999992</v>
          </cell>
          <cell r="H197">
            <v>5.1720432120000002</v>
          </cell>
          <cell r="I197">
            <v>8.6075056746000005</v>
          </cell>
          <cell r="J197">
            <v>2.1900714948000002</v>
          </cell>
          <cell r="K197">
            <v>14.0350645764</v>
          </cell>
          <cell r="L197">
            <v>3.1082965578000001</v>
          </cell>
          <cell r="M197">
            <v>3.7721082420000003</v>
          </cell>
          <cell r="N197">
            <v>4.3543489121999999</v>
          </cell>
          <cell r="O197">
            <v>5.1865937172000001</v>
          </cell>
          <cell r="P197">
            <v>12.453027829200002</v>
          </cell>
          <cell r="Q197">
            <v>9.0704762945999988</v>
          </cell>
          <cell r="R197">
            <v>7.1359204896000001</v>
          </cell>
          <cell r="S197">
            <v>11.024432773200001</v>
          </cell>
          <cell r="T197">
            <v>12.225951763200001</v>
          </cell>
          <cell r="U197">
            <v>3.8569861890000001</v>
          </cell>
          <cell r="V197">
            <v>4.1925296574000006</v>
          </cell>
          <cell r="W197">
            <v>3.5183562498000001</v>
          </cell>
          <cell r="X197">
            <v>2.4641060093999996</v>
          </cell>
          <cell r="Y197">
            <v>4.0604727996000003</v>
          </cell>
          <cell r="Z197">
            <v>8.9878029696000006</v>
          </cell>
          <cell r="AA197">
            <v>1.98521401298</v>
          </cell>
          <cell r="AB197">
            <v>2.4413009999999997</v>
          </cell>
          <cell r="AC197">
            <v>3.3396134914999998</v>
          </cell>
          <cell r="AD197">
            <v>3.0308600000000001</v>
          </cell>
          <cell r="AE197">
            <v>4.3827219999999993</v>
          </cell>
          <cell r="AF197">
            <v>4.3883534301199996</v>
          </cell>
          <cell r="AG197">
            <v>4.8363983527199998</v>
          </cell>
          <cell r="AH197">
            <v>4.2429755340212685</v>
          </cell>
          <cell r="AI197">
            <v>4.5908962305113974</v>
          </cell>
          <cell r="AJ197">
            <v>4.5928149690218776</v>
          </cell>
          <cell r="AK197">
            <v>4.6454126488425374</v>
          </cell>
          <cell r="AL197">
            <v>4.5239496652892894</v>
          </cell>
          <cell r="AM197">
            <v>4.5816995470234163</v>
          </cell>
          <cell r="AN197">
            <v>4.5192098095372746</v>
          </cell>
          <cell r="AO197">
            <v>4.5869546121377036</v>
          </cell>
          <cell r="AP197">
            <v>4.5726173279428792</v>
          </cell>
          <cell r="AQ197">
            <v>4.5714452565660437</v>
          </cell>
          <cell r="AR197">
            <v>4.5568861923861128</v>
          </cell>
          <cell r="AS197">
            <v>4.566385310641464</v>
          </cell>
          <cell r="AT197">
            <v>4.561422639714003</v>
          </cell>
          <cell r="AU197">
            <v>4.5708577399348407</v>
          </cell>
          <cell r="AV197">
            <v>4.5657513454501011</v>
          </cell>
          <cell r="AW197">
            <v>4.5653994278484937</v>
          </cell>
          <cell r="AX197">
            <v>4.5642606456253052</v>
          </cell>
          <cell r="AY197">
            <v>4.5659632927177807</v>
          </cell>
          <cell r="AZ197">
            <v>4.5655383597145489</v>
          </cell>
          <cell r="BA197">
            <v>4.5664464903153048</v>
          </cell>
          <cell r="BB197">
            <v>4.565382614271245</v>
          </cell>
          <cell r="BC197">
            <v>4.5655216432442867</v>
          </cell>
          <cell r="BD197">
            <v>4.5655182805288357</v>
          </cell>
          <cell r="BE197">
            <v>4.5657704800526329</v>
          </cell>
          <cell r="BF197">
            <v>4.5656814776148433</v>
          </cell>
        </row>
        <row r="198">
          <cell r="B198">
            <v>2.4431621004000004</v>
          </cell>
          <cell r="C198">
            <v>3.5077740641999999</v>
          </cell>
          <cell r="D198">
            <v>4.6457999406000008</v>
          </cell>
          <cell r="E198">
            <v>4.2185441969999999</v>
          </cell>
          <cell r="F198">
            <v>4.0772279268</v>
          </cell>
          <cell r="G198">
            <v>5.9202919188000003</v>
          </cell>
          <cell r="H198">
            <v>5.3422400304000002</v>
          </cell>
          <cell r="I198">
            <v>4.6488864113999995</v>
          </cell>
          <cell r="J198">
            <v>6.5746237283999998</v>
          </cell>
          <cell r="K198">
            <v>9.3326058503999985</v>
          </cell>
          <cell r="L198">
            <v>2.8657881378000001</v>
          </cell>
          <cell r="M198">
            <v>3.5743536485999998</v>
          </cell>
          <cell r="N198">
            <v>4.0020503166000001</v>
          </cell>
          <cell r="O198">
            <v>4.7410396109999997</v>
          </cell>
          <cell r="P198">
            <v>9.8667857610000009</v>
          </cell>
          <cell r="Q198">
            <v>7.9489850831999993</v>
          </cell>
          <cell r="R198">
            <v>8.1198432882000002</v>
          </cell>
          <cell r="S198">
            <v>9.7283354994</v>
          </cell>
          <cell r="T198">
            <v>9.5574772943999999</v>
          </cell>
          <cell r="U198">
            <v>2.7372586752000001</v>
          </cell>
          <cell r="V198">
            <v>2.4987185748000003</v>
          </cell>
          <cell r="W198">
            <v>3.4890347772000001</v>
          </cell>
          <cell r="X198">
            <v>2.8721815415999998</v>
          </cell>
          <cell r="Y198">
            <v>3.5860381452000003</v>
          </cell>
          <cell r="Z198">
            <v>1.9599115892400001</v>
          </cell>
          <cell r="AA198">
            <v>1.4219137614000001</v>
          </cell>
          <cell r="AB198">
            <v>3.5032429999999999</v>
          </cell>
          <cell r="AC198">
            <v>1.7769589939200001</v>
          </cell>
          <cell r="AD198">
            <v>2.2467820000000001</v>
          </cell>
          <cell r="AE198">
            <v>2.6416529999999998</v>
          </cell>
          <cell r="AF198">
            <v>4.2403705172399997</v>
          </cell>
          <cell r="AG198">
            <v>3.1282245696298476</v>
          </cell>
          <cell r="AH198">
            <v>3.4770851489897545</v>
          </cell>
          <cell r="AI198">
            <v>3.2249853643767166</v>
          </cell>
          <cell r="AJ198">
            <v>3.4606967830901025</v>
          </cell>
          <cell r="AK198">
            <v>3.4594902544118367</v>
          </cell>
          <cell r="AL198">
            <v>3.5013670733852726</v>
          </cell>
          <cell r="AM198">
            <v>3.3500964240996516</v>
          </cell>
          <cell r="AN198">
            <v>3.4247249248507368</v>
          </cell>
          <cell r="AO198">
            <v>3.3993271798727158</v>
          </cell>
          <cell r="AP198">
            <v>3.4392750919675206</v>
          </cell>
          <cell r="AQ198">
            <v>3.4270011713240427</v>
          </cell>
          <cell r="AR198">
            <v>3.4229581388351797</v>
          </cell>
          <cell r="AS198">
            <v>3.4080849584229336</v>
          </cell>
          <cell r="AT198">
            <v>3.4226573013700397</v>
          </cell>
          <cell r="AU198">
            <v>3.4193293080844782</v>
          </cell>
          <cell r="AV198">
            <v>3.4239953323839436</v>
          </cell>
          <cell r="AW198">
            <v>3.4200061756073352</v>
          </cell>
          <cell r="AX198">
            <v>3.4194050078193152</v>
          </cell>
          <cell r="AY198">
            <v>3.4188146151737464</v>
          </cell>
          <cell r="AZ198">
            <v>3.4210786250530227</v>
          </cell>
          <cell r="BA198">
            <v>3.420310087813764</v>
          </cell>
          <cell r="BB198">
            <v>3.4206599512074729</v>
          </cell>
          <cell r="BC198">
            <v>3.4199229022934361</v>
          </cell>
          <cell r="BD198">
            <v>3.4200536574134648</v>
          </cell>
          <cell r="BE198">
            <v>3.4201572363082882</v>
          </cell>
          <cell r="BF198">
            <v>3.4204050447562313</v>
          </cell>
        </row>
        <row r="199">
          <cell r="B199">
            <v>2.7423293058000002</v>
          </cell>
          <cell r="C199">
            <v>4.8501684000000003</v>
          </cell>
          <cell r="D199">
            <v>3.7211814738000002</v>
          </cell>
          <cell r="E199">
            <v>3.654160965</v>
          </cell>
          <cell r="F199">
            <v>8.1105838758000015</v>
          </cell>
          <cell r="G199">
            <v>8.0991198414000003</v>
          </cell>
          <cell r="H199">
            <v>5.1195732084000003</v>
          </cell>
          <cell r="I199">
            <v>5.7276079559999999</v>
          </cell>
          <cell r="J199">
            <v>7.2781186086000007</v>
          </cell>
          <cell r="K199">
            <v>6.5541207438000004</v>
          </cell>
          <cell r="L199">
            <v>3.2388101802000002</v>
          </cell>
          <cell r="M199">
            <v>5.4447549534000004</v>
          </cell>
          <cell r="N199">
            <v>5.4597463830000006</v>
          </cell>
          <cell r="O199">
            <v>14.843279001600001</v>
          </cell>
          <cell r="P199">
            <v>11.070950297400001</v>
          </cell>
          <cell r="Q199">
            <v>8.2018552265999993</v>
          </cell>
          <cell r="R199">
            <v>8.717516312399999</v>
          </cell>
          <cell r="S199">
            <v>8.6950291679999996</v>
          </cell>
          <cell r="T199">
            <v>4.7893208327999996</v>
          </cell>
          <cell r="U199">
            <v>3.8003274035999999</v>
          </cell>
          <cell r="V199">
            <v>3.9398799761999999</v>
          </cell>
          <cell r="W199">
            <v>3.9332661102000004</v>
          </cell>
          <cell r="X199">
            <v>2.3355765468000005</v>
          </cell>
          <cell r="Y199">
            <v>4.5538672032000003</v>
          </cell>
          <cell r="Z199">
            <v>3.5074423936199999</v>
          </cell>
          <cell r="AA199">
            <v>2.6922190000000001</v>
          </cell>
          <cell r="AB199">
            <v>3.815836</v>
          </cell>
          <cell r="AC199">
            <v>2.2739222297000001</v>
          </cell>
          <cell r="AD199">
            <v>3.989697</v>
          </cell>
          <cell r="AE199">
            <v>3.8992150000000003</v>
          </cell>
          <cell r="AF199">
            <v>3.1425491235600003</v>
          </cell>
          <cell r="AG199">
            <v>4.4993793985146437</v>
          </cell>
          <cell r="AH199">
            <v>4.1315779382936624</v>
          </cell>
          <cell r="AI199">
            <v>4.0915023490556459</v>
          </cell>
          <cell r="AJ199">
            <v>4.3247216188225979</v>
          </cell>
          <cell r="AK199">
            <v>4.0912419928225709</v>
          </cell>
          <cell r="AL199">
            <v>4.0322968515681374</v>
          </cell>
          <cell r="AM199">
            <v>4.2276846595018247</v>
          </cell>
          <cell r="AN199">
            <v>4.1342681501125229</v>
          </cell>
          <cell r="AO199">
            <v>4.1534894943541563</v>
          </cell>
          <cell r="AP199">
            <v>4.1620426545655311</v>
          </cell>
          <cell r="AQ199">
            <v>4.1277962296718425</v>
          </cell>
          <cell r="AR199">
            <v>4.1419563620204345</v>
          </cell>
          <cell r="AS199">
            <v>4.1610562376411755</v>
          </cell>
          <cell r="AT199">
            <v>4.1439105781448982</v>
          </cell>
          <cell r="AU199">
            <v>4.1492681956506283</v>
          </cell>
          <cell r="AV199">
            <v>4.1473524124087762</v>
          </cell>
          <cell r="AW199">
            <v>4.1447975206257963</v>
          </cell>
          <cell r="AX199">
            <v>4.148708757173182</v>
          </cell>
          <cell r="AY199">
            <v>4.1492769888942549</v>
          </cell>
          <cell r="AZ199">
            <v>4.1468074928006571</v>
          </cell>
          <cell r="BA199">
            <v>4.1478807749505267</v>
          </cell>
          <cell r="BB199">
            <v>4.1473886343805333</v>
          </cell>
          <cell r="BC199">
            <v>4.1474943068888832</v>
          </cell>
          <cell r="BD199">
            <v>4.1480125296398311</v>
          </cell>
          <cell r="BE199">
            <v>4.1477696395829708</v>
          </cell>
          <cell r="BF199">
            <v>4.1475167477320865</v>
          </cell>
        </row>
        <row r="200">
          <cell r="B200">
            <v>1.4929700184000001</v>
          </cell>
          <cell r="C200">
            <v>4.9423215996000005</v>
          </cell>
          <cell r="D200">
            <v>3.8988740070000003</v>
          </cell>
          <cell r="E200">
            <v>3.7322045838000002</v>
          </cell>
          <cell r="F200">
            <v>4.9262278590000008</v>
          </cell>
          <cell r="G200">
            <v>4.2386062571999998</v>
          </cell>
          <cell r="H200">
            <v>5.0697487511999997</v>
          </cell>
          <cell r="I200">
            <v>4.3155475650000001</v>
          </cell>
          <cell r="J200">
            <v>2.5758803448000003</v>
          </cell>
          <cell r="K200">
            <v>3.6318942828000003</v>
          </cell>
          <cell r="L200">
            <v>2.6232797178</v>
          </cell>
          <cell r="M200">
            <v>7.7825361221999998</v>
          </cell>
          <cell r="N200">
            <v>4.4262195894000005</v>
          </cell>
          <cell r="O200">
            <v>17.596190493000002</v>
          </cell>
          <cell r="P200">
            <v>15.933685042800001</v>
          </cell>
          <cell r="Q200">
            <v>9.0594531845999988</v>
          </cell>
          <cell r="R200">
            <v>8.2973153592000006</v>
          </cell>
          <cell r="S200">
            <v>9.1427878961999998</v>
          </cell>
          <cell r="T200">
            <v>4.5571741362000004</v>
          </cell>
          <cell r="U200">
            <v>4.4577456840000007</v>
          </cell>
          <cell r="V200">
            <v>3.1940563536000002</v>
          </cell>
          <cell r="W200">
            <v>3.0957302123999999</v>
          </cell>
          <cell r="X200">
            <v>3.6905372280000002</v>
          </cell>
          <cell r="Y200">
            <v>4.5754724988000008</v>
          </cell>
          <cell r="Z200">
            <v>3.15015726718</v>
          </cell>
          <cell r="AA200">
            <v>2.8169650000000002</v>
          </cell>
          <cell r="AB200">
            <v>2.5031970000000001</v>
          </cell>
          <cell r="AC200">
            <v>4.0921230499600005</v>
          </cell>
          <cell r="AD200">
            <v>3.4876510000000001</v>
          </cell>
          <cell r="AE200">
            <v>4.1454080000000006</v>
          </cell>
          <cell r="AF200">
            <v>4.1456556327999996</v>
          </cell>
          <cell r="AG200">
            <v>4.6004426519942934</v>
          </cell>
          <cell r="AH200">
            <v>4.4338989394630524</v>
          </cell>
          <cell r="AI200">
            <v>4.7042632775028386</v>
          </cell>
          <cell r="AJ200">
            <v>4.5778027961434171</v>
          </cell>
          <cell r="AK200">
            <v>4.5601945075822758</v>
          </cell>
          <cell r="AL200">
            <v>4.4861276101608212</v>
          </cell>
          <cell r="AM200">
            <v>4.5753204345371756</v>
          </cell>
          <cell r="AN200">
            <v>4.5524574261704815</v>
          </cell>
          <cell r="AO200">
            <v>4.5807417251853053</v>
          </cell>
          <cell r="AP200">
            <v>4.5503805549188341</v>
          </cell>
          <cell r="AQ200">
            <v>4.5509683407272119</v>
          </cell>
          <cell r="AR200">
            <v>4.5490055501945239</v>
          </cell>
          <cell r="AS200">
            <v>4.5619736963078017</v>
          </cell>
          <cell r="AT200">
            <v>4.5567107194392715</v>
          </cell>
          <cell r="AU200">
            <v>4.558613973466735</v>
          </cell>
          <cell r="AV200">
            <v>4.553807772317529</v>
          </cell>
          <cell r="AW200">
            <v>4.5554544560271086</v>
          </cell>
          <cell r="AX200">
            <v>4.5560223423451722</v>
          </cell>
          <cell r="AY200">
            <v>4.5573121235116885</v>
          </cell>
          <cell r="AZ200">
            <v>4.5561218527191647</v>
          </cell>
          <cell r="BA200">
            <v>4.5562421335336465</v>
          </cell>
          <cell r="BB200">
            <v>4.5557437093841333</v>
          </cell>
          <cell r="BC200">
            <v>4.5562305816273563</v>
          </cell>
          <cell r="BD200">
            <v>4.5562884322987616</v>
          </cell>
          <cell r="BE200">
            <v>4.556330080155198</v>
          </cell>
          <cell r="BF200">
            <v>4.5561253419126126</v>
          </cell>
        </row>
        <row r="201">
          <cell r="B201">
            <v>1.6298770445999999</v>
          </cell>
          <cell r="C201">
            <v>4.4083621512000004</v>
          </cell>
          <cell r="D201">
            <v>4.1215408290000006</v>
          </cell>
          <cell r="E201">
            <v>6.2900070281999998</v>
          </cell>
          <cell r="F201">
            <v>3.4764684318000003</v>
          </cell>
          <cell r="G201">
            <v>3.6277055009999999</v>
          </cell>
          <cell r="H201">
            <v>7.0353897264</v>
          </cell>
          <cell r="I201">
            <v>6.2941958099999997</v>
          </cell>
          <cell r="J201">
            <v>3.6638613018000004</v>
          </cell>
          <cell r="K201">
            <v>5.0466002202000002</v>
          </cell>
          <cell r="L201">
            <v>2.1446562816000001</v>
          </cell>
          <cell r="M201">
            <v>6.9467639219999997</v>
          </cell>
          <cell r="N201">
            <v>6.2959595076000001</v>
          </cell>
          <cell r="O201">
            <v>18.767726623800002</v>
          </cell>
          <cell r="P201">
            <v>13.0950137556</v>
          </cell>
          <cell r="Q201">
            <v>5.9238193140000002</v>
          </cell>
          <cell r="R201">
            <v>6.8848140437999996</v>
          </cell>
          <cell r="S201">
            <v>10.9741673916</v>
          </cell>
          <cell r="T201">
            <v>4.5441668663999994</v>
          </cell>
          <cell r="U201">
            <v>3.6876712194000003</v>
          </cell>
          <cell r="V201">
            <v>4.4359199262000004</v>
          </cell>
          <cell r="W201">
            <v>3.1850174034000003</v>
          </cell>
          <cell r="X201">
            <v>3.3717488868000003</v>
          </cell>
          <cell r="Y201">
            <v>7.7091222096000012</v>
          </cell>
          <cell r="Z201">
            <v>3.5832129783999997</v>
          </cell>
          <cell r="AA201">
            <v>1.8793140000000002</v>
          </cell>
          <cell r="AB201">
            <v>2.9564729999999999</v>
          </cell>
          <cell r="AC201">
            <v>4.3595655021599997</v>
          </cell>
          <cell r="AD201">
            <v>2.4367040000000002</v>
          </cell>
          <cell r="AE201">
            <v>3.7946460000000002</v>
          </cell>
          <cell r="AF201">
            <v>3.2397089315800001</v>
          </cell>
          <cell r="AG201">
            <v>4.1635803866763545</v>
          </cell>
          <cell r="AH201">
            <v>4.0509498753673894</v>
          </cell>
          <cell r="AI201">
            <v>4.1350357945535512</v>
          </cell>
          <cell r="AJ201">
            <v>3.8899207684672192</v>
          </cell>
          <cell r="AK201">
            <v>4.0125183916694951</v>
          </cell>
          <cell r="AL201">
            <v>3.890388730040053</v>
          </cell>
          <cell r="AM201">
            <v>4.0504010433468025</v>
          </cell>
          <cell r="AN201">
            <v>3.9957627120195411</v>
          </cell>
          <cell r="AO201">
            <v>3.9956529456154244</v>
          </cell>
          <cell r="AP201">
            <v>3.9677983291086223</v>
          </cell>
          <cell r="AQ201">
            <v>3.988944764538263</v>
          </cell>
          <cell r="AR201">
            <v>3.9800007520260881</v>
          </cell>
          <cell r="AS201">
            <v>3.9997119589257308</v>
          </cell>
          <cell r="AT201">
            <v>3.9856319006615877</v>
          </cell>
          <cell r="AU201">
            <v>3.9864217500428261</v>
          </cell>
          <cell r="AV201">
            <v>3.9844175410520584</v>
          </cell>
          <cell r="AW201">
            <v>3.9881422252388985</v>
          </cell>
          <cell r="AX201">
            <v>3.9872367805416578</v>
          </cell>
          <cell r="AY201">
            <v>3.9888650751842203</v>
          </cell>
          <cell r="AZ201">
            <v>3.9863700395074053</v>
          </cell>
          <cell r="BA201">
            <v>3.9870166744119313</v>
          </cell>
          <cell r="BB201">
            <v>3.9870063323048472</v>
          </cell>
          <cell r="BC201">
            <v>3.9875261589768227</v>
          </cell>
          <cell r="BD201">
            <v>3.9872989803900118</v>
          </cell>
          <cell r="BE201">
            <v>3.9873568560770458</v>
          </cell>
          <cell r="BF201">
            <v>3.9870436371182039</v>
          </cell>
        </row>
        <row r="202">
          <cell r="B202">
            <v>2.2714220466000001</v>
          </cell>
          <cell r="C202">
            <v>5.527648740600001</v>
          </cell>
          <cell r="D202">
            <v>4.4429747165999993</v>
          </cell>
          <cell r="E202">
            <v>5.2366386366000004</v>
          </cell>
          <cell r="F202">
            <v>4.9006542438000009</v>
          </cell>
          <cell r="G202">
            <v>14.278454845200002</v>
          </cell>
          <cell r="H202">
            <v>4.7216389373999998</v>
          </cell>
          <cell r="I202">
            <v>6.0300820944</v>
          </cell>
          <cell r="J202">
            <v>6.9888722022000005</v>
          </cell>
          <cell r="K202">
            <v>3.4722796499999999</v>
          </cell>
          <cell r="L202">
            <v>4.1228636021999998</v>
          </cell>
          <cell r="M202">
            <v>8.2933470396000004</v>
          </cell>
          <cell r="N202">
            <v>3.8790324090000006</v>
          </cell>
          <cell r="O202">
            <v>19.931546577599999</v>
          </cell>
          <cell r="P202">
            <v>21.374471676599999</v>
          </cell>
          <cell r="Q202">
            <v>6.7622370605999995</v>
          </cell>
          <cell r="R202">
            <v>8.8434002286000002</v>
          </cell>
          <cell r="S202">
            <v>8.6271268103999983</v>
          </cell>
          <cell r="T202">
            <v>4.4528955155999999</v>
          </cell>
          <cell r="U202">
            <v>2.1766233006000002</v>
          </cell>
          <cell r="V202">
            <v>2.0399367366000001</v>
          </cell>
          <cell r="W202">
            <v>4.1197771314000002</v>
          </cell>
          <cell r="X202">
            <v>3.1116034908000003</v>
          </cell>
          <cell r="Y202">
            <v>6.1460452116000006</v>
          </cell>
          <cell r="Z202">
            <v>2.36983863204</v>
          </cell>
          <cell r="AA202">
            <v>1.214753</v>
          </cell>
          <cell r="AB202">
            <v>3.3737339999999998</v>
          </cell>
          <cell r="AC202">
            <v>3.5210052158600003</v>
          </cell>
          <cell r="AD202">
            <v>2.2351520000000002</v>
          </cell>
          <cell r="AE202">
            <v>3.0455649999999999</v>
          </cell>
          <cell r="AF202">
            <v>4.9490808901600003</v>
          </cell>
          <cell r="AG202">
            <v>3.6139422833130763</v>
          </cell>
          <cell r="AH202">
            <v>4.1323785561600124</v>
          </cell>
          <cell r="AI202">
            <v>3.9903871532423514</v>
          </cell>
          <cell r="AJ202">
            <v>3.9538223362127458</v>
          </cell>
          <cell r="AK202">
            <v>4.0844378387564673</v>
          </cell>
          <cell r="AL202">
            <v>4.1221471298043326</v>
          </cell>
          <cell r="AM202">
            <v>3.9549936335369309</v>
          </cell>
          <cell r="AN202">
            <v>4.0566346028351816</v>
          </cell>
          <cell r="AO202">
            <v>4.0211576183105651</v>
          </cell>
          <cell r="AP202">
            <v>4.0344071082291313</v>
          </cell>
          <cell r="AQ202">
            <v>4.0478741646486958</v>
          </cell>
          <cell r="AR202">
            <v>4.0378680185432287</v>
          </cell>
          <cell r="AS202">
            <v>4.0230134255121017</v>
          </cell>
          <cell r="AT202">
            <v>4.0395883025133603</v>
          </cell>
          <cell r="AU202">
            <v>4.0328640670487443</v>
          </cell>
          <cell r="AV202">
            <v>4.0365502038893037</v>
          </cell>
          <cell r="AW202">
            <v>4.0362415956532267</v>
          </cell>
          <cell r="AX202">
            <v>4.0339768035013472</v>
          </cell>
          <cell r="AY202">
            <v>4.0336515189233468</v>
          </cell>
          <cell r="AZ202">
            <v>4.0358441945211965</v>
          </cell>
          <cell r="BA202">
            <v>4.0346568378031931</v>
          </cell>
          <cell r="BB202">
            <v>4.0352528632976847</v>
          </cell>
          <cell r="BC202">
            <v>4.0348741900804619</v>
          </cell>
          <cell r="BD202">
            <v>4.0346764436093538</v>
          </cell>
          <cell r="BE202">
            <v>4.0348559209251764</v>
          </cell>
          <cell r="BF202">
            <v>4.0350609058623785</v>
          </cell>
        </row>
        <row r="203">
          <cell r="B203">
            <v>3.3699851892000003</v>
          </cell>
          <cell r="C203">
            <v>3.6226348704000002</v>
          </cell>
          <cell r="D203">
            <v>3.9714060708000001</v>
          </cell>
          <cell r="E203">
            <v>7.2342466308000004</v>
          </cell>
          <cell r="F203">
            <v>5.0865038784000003</v>
          </cell>
          <cell r="G203">
            <v>4.0891328855999998</v>
          </cell>
          <cell r="H203">
            <v>5.1830663220000002</v>
          </cell>
          <cell r="I203">
            <v>5.7977149356000011</v>
          </cell>
          <cell r="J203">
            <v>6.4716678810000001</v>
          </cell>
          <cell r="K203">
            <v>4.8124693638000009</v>
          </cell>
          <cell r="L203">
            <v>3.0633222690000004</v>
          </cell>
          <cell r="M203">
            <v>7.8253057889999997</v>
          </cell>
          <cell r="N203">
            <v>5.0856220296000014</v>
          </cell>
          <cell r="O203">
            <v>21.692819093400001</v>
          </cell>
          <cell r="P203">
            <v>9.5711459507999983</v>
          </cell>
          <cell r="Q203">
            <v>4.8991110083999994</v>
          </cell>
          <cell r="R203">
            <v>7.1603917938000006</v>
          </cell>
          <cell r="S203">
            <v>10.736288677799999</v>
          </cell>
          <cell r="T203">
            <v>3.548339109</v>
          </cell>
          <cell r="U203">
            <v>3.3598439279999996</v>
          </cell>
          <cell r="V203">
            <v>2.7169761528</v>
          </cell>
          <cell r="W203">
            <v>4.3880796287999999</v>
          </cell>
          <cell r="X203">
            <v>3.9769176257999996</v>
          </cell>
          <cell r="Y203">
            <v>7.7267591856000006</v>
          </cell>
          <cell r="Z203">
            <v>2.1537880766600002</v>
          </cell>
          <cell r="AA203">
            <v>2.1478139999999999</v>
          </cell>
          <cell r="AB203">
            <v>5.3493149999999998</v>
          </cell>
          <cell r="AC203">
            <v>3.9542064319999999</v>
          </cell>
          <cell r="AD203">
            <v>3.2137069999999999</v>
          </cell>
          <cell r="AE203">
            <v>2.8263910000000001</v>
          </cell>
          <cell r="AF203">
            <v>3.7533809823400004</v>
          </cell>
          <cell r="AG203">
            <v>4.7208396714808778</v>
          </cell>
          <cell r="AH203">
            <v>4.6083601857743153</v>
          </cell>
          <cell r="AI203">
            <v>4.2440337355631206</v>
          </cell>
          <cell r="AJ203">
            <v>4.2060066392183613</v>
          </cell>
          <cell r="AK203">
            <v>4.1717207559327969</v>
          </cell>
          <cell r="AL203">
            <v>4.3004992581409667</v>
          </cell>
          <cell r="AM203">
            <v>4.390192197593894</v>
          </cell>
          <cell r="AN203">
            <v>4.306124114925912</v>
          </cell>
          <cell r="AO203">
            <v>4.2624905172898284</v>
          </cell>
          <cell r="AP203">
            <v>4.2749085931623858</v>
          </cell>
          <cell r="AQ203">
            <v>4.2862053687766792</v>
          </cell>
          <cell r="AR203">
            <v>4.3068429362225968</v>
          </cell>
          <cell r="AS203">
            <v>4.3039841583497394</v>
          </cell>
          <cell r="AT203">
            <v>4.2873143060754808</v>
          </cell>
          <cell r="AU203">
            <v>4.2868863147602454</v>
          </cell>
          <cell r="AV203">
            <v>4.2918510725173764</v>
          </cell>
          <cell r="AW203">
            <v>4.294246616836948</v>
          </cell>
          <cell r="AX203">
            <v>4.2953757575850871</v>
          </cell>
          <cell r="AY203">
            <v>4.2928564937079576</v>
          </cell>
          <cell r="AZ203">
            <v>4.2911348135550273</v>
          </cell>
          <cell r="BA203">
            <v>4.2922432510815236</v>
          </cell>
          <cell r="BB203">
            <v>4.2930929508404807</v>
          </cell>
          <cell r="BC203">
            <v>4.2931713865533085</v>
          </cell>
          <cell r="BD203">
            <v>4.2929406533540151</v>
          </cell>
          <cell r="BE203">
            <v>4.2924997791476596</v>
          </cell>
          <cell r="BF203">
            <v>4.2925166110768718</v>
          </cell>
        </row>
        <row r="204">
          <cell r="B204">
            <v>4.6685075471999999</v>
          </cell>
          <cell r="C204">
            <v>4.0143961998000002</v>
          </cell>
          <cell r="D204">
            <v>4.5360097650000002</v>
          </cell>
          <cell r="E204">
            <v>5.7414970746000007</v>
          </cell>
          <cell r="F204">
            <v>7.3704922703999998</v>
          </cell>
          <cell r="G204">
            <v>12.1291688574</v>
          </cell>
          <cell r="H204">
            <v>5.6109834522000002</v>
          </cell>
          <cell r="I204">
            <v>4.8241538604</v>
          </cell>
          <cell r="J204">
            <v>9.052839318600002</v>
          </cell>
          <cell r="K204">
            <v>3.9528872460000004</v>
          </cell>
          <cell r="L204">
            <v>3.6654045372000001</v>
          </cell>
          <cell r="M204">
            <v>5.4379206252000003</v>
          </cell>
          <cell r="N204">
            <v>5.7582522017999995</v>
          </cell>
          <cell r="O204">
            <v>27.089292825000001</v>
          </cell>
          <cell r="P204">
            <v>7.7543169606000006</v>
          </cell>
          <cell r="Q204">
            <v>8.4238606619999992</v>
          </cell>
          <cell r="R204">
            <v>8.3129681754</v>
          </cell>
          <cell r="S204">
            <v>9.4763472047999997</v>
          </cell>
          <cell r="T204">
            <v>4.9209367662000005</v>
          </cell>
          <cell r="U204">
            <v>3.2588722404000001</v>
          </cell>
          <cell r="V204">
            <v>4.6330131330000004</v>
          </cell>
          <cell r="W204">
            <v>3.2022134549999999</v>
          </cell>
          <cell r="X204">
            <v>3.5646533117999999</v>
          </cell>
          <cell r="Y204">
            <v>6.0790247028</v>
          </cell>
          <cell r="Z204">
            <v>2.8989231812200003</v>
          </cell>
          <cell r="AA204">
            <v>2.7053069999999999</v>
          </cell>
          <cell r="AB204">
            <v>3.4777069999999997</v>
          </cell>
          <cell r="AC204">
            <v>3.1430209122400004</v>
          </cell>
          <cell r="AD204">
            <v>3.1764420000000002</v>
          </cell>
          <cell r="AE204">
            <v>2.5880475104</v>
          </cell>
          <cell r="AF204">
            <v>6.1062396311400002</v>
          </cell>
          <cell r="AG204">
            <v>4.0728478106041823</v>
          </cell>
          <cell r="AH204">
            <v>4.4622345192812025</v>
          </cell>
          <cell r="AI204">
            <v>4.3860657446741129</v>
          </cell>
          <cell r="AJ204">
            <v>4.4882298786371404</v>
          </cell>
          <cell r="AK204">
            <v>4.4744472184672954</v>
          </cell>
          <cell r="AL204">
            <v>4.6965436752607559</v>
          </cell>
          <cell r="AM204">
            <v>4.3767650343327871</v>
          </cell>
          <cell r="AN204">
            <v>4.5015042072641016</v>
          </cell>
          <cell r="AO204">
            <v>4.4844103102744182</v>
          </cell>
          <cell r="AP204">
            <v>4.5074980027924161</v>
          </cell>
          <cell r="AQ204">
            <v>4.5067340891198713</v>
          </cell>
          <cell r="AR204">
            <v>4.5133442459848965</v>
          </cell>
          <cell r="AS204">
            <v>4.4753823287567185</v>
          </cell>
          <cell r="AT204">
            <v>4.5026981710871405</v>
          </cell>
          <cell r="AU204">
            <v>4.4974737953856643</v>
          </cell>
          <cell r="AV204">
            <v>4.5011313675482088</v>
          </cell>
          <cell r="AW204">
            <v>4.4991265260668589</v>
          </cell>
          <cell r="AX204">
            <v>4.4980059817525255</v>
          </cell>
          <cell r="AY204">
            <v>4.4951624377689186</v>
          </cell>
          <cell r="AZ204">
            <v>4.4996871683680792</v>
          </cell>
          <cell r="BA204">
            <v>4.4981800217044352</v>
          </cell>
          <cell r="BB204">
            <v>4.4986226963009184</v>
          </cell>
          <cell r="BC204">
            <v>4.4980324271321637</v>
          </cell>
          <cell r="BD204">
            <v>4.4979316611789759</v>
          </cell>
          <cell r="BE204">
            <v>4.4979369502549025</v>
          </cell>
          <cell r="BF204">
            <v>4.498490794936914</v>
          </cell>
        </row>
        <row r="205">
          <cell r="B205">
            <v>4.9346054226000007</v>
          </cell>
          <cell r="C205">
            <v>2.9577208751999997</v>
          </cell>
          <cell r="D205">
            <v>8.0164465164000003</v>
          </cell>
          <cell r="E205">
            <v>8.7455150118000002</v>
          </cell>
          <cell r="F205">
            <v>4.1861362536</v>
          </cell>
          <cell r="G205">
            <v>10.552643665200002</v>
          </cell>
          <cell r="H205">
            <v>4.1323434768000009</v>
          </cell>
          <cell r="I205">
            <v>4.6967267088000009</v>
          </cell>
          <cell r="J205">
            <v>14.7694241646</v>
          </cell>
          <cell r="K205">
            <v>6.9289064838000005</v>
          </cell>
          <cell r="L205">
            <v>5.8340911986000012</v>
          </cell>
          <cell r="M205">
            <v>3.8267828676</v>
          </cell>
          <cell r="N205">
            <v>4.4581866084000001</v>
          </cell>
          <cell r="O205">
            <v>19.587184621200002</v>
          </cell>
          <cell r="P205">
            <v>7.1013079242000003</v>
          </cell>
          <cell r="Q205">
            <v>5.5640250036000003</v>
          </cell>
          <cell r="R205">
            <v>7.9626537396000003</v>
          </cell>
          <cell r="S205">
            <v>9.682038437400001</v>
          </cell>
          <cell r="T205">
            <v>4.4531159778000005</v>
          </cell>
          <cell r="U205">
            <v>2.9259743183999998</v>
          </cell>
          <cell r="V205">
            <v>4.4850829968000001</v>
          </cell>
          <cell r="W205">
            <v>5.3885370924</v>
          </cell>
          <cell r="X205">
            <v>4.9418806752000011</v>
          </cell>
          <cell r="Y205">
            <v>8.4908811708000016</v>
          </cell>
          <cell r="Z205">
            <v>1.8092236076199999</v>
          </cell>
          <cell r="AA205">
            <v>2.451641</v>
          </cell>
          <cell r="AB205">
            <v>3.1440700000000001</v>
          </cell>
          <cell r="AC205">
            <v>2.4712246965999998</v>
          </cell>
          <cell r="AD205">
            <v>3.314225</v>
          </cell>
          <cell r="AE205">
            <v>3.4232589789200003</v>
          </cell>
          <cell r="AF205">
            <v>4.7768846358200001</v>
          </cell>
          <cell r="AG205">
            <v>2.6019450003267295</v>
          </cell>
          <cell r="AH205">
            <v>4.1336155776810983</v>
          </cell>
          <cell r="AI205">
            <v>3.8117863693786305</v>
          </cell>
          <cell r="AJ205">
            <v>4.0140465671067744</v>
          </cell>
          <cell r="AK205">
            <v>3.880775758633348</v>
          </cell>
          <cell r="AL205">
            <v>3.8622446385495977</v>
          </cell>
          <cell r="AM205">
            <v>3.6884338546253232</v>
          </cell>
          <cell r="AN205">
            <v>3.9404937822698827</v>
          </cell>
          <cell r="AO205">
            <v>3.8514574376587234</v>
          </cell>
          <cell r="AP205">
            <v>3.8771989202369781</v>
          </cell>
          <cell r="AQ205">
            <v>3.8446810943473722</v>
          </cell>
          <cell r="AR205">
            <v>3.8439657266681095</v>
          </cell>
          <cell r="AS205">
            <v>3.8404530178276559</v>
          </cell>
          <cell r="AT205">
            <v>3.8715593922362217</v>
          </cell>
          <cell r="AU205">
            <v>3.8515512393477778</v>
          </cell>
          <cell r="AV205">
            <v>3.8555716302632632</v>
          </cell>
          <cell r="AW205">
            <v>3.8504420940854303</v>
          </cell>
          <cell r="AX205">
            <v>3.852620201268607</v>
          </cell>
          <cell r="AY205">
            <v>3.8539154747520641</v>
          </cell>
          <cell r="AZ205">
            <v>3.8563489114402572</v>
          </cell>
          <cell r="BA205">
            <v>3.8528201279434313</v>
          </cell>
          <cell r="BB205">
            <v>3.8537796623619229</v>
          </cell>
          <cell r="BC205">
            <v>3.8532293618979523</v>
          </cell>
          <cell r="BD205">
            <v>3.8538968755532537</v>
          </cell>
          <cell r="BE205">
            <v>3.8540187076791312</v>
          </cell>
          <cell r="BF205">
            <v>3.8540149878393706</v>
          </cell>
        </row>
        <row r="242">
          <cell r="N242">
            <v>0</v>
          </cell>
          <cell r="O242">
            <v>2</v>
          </cell>
          <cell r="P242">
            <v>5</v>
          </cell>
          <cell r="Q242">
            <v>10.163</v>
          </cell>
          <cell r="R242">
            <v>11</v>
          </cell>
          <cell r="S242">
            <v>14</v>
          </cell>
          <cell r="T242">
            <v>31</v>
          </cell>
          <cell r="U242">
            <v>14</v>
          </cell>
          <cell r="V242">
            <v>13</v>
          </cell>
          <cell r="W242">
            <v>12.46</v>
          </cell>
          <cell r="X242">
            <v>18</v>
          </cell>
          <cell r="Y242">
            <v>20.2</v>
          </cell>
          <cell r="Z242">
            <v>19.579999999999998</v>
          </cell>
          <cell r="AA242">
            <v>16.82</v>
          </cell>
          <cell r="AB242">
            <v>14.99</v>
          </cell>
          <cell r="AC242">
            <v>21</v>
          </cell>
          <cell r="AD242">
            <v>13.856086855318358</v>
          </cell>
          <cell r="AE242">
            <v>14.036830680131867</v>
          </cell>
          <cell r="AF242">
            <v>13.397368060732608</v>
          </cell>
          <cell r="AG242">
            <v>21.908444806482599</v>
          </cell>
          <cell r="AH242">
            <v>14.927379057380142</v>
          </cell>
          <cell r="AI242">
            <v>14.005195341404511</v>
          </cell>
          <cell r="AJ242">
            <v>14.473105139842501</v>
          </cell>
          <cell r="AK242">
            <v>11.741090975853163</v>
          </cell>
          <cell r="AL242">
            <v>13.710863152080259</v>
          </cell>
          <cell r="AM242">
            <v>13.056360570132775</v>
          </cell>
          <cell r="AN242">
            <v>13.013905647399561</v>
          </cell>
          <cell r="AO242">
            <v>13.765454334507</v>
          </cell>
          <cell r="AP242">
            <v>12.85258610452566</v>
          </cell>
          <cell r="AQ242">
            <v>12.747357781702819</v>
          </cell>
          <cell r="AR242">
            <v>12.115096292274027</v>
          </cell>
          <cell r="AS242">
            <v>10.150020878641005</v>
          </cell>
          <cell r="AT242">
            <v>8.218598844205685</v>
          </cell>
          <cell r="AU242">
            <v>8.0530890791754643</v>
          </cell>
          <cell r="AV242">
            <v>8.0530890791754643</v>
          </cell>
          <cell r="AW242">
            <v>8.0530890791754643</v>
          </cell>
          <cell r="AX242">
            <v>8.0530890791754643</v>
          </cell>
          <cell r="AY242">
            <v>8.0530890791754643</v>
          </cell>
          <cell r="AZ242">
            <v>8.0530890791754643</v>
          </cell>
          <cell r="BA242">
            <v>8.0530890791754643</v>
          </cell>
          <cell r="BB242">
            <v>8.0530890791754643</v>
          </cell>
          <cell r="BC242">
            <v>8.0530890791754643</v>
          </cell>
          <cell r="BD242">
            <v>8.0530890791754643</v>
          </cell>
          <cell r="BE242">
            <v>8.0530890791754643</v>
          </cell>
          <cell r="BF242">
            <v>8.0530890791754643</v>
          </cell>
          <cell r="BG242">
            <v>8.0530890791754643</v>
          </cell>
        </row>
        <row r="243">
          <cell r="N243">
            <v>0</v>
          </cell>
          <cell r="O243">
            <v>3</v>
          </cell>
          <cell r="P243">
            <v>5</v>
          </cell>
          <cell r="Q243">
            <v>7.9459999999999997</v>
          </cell>
          <cell r="R243">
            <v>13</v>
          </cell>
          <cell r="S243">
            <v>9</v>
          </cell>
          <cell r="T243">
            <v>13</v>
          </cell>
          <cell r="U243">
            <v>11</v>
          </cell>
          <cell r="V243">
            <v>11</v>
          </cell>
          <cell r="W243">
            <v>14.9</v>
          </cell>
          <cell r="X243">
            <v>17</v>
          </cell>
          <cell r="Y243">
            <v>20.21</v>
          </cell>
          <cell r="Z243">
            <v>23.51</v>
          </cell>
          <cell r="AA243">
            <v>12.69</v>
          </cell>
          <cell r="AB243">
            <v>12.42</v>
          </cell>
          <cell r="AC243">
            <v>14</v>
          </cell>
          <cell r="AD243">
            <v>15.474356610903197</v>
          </cell>
          <cell r="AE243">
            <v>16.366640745613111</v>
          </cell>
          <cell r="AF243">
            <v>17.847896514098561</v>
          </cell>
          <cell r="AG243">
            <v>19.237162671071015</v>
          </cell>
          <cell r="AH243">
            <v>15.09253675972054</v>
          </cell>
          <cell r="AI243">
            <v>14.966198551820748</v>
          </cell>
          <cell r="AJ243">
            <v>15.352428326947448</v>
          </cell>
          <cell r="AK243">
            <v>12.260385483334781</v>
          </cell>
          <cell r="AL243">
            <v>13.764994550948028</v>
          </cell>
          <cell r="AM243">
            <v>13.539151102389665</v>
          </cell>
          <cell r="AN243">
            <v>13.56060956985862</v>
          </cell>
          <cell r="AO243">
            <v>14.276729557352898</v>
          </cell>
          <cell r="AP243">
            <v>13.272792856932243</v>
          </cell>
          <cell r="AQ243">
            <v>13.132540324725113</v>
          </cell>
          <cell r="AR243">
            <v>12.548546695951632</v>
          </cell>
          <cell r="AS243">
            <v>10.511324083539757</v>
          </cell>
          <cell r="AT243">
            <v>8.5012862432728493</v>
          </cell>
          <cell r="AU243">
            <v>8.3255524813382742</v>
          </cell>
          <cell r="AV243">
            <v>8.3255524813382742</v>
          </cell>
          <cell r="AW243">
            <v>8.3255524813382742</v>
          </cell>
          <cell r="AX243">
            <v>8.3255524813382742</v>
          </cell>
          <cell r="AY243">
            <v>8.3255524813382742</v>
          </cell>
          <cell r="AZ243">
            <v>8.3255524813382742</v>
          </cell>
          <cell r="BA243">
            <v>8.3255524813382742</v>
          </cell>
          <cell r="BB243">
            <v>8.3255524813382742</v>
          </cell>
          <cell r="BC243">
            <v>8.3255524813382742</v>
          </cell>
          <cell r="BD243">
            <v>8.3255524813382742</v>
          </cell>
          <cell r="BE243">
            <v>8.3255524813382742</v>
          </cell>
          <cell r="BF243">
            <v>8.3255524813382742</v>
          </cell>
          <cell r="BG243">
            <v>8.3255524813382742</v>
          </cell>
        </row>
        <row r="244">
          <cell r="N244">
            <v>0</v>
          </cell>
          <cell r="O244">
            <v>4</v>
          </cell>
          <cell r="P244">
            <v>5</v>
          </cell>
          <cell r="Q244">
            <v>9</v>
          </cell>
          <cell r="R244">
            <v>13</v>
          </cell>
          <cell r="S244">
            <v>11</v>
          </cell>
          <cell r="T244">
            <v>15</v>
          </cell>
          <cell r="U244">
            <v>9</v>
          </cell>
          <cell r="V244">
            <v>11</v>
          </cell>
          <cell r="W244">
            <v>11.83</v>
          </cell>
          <cell r="X244">
            <v>15</v>
          </cell>
          <cell r="Y244">
            <v>17.079999999999998</v>
          </cell>
          <cell r="Z244">
            <v>12.53</v>
          </cell>
          <cell r="AA244">
            <v>9.93</v>
          </cell>
          <cell r="AB244">
            <v>10.82</v>
          </cell>
          <cell r="AC244">
            <v>7</v>
          </cell>
          <cell r="AD244">
            <v>18.657485713200082</v>
          </cell>
          <cell r="AE244">
            <v>15.954255006775046</v>
          </cell>
          <cell r="AF244">
            <v>12.888400545977545</v>
          </cell>
          <cell r="AG244">
            <v>13.64741544633336</v>
          </cell>
          <cell r="AH244">
            <v>24.429733779168597</v>
          </cell>
          <cell r="AI244">
            <v>13.583388433696848</v>
          </cell>
          <cell r="AJ244">
            <v>14.945951136595095</v>
          </cell>
          <cell r="AK244">
            <v>11.90642404022538</v>
          </cell>
          <cell r="AL244">
            <v>14.157477766901858</v>
          </cell>
          <cell r="AM244">
            <v>15.060877114059839</v>
          </cell>
          <cell r="AN244">
            <v>13.523899512414992</v>
          </cell>
          <cell r="AO244">
            <v>14.504153361103787</v>
          </cell>
          <cell r="AP244">
            <v>11.825643156663808</v>
          </cell>
          <cell r="AQ244">
            <v>12.616773019400592</v>
          </cell>
          <cell r="AR244">
            <v>11.950809846025855</v>
          </cell>
          <cell r="AS244">
            <v>10.133772818068062</v>
          </cell>
          <cell r="AT244">
            <v>8.1360683021288924</v>
          </cell>
          <cell r="AU244">
            <v>7.847979426206015</v>
          </cell>
          <cell r="AV244">
            <v>7.847979426206015</v>
          </cell>
          <cell r="AW244">
            <v>7.847979426206015</v>
          </cell>
          <cell r="AX244">
            <v>7.847979426206015</v>
          </cell>
          <cell r="AY244">
            <v>7.847979426206015</v>
          </cell>
          <cell r="AZ244">
            <v>7.847979426206015</v>
          </cell>
          <cell r="BA244">
            <v>7.847979426206015</v>
          </cell>
          <cell r="BB244">
            <v>7.847979426206015</v>
          </cell>
          <cell r="BC244">
            <v>7.847979426206015</v>
          </cell>
          <cell r="BD244">
            <v>7.847979426206015</v>
          </cell>
          <cell r="BE244">
            <v>7.847979426206015</v>
          </cell>
          <cell r="BF244">
            <v>7.847979426206015</v>
          </cell>
          <cell r="BG244">
            <v>7.847979426206015</v>
          </cell>
        </row>
        <row r="245">
          <cell r="N245">
            <v>0</v>
          </cell>
          <cell r="O245">
            <v>5</v>
          </cell>
          <cell r="P245">
            <v>7.5</v>
          </cell>
          <cell r="Q245">
            <v>16</v>
          </cell>
          <cell r="R245">
            <v>4</v>
          </cell>
          <cell r="S245">
            <v>14</v>
          </cell>
          <cell r="T245">
            <v>20</v>
          </cell>
          <cell r="U245">
            <v>7</v>
          </cell>
          <cell r="V245">
            <v>2</v>
          </cell>
          <cell r="W245">
            <v>11</v>
          </cell>
          <cell r="X245">
            <v>10.55</v>
          </cell>
          <cell r="Y245">
            <v>6.92</v>
          </cell>
          <cell r="Z245">
            <v>5.85</v>
          </cell>
          <cell r="AA245">
            <v>13.3016666666667</v>
          </cell>
          <cell r="AB245">
            <v>11</v>
          </cell>
          <cell r="AC245">
            <v>33.534999999999997</v>
          </cell>
          <cell r="AD245">
            <v>13.810885546858449</v>
          </cell>
          <cell r="AE245">
            <v>12.668129782598223</v>
          </cell>
          <cell r="AF245">
            <v>15.967255106517104</v>
          </cell>
          <cell r="AG245">
            <v>16.180423627331475</v>
          </cell>
          <cell r="AH245">
            <v>18.484522889945826</v>
          </cell>
          <cell r="AI245">
            <v>14.959325480469291</v>
          </cell>
          <cell r="AJ245">
            <v>12.28654009439064</v>
          </cell>
          <cell r="AK245">
            <v>14.414846429324312</v>
          </cell>
          <cell r="AL245">
            <v>14.598078781236591</v>
          </cell>
          <cell r="AM245">
            <v>14.494658625830514</v>
          </cell>
          <cell r="AN245">
            <v>14.772015464173855</v>
          </cell>
          <cell r="AO245">
            <v>17.250097489595024</v>
          </cell>
          <cell r="AP245">
            <v>15.331899499399668</v>
          </cell>
          <cell r="AQ245">
            <v>15.203729438490974</v>
          </cell>
          <cell r="AR245">
            <v>12.119791031111388</v>
          </cell>
          <cell r="AS245">
            <v>9.9453418791106589</v>
          </cell>
          <cell r="AT245">
            <v>10.019089800697909</v>
          </cell>
          <cell r="AU245">
            <v>9.7654146444813321</v>
          </cell>
          <cell r="AV245">
            <v>9.7654146444813321</v>
          </cell>
          <cell r="AW245">
            <v>9.7654146444813321</v>
          </cell>
          <cell r="AX245">
            <v>9.7654146444813321</v>
          </cell>
          <cell r="AY245">
            <v>9.7654146444813321</v>
          </cell>
          <cell r="AZ245">
            <v>9.7654146444813321</v>
          </cell>
          <cell r="BA245">
            <v>9.7654146444813321</v>
          </cell>
          <cell r="BB245">
            <v>9.7654146444813321</v>
          </cell>
          <cell r="BC245">
            <v>9.7654146444813321</v>
          </cell>
          <cell r="BD245">
            <v>9.7654146444813321</v>
          </cell>
          <cell r="BE245">
            <v>9.7654146444813321</v>
          </cell>
          <cell r="BF245">
            <v>9.7654146444813321</v>
          </cell>
        </row>
        <row r="246">
          <cell r="N246">
            <v>0</v>
          </cell>
          <cell r="O246">
            <v>5</v>
          </cell>
          <cell r="P246">
            <v>7.5</v>
          </cell>
          <cell r="Q246">
            <v>15</v>
          </cell>
          <cell r="R246">
            <v>2</v>
          </cell>
          <cell r="S246">
            <v>14</v>
          </cell>
          <cell r="T246">
            <v>8</v>
          </cell>
          <cell r="U246">
            <v>8</v>
          </cell>
          <cell r="V246">
            <v>6</v>
          </cell>
          <cell r="W246">
            <v>9</v>
          </cell>
          <cell r="X246">
            <v>11.39</v>
          </cell>
          <cell r="Y246">
            <v>9.74</v>
          </cell>
          <cell r="Z246">
            <v>6.35</v>
          </cell>
          <cell r="AA246">
            <v>16</v>
          </cell>
          <cell r="AB246">
            <v>11.87</v>
          </cell>
          <cell r="AC246">
            <v>34.244999999999997</v>
          </cell>
          <cell r="AD246">
            <v>11.639601875815378</v>
          </cell>
          <cell r="AE246">
            <v>9.6003876941036772</v>
          </cell>
          <cell r="AF246">
            <v>9.868403647004131</v>
          </cell>
          <cell r="AG246">
            <v>10.221550460502892</v>
          </cell>
          <cell r="AH246">
            <v>15.675531153449315</v>
          </cell>
          <cell r="AI246">
            <v>11.02743731987816</v>
          </cell>
          <cell r="AJ246">
            <v>8.8375680787895714</v>
          </cell>
          <cell r="AK246">
            <v>10.355889037119775</v>
          </cell>
          <cell r="AL246">
            <v>10.581757874803316</v>
          </cell>
          <cell r="AM246">
            <v>10.882172577937423</v>
          </cell>
          <cell r="AN246">
            <v>10.78655484531637</v>
          </cell>
          <cell r="AO246">
            <v>10.11444897671211</v>
          </cell>
          <cell r="AP246">
            <v>9.8646271144499504</v>
          </cell>
          <cell r="AQ246">
            <v>9.6710197267568763</v>
          </cell>
          <cell r="AR246">
            <v>8.0711369416560537</v>
          </cell>
          <cell r="AS246">
            <v>6.4633346014325301</v>
          </cell>
          <cell r="AT246">
            <v>6.3386826380640748</v>
          </cell>
          <cell r="AU246">
            <v>6.1781923799264344</v>
          </cell>
          <cell r="AV246">
            <v>6.1781923799264344</v>
          </cell>
          <cell r="AW246">
            <v>6.1781923799264344</v>
          </cell>
          <cell r="AX246">
            <v>6.1781923799264344</v>
          </cell>
          <cell r="AY246">
            <v>6.1781923799264344</v>
          </cell>
          <cell r="AZ246">
            <v>6.1781923799264344</v>
          </cell>
          <cell r="BA246">
            <v>6.1781923799264344</v>
          </cell>
          <cell r="BB246">
            <v>6.1781923799264344</v>
          </cell>
          <cell r="BC246">
            <v>6.1781923799264344</v>
          </cell>
          <cell r="BD246">
            <v>6.1781923799264344</v>
          </cell>
          <cell r="BE246">
            <v>6.1781923799264344</v>
          </cell>
          <cell r="BF246">
            <v>6.1781923799264344</v>
          </cell>
        </row>
        <row r="247">
          <cell r="N247">
            <v>0</v>
          </cell>
          <cell r="O247">
            <v>5</v>
          </cell>
          <cell r="P247">
            <v>6.4820000000000002</v>
          </cell>
          <cell r="Q247">
            <v>7</v>
          </cell>
          <cell r="R247">
            <v>6</v>
          </cell>
          <cell r="S247">
            <v>19</v>
          </cell>
          <cell r="T247">
            <v>11</v>
          </cell>
          <cell r="U247">
            <v>9</v>
          </cell>
          <cell r="V247">
            <v>13</v>
          </cell>
          <cell r="W247">
            <v>8</v>
          </cell>
          <cell r="X247">
            <v>14.77</v>
          </cell>
          <cell r="Y247">
            <v>13.22</v>
          </cell>
          <cell r="Z247">
            <v>4.81005859375</v>
          </cell>
          <cell r="AA247">
            <v>8</v>
          </cell>
          <cell r="AB247">
            <v>23.6</v>
          </cell>
          <cell r="AC247">
            <v>43.158000000000001</v>
          </cell>
          <cell r="AD247">
            <v>13.945280767206244</v>
          </cell>
          <cell r="AE247">
            <v>6.9373389872466005</v>
          </cell>
          <cell r="AF247">
            <v>17.858638578776393</v>
          </cell>
          <cell r="AG247">
            <v>14.394613433946333</v>
          </cell>
          <cell r="AH247">
            <v>17.227850890075562</v>
          </cell>
          <cell r="AI247">
            <v>13.452592954275465</v>
          </cell>
          <cell r="AJ247">
            <v>10.790946433911513</v>
          </cell>
          <cell r="AK247">
            <v>13.242028941633853</v>
          </cell>
          <cell r="AL247">
            <v>13.057594660659134</v>
          </cell>
          <cell r="AM247">
            <v>13.112688170264354</v>
          </cell>
          <cell r="AN247">
            <v>13.288715370884235</v>
          </cell>
          <cell r="AO247">
            <v>12.480027902897994</v>
          </cell>
          <cell r="AP247">
            <v>12.195560004061729</v>
          </cell>
          <cell r="AQ247">
            <v>11.87563116674799</v>
          </cell>
          <cell r="AR247">
            <v>9.902278693012974</v>
          </cell>
          <cell r="AS247">
            <v>7.9594138807119039</v>
          </cell>
          <cell r="AT247">
            <v>7.8050979460191092</v>
          </cell>
          <cell r="AU247">
            <v>7.6074792520930234</v>
          </cell>
          <cell r="AV247">
            <v>7.6074792520930234</v>
          </cell>
          <cell r="AW247">
            <v>7.6074792520930234</v>
          </cell>
          <cell r="AX247">
            <v>7.6074792520930234</v>
          </cell>
          <cell r="AY247">
            <v>7.6074792520930234</v>
          </cell>
          <cell r="AZ247">
            <v>7.6074792520930234</v>
          </cell>
          <cell r="BA247">
            <v>7.6074792520930234</v>
          </cell>
          <cell r="BB247">
            <v>7.6074792520930234</v>
          </cell>
          <cell r="BC247">
            <v>7.6074792520930234</v>
          </cell>
          <cell r="BD247">
            <v>7.6074792520930234</v>
          </cell>
          <cell r="BE247">
            <v>7.6074792520930234</v>
          </cell>
          <cell r="BF247">
            <v>7.6074792520930234</v>
          </cell>
        </row>
        <row r="248">
          <cell r="N248">
            <v>0</v>
          </cell>
          <cell r="O248">
            <v>5</v>
          </cell>
          <cell r="P248">
            <v>8.4760000000000009</v>
          </cell>
          <cell r="Q248">
            <v>8</v>
          </cell>
          <cell r="R248">
            <v>5</v>
          </cell>
          <cell r="S248">
            <v>15</v>
          </cell>
          <cell r="T248">
            <v>13</v>
          </cell>
          <cell r="U248">
            <v>15</v>
          </cell>
          <cell r="V248">
            <v>17</v>
          </cell>
          <cell r="W248">
            <v>16</v>
          </cell>
          <cell r="X248">
            <v>19.149999999999999</v>
          </cell>
          <cell r="Y248">
            <v>13.39</v>
          </cell>
          <cell r="Z248">
            <v>7.9830322265625</v>
          </cell>
          <cell r="AA248">
            <v>9.27</v>
          </cell>
          <cell r="AB248">
            <v>8.3990441310971509</v>
          </cell>
          <cell r="AC248">
            <v>36.418999999999997</v>
          </cell>
          <cell r="AD248">
            <v>11.616042093179136</v>
          </cell>
          <cell r="AE248">
            <v>6.8940717767666522</v>
          </cell>
          <cell r="AF248">
            <v>24.533619768693136</v>
          </cell>
          <cell r="AG248">
            <v>17.183957916925639</v>
          </cell>
          <cell r="AH248">
            <v>17.292030063145081</v>
          </cell>
          <cell r="AI248">
            <v>14.505523852950166</v>
          </cell>
          <cell r="AJ248">
            <v>12.161511089099097</v>
          </cell>
          <cell r="AK248">
            <v>15.768673062697738</v>
          </cell>
          <cell r="AL248">
            <v>14.550803343805452</v>
          </cell>
          <cell r="AM248">
            <v>14.392142480780999</v>
          </cell>
          <cell r="AN248">
            <v>14.886511972778939</v>
          </cell>
          <cell r="AO248">
            <v>14.104633237989601</v>
          </cell>
          <cell r="AP248">
            <v>13.784309477866275</v>
          </cell>
          <cell r="AQ248">
            <v>13.278927019186341</v>
          </cell>
          <cell r="AR248">
            <v>11.086112768105108</v>
          </cell>
          <cell r="AS248">
            <v>8.952245733343247</v>
          </cell>
          <cell r="AT248">
            <v>8.7859197736818366</v>
          </cell>
          <cell r="AU248">
            <v>8.5634674735797045</v>
          </cell>
          <cell r="AV248">
            <v>8.5634674735797045</v>
          </cell>
          <cell r="AW248">
            <v>8.5634674735797045</v>
          </cell>
          <cell r="AX248">
            <v>8.5634674735797045</v>
          </cell>
          <cell r="AY248">
            <v>8.5634674735797045</v>
          </cell>
          <cell r="AZ248">
            <v>8.5634674735797045</v>
          </cell>
          <cell r="BA248">
            <v>8.5634674735797045</v>
          </cell>
          <cell r="BB248">
            <v>8.5634674735797045</v>
          </cell>
          <cell r="BC248">
            <v>8.5634674735797045</v>
          </cell>
          <cell r="BD248">
            <v>8.5634674735797045</v>
          </cell>
          <cell r="BE248">
            <v>8.5634674735797045</v>
          </cell>
          <cell r="BF248">
            <v>8.5634674735797045</v>
          </cell>
        </row>
        <row r="249">
          <cell r="N249">
            <v>0</v>
          </cell>
          <cell r="O249">
            <v>5</v>
          </cell>
          <cell r="P249">
            <v>9.3559999999999999</v>
          </cell>
          <cell r="Q249">
            <v>10</v>
          </cell>
          <cell r="R249">
            <v>7</v>
          </cell>
          <cell r="S249">
            <v>16</v>
          </cell>
          <cell r="T249">
            <v>16</v>
          </cell>
          <cell r="U249">
            <v>20</v>
          </cell>
          <cell r="V249">
            <v>23</v>
          </cell>
          <cell r="W249">
            <v>14</v>
          </cell>
          <cell r="X249">
            <v>20.41</v>
          </cell>
          <cell r="Y249">
            <v>12.64</v>
          </cell>
          <cell r="Z249">
            <v>8.31</v>
          </cell>
          <cell r="AA249">
            <v>19.079999999999998</v>
          </cell>
          <cell r="AB249">
            <v>8.5299999999999994</v>
          </cell>
          <cell r="AC249">
            <v>31.837</v>
          </cell>
          <cell r="AD249">
            <v>7.7839089713121261</v>
          </cell>
          <cell r="AE249">
            <v>7.8819898722625243</v>
          </cell>
          <cell r="AF249">
            <v>18.369841190357018</v>
          </cell>
          <cell r="AG249">
            <v>14.190904728810249</v>
          </cell>
          <cell r="AH249">
            <v>14.431447218384323</v>
          </cell>
          <cell r="AI249">
            <v>11.797900836932381</v>
          </cell>
          <cell r="AJ249">
            <v>10.162750985853149</v>
          </cell>
          <cell r="AK249">
            <v>12.381802523065675</v>
          </cell>
          <cell r="AL249">
            <v>11.902106720679216</v>
          </cell>
          <cell r="AM249">
            <v>11.763329388670204</v>
          </cell>
          <cell r="AN249">
            <v>12.111750022519614</v>
          </cell>
          <cell r="AO249">
            <v>11.472076961435199</v>
          </cell>
          <cell r="AP249">
            <v>11.155422222581686</v>
          </cell>
          <cell r="AQ249">
            <v>10.813783763827132</v>
          </cell>
          <cell r="AR249">
            <v>9.0200013385160958</v>
          </cell>
          <cell r="AS249">
            <v>7.2770022572596584</v>
          </cell>
          <cell r="AT249">
            <v>7.1399476768292676</v>
          </cell>
          <cell r="AU249">
            <v>6.9591700434985748</v>
          </cell>
          <cell r="AV249">
            <v>6.9591700434985748</v>
          </cell>
          <cell r="AW249">
            <v>6.9591700434985748</v>
          </cell>
          <cell r="AX249">
            <v>6.9591700434985748</v>
          </cell>
          <cell r="AY249">
            <v>6.9591700434985748</v>
          </cell>
          <cell r="AZ249">
            <v>6.9591700434985748</v>
          </cell>
          <cell r="BA249">
            <v>6.9591700434985748</v>
          </cell>
          <cell r="BB249">
            <v>6.9591700434985748</v>
          </cell>
          <cell r="BC249">
            <v>6.9591700434985748</v>
          </cell>
          <cell r="BD249">
            <v>6.9591700434985748</v>
          </cell>
          <cell r="BE249">
            <v>6.9591700434985748</v>
          </cell>
          <cell r="BF249">
            <v>6.9591700434985748</v>
          </cell>
        </row>
        <row r="250">
          <cell r="N250">
            <v>0</v>
          </cell>
          <cell r="O250">
            <v>5</v>
          </cell>
          <cell r="P250">
            <v>13.879</v>
          </cell>
          <cell r="Q250">
            <v>11</v>
          </cell>
          <cell r="R250">
            <v>8</v>
          </cell>
          <cell r="S250">
            <v>23</v>
          </cell>
          <cell r="T250">
            <v>14</v>
          </cell>
          <cell r="U250">
            <v>19</v>
          </cell>
          <cell r="V250">
            <v>17.78</v>
          </cell>
          <cell r="W250">
            <v>20</v>
          </cell>
          <cell r="X250">
            <v>17.46</v>
          </cell>
          <cell r="Y250">
            <v>15.21</v>
          </cell>
          <cell r="Z250">
            <v>9.51</v>
          </cell>
          <cell r="AA250">
            <v>15.52</v>
          </cell>
          <cell r="AB250">
            <v>7.2971325904147903</v>
          </cell>
          <cell r="AC250">
            <v>19.489000000000001</v>
          </cell>
          <cell r="AD250">
            <v>7.6405620942472385</v>
          </cell>
          <cell r="AE250">
            <v>9.3664648656530964</v>
          </cell>
          <cell r="AF250">
            <v>18.674778867115887</v>
          </cell>
          <cell r="AG250">
            <v>12.152200501918182</v>
          </cell>
          <cell r="AH250">
            <v>12.06352183223369</v>
          </cell>
          <cell r="AI250">
            <v>11.104427444530131</v>
          </cell>
          <cell r="AJ250">
            <v>9.5088328250939913</v>
          </cell>
          <cell r="AK250">
            <v>11.336777827117039</v>
          </cell>
          <cell r="AL250">
            <v>10.655754579336113</v>
          </cell>
          <cell r="AM250">
            <v>10.613292358672945</v>
          </cell>
          <cell r="AN250">
            <v>11.109414563352411</v>
          </cell>
          <cell r="AO250">
            <v>10.475278794199383</v>
          </cell>
          <cell r="AP250">
            <v>10.136879138287592</v>
          </cell>
          <cell r="AQ250">
            <v>9.8110930976636865</v>
          </cell>
          <cell r="AR250">
            <v>8.2063027814292582</v>
          </cell>
          <cell r="AS250">
            <v>6.6325270452284029</v>
          </cell>
          <cell r="AT250">
            <v>6.4991232828319205</v>
          </cell>
          <cell r="AU250">
            <v>6.3345707988399775</v>
          </cell>
          <cell r="AV250">
            <v>6.3345707988399775</v>
          </cell>
          <cell r="AW250">
            <v>6.3345707988399775</v>
          </cell>
          <cell r="AX250">
            <v>6.3345707988399775</v>
          </cell>
          <cell r="AY250">
            <v>6.3345707988399775</v>
          </cell>
          <cell r="AZ250">
            <v>6.3345707988399775</v>
          </cell>
          <cell r="BA250">
            <v>6.3345707988399775</v>
          </cell>
          <cell r="BB250">
            <v>6.3345707988399775</v>
          </cell>
          <cell r="BC250">
            <v>6.3345707988399775</v>
          </cell>
          <cell r="BD250">
            <v>6.3345707988399775</v>
          </cell>
          <cell r="BE250">
            <v>6.3345707988399775</v>
          </cell>
          <cell r="BF250">
            <v>6.3345707988399775</v>
          </cell>
        </row>
        <row r="251">
          <cell r="N251">
            <v>0.25</v>
          </cell>
          <cell r="O251">
            <v>5</v>
          </cell>
          <cell r="P251">
            <v>8.8149999999999995</v>
          </cell>
          <cell r="Q251">
            <v>7</v>
          </cell>
          <cell r="R251">
            <v>7</v>
          </cell>
          <cell r="S251">
            <v>26</v>
          </cell>
          <cell r="T251">
            <v>20</v>
          </cell>
          <cell r="U251">
            <v>17</v>
          </cell>
          <cell r="V251">
            <v>21.67</v>
          </cell>
          <cell r="W251">
            <v>18</v>
          </cell>
          <cell r="X251">
            <v>20.59</v>
          </cell>
          <cell r="Y251">
            <v>17</v>
          </cell>
          <cell r="Z251">
            <v>11.67</v>
          </cell>
          <cell r="AA251">
            <v>17.57</v>
          </cell>
          <cell r="AB251">
            <v>9.5444244326531162</v>
          </cell>
          <cell r="AC251">
            <v>21.032</v>
          </cell>
          <cell r="AD251">
            <v>9.4493116801392887</v>
          </cell>
          <cell r="AE251">
            <v>6.8679904007033183</v>
          </cell>
          <cell r="AF251">
            <v>20.385783219984223</v>
          </cell>
          <cell r="AG251">
            <v>12.388904313518756</v>
          </cell>
          <cell r="AH251">
            <v>12.545059577837858</v>
          </cell>
          <cell r="AI251">
            <v>11.408555484986355</v>
          </cell>
          <cell r="AJ251">
            <v>9.4843003156976167</v>
          </cell>
          <cell r="AK251">
            <v>11.689014389223402</v>
          </cell>
          <cell r="AL251">
            <v>10.895817056552499</v>
          </cell>
          <cell r="AM251">
            <v>10.871087586740002</v>
          </cell>
          <cell r="AN251">
            <v>11.342609275159985</v>
          </cell>
          <cell r="AO251">
            <v>10.679723164666852</v>
          </cell>
          <cell r="AP251">
            <v>10.378476961922546</v>
          </cell>
          <cell r="AQ251">
            <v>10.029468877603161</v>
          </cell>
          <cell r="AR251">
            <v>8.3887045029919136</v>
          </cell>
          <cell r="AS251">
            <v>6.7771576377002605</v>
          </cell>
          <cell r="AT251">
            <v>6.6416233533956301</v>
          </cell>
          <cell r="AU251">
            <v>6.4734628842094031</v>
          </cell>
          <cell r="AV251">
            <v>6.4734628842094031</v>
          </cell>
          <cell r="AW251">
            <v>6.4734628842094031</v>
          </cell>
          <cell r="AX251">
            <v>6.4734628842094031</v>
          </cell>
          <cell r="AY251">
            <v>6.4734628842094031</v>
          </cell>
          <cell r="AZ251">
            <v>6.4734628842094031</v>
          </cell>
          <cell r="BA251">
            <v>6.4734628842094031</v>
          </cell>
          <cell r="BB251">
            <v>6.4734628842094031</v>
          </cell>
          <cell r="BC251">
            <v>6.4734628842094031</v>
          </cell>
          <cell r="BD251">
            <v>6.4734628842094031</v>
          </cell>
          <cell r="BE251">
            <v>6.4734628842094031</v>
          </cell>
          <cell r="BF251">
            <v>6.4734628842094031</v>
          </cell>
        </row>
        <row r="252">
          <cell r="N252">
            <v>0.5</v>
          </cell>
          <cell r="O252">
            <v>5</v>
          </cell>
          <cell r="P252">
            <v>10.731999999999999</v>
          </cell>
          <cell r="Q252">
            <v>13</v>
          </cell>
          <cell r="R252">
            <v>13</v>
          </cell>
          <cell r="S252">
            <v>34</v>
          </cell>
          <cell r="T252">
            <v>21</v>
          </cell>
          <cell r="U252">
            <v>17</v>
          </cell>
          <cell r="V252">
            <v>15.43</v>
          </cell>
          <cell r="W252">
            <v>21</v>
          </cell>
          <cell r="X252">
            <v>26.83</v>
          </cell>
          <cell r="Y252">
            <v>18.13</v>
          </cell>
          <cell r="Z252">
            <v>19.25</v>
          </cell>
          <cell r="AA252">
            <v>15.52</v>
          </cell>
          <cell r="AB252">
            <v>22.863427142127684</v>
          </cell>
          <cell r="AC252">
            <v>18.109000000000002</v>
          </cell>
          <cell r="AD252">
            <v>10.949932258344866</v>
          </cell>
          <cell r="AE252">
            <v>13.37347180378473</v>
          </cell>
          <cell r="AF252">
            <v>22.050831728015009</v>
          </cell>
          <cell r="AG252">
            <v>16.761944986354624</v>
          </cell>
          <cell r="AH252">
            <v>14.575696838554899</v>
          </cell>
          <cell r="AI252">
            <v>14.289025754520473</v>
          </cell>
          <cell r="AJ252">
            <v>11.995785135924983</v>
          </cell>
          <cell r="AK252">
            <v>14.109578340504589</v>
          </cell>
          <cell r="AL252">
            <v>13.583296987295611</v>
          </cell>
          <cell r="AM252">
            <v>13.319796600131085</v>
          </cell>
          <cell r="AN252">
            <v>14.048373550411759</v>
          </cell>
          <cell r="AO252">
            <v>13.200925007443336</v>
          </cell>
          <cell r="AP252">
            <v>12.767837382537774</v>
          </cell>
          <cell r="AQ252">
            <v>12.389126163901903</v>
          </cell>
          <cell r="AR252">
            <v>10.343500829345148</v>
          </cell>
          <cell r="AS252">
            <v>8.3671367595965407</v>
          </cell>
          <cell r="AT252">
            <v>8.1949816938839177</v>
          </cell>
          <cell r="AU252">
            <v>7.9874914624615796</v>
          </cell>
          <cell r="AV252">
            <v>7.9874914624615796</v>
          </cell>
          <cell r="AW252">
            <v>7.9874914624615796</v>
          </cell>
          <cell r="AX252">
            <v>7.9874914624615796</v>
          </cell>
          <cell r="AY252">
            <v>7.9874914624615796</v>
          </cell>
          <cell r="AZ252">
            <v>7.9874914624615796</v>
          </cell>
          <cell r="BA252">
            <v>7.9874914624615796</v>
          </cell>
          <cell r="BB252">
            <v>7.9874914624615796</v>
          </cell>
          <cell r="BC252">
            <v>7.9874914624615796</v>
          </cell>
          <cell r="BD252">
            <v>7.9874914624615796</v>
          </cell>
          <cell r="BE252">
            <v>7.9874914624615796</v>
          </cell>
          <cell r="BF252">
            <v>7.9874914624615796</v>
          </cell>
        </row>
        <row r="253">
          <cell r="N253">
            <v>1</v>
          </cell>
          <cell r="O253">
            <v>5</v>
          </cell>
          <cell r="P253">
            <v>9.9130000000000003</v>
          </cell>
          <cell r="Q253">
            <v>10</v>
          </cell>
          <cell r="R253">
            <v>13</v>
          </cell>
          <cell r="S253">
            <v>20</v>
          </cell>
          <cell r="T253">
            <v>19</v>
          </cell>
          <cell r="U253">
            <v>14</v>
          </cell>
          <cell r="V253">
            <v>17.54</v>
          </cell>
          <cell r="W253">
            <v>23</v>
          </cell>
          <cell r="X253">
            <v>21.03</v>
          </cell>
          <cell r="Y253">
            <v>13.09</v>
          </cell>
          <cell r="Z253">
            <v>16.55</v>
          </cell>
          <cell r="AA253">
            <v>10.51</v>
          </cell>
          <cell r="AB253">
            <v>22.84</v>
          </cell>
          <cell r="AC253">
            <v>17.348973118689422</v>
          </cell>
          <cell r="AD253">
            <v>12.499562364605062</v>
          </cell>
          <cell r="AE253">
            <v>14.148829436907954</v>
          </cell>
          <cell r="AF253">
            <v>23.073462483975153</v>
          </cell>
          <cell r="AG253">
            <v>16.994936772682188</v>
          </cell>
          <cell r="AH253">
            <v>15.010328077639937</v>
          </cell>
          <cell r="AI253">
            <v>15.007417325997919</v>
          </cell>
          <cell r="AJ253">
            <v>12.481270972386358</v>
          </cell>
          <cell r="AK253">
            <v>14.986212328568746</v>
          </cell>
          <cell r="AL253">
            <v>14.1041678675518</v>
          </cell>
          <cell r="AM253">
            <v>13.901418864451907</v>
          </cell>
          <cell r="AN253">
            <v>14.704403273859025</v>
          </cell>
          <cell r="AO253">
            <v>13.810145853387853</v>
          </cell>
          <cell r="AP253">
            <v>13.3736969543311</v>
          </cell>
          <cell r="AQ253">
            <v>12.939733987844987</v>
          </cell>
          <cell r="AR253">
            <v>10.816476283675939</v>
          </cell>
          <cell r="AS253">
            <v>8.7537004540731811</v>
          </cell>
          <cell r="AT253">
            <v>8.5722301369534666</v>
          </cell>
          <cell r="AU253">
            <v>8.35518828361419</v>
          </cell>
          <cell r="AV253">
            <v>8.35518828361419</v>
          </cell>
          <cell r="AW253">
            <v>8.35518828361419</v>
          </cell>
          <cell r="AX253">
            <v>8.35518828361419</v>
          </cell>
          <cell r="AY253">
            <v>8.35518828361419</v>
          </cell>
          <cell r="AZ253">
            <v>8.35518828361419</v>
          </cell>
          <cell r="BA253">
            <v>8.35518828361419</v>
          </cell>
          <cell r="BB253">
            <v>8.35518828361419</v>
          </cell>
          <cell r="BC253">
            <v>8.35518828361419</v>
          </cell>
          <cell r="BD253">
            <v>8.35518828361419</v>
          </cell>
          <cell r="BE253">
            <v>8.35518828361419</v>
          </cell>
          <cell r="BF253">
            <v>8.35518828361419</v>
          </cell>
        </row>
        <row r="258"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0.88558032126876574</v>
          </cell>
          <cell r="AE258">
            <v>2.0472533050537822</v>
          </cell>
          <cell r="AF258">
            <v>2.0621475523781059</v>
          </cell>
          <cell r="AG258">
            <v>2.4838394687270715</v>
          </cell>
          <cell r="AH258">
            <v>2.6170608855522746</v>
          </cell>
          <cell r="AI258">
            <v>2.9147068516841079</v>
          </cell>
          <cell r="AJ258">
            <v>2.8088982764532764</v>
          </cell>
          <cell r="AK258">
            <v>2.8658682438001271</v>
          </cell>
          <cell r="AL258">
            <v>3.1065930180589643</v>
          </cell>
          <cell r="AM258">
            <v>3.1992306642047281</v>
          </cell>
          <cell r="AN258">
            <v>3.3915211317056499</v>
          </cell>
          <cell r="AO258">
            <v>4.0477176208236303</v>
          </cell>
          <cell r="AP258">
            <v>4.0634913225208127</v>
          </cell>
          <cell r="AQ258">
            <v>3.9401324489387792</v>
          </cell>
          <cell r="AR258">
            <v>4.1589650363267365</v>
          </cell>
          <cell r="AS258">
            <v>4.5021793707863544</v>
          </cell>
          <cell r="AT258">
            <v>5.1280851363405375</v>
          </cell>
          <cell r="AU258">
            <v>5.6527777531815602</v>
          </cell>
          <cell r="AV258">
            <v>5.6703829230920144</v>
          </cell>
          <cell r="AW258">
            <v>4.9855047041915341</v>
          </cell>
          <cell r="AX258">
            <v>5.2744381410597931</v>
          </cell>
          <cell r="AY258">
            <v>5.5745684288179662</v>
          </cell>
          <cell r="AZ258">
            <v>6.0581002948593481</v>
          </cell>
          <cell r="BA258">
            <v>6.1791075658865378</v>
          </cell>
          <cell r="BB258">
            <v>6.143620221194408</v>
          </cell>
          <cell r="BC258">
            <v>5.8540281939603753</v>
          </cell>
          <cell r="BD258">
            <v>6.0951037360791611</v>
          </cell>
          <cell r="BE258">
            <v>6.3138971614612629</v>
          </cell>
          <cell r="BF258">
            <v>6.5421406391313761</v>
          </cell>
          <cell r="BG258">
            <v>6.8253253294873026</v>
          </cell>
        </row>
        <row r="259"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1.2225087193173301</v>
          </cell>
          <cell r="AE259">
            <v>2.6948553905506341</v>
          </cell>
          <cell r="AF259">
            <v>1.908103485901439</v>
          </cell>
          <cell r="AG259">
            <v>2.1805499649340123</v>
          </cell>
          <cell r="AH259">
            <v>2.6738234550362585</v>
          </cell>
          <cell r="AI259">
            <v>3.2644641347301309</v>
          </cell>
          <cell r="AJ259">
            <v>3.2008235613574683</v>
          </cell>
          <cell r="AK259">
            <v>3.3113107271050684</v>
          </cell>
          <cell r="AL259">
            <v>3.5288901157705892</v>
          </cell>
          <cell r="AM259">
            <v>3.6314999407096016</v>
          </cell>
          <cell r="AN259">
            <v>3.8683297654252859</v>
          </cell>
          <cell r="AO259">
            <v>4.6229997446742619</v>
          </cell>
          <cell r="AP259">
            <v>4.6324190863857613</v>
          </cell>
          <cell r="AQ259">
            <v>4.4852900176878512</v>
          </cell>
          <cell r="AR259">
            <v>4.7397429788981205</v>
          </cell>
          <cell r="AS259">
            <v>5.1341053470839242</v>
          </cell>
          <cell r="AT259">
            <v>5.8478037591385927</v>
          </cell>
          <cell r="AU259">
            <v>6.4460053205986387</v>
          </cell>
          <cell r="AV259">
            <v>6.4633339942798402</v>
          </cell>
          <cell r="AW259">
            <v>5.6789845531416594</v>
          </cell>
          <cell r="AX259">
            <v>6.0098287936442496</v>
          </cell>
          <cell r="AY259">
            <v>6.3520613393717449</v>
          </cell>
          <cell r="AZ259">
            <v>6.9032202786751506</v>
          </cell>
          <cell r="BA259">
            <v>7.0408237865707006</v>
          </cell>
          <cell r="BB259">
            <v>7.0003340592168417</v>
          </cell>
          <cell r="BC259">
            <v>6.668726893756153</v>
          </cell>
          <cell r="BD259">
            <v>6.9455837696657339</v>
          </cell>
          <cell r="BE259">
            <v>7.1947874667602116</v>
          </cell>
          <cell r="BF259">
            <v>7.4548878569132686</v>
          </cell>
          <cell r="BG259">
            <v>7.7790107764581711</v>
          </cell>
        </row>
        <row r="260"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1.3033529114945115</v>
          </cell>
          <cell r="AE260">
            <v>2.1842269960846288</v>
          </cell>
          <cell r="AF260">
            <v>2.4425379621316625</v>
          </cell>
          <cell r="AG260">
            <v>2.6352050458789842</v>
          </cell>
          <cell r="AH260">
            <v>3.0556869799270938</v>
          </cell>
          <cell r="AI260">
            <v>3.4902751103909897</v>
          </cell>
          <cell r="AJ260">
            <v>3.4621547873157525</v>
          </cell>
          <cell r="AK260">
            <v>3.5878836069923978</v>
          </cell>
          <cell r="AL260">
            <v>3.8063134245780756</v>
          </cell>
          <cell r="AM260">
            <v>3.9063597995387762</v>
          </cell>
          <cell r="AN260">
            <v>4.1752382096419796</v>
          </cell>
          <cell r="AO260">
            <v>4.9889483738436455</v>
          </cell>
          <cell r="AP260">
            <v>4.9961899553652618</v>
          </cell>
          <cell r="AQ260">
            <v>4.8374603571455594</v>
          </cell>
          <cell r="AR260">
            <v>5.1109934526950074</v>
          </cell>
          <cell r="AS260">
            <v>5.5380627530383464</v>
          </cell>
          <cell r="AT260">
            <v>6.3086302501704328</v>
          </cell>
          <cell r="AU260">
            <v>6.9544626974541481</v>
          </cell>
          <cell r="AV260">
            <v>6.9715122906764577</v>
          </cell>
          <cell r="AW260">
            <v>6.1231673420405803</v>
          </cell>
          <cell r="AX260">
            <v>6.4810729033465</v>
          </cell>
          <cell r="AY260">
            <v>6.8503821703137477</v>
          </cell>
          <cell r="AZ260">
            <v>7.4448044248087353</v>
          </cell>
          <cell r="BA260">
            <v>7.5929972301544355</v>
          </cell>
          <cell r="BB260">
            <v>7.5492855213955705</v>
          </cell>
          <cell r="BC260">
            <v>7.1909437264540985</v>
          </cell>
          <cell r="BD260">
            <v>7.4905554746845278</v>
          </cell>
          <cell r="BE260">
            <v>7.7592437621522752</v>
          </cell>
          <cell r="BF260">
            <v>8.0397501652912471</v>
          </cell>
          <cell r="BG260">
            <v>8.3899910389830428</v>
          </cell>
        </row>
        <row r="261"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0.82414040175265846</v>
          </cell>
          <cell r="AE261">
            <v>2.1733543895632792</v>
          </cell>
          <cell r="AF261">
            <v>2.0116125510223508</v>
          </cell>
          <cell r="AG261">
            <v>1.7522045772085939</v>
          </cell>
          <cell r="AH261">
            <v>1.6799218654616952</v>
          </cell>
          <cell r="AI261">
            <v>1.9684171774354589</v>
          </cell>
          <cell r="AJ261">
            <v>1.8010280025528511</v>
          </cell>
          <cell r="AK261">
            <v>1.8373082690829519</v>
          </cell>
          <cell r="AL261">
            <v>1.9953905640331777</v>
          </cell>
          <cell r="AM261">
            <v>2.1383900971719743</v>
          </cell>
          <cell r="AN261">
            <v>2.5089912723889585</v>
          </cell>
          <cell r="AO261">
            <v>2.5105095015692118</v>
          </cell>
          <cell r="AP261">
            <v>2.4525266889890718</v>
          </cell>
          <cell r="AQ261">
            <v>2.5899240012839129</v>
          </cell>
          <cell r="AR261">
            <v>2.7915216658623199</v>
          </cell>
          <cell r="AS261">
            <v>3.1829454567617157</v>
          </cell>
          <cell r="AT261">
            <v>3.5115537852336147</v>
          </cell>
          <cell r="AU261">
            <v>3.5221130309435398</v>
          </cell>
          <cell r="AV261">
            <v>3.0990326216006134</v>
          </cell>
          <cell r="AW261">
            <v>3.2783647217441456</v>
          </cell>
          <cell r="AX261">
            <v>3.4653476049609555</v>
          </cell>
          <cell r="AY261">
            <v>3.764829549937815</v>
          </cell>
          <cell r="AZ261">
            <v>3.8399994912799724</v>
          </cell>
          <cell r="BA261">
            <v>3.8184801934595307</v>
          </cell>
          <cell r="BB261">
            <v>3.6398672802338727</v>
          </cell>
          <cell r="BC261">
            <v>3.7878030940649818</v>
          </cell>
          <cell r="BD261">
            <v>3.9237999063964959</v>
          </cell>
          <cell r="BE261">
            <v>4.065710165081156</v>
          </cell>
          <cell r="BF261">
            <v>4.2405836431491917</v>
          </cell>
        </row>
        <row r="262"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0.96643943930547882</v>
          </cell>
          <cell r="AE262">
            <v>1.9546584969178649</v>
          </cell>
          <cell r="AF262">
            <v>2.0254184694128581</v>
          </cell>
          <cell r="AG262">
            <v>1.4696233017263627</v>
          </cell>
          <cell r="AH262">
            <v>1.8589906050589746</v>
          </cell>
          <cell r="AI262">
            <v>2.1129393887917196</v>
          </cell>
          <cell r="AJ262">
            <v>1.9469342718262048</v>
          </cell>
          <cell r="AK262">
            <v>1.9865779458502559</v>
          </cell>
          <cell r="AL262">
            <v>2.1541676902305507</v>
          </cell>
          <cell r="AM262">
            <v>2.3170917889022578</v>
          </cell>
          <cell r="AN262">
            <v>2.7132758070373466</v>
          </cell>
          <cell r="AO262">
            <v>2.7133712079235512</v>
          </cell>
          <cell r="AP262">
            <v>2.6498013329000796</v>
          </cell>
          <cell r="AQ262">
            <v>2.7987439645096801</v>
          </cell>
          <cell r="AR262">
            <v>3.0208405257272739</v>
          </cell>
          <cell r="AS262">
            <v>3.4440676796130907</v>
          </cell>
          <cell r="AT262">
            <v>3.8002225654226822</v>
          </cell>
          <cell r="AU262">
            <v>3.8087542764565563</v>
          </cell>
          <cell r="AV262">
            <v>3.3462629270458253</v>
          </cell>
          <cell r="AW262">
            <v>3.5420039278933975</v>
          </cell>
          <cell r="AX262">
            <v>3.7441023239684905</v>
          </cell>
          <cell r="AY262">
            <v>4.0681498340599909</v>
          </cell>
          <cell r="AZ262">
            <v>4.1491859534612638</v>
          </cell>
          <cell r="BA262">
            <v>4.1257114501734931</v>
          </cell>
          <cell r="BB262">
            <v>3.9306446721342501</v>
          </cell>
          <cell r="BC262">
            <v>4.0931970011040892</v>
          </cell>
          <cell r="BD262">
            <v>4.2400717758768289</v>
          </cell>
          <cell r="BE262">
            <v>4.3934244471317401</v>
          </cell>
          <cell r="BF262">
            <v>4.5841371796229664</v>
          </cell>
        </row>
        <row r="263"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1.0505742243619454</v>
          </cell>
          <cell r="AE263">
            <v>2.3738588454061702</v>
          </cell>
          <cell r="AF263">
            <v>1.8880366711344845</v>
          </cell>
          <cell r="AG263">
            <v>1.7141604307395146</v>
          </cell>
          <cell r="AH263">
            <v>1.8815058446450013</v>
          </cell>
          <cell r="AI263">
            <v>2.1600899821516517</v>
          </cell>
          <cell r="AJ263">
            <v>2.0142323754134512</v>
          </cell>
          <cell r="AK263">
            <v>2.0272044049027995</v>
          </cell>
          <cell r="AL263">
            <v>2.199909670055161</v>
          </cell>
          <cell r="AM263">
            <v>2.3701083131978899</v>
          </cell>
          <cell r="AN263">
            <v>2.7815518277426658</v>
          </cell>
          <cell r="AO263">
            <v>2.7765001019648059</v>
          </cell>
          <cell r="AP263">
            <v>2.7127621851148258</v>
          </cell>
          <cell r="AQ263">
            <v>2.866659859000376</v>
          </cell>
          <cell r="AR263">
            <v>3.0909655352583858</v>
          </cell>
          <cell r="AS263">
            <v>3.5208351985551265</v>
          </cell>
          <cell r="AT263">
            <v>3.8843170646723388</v>
          </cell>
          <cell r="AU263">
            <v>3.8977098456957244</v>
          </cell>
          <cell r="AV263">
            <v>3.431722148613594</v>
          </cell>
          <cell r="AW263">
            <v>3.6293325131777623</v>
          </cell>
          <cell r="AX263">
            <v>3.8360198575792128</v>
          </cell>
          <cell r="AY263">
            <v>4.1674795414885768</v>
          </cell>
          <cell r="AZ263">
            <v>4.250833340084327</v>
          </cell>
          <cell r="BA263">
            <v>4.2270904007759205</v>
          </cell>
          <cell r="BB263">
            <v>4.0301440305507548</v>
          </cell>
          <cell r="BC263">
            <v>4.1928454869816951</v>
          </cell>
          <cell r="BD263">
            <v>4.3434359517960717</v>
          </cell>
          <cell r="BE263">
            <v>4.5005309663704347</v>
          </cell>
          <cell r="BF263">
            <v>4.6934514374626692</v>
          </cell>
        </row>
        <row r="264"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0.97005285080910109</v>
          </cell>
          <cell r="AE264">
            <v>2.1215567611678705</v>
          </cell>
          <cell r="AF264">
            <v>2.5971053399290769</v>
          </cell>
          <cell r="AG264">
            <v>1.4723139374783538</v>
          </cell>
          <cell r="AH264">
            <v>1.7674381472983964</v>
          </cell>
          <cell r="AI264">
            <v>2.020084276524746</v>
          </cell>
          <cell r="AJ264">
            <v>1.918090043502747</v>
          </cell>
          <cell r="AK264">
            <v>1.90889825809061</v>
          </cell>
          <cell r="AL264">
            <v>2.0677125032440165</v>
          </cell>
          <cell r="AM264">
            <v>2.2325679513769416</v>
          </cell>
          <cell r="AN264">
            <v>2.6261138829469024</v>
          </cell>
          <cell r="AO264">
            <v>2.6163176854633701</v>
          </cell>
          <cell r="AP264">
            <v>2.5540920347237823</v>
          </cell>
          <cell r="AQ264">
            <v>2.6990438068936635</v>
          </cell>
          <cell r="AR264">
            <v>2.9148723384405075</v>
          </cell>
          <cell r="AS264">
            <v>3.3215865721482896</v>
          </cell>
          <cell r="AT264">
            <v>3.6650294649313704</v>
          </cell>
          <cell r="AU264">
            <v>3.6735628007230634</v>
          </cell>
          <cell r="AV264">
            <v>3.2282317066993484</v>
          </cell>
          <cell r="AW264">
            <v>3.4167839607370953</v>
          </cell>
          <cell r="AX264">
            <v>3.6117999851163458</v>
          </cell>
          <cell r="AY264">
            <v>3.9242679672036935</v>
          </cell>
          <cell r="AZ264">
            <v>4.0024142032094243</v>
          </cell>
          <cell r="BA264">
            <v>3.9798209226995946</v>
          </cell>
          <cell r="BB264">
            <v>3.7919437624950696</v>
          </cell>
          <cell r="BC264">
            <v>3.948412191271315</v>
          </cell>
          <cell r="BD264">
            <v>4.0900788497386875</v>
          </cell>
          <cell r="BE264">
            <v>4.238010132509527</v>
          </cell>
          <cell r="BF264">
            <v>4.42179102904195</v>
          </cell>
        </row>
        <row r="265"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1.1842085578895425</v>
          </cell>
          <cell r="AE265">
            <v>2.5941501411745449</v>
          </cell>
          <cell r="AF265">
            <v>1.9573915861108051</v>
          </cell>
          <cell r="AG265">
            <v>1.3769503242526535</v>
          </cell>
          <cell r="AH265">
            <v>1.8723248815979963</v>
          </cell>
          <cell r="AI265">
            <v>2.1619478350003591</v>
          </cell>
          <cell r="AJ265">
            <v>2.0340180563543271</v>
          </cell>
          <cell r="AK265">
            <v>2.0257606432281747</v>
          </cell>
          <cell r="AL265">
            <v>2.198438650290953</v>
          </cell>
          <cell r="AM265">
            <v>2.3749334018124109</v>
          </cell>
          <cell r="AN265">
            <v>2.7925718456461803</v>
          </cell>
          <cell r="AO265">
            <v>2.7789662794876304</v>
          </cell>
          <cell r="AP265">
            <v>2.7149081103757551</v>
          </cell>
          <cell r="AQ265">
            <v>2.8695222271120269</v>
          </cell>
          <cell r="AR265">
            <v>3.0985141113200658</v>
          </cell>
          <cell r="AS265">
            <v>3.5306988289857957</v>
          </cell>
          <cell r="AT265">
            <v>3.8957028091986192</v>
          </cell>
          <cell r="AU265">
            <v>3.9050203112142547</v>
          </cell>
          <cell r="AV265">
            <v>3.4313510111785797</v>
          </cell>
          <cell r="AW265">
            <v>3.6317823930979234</v>
          </cell>
          <cell r="AX265">
            <v>3.8390848617009055</v>
          </cell>
          <cell r="AY265">
            <v>4.1712248389768973</v>
          </cell>
          <cell r="AZ265">
            <v>4.2543190737200867</v>
          </cell>
          <cell r="BA265">
            <v>4.2302833409339637</v>
          </cell>
          <cell r="BB265">
            <v>4.0304943766357377</v>
          </cell>
          <cell r="BC265">
            <v>4.1969128549973984</v>
          </cell>
          <cell r="BD265">
            <v>4.3474943028583981</v>
          </cell>
          <cell r="BE265">
            <v>4.5047425502629501</v>
          </cell>
          <cell r="BF265">
            <v>4.7001536572690812</v>
          </cell>
        </row>
        <row r="266"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0.99831727157414019</v>
          </cell>
          <cell r="AE266">
            <v>2.1441244405825155</v>
          </cell>
          <cell r="AF266">
            <v>2.303135980062903</v>
          </cell>
          <cell r="AG266">
            <v>1.2906262268214299</v>
          </cell>
          <cell r="AH266">
            <v>1.7827581285380725</v>
          </cell>
          <cell r="AI266">
            <v>2.0160026186216031</v>
          </cell>
          <cell r="AJ266">
            <v>1.9166381256837424</v>
          </cell>
          <cell r="AK266">
            <v>1.9200336106309293</v>
          </cell>
          <cell r="AL266">
            <v>2.0753729537106849</v>
          </cell>
          <cell r="AM266">
            <v>2.2373892404315265</v>
          </cell>
          <cell r="AN266">
            <v>2.6310685659148425</v>
          </cell>
          <cell r="AO266">
            <v>2.623955624535502</v>
          </cell>
          <cell r="AP266">
            <v>2.5633490007852515</v>
          </cell>
          <cell r="AQ266">
            <v>2.7077965627946186</v>
          </cell>
          <cell r="AR266">
            <v>2.9218881165736619</v>
          </cell>
          <cell r="AS266">
            <v>3.3281216625133907</v>
          </cell>
          <cell r="AT266">
            <v>3.6721815553516666</v>
          </cell>
          <cell r="AU266">
            <v>3.683660920356751</v>
          </cell>
          <cell r="AV266">
            <v>3.2413393869102638</v>
          </cell>
          <cell r="AW266">
            <v>3.428742549415329</v>
          </cell>
          <cell r="AX266">
            <v>3.6241826853856471</v>
          </cell>
          <cell r="AY266">
            <v>3.9374983290920578</v>
          </cell>
          <cell r="AZ266">
            <v>4.0161244415501738</v>
          </cell>
          <cell r="BA266">
            <v>3.9935846496677945</v>
          </cell>
          <cell r="BB266">
            <v>3.8068161939916396</v>
          </cell>
          <cell r="BC266">
            <v>3.9615078779613579</v>
          </cell>
          <cell r="BD266">
            <v>4.1037460193907771</v>
          </cell>
          <cell r="BE266">
            <v>4.2521641609763989</v>
          </cell>
          <cell r="BF266">
            <v>4.435062722212181</v>
          </cell>
        </row>
        <row r="267"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0.89798628447988482</v>
          </cell>
          <cell r="AE267">
            <v>1.9914329415293657</v>
          </cell>
          <cell r="AF267">
            <v>2.3279776626464415</v>
          </cell>
          <cell r="AG267">
            <v>1.2459803518827035</v>
          </cell>
          <cell r="AH267">
            <v>1.7006453182124521</v>
          </cell>
          <cell r="AI267">
            <v>1.9261994811280483</v>
          </cell>
          <cell r="AJ267">
            <v>1.837837173013668</v>
          </cell>
          <cell r="AK267">
            <v>1.8460537548809315</v>
          </cell>
          <cell r="AL267">
            <v>1.985380274331543</v>
          </cell>
          <cell r="AM267">
            <v>2.1393881947880931</v>
          </cell>
          <cell r="AN267">
            <v>2.5201627901905188</v>
          </cell>
          <cell r="AO267">
            <v>2.5163493784456987</v>
          </cell>
          <cell r="AP267">
            <v>2.4547043158106794</v>
          </cell>
          <cell r="AQ267">
            <v>2.5914107636443049</v>
          </cell>
          <cell r="AR267">
            <v>2.7987641057213479</v>
          </cell>
          <cell r="AS267">
            <v>3.1898418739063277</v>
          </cell>
          <cell r="AT267">
            <v>3.5193088980615759</v>
          </cell>
          <cell r="AU267">
            <v>3.5281305446773219</v>
          </cell>
          <cell r="AV267">
            <v>3.1021447718348059</v>
          </cell>
          <cell r="AW267">
            <v>3.2828009692069635</v>
          </cell>
          <cell r="AX267">
            <v>3.4700880500750597</v>
          </cell>
          <cell r="AY267">
            <v>3.7701459415378515</v>
          </cell>
          <cell r="AZ267">
            <v>3.84525618475773</v>
          </cell>
          <cell r="BA267">
            <v>3.8236137765737177</v>
          </cell>
          <cell r="BB267">
            <v>3.6438604844425004</v>
          </cell>
          <cell r="BC267">
            <v>3.7932466333856616</v>
          </cell>
          <cell r="BD267">
            <v>3.9293739118459508</v>
          </cell>
          <cell r="BE267">
            <v>4.0714798580102771</v>
          </cell>
          <cell r="BF267">
            <v>4.2474331954222793</v>
          </cell>
        </row>
        <row r="268"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0.97674475468991817</v>
          </cell>
          <cell r="AE268">
            <v>2.5400546872498198</v>
          </cell>
          <cell r="AF268">
            <v>2.043973635889913</v>
          </cell>
          <cell r="AG268">
            <v>1.2633360226882597</v>
          </cell>
          <cell r="AH268">
            <v>1.7272186304910562</v>
          </cell>
          <cell r="AI268">
            <v>1.9710642345768787</v>
          </cell>
          <cell r="AJ268">
            <v>1.8734493474028002</v>
          </cell>
          <cell r="AK268">
            <v>1.8677626350614358</v>
          </cell>
          <cell r="AL268">
            <v>2.0255429613052209</v>
          </cell>
          <cell r="AM268">
            <v>2.1833192879571812</v>
          </cell>
          <cell r="AN268">
            <v>2.5656657975403956</v>
          </cell>
          <cell r="AO268">
            <v>2.5586825106626137</v>
          </cell>
          <cell r="AP268">
            <v>2.5009799891475462</v>
          </cell>
          <cell r="AQ268">
            <v>2.64308152451291</v>
          </cell>
          <cell r="AR268">
            <v>2.8488863787678387</v>
          </cell>
          <cell r="AS268">
            <v>3.2436569669470035</v>
          </cell>
          <cell r="AT268">
            <v>3.5790423796915256</v>
          </cell>
          <cell r="AU268">
            <v>3.5926986485628927</v>
          </cell>
          <cell r="AV268">
            <v>3.1651101275606406</v>
          </cell>
          <cell r="AW268">
            <v>3.3463768506958678</v>
          </cell>
          <cell r="AX268">
            <v>3.5369533152592769</v>
          </cell>
          <cell r="AY268">
            <v>3.8424781567116293</v>
          </cell>
          <cell r="AZ268">
            <v>3.9193751352311645</v>
          </cell>
          <cell r="BA268">
            <v>3.897541237609802</v>
          </cell>
          <cell r="BB268">
            <v>3.7167962578693685</v>
          </cell>
          <cell r="BC268">
            <v>3.8657309088633158</v>
          </cell>
          <cell r="BD268">
            <v>4.0046117686778127</v>
          </cell>
          <cell r="BE268">
            <v>4.1494455838727555</v>
          </cell>
          <cell r="BF268">
            <v>4.3266224798793278</v>
          </cell>
        </row>
        <row r="269"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0.75551209858196278</v>
          </cell>
          <cell r="AD269">
            <v>0.99315602108944989</v>
          </cell>
          <cell r="AE269">
            <v>2.4580397321197953</v>
          </cell>
          <cell r="AF269">
            <v>2.0497995475920767</v>
          </cell>
          <cell r="AG269">
            <v>2.0391952325643583</v>
          </cell>
          <cell r="AH269">
            <v>1.9306895502543739</v>
          </cell>
          <cell r="AI269">
            <v>2.2652059207841955</v>
          </cell>
          <cell r="AJ269">
            <v>2.274523216174531</v>
          </cell>
          <cell r="AK269">
            <v>2.3407456556280795</v>
          </cell>
          <cell r="AL269">
            <v>2.3910205651034389</v>
          </cell>
          <cell r="AM269">
            <v>2.6141484273668505</v>
          </cell>
          <cell r="AN269">
            <v>3.1085533470087232</v>
          </cell>
          <cell r="AO269">
            <v>3.09975892500943</v>
          </cell>
          <cell r="AP269">
            <v>2.9991684333513575</v>
          </cell>
          <cell r="AQ269">
            <v>3.183003138938937</v>
          </cell>
          <cell r="AR269">
            <v>3.4384371918906087</v>
          </cell>
          <cell r="AS269">
            <v>3.9127206054122201</v>
          </cell>
          <cell r="AT269">
            <v>4.3121320145479709</v>
          </cell>
          <cell r="AU269">
            <v>4.3301895459262916</v>
          </cell>
          <cell r="AV269">
            <v>3.8126953956274083</v>
          </cell>
          <cell r="AW269">
            <v>4.0313864163169466</v>
          </cell>
          <cell r="AX269">
            <v>4.2606933377304248</v>
          </cell>
          <cell r="AY269">
            <v>4.6295929381753487</v>
          </cell>
          <cell r="AZ269">
            <v>4.7220288116022475</v>
          </cell>
          <cell r="BA269">
            <v>4.6954483429291018</v>
          </cell>
          <cell r="BB269">
            <v>4.4765561600941011</v>
          </cell>
          <cell r="BC269">
            <v>4.657614386179044</v>
          </cell>
          <cell r="BD269">
            <v>4.8248316766834476</v>
          </cell>
          <cell r="BE269">
            <v>4.9993013792568721</v>
          </cell>
          <cell r="BF269">
            <v>5.2137691010495635</v>
          </cell>
        </row>
        <row r="274"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</row>
        <row r="275"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</row>
        <row r="276"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</row>
        <row r="277"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</row>
        <row r="278"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</row>
        <row r="279"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</row>
        <row r="280"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</row>
        <row r="281"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</row>
        <row r="282"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</row>
        <row r="283"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</row>
        <row r="284"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</row>
        <row r="285"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</row>
        <row r="290"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5.3328234128758685E-3</v>
          </cell>
          <cell r="AE290">
            <v>3.2916014814351198E-2</v>
          </cell>
          <cell r="AF290">
            <v>1.4484386889285836E-2</v>
          </cell>
          <cell r="AG290">
            <v>3.7715724790326852E-2</v>
          </cell>
          <cell r="AH290">
            <v>0.11244935255128073</v>
          </cell>
          <cell r="AI290">
            <v>0.36466017838642345</v>
          </cell>
          <cell r="AJ290">
            <v>1.0611449369366961</v>
          </cell>
          <cell r="AK290">
            <v>1.3749942389965046</v>
          </cell>
          <cell r="AL290">
            <v>1.7511752421830931</v>
          </cell>
          <cell r="AM290">
            <v>2.4429958298793135</v>
          </cell>
          <cell r="AN290">
            <v>3.3950546234673449</v>
          </cell>
          <cell r="AO290">
            <v>4.1655429747727268</v>
          </cell>
          <cell r="AP290">
            <v>4.4713515498562462</v>
          </cell>
          <cell r="AQ290">
            <v>4.7778021809191529</v>
          </cell>
          <cell r="AR290">
            <v>4.9869167544113147</v>
          </cell>
          <cell r="AS290">
            <v>3.8197414513665633</v>
          </cell>
          <cell r="AT290">
            <v>4.242518571151729</v>
          </cell>
          <cell r="AU290">
            <v>4.7663202438655521</v>
          </cell>
          <cell r="AV290">
            <v>4.7501905249486871</v>
          </cell>
          <cell r="AW290">
            <v>4.7240954043687369</v>
          </cell>
          <cell r="AX290">
            <v>4.7240954043687369</v>
          </cell>
          <cell r="AY290">
            <v>4.7240954043687369</v>
          </cell>
          <cell r="AZ290">
            <v>4.7240954043687369</v>
          </cell>
          <cell r="BA290">
            <v>4.7240954043687369</v>
          </cell>
          <cell r="BB290">
            <v>4.7240954043687369</v>
          </cell>
          <cell r="BC290">
            <v>4.7240954043687369</v>
          </cell>
          <cell r="BD290">
            <v>4.7240954043687369</v>
          </cell>
          <cell r="BE290">
            <v>4.7240954043687369</v>
          </cell>
          <cell r="BF290">
            <v>4.7240954043687369</v>
          </cell>
          <cell r="BG290">
            <v>4.7240954043687369</v>
          </cell>
        </row>
        <row r="291"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4.1346697794726875E-3</v>
          </cell>
          <cell r="AE291">
            <v>2.5038638362547905E-3</v>
          </cell>
          <cell r="AF291">
            <v>0</v>
          </cell>
          <cell r="AG291">
            <v>2.0287363994972361E-2</v>
          </cell>
          <cell r="AH291">
            <v>0.12235210183989302</v>
          </cell>
          <cell r="AI291">
            <v>0.30985321974335805</v>
          </cell>
          <cell r="AJ291">
            <v>0.91498632384349343</v>
          </cell>
          <cell r="AK291">
            <v>1.1860919293135308</v>
          </cell>
          <cell r="AL291">
            <v>1.5604595606590241</v>
          </cell>
          <cell r="AM291">
            <v>2.1135714843580238</v>
          </cell>
          <cell r="AN291">
            <v>2.9341715826914236</v>
          </cell>
          <cell r="AO291">
            <v>3.7137568266369789</v>
          </cell>
          <cell r="AP291">
            <v>3.8569065606061459</v>
          </cell>
          <cell r="AQ291">
            <v>4.1350485497804303</v>
          </cell>
          <cell r="AR291">
            <v>4.3159118093720767</v>
          </cell>
          <cell r="AS291">
            <v>3.3045861400213052</v>
          </cell>
          <cell r="AT291">
            <v>3.6709071854280255</v>
          </cell>
          <cell r="AU291">
            <v>4.1243885128602242</v>
          </cell>
          <cell r="AV291">
            <v>4.1105209174590041</v>
          </cell>
          <cell r="AW291">
            <v>4.0878064368084273</v>
          </cell>
          <cell r="AX291">
            <v>4.0878064368084273</v>
          </cell>
          <cell r="AY291">
            <v>4.0878064368084273</v>
          </cell>
          <cell r="AZ291">
            <v>4.0878064368084273</v>
          </cell>
          <cell r="BA291">
            <v>4.0878064368084273</v>
          </cell>
          <cell r="BB291">
            <v>4.0878064368084273</v>
          </cell>
          <cell r="BC291">
            <v>4.0878064368084273</v>
          </cell>
          <cell r="BD291">
            <v>4.0878064368084273</v>
          </cell>
          <cell r="BE291">
            <v>4.0878064368084273</v>
          </cell>
          <cell r="BF291">
            <v>4.0878064368084273</v>
          </cell>
          <cell r="BG291">
            <v>4.0878064368084273</v>
          </cell>
        </row>
        <row r="292"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3.1613753054080787E-3</v>
          </cell>
          <cell r="AE292">
            <v>1.5179971403251101E-3</v>
          </cell>
          <cell r="AF292">
            <v>1.0614918907933593E-3</v>
          </cell>
          <cell r="AG292">
            <v>1.8379507787654768E-2</v>
          </cell>
          <cell r="AH292">
            <v>0.11442170075190287</v>
          </cell>
          <cell r="AI292">
            <v>0.27949399861422608</v>
          </cell>
          <cell r="AJ292">
            <v>0.82229483814274351</v>
          </cell>
          <cell r="AK292">
            <v>1.0503501043796188</v>
          </cell>
          <cell r="AL292">
            <v>1.4113853395091838</v>
          </cell>
          <cell r="AM292">
            <v>1.9115916767927106</v>
          </cell>
          <cell r="AN292">
            <v>2.6361855448302718</v>
          </cell>
          <cell r="AO292">
            <v>3.33609331477418</v>
          </cell>
          <cell r="AP292">
            <v>3.4872489052166546</v>
          </cell>
          <cell r="AQ292">
            <v>3.7156867136778851</v>
          </cell>
          <cell r="AR292">
            <v>3.8722477746475299</v>
          </cell>
          <cell r="AS292">
            <v>2.9692104709418756</v>
          </cell>
          <cell r="AT292">
            <v>3.298392350348728</v>
          </cell>
          <cell r="AU292">
            <v>3.7060239472077376</v>
          </cell>
          <cell r="AV292">
            <v>3.6935029558262422</v>
          </cell>
          <cell r="AW292">
            <v>3.6730625038979161</v>
          </cell>
          <cell r="AX292">
            <v>3.6730625038979161</v>
          </cell>
          <cell r="AY292">
            <v>3.6730625038979161</v>
          </cell>
          <cell r="AZ292">
            <v>3.6730625038979161</v>
          </cell>
          <cell r="BA292">
            <v>3.6730625038979161</v>
          </cell>
          <cell r="BB292">
            <v>3.6730625038979161</v>
          </cell>
          <cell r="BC292">
            <v>3.6730625038979161</v>
          </cell>
          <cell r="BD292">
            <v>3.6730625038979161</v>
          </cell>
          <cell r="BE292">
            <v>3.6730625038979161</v>
          </cell>
          <cell r="BF292">
            <v>3.6730625038979161</v>
          </cell>
          <cell r="BG292">
            <v>3.6730625038979161</v>
          </cell>
        </row>
        <row r="293"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3.974051388892735E-3</v>
          </cell>
          <cell r="AE293">
            <v>1.5158278384969301E-3</v>
          </cell>
          <cell r="AF293">
            <v>7.4276148770756117E-3</v>
          </cell>
          <cell r="AG293">
            <v>6.737179545992926E-2</v>
          </cell>
          <cell r="AH293">
            <v>0.17633053053828721</v>
          </cell>
          <cell r="AI293">
            <v>0.48335978809078606</v>
          </cell>
          <cell r="AJ293">
            <v>0.64531731571106254</v>
          </cell>
          <cell r="AK293">
            <v>0.83598958163038783</v>
          </cell>
          <cell r="AL293">
            <v>1.1445330289406455</v>
          </cell>
          <cell r="AM293">
            <v>1.3325434294211929</v>
          </cell>
          <cell r="AN293">
            <v>1.9621814626539977</v>
          </cell>
          <cell r="AO293">
            <v>2.0500007100585544</v>
          </cell>
          <cell r="AP293">
            <v>2.2631572957695432</v>
          </cell>
          <cell r="AQ293">
            <v>2.3246201466699183</v>
          </cell>
          <cell r="AR293">
            <v>1.7836736184534754</v>
          </cell>
          <cell r="AS293">
            <v>1.9311884087823861</v>
          </cell>
          <cell r="AT293">
            <v>2.2192608936870482</v>
          </cell>
          <cell r="AU293">
            <v>2.2118628726434069</v>
          </cell>
          <cell r="AV293">
            <v>2.1996854051777919</v>
          </cell>
          <cell r="AW293">
            <v>2.2952334105748387</v>
          </cell>
          <cell r="AX293">
            <v>2.2952334105748387</v>
          </cell>
          <cell r="AY293">
            <v>2.2952334105748387</v>
          </cell>
          <cell r="AZ293">
            <v>2.2952334105748387</v>
          </cell>
          <cell r="BA293">
            <v>2.2952334105748387</v>
          </cell>
          <cell r="BB293">
            <v>2.2952334105748387</v>
          </cell>
          <cell r="BC293">
            <v>2.2952334105748387</v>
          </cell>
          <cell r="BD293">
            <v>2.2952334105748387</v>
          </cell>
          <cell r="BE293">
            <v>2.2952334105748387</v>
          </cell>
          <cell r="BF293">
            <v>2.2952334105748387</v>
          </cell>
        </row>
        <row r="294"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1.0958684879144252E-2</v>
          </cell>
          <cell r="AE294">
            <v>2.1953808978457393E-2</v>
          </cell>
          <cell r="AF294">
            <v>1.1177883583011323E-2</v>
          </cell>
          <cell r="AG294">
            <v>0.12502520443269644</v>
          </cell>
          <cell r="AH294">
            <v>0.33058271642770937</v>
          </cell>
          <cell r="AI294">
            <v>0.93139335982287341</v>
          </cell>
          <cell r="AJ294">
            <v>1.1974495518203836</v>
          </cell>
          <cell r="AK294">
            <v>1.6000419521932701</v>
          </cell>
          <cell r="AL294">
            <v>2.1648265044149921</v>
          </cell>
          <cell r="AM294">
            <v>2.5193298978386216</v>
          </cell>
          <cell r="AN294">
            <v>3.6157614822682271</v>
          </cell>
          <cell r="AO294">
            <v>3.8740689863383055</v>
          </cell>
          <cell r="AP294">
            <v>4.2431608452949838</v>
          </cell>
          <cell r="AQ294">
            <v>4.4121597559057255</v>
          </cell>
          <cell r="AR294">
            <v>3.3855970862358982</v>
          </cell>
          <cell r="AS294">
            <v>3.6655974850562205</v>
          </cell>
          <cell r="AT294">
            <v>4.2123201516379813</v>
          </cell>
          <cell r="AU294">
            <v>4.1981648733574266</v>
          </cell>
          <cell r="AV294">
            <v>4.175135387617618</v>
          </cell>
          <cell r="AW294">
            <v>4.3565155648594471</v>
          </cell>
          <cell r="AX294">
            <v>4.3565155648594471</v>
          </cell>
          <cell r="AY294">
            <v>4.3565155648594471</v>
          </cell>
          <cell r="AZ294">
            <v>4.3565155648594471</v>
          </cell>
          <cell r="BA294">
            <v>4.3565155648594471</v>
          </cell>
          <cell r="BB294">
            <v>4.3565155648594471</v>
          </cell>
          <cell r="BC294">
            <v>4.3565155648594471</v>
          </cell>
          <cell r="BD294">
            <v>4.3565155648594471</v>
          </cell>
          <cell r="BE294">
            <v>4.3565155648594471</v>
          </cell>
          <cell r="BF294">
            <v>4.3565155648594471</v>
          </cell>
        </row>
        <row r="295"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1.0145008431810855E-2</v>
          </cell>
          <cell r="AE295">
            <v>1.0802167347228057E-2</v>
          </cell>
          <cell r="AF295">
            <v>1.8867386657135068E-2</v>
          </cell>
          <cell r="AG295">
            <v>3.0564607657265586E-2</v>
          </cell>
          <cell r="AH295">
            <v>0.12787528723989031</v>
          </cell>
          <cell r="AI295">
            <v>0.37602906307119099</v>
          </cell>
          <cell r="AJ295">
            <v>0.47538821742179621</v>
          </cell>
          <cell r="AK295">
            <v>0.63957352348961438</v>
          </cell>
          <cell r="AL295">
            <v>0.86200095138808031</v>
          </cell>
          <cell r="AM295">
            <v>0.99671995086144349</v>
          </cell>
          <cell r="AN295">
            <v>1.4445748500691098</v>
          </cell>
          <cell r="AO295">
            <v>1.5463349498809469</v>
          </cell>
          <cell r="AP295">
            <v>1.7166033096044133</v>
          </cell>
          <cell r="AQ295">
            <v>1.7603631552302137</v>
          </cell>
          <cell r="AR295">
            <v>1.3516890546992142</v>
          </cell>
          <cell r="AS295">
            <v>1.4632253895003651</v>
          </cell>
          <cell r="AT295">
            <v>1.6811904895311605</v>
          </cell>
          <cell r="AU295">
            <v>1.6755103181254392</v>
          </cell>
          <cell r="AV295">
            <v>1.666366502084675</v>
          </cell>
          <cell r="AW295">
            <v>1.7388926468288104</v>
          </cell>
          <cell r="AX295">
            <v>1.7388926468288104</v>
          </cell>
          <cell r="AY295">
            <v>1.7388926468288104</v>
          </cell>
          <cell r="AZ295">
            <v>1.7388926468288104</v>
          </cell>
          <cell r="BA295">
            <v>1.7388926468288104</v>
          </cell>
          <cell r="BB295">
            <v>1.7388926468288104</v>
          </cell>
          <cell r="BC295">
            <v>1.7388926468288104</v>
          </cell>
          <cell r="BD295">
            <v>1.7388926468288104</v>
          </cell>
          <cell r="BE295">
            <v>1.7388926468288104</v>
          </cell>
          <cell r="BF295">
            <v>1.7388926468288104</v>
          </cell>
        </row>
        <row r="296"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3.9050560117642676E-3</v>
          </cell>
          <cell r="AE296">
            <v>1.1371462065476783E-2</v>
          </cell>
          <cell r="AF296">
            <v>2.5274891377786209E-2</v>
          </cell>
          <cell r="AG296">
            <v>6.6808446389065773E-2</v>
          </cell>
          <cell r="AH296">
            <v>0.20836766869572054</v>
          </cell>
          <cell r="AI296">
            <v>0.58851806065839041</v>
          </cell>
          <cell r="AJ296">
            <v>0.77906236168087373</v>
          </cell>
          <cell r="AK296">
            <v>1.0275905355562969</v>
          </cell>
          <cell r="AL296">
            <v>1.3874232872732415</v>
          </cell>
          <cell r="AM296">
            <v>1.5979080539374577</v>
          </cell>
          <cell r="AN296">
            <v>2.3870281831346567</v>
          </cell>
          <cell r="AO296">
            <v>2.4974080422013611</v>
          </cell>
          <cell r="AP296">
            <v>2.7517347837130495</v>
          </cell>
          <cell r="AQ296">
            <v>2.8259783519899644</v>
          </cell>
          <cell r="AR296">
            <v>2.1691754989754322</v>
          </cell>
          <cell r="AS296">
            <v>2.3485237229917115</v>
          </cell>
          <cell r="AT296">
            <v>2.6986750430139486</v>
          </cell>
          <cell r="AU296">
            <v>2.6895120335015896</v>
          </cell>
          <cell r="AV296">
            <v>2.6747355874764618</v>
          </cell>
          <cell r="AW296">
            <v>2.7910681367397991</v>
          </cell>
          <cell r="AX296">
            <v>2.7910681367397991</v>
          </cell>
          <cell r="AY296">
            <v>2.7910681367397991</v>
          </cell>
          <cell r="AZ296">
            <v>2.7910681367397991</v>
          </cell>
          <cell r="BA296">
            <v>2.7910681367397991</v>
          </cell>
          <cell r="BB296">
            <v>2.7910681367397991</v>
          </cell>
          <cell r="BC296">
            <v>2.7910681367397991</v>
          </cell>
          <cell r="BD296">
            <v>2.7910681367397991</v>
          </cell>
          <cell r="BE296">
            <v>2.7910681367397991</v>
          </cell>
          <cell r="BF296">
            <v>2.7910681367397991</v>
          </cell>
        </row>
        <row r="297"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1.8824707983317347E-3</v>
          </cell>
          <cell r="AE297">
            <v>1.8859986562930406E-2</v>
          </cell>
          <cell r="AF297">
            <v>2.8767223532177259E-2</v>
          </cell>
          <cell r="AG297">
            <v>8.6666391607997176E-2</v>
          </cell>
          <cell r="AH297">
            <v>0.27007249983152554</v>
          </cell>
          <cell r="AI297">
            <v>0.79489784316411971</v>
          </cell>
          <cell r="AJ297">
            <v>1.0261651987234048</v>
          </cell>
          <cell r="AK297">
            <v>1.3391632842075634</v>
          </cell>
          <cell r="AL297">
            <v>1.8205752611588897</v>
          </cell>
          <cell r="AM297">
            <v>2.1035369792831555</v>
          </cell>
          <cell r="AN297">
            <v>3.1423697530675869</v>
          </cell>
          <cell r="AO297">
            <v>3.287405409097286</v>
          </cell>
          <cell r="AP297">
            <v>3.6330804315939815</v>
          </cell>
          <cell r="AQ297">
            <v>3.7199513007132854</v>
          </cell>
          <cell r="AR297">
            <v>2.8553930473392364</v>
          </cell>
          <cell r="AS297">
            <v>3.0914490329716759</v>
          </cell>
          <cell r="AT297">
            <v>3.5523156582480939</v>
          </cell>
          <cell r="AU297">
            <v>3.5402497616637185</v>
          </cell>
          <cell r="AV297">
            <v>3.5208397902117077</v>
          </cell>
          <cell r="AW297">
            <v>3.6739662906659172</v>
          </cell>
          <cell r="AX297">
            <v>3.6739662906659172</v>
          </cell>
          <cell r="AY297">
            <v>3.6739662906659172</v>
          </cell>
          <cell r="AZ297">
            <v>3.6739662906659172</v>
          </cell>
          <cell r="BA297">
            <v>3.6739662906659172</v>
          </cell>
          <cell r="BB297">
            <v>3.6739662906659172</v>
          </cell>
          <cell r="BC297">
            <v>3.6739662906659172</v>
          </cell>
          <cell r="BD297">
            <v>3.6739662906659172</v>
          </cell>
          <cell r="BE297">
            <v>3.6739662906659172</v>
          </cell>
          <cell r="BF297">
            <v>3.6739662906659172</v>
          </cell>
        </row>
        <row r="298"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7.120634178621927E-3</v>
          </cell>
          <cell r="AE298">
            <v>1.2410693764387203E-2</v>
          </cell>
          <cell r="AF298">
            <v>2.4718152821210017E-2</v>
          </cell>
          <cell r="AG298">
            <v>8.3529619403828276E-2</v>
          </cell>
          <cell r="AH298">
            <v>0.26337678607470399</v>
          </cell>
          <cell r="AI298">
            <v>0.75627406150161414</v>
          </cell>
          <cell r="AJ298">
            <v>0.97766329216268466</v>
          </cell>
          <cell r="AK298">
            <v>1.2896553953722334</v>
          </cell>
          <cell r="AL298">
            <v>1.737508346531089</v>
          </cell>
          <cell r="AM298">
            <v>2.0066216367585445</v>
          </cell>
          <cell r="AN298">
            <v>2.9971912240569543</v>
          </cell>
          <cell r="AO298">
            <v>3.1357696656179215</v>
          </cell>
          <cell r="AP298">
            <v>3.4238413057025388</v>
          </cell>
          <cell r="AQ298">
            <v>3.5487078537921466</v>
          </cell>
          <cell r="AR298">
            <v>2.7237959902946609</v>
          </cell>
          <cell r="AS298">
            <v>2.9489660424440327</v>
          </cell>
          <cell r="AT298">
            <v>3.3886663493602516</v>
          </cell>
          <cell r="AU298">
            <v>3.3771963328115118</v>
          </cell>
          <cell r="AV298">
            <v>3.3586507491994793</v>
          </cell>
          <cell r="AW298">
            <v>3.5046972205826759</v>
          </cell>
          <cell r="AX298">
            <v>3.5046972205826759</v>
          </cell>
          <cell r="AY298">
            <v>3.5046972205826759</v>
          </cell>
          <cell r="AZ298">
            <v>3.5046972205826759</v>
          </cell>
          <cell r="BA298">
            <v>3.5046972205826759</v>
          </cell>
          <cell r="BB298">
            <v>3.5046972205826759</v>
          </cell>
          <cell r="BC298">
            <v>3.5046972205826759</v>
          </cell>
          <cell r="BD298">
            <v>3.5046972205826759</v>
          </cell>
          <cell r="BE298">
            <v>3.5046972205826759</v>
          </cell>
          <cell r="BF298">
            <v>3.5046972205826759</v>
          </cell>
        </row>
        <row r="299"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9.7020353808255407E-3</v>
          </cell>
          <cell r="AE299">
            <v>1.9576657767315216E-2</v>
          </cell>
          <cell r="AF299">
            <v>2.6239117369332363E-2</v>
          </cell>
          <cell r="AG299">
            <v>8.3604772105656602E-2</v>
          </cell>
          <cell r="AH299">
            <v>0.28889329583157669</v>
          </cell>
          <cell r="AI299">
            <v>0.82267191014546659</v>
          </cell>
          <cell r="AJ299">
            <v>1.0646183128919497</v>
          </cell>
          <cell r="AK299">
            <v>1.4041164567185092</v>
          </cell>
          <cell r="AL299">
            <v>1.8887880318004378</v>
          </cell>
          <cell r="AM299">
            <v>2.1836524864745521</v>
          </cell>
          <cell r="AN299">
            <v>3.2606146015657353</v>
          </cell>
          <cell r="AO299">
            <v>3.4110859559943694</v>
          </cell>
          <cell r="AP299">
            <v>3.7698181428519231</v>
          </cell>
          <cell r="AQ299">
            <v>3.8601331773599168</v>
          </cell>
          <cell r="AR299">
            <v>2.9630760484978191</v>
          </cell>
          <cell r="AS299">
            <v>3.2078610496350484</v>
          </cell>
          <cell r="AT299">
            <v>3.6861002766979682</v>
          </cell>
          <cell r="AU299">
            <v>3.6736067053838548</v>
          </cell>
          <cell r="AV299">
            <v>3.6534895033650705</v>
          </cell>
          <cell r="AW299">
            <v>3.8123783470884165</v>
          </cell>
          <cell r="AX299">
            <v>3.8123783470884165</v>
          </cell>
          <cell r="AY299">
            <v>3.8123783470884165</v>
          </cell>
          <cell r="AZ299">
            <v>3.8123783470884165</v>
          </cell>
          <cell r="BA299">
            <v>3.8123783470884165</v>
          </cell>
          <cell r="BB299">
            <v>3.8123783470884165</v>
          </cell>
          <cell r="BC299">
            <v>3.8123783470884165</v>
          </cell>
          <cell r="BD299">
            <v>3.8123783470884165</v>
          </cell>
          <cell r="BE299">
            <v>3.8123783470884165</v>
          </cell>
          <cell r="BF299">
            <v>3.8123783470884165</v>
          </cell>
        </row>
        <row r="300"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3.3229869652157389E-3</v>
          </cell>
          <cell r="AE300">
            <v>2.2473508965451687E-2</v>
          </cell>
          <cell r="AF300">
            <v>3.2194636095076432E-2</v>
          </cell>
          <cell r="AG300">
            <v>8.9257902037825451E-2</v>
          </cell>
          <cell r="AH300">
            <v>0.31034533958144439</v>
          </cell>
          <cell r="AI300">
            <v>0.89723949009001558</v>
          </cell>
          <cell r="AJ300">
            <v>1.1600466080959524</v>
          </cell>
          <cell r="AK300">
            <v>1.5271150793449926</v>
          </cell>
          <cell r="AL300">
            <v>2.0556637306528249</v>
          </cell>
          <cell r="AM300">
            <v>2.3769498051047213</v>
          </cell>
          <cell r="AN300">
            <v>3.5435729352950935</v>
          </cell>
          <cell r="AO300">
            <v>3.7482661491393339</v>
          </cell>
          <cell r="AP300">
            <v>4.0796108427842688</v>
          </cell>
          <cell r="AQ300">
            <v>4.2028073285979923</v>
          </cell>
          <cell r="AR300">
            <v>3.2262800912108287</v>
          </cell>
          <cell r="AS300">
            <v>3.4929568039215053</v>
          </cell>
          <cell r="AT300">
            <v>4.0135595750471404</v>
          </cell>
          <cell r="AU300">
            <v>3.9999147688661321</v>
          </cell>
          <cell r="AV300">
            <v>3.9780121438839124</v>
          </cell>
          <cell r="AW300">
            <v>4.1510596545143894</v>
          </cell>
          <cell r="AX300">
            <v>4.1510596545143894</v>
          </cell>
          <cell r="AY300">
            <v>4.1510596545143894</v>
          </cell>
          <cell r="AZ300">
            <v>4.1510596545143894</v>
          </cell>
          <cell r="BA300">
            <v>4.1510596545143894</v>
          </cell>
          <cell r="BB300">
            <v>4.1510596545143894</v>
          </cell>
          <cell r="BC300">
            <v>4.1510596545143894</v>
          </cell>
          <cell r="BD300">
            <v>4.1510596545143894</v>
          </cell>
          <cell r="BE300">
            <v>4.1510596545143894</v>
          </cell>
          <cell r="BF300">
            <v>4.1510596545143894</v>
          </cell>
        </row>
        <row r="301">
          <cell r="Z301">
            <v>0</v>
          </cell>
          <cell r="AA301">
            <v>0</v>
          </cell>
          <cell r="AB301">
            <v>0</v>
          </cell>
          <cell r="AC301">
            <v>4.5147827286166689E-3</v>
          </cell>
          <cell r="AD301">
            <v>3.2816143054901097E-3</v>
          </cell>
          <cell r="AE301">
            <v>7.1308309722502104E-3</v>
          </cell>
          <cell r="AF301">
            <v>7.2737968432771125E-2</v>
          </cell>
          <cell r="AG301">
            <v>9.3675447358625583E-2</v>
          </cell>
          <cell r="AH301">
            <v>0.3739630201156483</v>
          </cell>
          <cell r="AI301">
            <v>1.0832280979490112</v>
          </cell>
          <cell r="AJ301">
            <v>1.3852635033817711</v>
          </cell>
          <cell r="AK301">
            <v>1.8653835646195023</v>
          </cell>
          <cell r="AL301">
            <v>2.494985175150418</v>
          </cell>
          <cell r="AM301">
            <v>2.8904741230410353</v>
          </cell>
          <cell r="AN301">
            <v>4.1925760445033573</v>
          </cell>
          <cell r="AO301">
            <v>4.5876227864955554</v>
          </cell>
          <cell r="AP301">
            <v>4.8016292257598536</v>
          </cell>
          <cell r="AQ301">
            <v>5.1104225600768611</v>
          </cell>
          <cell r="AR301">
            <v>3.9239582103868158</v>
          </cell>
          <cell r="AS301">
            <v>4.2484106543997564</v>
          </cell>
          <cell r="AT301">
            <v>4.8816345646977632</v>
          </cell>
          <cell r="AU301">
            <v>4.864892479275988</v>
          </cell>
          <cell r="AV301">
            <v>4.8380456486043224</v>
          </cell>
          <cell r="AW301">
            <v>5.048731947721774</v>
          </cell>
          <cell r="AX301">
            <v>5.048731947721774</v>
          </cell>
          <cell r="AY301">
            <v>5.048731947721774</v>
          </cell>
          <cell r="AZ301">
            <v>5.048731947721774</v>
          </cell>
          <cell r="BA301">
            <v>5.048731947721774</v>
          </cell>
          <cell r="BB301">
            <v>5.048731947721774</v>
          </cell>
          <cell r="BC301">
            <v>5.048731947721774</v>
          </cell>
          <cell r="BD301">
            <v>5.048731947721774</v>
          </cell>
          <cell r="BE301">
            <v>5.048731947721774</v>
          </cell>
          <cell r="BF301">
            <v>5.048731947721774</v>
          </cell>
        </row>
        <row r="308">
          <cell r="B308">
            <v>30.444204991110038</v>
          </cell>
          <cell r="C308">
            <v>32.862166959604906</v>
          </cell>
          <cell r="D308">
            <v>36.972448918234093</v>
          </cell>
          <cell r="E308">
            <v>37.554420814512994</v>
          </cell>
          <cell r="F308">
            <v>48.462913885055443</v>
          </cell>
          <cell r="G308">
            <v>52.48109090608817</v>
          </cell>
          <cell r="H308">
            <v>59.89988911249462</v>
          </cell>
          <cell r="I308">
            <v>59.782507146331781</v>
          </cell>
          <cell r="J308">
            <v>64.365496620735257</v>
          </cell>
          <cell r="K308">
            <v>66.924167689000001</v>
          </cell>
          <cell r="L308">
            <v>65.26307954939999</v>
          </cell>
          <cell r="M308">
            <v>83.742062340800004</v>
          </cell>
          <cell r="N308">
            <v>94.301439972200001</v>
          </cell>
          <cell r="O308">
            <v>107.28537506839999</v>
          </cell>
          <cell r="P308">
            <v>106.68831212300003</v>
          </cell>
          <cell r="Q308">
            <v>94.368619377800002</v>
          </cell>
          <cell r="R308">
            <v>97.140359431600004</v>
          </cell>
          <cell r="S308">
            <v>100.24229317199999</v>
          </cell>
          <cell r="T308">
            <v>85.040546715374191</v>
          </cell>
          <cell r="U308">
            <v>104.84780666384802</v>
          </cell>
          <cell r="V308">
            <v>102.71241224109467</v>
          </cell>
          <cell r="W308">
            <v>106.20153592981494</v>
          </cell>
          <cell r="X308">
            <v>176.79080552019997</v>
          </cell>
          <cell r="Y308">
            <v>178.22217758919999</v>
          </cell>
          <cell r="Z308">
            <v>192.97435249219998</v>
          </cell>
          <cell r="AA308">
            <v>135.93111286631998</v>
          </cell>
        </row>
        <row r="321">
          <cell r="J321" t="str">
            <v xml:space="preserve">01/02 </v>
          </cell>
          <cell r="K321" t="str">
            <v xml:space="preserve">02/03 </v>
          </cell>
          <cell r="L321" t="str">
            <v xml:space="preserve">03/04 </v>
          </cell>
          <cell r="M321" t="str">
            <v xml:space="preserve">04/05 </v>
          </cell>
          <cell r="N321" t="str">
            <v xml:space="preserve">05/06 </v>
          </cell>
          <cell r="O321" t="str">
            <v xml:space="preserve">06/07 </v>
          </cell>
          <cell r="P321" t="str">
            <v xml:space="preserve">07/08 </v>
          </cell>
          <cell r="Q321" t="str">
            <v xml:space="preserve">08/09 </v>
          </cell>
          <cell r="R321" t="str">
            <v xml:space="preserve">09/10 </v>
          </cell>
          <cell r="S321" t="str">
            <v xml:space="preserve">10/11 </v>
          </cell>
          <cell r="T321" t="str">
            <v xml:space="preserve">11/12 </v>
          </cell>
          <cell r="U321" t="str">
            <v xml:space="preserve">12/13 </v>
          </cell>
          <cell r="V321" t="str">
            <v xml:space="preserve">13/14 </v>
          </cell>
          <cell r="W321" t="str">
            <v xml:space="preserve">14/15 </v>
          </cell>
          <cell r="X321" t="str">
            <v xml:space="preserve">15/16 </v>
          </cell>
          <cell r="Y321" t="str">
            <v xml:space="preserve">16/17 </v>
          </cell>
          <cell r="Z321" t="str">
            <v xml:space="preserve">17/18 </v>
          </cell>
          <cell r="AA321" t="str">
            <v xml:space="preserve">18/19 </v>
          </cell>
          <cell r="AB321" t="str">
            <v>19/20</v>
          </cell>
          <cell r="AC321" t="str">
            <v>20/21</v>
          </cell>
          <cell r="AD321" t="str">
            <v xml:space="preserve">21/22 </v>
          </cell>
          <cell r="AE321" t="str">
            <v xml:space="preserve">22/23 </v>
          </cell>
          <cell r="AF321" t="str">
            <v xml:space="preserve">23/24 </v>
          </cell>
          <cell r="AG321" t="str">
            <v xml:space="preserve">24/25 </v>
          </cell>
          <cell r="AH321" t="str">
            <v>25/26</v>
          </cell>
          <cell r="AI321" t="str">
            <v>26/27</v>
          </cell>
          <cell r="AJ321" t="str">
            <v>27/28</v>
          </cell>
          <cell r="AK321" t="str">
            <v>28/29</v>
          </cell>
          <cell r="AL321" t="str">
            <v>29/30</v>
          </cell>
          <cell r="AM321" t="str">
            <v>30/31</v>
          </cell>
          <cell r="AN321" t="str">
            <v>31/32</v>
          </cell>
          <cell r="AO321" t="str">
            <v>32/33</v>
          </cell>
          <cell r="AP321" t="str">
            <v>33/34</v>
          </cell>
          <cell r="AQ321" t="str">
            <v>34/35</v>
          </cell>
          <cell r="AR321" t="str">
            <v>35/36</v>
          </cell>
          <cell r="AS321" t="str">
            <v>36/37</v>
          </cell>
          <cell r="AT321" t="str">
            <v>37/38</v>
          </cell>
          <cell r="AU321" t="str">
            <v>38/39</v>
          </cell>
          <cell r="AV321" t="str">
            <v>39/40</v>
          </cell>
          <cell r="AW321" t="str">
            <v>40/41</v>
          </cell>
          <cell r="AX321" t="str">
            <v>41/42</v>
          </cell>
          <cell r="AY321" t="str">
            <v>42/43</v>
          </cell>
          <cell r="AZ321" t="str">
            <v>43/44</v>
          </cell>
          <cell r="BA321" t="str">
            <v>44/45</v>
          </cell>
          <cell r="BB321" t="str">
            <v>45/46</v>
          </cell>
          <cell r="BC321" t="str">
            <v>46/47</v>
          </cell>
          <cell r="BD321" t="str">
            <v>47/48</v>
          </cell>
          <cell r="BE321" t="str">
            <v>48/49</v>
          </cell>
          <cell r="BF321" t="str">
            <v>49/50</v>
          </cell>
          <cell r="BG321" t="str">
            <v>50/51</v>
          </cell>
        </row>
        <row r="322">
          <cell r="J322">
            <v>16.3</v>
          </cell>
          <cell r="K322">
            <v>15</v>
          </cell>
          <cell r="L322">
            <v>13.420531249999996</v>
          </cell>
          <cell r="M322">
            <v>14.211406249999989</v>
          </cell>
          <cell r="N322">
            <v>15.002281249999982</v>
          </cell>
          <cell r="O322">
            <v>18.2</v>
          </cell>
          <cell r="P322">
            <v>20</v>
          </cell>
          <cell r="Q322">
            <v>31.4</v>
          </cell>
          <cell r="R322">
            <v>23.2</v>
          </cell>
          <cell r="S322">
            <v>23.811</v>
          </cell>
          <cell r="T322">
            <v>32.338152173913038</v>
          </cell>
          <cell r="U322">
            <v>28.998760869565221</v>
          </cell>
          <cell r="V322">
            <v>25.659369565217407</v>
          </cell>
          <cell r="W322">
            <v>22.319978260869593</v>
          </cell>
          <cell r="X322">
            <v>18.545999999999999</v>
          </cell>
          <cell r="Y322">
            <v>23.47</v>
          </cell>
          <cell r="Z322">
            <v>23.783000000000001</v>
          </cell>
          <cell r="AA322">
            <v>24.405999999999999</v>
          </cell>
          <cell r="AB322">
            <v>26.254999999999999</v>
          </cell>
          <cell r="AC322">
            <v>30.974</v>
          </cell>
          <cell r="AD322">
            <v>36.401000000000003</v>
          </cell>
          <cell r="AE322">
            <v>30.295000000000002</v>
          </cell>
          <cell r="AF322">
            <v>41.02</v>
          </cell>
          <cell r="AG322">
            <v>39.695999999999998</v>
          </cell>
          <cell r="AH322">
            <v>59.4260020505385</v>
          </cell>
          <cell r="AI322">
            <v>62.142633301538638</v>
          </cell>
          <cell r="AJ322">
            <v>57.481307656599796</v>
          </cell>
          <cell r="AK322">
            <v>59.607406362971943</v>
          </cell>
          <cell r="AL322">
            <v>51.003333288508998</v>
          </cell>
          <cell r="AM322">
            <v>52.830425749351519</v>
          </cell>
          <cell r="AN322">
            <v>48.717431192019006</v>
          </cell>
          <cell r="AO322">
            <v>52.761926524050381</v>
          </cell>
          <cell r="AP322">
            <v>47.264691126433377</v>
          </cell>
          <cell r="AQ322">
            <v>57.085895206487606</v>
          </cell>
          <cell r="AR322">
            <v>56.808877303440397</v>
          </cell>
          <cell r="AS322">
            <v>67.697448658617532</v>
          </cell>
          <cell r="AT322">
            <v>68.694468378817191</v>
          </cell>
          <cell r="AU322">
            <v>54.123261957537693</v>
          </cell>
          <cell r="AV322">
            <v>42.776612810264538</v>
          </cell>
          <cell r="AW322">
            <v>51.315759311720882</v>
          </cell>
          <cell r="AX322">
            <v>63.18728214727679</v>
          </cell>
          <cell r="AY322">
            <v>55.018365479391605</v>
          </cell>
          <cell r="AZ322">
            <v>58.069860170072616</v>
          </cell>
          <cell r="BA322">
            <v>64.429309718515867</v>
          </cell>
          <cell r="BB322">
            <v>62.426973809587651</v>
          </cell>
          <cell r="BC322">
            <v>61.395961486639123</v>
          </cell>
          <cell r="BD322">
            <v>58.554036585140466</v>
          </cell>
          <cell r="BE322">
            <v>60.141343887152516</v>
          </cell>
          <cell r="BF322">
            <v>64.846663077580843</v>
          </cell>
          <cell r="BG322">
            <v>76.389281543960578</v>
          </cell>
        </row>
        <row r="323">
          <cell r="J323">
            <v>16.3</v>
          </cell>
          <cell r="K323">
            <v>13</v>
          </cell>
          <cell r="L323">
            <v>13.486437499999996</v>
          </cell>
          <cell r="M323">
            <v>14.277312499999988</v>
          </cell>
          <cell r="N323">
            <v>15.068187499999981</v>
          </cell>
          <cell r="O323">
            <v>16.2</v>
          </cell>
          <cell r="P323">
            <v>21.8</v>
          </cell>
          <cell r="Q323">
            <v>23.8</v>
          </cell>
          <cell r="R323">
            <v>21.1</v>
          </cell>
          <cell r="S323">
            <v>23.777000000000001</v>
          </cell>
          <cell r="T323">
            <v>32.059869565217383</v>
          </cell>
          <cell r="U323">
            <v>28.720478260869569</v>
          </cell>
          <cell r="V323">
            <v>25.381086956521756</v>
          </cell>
          <cell r="W323">
            <v>22.041695652173942</v>
          </cell>
          <cell r="X323">
            <v>18.535</v>
          </cell>
          <cell r="Y323">
            <v>26.54</v>
          </cell>
          <cell r="Z323">
            <v>23.033999999999999</v>
          </cell>
          <cell r="AA323">
            <v>19.416</v>
          </cell>
          <cell r="AB323">
            <v>24.463000000000001</v>
          </cell>
          <cell r="AC323">
            <v>28.440999999999999</v>
          </cell>
          <cell r="AD323">
            <v>36.030999999999999</v>
          </cell>
          <cell r="AE323">
            <v>26.09</v>
          </cell>
          <cell r="AF323">
            <v>41.186</v>
          </cell>
          <cell r="AG323">
            <v>33.436</v>
          </cell>
          <cell r="AH323">
            <v>57.710467955230911</v>
          </cell>
          <cell r="AI323">
            <v>61.723389995932877</v>
          </cell>
          <cell r="AJ323">
            <v>46.48195299224011</v>
          </cell>
          <cell r="AK323">
            <v>43.985939512603721</v>
          </cell>
          <cell r="AL323">
            <v>33.113017697434344</v>
          </cell>
          <cell r="AM323">
            <v>32.481788430823485</v>
          </cell>
          <cell r="AN323">
            <v>13.815701136523046</v>
          </cell>
          <cell r="AO323">
            <v>11.202072751502897</v>
          </cell>
          <cell r="AP323">
            <v>20.285535859905167</v>
          </cell>
          <cell r="AQ323">
            <v>32.702512976553976</v>
          </cell>
          <cell r="AR323">
            <v>33.085972949462246</v>
          </cell>
          <cell r="AS323">
            <v>52.182813369969836</v>
          </cell>
          <cell r="AT323">
            <v>55.777721331318531</v>
          </cell>
          <cell r="AU323">
            <v>36.659658660154747</v>
          </cell>
          <cell r="AV323">
            <v>17.709414767560361</v>
          </cell>
          <cell r="AW323">
            <v>19.97500780292728</v>
          </cell>
          <cell r="AX323">
            <v>27.324243312840792</v>
          </cell>
          <cell r="AY323">
            <v>19.077252809532524</v>
          </cell>
          <cell r="AZ323">
            <v>21.725261430081787</v>
          </cell>
          <cell r="BA323">
            <v>32.69357506141904</v>
          </cell>
          <cell r="BB323">
            <v>37.654892269879213</v>
          </cell>
          <cell r="BC323">
            <v>39.704904827510688</v>
          </cell>
          <cell r="BD323">
            <v>37.070083113292924</v>
          </cell>
          <cell r="BE323">
            <v>36.499763200167195</v>
          </cell>
          <cell r="BF323">
            <v>37.106621755998674</v>
          </cell>
          <cell r="BG323">
            <v>41.348416779236629</v>
          </cell>
        </row>
        <row r="324">
          <cell r="I324">
            <v>16.3</v>
          </cell>
          <cell r="J324">
            <v>16.3</v>
          </cell>
          <cell r="K324">
            <v>12</v>
          </cell>
          <cell r="L324">
            <v>13.552343749999995</v>
          </cell>
          <cell r="M324">
            <v>14.343218749999988</v>
          </cell>
          <cell r="N324">
            <v>15.13409374999998</v>
          </cell>
          <cell r="O324">
            <v>16.100000000000001</v>
          </cell>
          <cell r="P324">
            <v>21.4</v>
          </cell>
          <cell r="Q324">
            <v>24.9</v>
          </cell>
          <cell r="R324">
            <v>19.3</v>
          </cell>
          <cell r="S324">
            <v>24.631</v>
          </cell>
          <cell r="T324">
            <v>31.781586956521732</v>
          </cell>
          <cell r="U324">
            <v>28.442195652173918</v>
          </cell>
          <cell r="V324">
            <v>25.102804347826105</v>
          </cell>
          <cell r="W324">
            <v>21.763413043478291</v>
          </cell>
          <cell r="X324">
            <v>22.056000000000001</v>
          </cell>
          <cell r="Y324">
            <v>20.637</v>
          </cell>
          <cell r="Z324">
            <v>23.846</v>
          </cell>
          <cell r="AA324">
            <v>23.350999999999999</v>
          </cell>
          <cell r="AB324">
            <v>31.498999999999999</v>
          </cell>
          <cell r="AC324">
            <v>32.604999999999997</v>
          </cell>
          <cell r="AD324">
            <v>29.689</v>
          </cell>
          <cell r="AE324">
            <v>31.9</v>
          </cell>
          <cell r="AF324">
            <v>35.591000000000001</v>
          </cell>
          <cell r="AG324">
            <v>29.704000000000001</v>
          </cell>
          <cell r="AH324">
            <v>46.296051502485767</v>
          </cell>
          <cell r="AI324">
            <v>68.151475190734629</v>
          </cell>
          <cell r="AJ324">
            <v>49.510603148958836</v>
          </cell>
          <cell r="AK324">
            <v>43.878862538840622</v>
          </cell>
          <cell r="AL324">
            <v>31.800680380182769</v>
          </cell>
          <cell r="AM324">
            <v>37.839016346039699</v>
          </cell>
          <cell r="AN324">
            <v>39.34949559519427</v>
          </cell>
          <cell r="AO324">
            <v>39.148148420582572</v>
          </cell>
          <cell r="AP324">
            <v>39.023784975691058</v>
          </cell>
          <cell r="AQ324">
            <v>32.949394353166014</v>
          </cell>
          <cell r="AR324">
            <v>29.818018676756878</v>
          </cell>
          <cell r="AS324">
            <v>37.953176063396086</v>
          </cell>
          <cell r="AT324">
            <v>36.174573416206641</v>
          </cell>
          <cell r="AU324">
            <v>39.409643383860868</v>
          </cell>
          <cell r="AV324">
            <v>41.276451238384055</v>
          </cell>
          <cell r="AW324">
            <v>41.139192957021294</v>
          </cell>
          <cell r="AX324">
            <v>36.181645029743777</v>
          </cell>
          <cell r="AY324">
            <v>44.069159972834825</v>
          </cell>
          <cell r="AZ324">
            <v>44.35060562290559</v>
          </cell>
          <cell r="BA324">
            <v>50.280993236044225</v>
          </cell>
          <cell r="BB324">
            <v>48.379335146202436</v>
          </cell>
          <cell r="BC324">
            <v>47.580292224572247</v>
          </cell>
          <cell r="BD324">
            <v>45.86686854594069</v>
          </cell>
          <cell r="BE324">
            <v>40.708969272863669</v>
          </cell>
          <cell r="BF324">
            <v>42.403450595039942</v>
          </cell>
          <cell r="BG324">
            <v>45.502936251449398</v>
          </cell>
        </row>
        <row r="325">
          <cell r="I325">
            <v>16.3</v>
          </cell>
          <cell r="J325">
            <v>16.3</v>
          </cell>
          <cell r="K325">
            <v>11.345000000000001</v>
          </cell>
          <cell r="L325">
            <v>13.618249999999994</v>
          </cell>
          <cell r="M325">
            <v>14.409124999999987</v>
          </cell>
          <cell r="N325">
            <v>15.2</v>
          </cell>
          <cell r="O325">
            <v>13.8</v>
          </cell>
          <cell r="P325">
            <v>23.1</v>
          </cell>
          <cell r="Q325">
            <v>21.7</v>
          </cell>
          <cell r="R325">
            <v>22.059000000000001</v>
          </cell>
          <cell r="S325">
            <v>20.204000000000001</v>
          </cell>
          <cell r="T325">
            <v>31.503304347826081</v>
          </cell>
          <cell r="U325">
            <v>28.163913043478267</v>
          </cell>
          <cell r="V325">
            <v>24.824521739130454</v>
          </cell>
          <cell r="W325">
            <v>21.48513043478264</v>
          </cell>
          <cell r="X325">
            <v>21.459</v>
          </cell>
          <cell r="Y325">
            <v>20.663</v>
          </cell>
          <cell r="Z325">
            <v>26.085000000000001</v>
          </cell>
          <cell r="AA325">
            <v>23.72</v>
          </cell>
          <cell r="AB325">
            <v>31.231000000000002</v>
          </cell>
          <cell r="AC325">
            <v>28.175000000000001</v>
          </cell>
          <cell r="AD325">
            <v>32.06</v>
          </cell>
          <cell r="AE325">
            <v>26.957999999999998</v>
          </cell>
          <cell r="AF325">
            <v>33.024999999999999</v>
          </cell>
          <cell r="AG325">
            <v>29.134085333292973</v>
          </cell>
          <cell r="AH325">
            <v>49.370005473300154</v>
          </cell>
          <cell r="AI325">
            <v>72.311756899832801</v>
          </cell>
          <cell r="AJ325">
            <v>52.052139084069211</v>
          </cell>
          <cell r="AK325">
            <v>49.175132166803877</v>
          </cell>
          <cell r="AL325">
            <v>42.947931021376263</v>
          </cell>
          <cell r="AM325">
            <v>51.78514094658604</v>
          </cell>
          <cell r="AN325">
            <v>61.544394969968266</v>
          </cell>
          <cell r="AO325">
            <v>57.293119587689091</v>
          </cell>
          <cell r="AP325">
            <v>56.087293532517435</v>
          </cell>
          <cell r="AQ325">
            <v>44.836814245284131</v>
          </cell>
          <cell r="AR325">
            <v>39.144322334214735</v>
          </cell>
          <cell r="AS325">
            <v>43.47517515865394</v>
          </cell>
          <cell r="AT325">
            <v>42.485880833873892</v>
          </cell>
          <cell r="AU325">
            <v>48.710356409287414</v>
          </cell>
          <cell r="AV325">
            <v>56.275893966991646</v>
          </cell>
          <cell r="AW325">
            <v>61.13383031211572</v>
          </cell>
          <cell r="AX325">
            <v>56.980943250280831</v>
          </cell>
          <cell r="AY325">
            <v>66.07996330904632</v>
          </cell>
          <cell r="AZ325">
            <v>65.187735027377556</v>
          </cell>
          <cell r="BA325">
            <v>66.286400823001316</v>
          </cell>
          <cell r="BB325">
            <v>61.090674986717261</v>
          </cell>
          <cell r="BC325">
            <v>58.239832712415534</v>
          </cell>
          <cell r="BD325">
            <v>57.147052587188341</v>
          </cell>
          <cell r="BE325">
            <v>54.684028791319804</v>
          </cell>
          <cell r="BF325">
            <v>60.99783535889668</v>
          </cell>
        </row>
        <row r="326">
          <cell r="I326">
            <v>16.3</v>
          </cell>
          <cell r="J326">
            <v>16.3</v>
          </cell>
          <cell r="K326">
            <v>11.6175</v>
          </cell>
          <cell r="L326">
            <v>13.684156249999994</v>
          </cell>
          <cell r="M326">
            <v>14.475031249999986</v>
          </cell>
          <cell r="N326">
            <v>17.5</v>
          </cell>
          <cell r="O326">
            <v>15.8</v>
          </cell>
          <cell r="P326">
            <v>22.7</v>
          </cell>
          <cell r="Q326">
            <v>18.600000000000001</v>
          </cell>
          <cell r="R326">
            <v>19.161999999999999</v>
          </cell>
          <cell r="S326">
            <v>19.001999999999999</v>
          </cell>
          <cell r="T326">
            <v>31.22502173913043</v>
          </cell>
          <cell r="U326">
            <v>27.885630434782616</v>
          </cell>
          <cell r="V326">
            <v>24.546239130434802</v>
          </cell>
          <cell r="W326">
            <v>21.206847826086989</v>
          </cell>
          <cell r="X326">
            <v>17.594000000000001</v>
          </cell>
          <cell r="Y326">
            <v>19.466000000000001</v>
          </cell>
          <cell r="Z326">
            <v>26.626999999999999</v>
          </cell>
          <cell r="AA326">
            <v>21.9</v>
          </cell>
          <cell r="AB326">
            <v>30.495999999999999</v>
          </cell>
          <cell r="AC326">
            <v>29.385999999999999</v>
          </cell>
          <cell r="AD326">
            <v>29.337</v>
          </cell>
          <cell r="AE326">
            <v>25.431999999999999</v>
          </cell>
          <cell r="AF326">
            <v>33.302</v>
          </cell>
          <cell r="AG326">
            <v>25.655423397840337</v>
          </cell>
          <cell r="AH326">
            <v>34.42977371223472</v>
          </cell>
          <cell r="AI326">
            <v>58.082458362425172</v>
          </cell>
          <cell r="AJ326">
            <v>30.499788599480524</v>
          </cell>
          <cell r="AK326">
            <v>32.32748163328813</v>
          </cell>
          <cell r="AL326">
            <v>29.555169176053568</v>
          </cell>
          <cell r="AM326">
            <v>39.029690288668803</v>
          </cell>
          <cell r="AN326">
            <v>43.988343652825506</v>
          </cell>
          <cell r="AO326">
            <v>41.325512401348419</v>
          </cell>
          <cell r="AP326">
            <v>35.434091900290895</v>
          </cell>
          <cell r="AQ326">
            <v>21.369053205373461</v>
          </cell>
          <cell r="AR326">
            <v>17.065890229900702</v>
          </cell>
          <cell r="AS326">
            <v>24.785500318163457</v>
          </cell>
          <cell r="AT326">
            <v>20.403879374662239</v>
          </cell>
          <cell r="AU326">
            <v>27.35664447156185</v>
          </cell>
          <cell r="AV326">
            <v>35.886833811337198</v>
          </cell>
          <cell r="AW326">
            <v>42.551935237476016</v>
          </cell>
          <cell r="AX326">
            <v>35.385148944405387</v>
          </cell>
          <cell r="AY326">
            <v>43.201647165956501</v>
          </cell>
          <cell r="AZ326">
            <v>40.055849209102746</v>
          </cell>
          <cell r="BA326">
            <v>40.359569809297909</v>
          </cell>
          <cell r="BB326">
            <v>34.375678228301354</v>
          </cell>
          <cell r="BC326">
            <v>31.732233147286706</v>
          </cell>
          <cell r="BD326">
            <v>31.843430486700811</v>
          </cell>
          <cell r="BE326">
            <v>30.75010664621891</v>
          </cell>
          <cell r="BF326">
            <v>37.478020092626878</v>
          </cell>
        </row>
        <row r="327">
          <cell r="I327">
            <v>16.3</v>
          </cell>
          <cell r="J327">
            <v>16.3</v>
          </cell>
          <cell r="K327">
            <v>11.89</v>
          </cell>
          <cell r="L327">
            <v>13.750062499999993</v>
          </cell>
          <cell r="M327">
            <v>14.540937499999986</v>
          </cell>
          <cell r="N327">
            <v>15.7</v>
          </cell>
          <cell r="O327">
            <v>19.100000000000001</v>
          </cell>
          <cell r="P327">
            <v>20.6</v>
          </cell>
          <cell r="Q327">
            <v>19.399999999999999</v>
          </cell>
          <cell r="R327">
            <v>24.673999999999999</v>
          </cell>
          <cell r="S327">
            <v>19.805</v>
          </cell>
          <cell r="T327">
            <v>30.946739130434779</v>
          </cell>
          <cell r="U327">
            <v>27.607347826086965</v>
          </cell>
          <cell r="V327">
            <v>24.267956521739151</v>
          </cell>
          <cell r="W327">
            <v>20.928565217391338</v>
          </cell>
          <cell r="X327">
            <v>19.844000000000001</v>
          </cell>
          <cell r="Y327">
            <v>20.43</v>
          </cell>
          <cell r="Z327">
            <v>24.16</v>
          </cell>
          <cell r="AA327">
            <v>24.43</v>
          </cell>
          <cell r="AB327">
            <v>28.407</v>
          </cell>
          <cell r="AC327">
            <v>25.233000000000001</v>
          </cell>
          <cell r="AD327">
            <v>30.72</v>
          </cell>
          <cell r="AE327">
            <v>24.466999999999999</v>
          </cell>
          <cell r="AF327">
            <v>27.029</v>
          </cell>
          <cell r="AG327">
            <v>30.935348111263238</v>
          </cell>
          <cell r="AH327">
            <v>34.63914649279431</v>
          </cell>
          <cell r="AI327">
            <v>58.731928513495575</v>
          </cell>
          <cell r="AJ327">
            <v>30.325026740930184</v>
          </cell>
          <cell r="AK327">
            <v>34.81388837495669</v>
          </cell>
          <cell r="AL327">
            <v>36.583183221369438</v>
          </cell>
          <cell r="AM327">
            <v>50.044529995083764</v>
          </cell>
          <cell r="AN327">
            <v>59.794946173199861</v>
          </cell>
          <cell r="AO327">
            <v>56.06270231504169</v>
          </cell>
          <cell r="AP327">
            <v>46.990705872104343</v>
          </cell>
          <cell r="AQ327">
            <v>28.272342535809429</v>
          </cell>
          <cell r="AR327">
            <v>24.017177228617811</v>
          </cell>
          <cell r="AS327">
            <v>29.001066919366394</v>
          </cell>
          <cell r="AT327">
            <v>23.319583033534059</v>
          </cell>
          <cell r="AU327">
            <v>33.035094428266007</v>
          </cell>
          <cell r="AV327">
            <v>46.564696804556803</v>
          </cell>
          <cell r="AW327">
            <v>57.126820044502068</v>
          </cell>
          <cell r="AX327">
            <v>49.513896434789956</v>
          </cell>
          <cell r="AY327">
            <v>57.918062633544736</v>
          </cell>
          <cell r="AZ327">
            <v>53.526248208915092</v>
          </cell>
          <cell r="BA327">
            <v>50.16388317235112</v>
          </cell>
          <cell r="BB327">
            <v>41.60830071015755</v>
          </cell>
          <cell r="BC327">
            <v>37.658478902576064</v>
          </cell>
          <cell r="BD327">
            <v>38.898193675805658</v>
          </cell>
          <cell r="BE327">
            <v>39.801546850728926</v>
          </cell>
          <cell r="BF327">
            <v>49.835593956384002</v>
          </cell>
        </row>
        <row r="328">
          <cell r="I328">
            <v>16.3</v>
          </cell>
          <cell r="J328">
            <v>16.3</v>
          </cell>
          <cell r="K328">
            <v>12.490500000000001</v>
          </cell>
          <cell r="L328">
            <v>13.815968749999993</v>
          </cell>
          <cell r="M328">
            <v>14.606843749999985</v>
          </cell>
          <cell r="N328">
            <v>18</v>
          </cell>
          <cell r="O328">
            <v>18.399999999999999</v>
          </cell>
          <cell r="P328">
            <v>25.6</v>
          </cell>
          <cell r="Q328">
            <v>20.7</v>
          </cell>
          <cell r="R328">
            <v>26.462</v>
          </cell>
          <cell r="S328">
            <v>25.762</v>
          </cell>
          <cell r="T328">
            <v>30.668456521739127</v>
          </cell>
          <cell r="U328">
            <v>27.329065217391314</v>
          </cell>
          <cell r="V328">
            <v>23.9896739130435</v>
          </cell>
          <cell r="W328">
            <v>20.650282608695687</v>
          </cell>
          <cell r="X328">
            <v>21.347000000000001</v>
          </cell>
          <cell r="Y328">
            <v>23.706</v>
          </cell>
          <cell r="Z328">
            <v>23.826000000000001</v>
          </cell>
          <cell r="AA328">
            <v>23.19</v>
          </cell>
          <cell r="AB328">
            <v>28.613</v>
          </cell>
          <cell r="AC328">
            <v>27.298999999999999</v>
          </cell>
          <cell r="AD328">
            <v>35.677999999999997</v>
          </cell>
          <cell r="AE328">
            <v>25.213999999999999</v>
          </cell>
          <cell r="AF328">
            <v>32.648000000000003</v>
          </cell>
          <cell r="AG328">
            <v>39.120770100491598</v>
          </cell>
          <cell r="AH328">
            <v>41.82253886517509</v>
          </cell>
          <cell r="AI328">
            <v>65.998709925685006</v>
          </cell>
          <cell r="AJ328">
            <v>36.966768249823446</v>
          </cell>
          <cell r="AK328">
            <v>42.288202090747689</v>
          </cell>
          <cell r="AL328">
            <v>51.223440787894702</v>
          </cell>
          <cell r="AM328">
            <v>68.142993206498062</v>
          </cell>
          <cell r="AN328">
            <v>86.855868062897827</v>
          </cell>
          <cell r="AO328">
            <v>82.460808759350414</v>
          </cell>
          <cell r="AP328">
            <v>70.667322757517667</v>
          </cell>
          <cell r="AQ328">
            <v>46.286393952575963</v>
          </cell>
          <cell r="AR328">
            <v>42.558870647786478</v>
          </cell>
          <cell r="AS328">
            <v>40.851836662805425</v>
          </cell>
          <cell r="AT328">
            <v>34.793283765631827</v>
          </cell>
          <cell r="AU328">
            <v>47.68908098969942</v>
          </cell>
          <cell r="AV328">
            <v>67.565893906129759</v>
          </cell>
          <cell r="AW328">
            <v>83.452942831314431</v>
          </cell>
          <cell r="AX328">
            <v>77.189786556115678</v>
          </cell>
          <cell r="AY328">
            <v>86.986878612928166</v>
          </cell>
          <cell r="AZ328">
            <v>82.448413874250065</v>
          </cell>
          <cell r="BA328">
            <v>74.302402971872823</v>
          </cell>
          <cell r="BB328">
            <v>62.130962575341357</v>
          </cell>
          <cell r="BC328">
            <v>55.857222017884794</v>
          </cell>
          <cell r="BD328">
            <v>57.786059198513556</v>
          </cell>
          <cell r="BE328">
            <v>60.624401775964884</v>
          </cell>
          <cell r="BF328">
            <v>75.322026529843242</v>
          </cell>
        </row>
        <row r="329">
          <cell r="I329">
            <v>16.3</v>
          </cell>
          <cell r="J329">
            <v>16.3</v>
          </cell>
          <cell r="K329">
            <v>13.090999999999999</v>
          </cell>
          <cell r="L329">
            <v>13.881874999999992</v>
          </cell>
          <cell r="M329">
            <v>14.672749999999985</v>
          </cell>
          <cell r="N329">
            <v>19.7</v>
          </cell>
          <cell r="O329">
            <v>18.399999999999999</v>
          </cell>
          <cell r="P329">
            <v>32</v>
          </cell>
          <cell r="Q329">
            <v>23.5</v>
          </cell>
          <cell r="R329">
            <v>29.337</v>
          </cell>
          <cell r="S329">
            <v>26.477</v>
          </cell>
          <cell r="T329">
            <v>30.390173913043476</v>
          </cell>
          <cell r="U329">
            <v>27.050782608695663</v>
          </cell>
          <cell r="V329">
            <v>23.711391304347849</v>
          </cell>
          <cell r="W329">
            <v>20.372</v>
          </cell>
          <cell r="X329">
            <v>21.55</v>
          </cell>
          <cell r="Y329">
            <v>22.148</v>
          </cell>
          <cell r="Z329">
            <v>26.335999999999999</v>
          </cell>
          <cell r="AA329">
            <v>26.530999999999999</v>
          </cell>
          <cell r="AB329">
            <v>36.139000000000003</v>
          </cell>
          <cell r="AC329">
            <v>31.885999999999999</v>
          </cell>
          <cell r="AD329">
            <v>34.055</v>
          </cell>
          <cell r="AE329">
            <v>20.943999999999999</v>
          </cell>
          <cell r="AF329">
            <v>31.475000000000001</v>
          </cell>
          <cell r="AG329">
            <v>32.699134043619978</v>
          </cell>
          <cell r="AH329">
            <v>33.16010607296846</v>
          </cell>
          <cell r="AI329">
            <v>55.369750658098155</v>
          </cell>
          <cell r="AJ329">
            <v>32.78010105510981</v>
          </cell>
          <cell r="AK329">
            <v>36.622555970568669</v>
          </cell>
          <cell r="AL329">
            <v>46.934058485327313</v>
          </cell>
          <cell r="AM329">
            <v>63.334860802864029</v>
          </cell>
          <cell r="AN329">
            <v>82.144854887109176</v>
          </cell>
          <cell r="AO329">
            <v>78.050223965297903</v>
          </cell>
          <cell r="AP329">
            <v>63.877378949892091</v>
          </cell>
          <cell r="AQ329">
            <v>35.707027540677217</v>
          </cell>
          <cell r="AR329">
            <v>34.716803783617877</v>
          </cell>
          <cell r="AS329">
            <v>32.030620242556239</v>
          </cell>
          <cell r="AT329">
            <v>24.614252528344167</v>
          </cell>
          <cell r="AU329">
            <v>39.166575295180053</v>
          </cell>
          <cell r="AV329">
            <v>62.268332715343149</v>
          </cell>
          <cell r="AW329">
            <v>78.477114760529332</v>
          </cell>
          <cell r="AX329">
            <v>69.386503923676401</v>
          </cell>
          <cell r="AY329">
            <v>78.715753943761058</v>
          </cell>
          <cell r="AZ329">
            <v>73.428791525045312</v>
          </cell>
          <cell r="BA329">
            <v>63.605592026294858</v>
          </cell>
          <cell r="BB329">
            <v>50.582117230951951</v>
          </cell>
          <cell r="BC329">
            <v>44.184346667121531</v>
          </cell>
          <cell r="BD329">
            <v>47.795690040965439</v>
          </cell>
          <cell r="BE329">
            <v>51.756759036838275</v>
          </cell>
          <cell r="BF329">
            <v>67.805092278657526</v>
          </cell>
        </row>
        <row r="330">
          <cell r="I330">
            <v>16.3</v>
          </cell>
          <cell r="J330">
            <v>16.3</v>
          </cell>
          <cell r="K330">
            <v>13.156906249999999</v>
          </cell>
          <cell r="L330">
            <v>13.947781249999991</v>
          </cell>
          <cell r="M330">
            <v>14.738656249999984</v>
          </cell>
          <cell r="N330">
            <v>18</v>
          </cell>
          <cell r="O330">
            <v>23.6</v>
          </cell>
          <cell r="P330">
            <v>32.9</v>
          </cell>
          <cell r="Q330">
            <v>21.6</v>
          </cell>
          <cell r="R330">
            <v>27.254000000000001</v>
          </cell>
          <cell r="S330">
            <v>31.004999999999999</v>
          </cell>
          <cell r="T330">
            <v>30.111891304347825</v>
          </cell>
          <cell r="U330">
            <v>26.772500000000012</v>
          </cell>
          <cell r="V330">
            <v>23.433108695652198</v>
          </cell>
          <cell r="W330">
            <v>15.85</v>
          </cell>
          <cell r="X330">
            <v>21.713999999999999</v>
          </cell>
          <cell r="Y330">
            <v>25.882999999999999</v>
          </cell>
          <cell r="Z330">
            <v>29.396000000000001</v>
          </cell>
          <cell r="AA330">
            <v>27.684999999999999</v>
          </cell>
          <cell r="AB330">
            <v>36.180999999999997</v>
          </cell>
          <cell r="AC330">
            <v>35.052</v>
          </cell>
          <cell r="AD330">
            <v>32.109000000000002</v>
          </cell>
          <cell r="AE330">
            <v>27.951000000000001</v>
          </cell>
          <cell r="AF330">
            <v>30.114000000000001</v>
          </cell>
          <cell r="AG330">
            <v>28.497246218444332</v>
          </cell>
          <cell r="AH330">
            <v>27.344602749043901</v>
          </cell>
          <cell r="AI330">
            <v>46.508506119575003</v>
          </cell>
          <cell r="AJ330">
            <v>30.709363946027139</v>
          </cell>
          <cell r="AK330">
            <v>32.797420654027121</v>
          </cell>
          <cell r="AL330">
            <v>41.367778402616636</v>
          </cell>
          <cell r="AM330">
            <v>62.310996123689876</v>
          </cell>
          <cell r="AN330">
            <v>85.099065611588571</v>
          </cell>
          <cell r="AO330">
            <v>78.357109828260832</v>
          </cell>
          <cell r="AP330">
            <v>63.391668852558496</v>
          </cell>
          <cell r="AQ330">
            <v>35.672454939959152</v>
          </cell>
          <cell r="AR330">
            <v>31.458686631401605</v>
          </cell>
          <cell r="AS330">
            <v>24.855878275040368</v>
          </cell>
          <cell r="AT330">
            <v>15.60749667128664</v>
          </cell>
          <cell r="AU330">
            <v>32.244216589531334</v>
          </cell>
          <cell r="AV330">
            <v>59.916629888239356</v>
          </cell>
          <cell r="AW330">
            <v>76.991312047779786</v>
          </cell>
          <cell r="AX330">
            <v>66.179575726960877</v>
          </cell>
          <cell r="AY330">
            <v>77.89884243392072</v>
          </cell>
          <cell r="AZ330">
            <v>72.153120097529268</v>
          </cell>
          <cell r="BA330">
            <v>59.230440421618312</v>
          </cell>
          <cell r="BB330">
            <v>44.517291400237013</v>
          </cell>
          <cell r="BC330">
            <v>36.925720452956966</v>
          </cell>
          <cell r="BD330">
            <v>40.456393095949522</v>
          </cell>
          <cell r="BE330">
            <v>45.298834474730768</v>
          </cell>
          <cell r="BF330">
            <v>63.396908701075347</v>
          </cell>
        </row>
        <row r="331">
          <cell r="I331">
            <v>16.3</v>
          </cell>
          <cell r="J331">
            <v>16.3</v>
          </cell>
          <cell r="K331">
            <v>13.222812499999998</v>
          </cell>
          <cell r="L331">
            <v>14.013687499999991</v>
          </cell>
          <cell r="M331">
            <v>14.804562499999983</v>
          </cell>
          <cell r="N331">
            <v>16.7</v>
          </cell>
          <cell r="O331">
            <v>22.9</v>
          </cell>
          <cell r="P331">
            <v>30.8</v>
          </cell>
          <cell r="Q331">
            <v>28.2</v>
          </cell>
          <cell r="R331">
            <v>23.119</v>
          </cell>
          <cell r="S331">
            <v>33.173000000000002</v>
          </cell>
          <cell r="T331">
            <v>29.833608695652174</v>
          </cell>
          <cell r="U331">
            <v>26.49421739130436</v>
          </cell>
          <cell r="V331">
            <v>23.154826086956547</v>
          </cell>
          <cell r="W331">
            <v>18.658000000000001</v>
          </cell>
          <cell r="X331">
            <v>21.652000000000001</v>
          </cell>
          <cell r="Y331">
            <v>24.498999999999999</v>
          </cell>
          <cell r="Z331">
            <v>27.600999999999999</v>
          </cell>
          <cell r="AA331">
            <v>26.6</v>
          </cell>
          <cell r="AB331">
            <v>31.553000000000001</v>
          </cell>
          <cell r="AC331">
            <v>31.390999999999998</v>
          </cell>
          <cell r="AD331">
            <v>30.93</v>
          </cell>
          <cell r="AE331">
            <v>24.055</v>
          </cell>
          <cell r="AF331">
            <v>36.607999999999997</v>
          </cell>
          <cell r="AG331">
            <v>35.989436074907871</v>
          </cell>
          <cell r="AH331">
            <v>34.331966378966627</v>
          </cell>
          <cell r="AI331">
            <v>50.83021358698835</v>
          </cell>
          <cell r="AJ331">
            <v>41.48770747247832</v>
          </cell>
          <cell r="AK331">
            <v>38.523335419621418</v>
          </cell>
          <cell r="AL331">
            <v>45.707171757848641</v>
          </cell>
          <cell r="AM331">
            <v>68.155658956143554</v>
          </cell>
          <cell r="AN331">
            <v>98.533010546713967</v>
          </cell>
          <cell r="AO331">
            <v>90.085087078480171</v>
          </cell>
          <cell r="AP331">
            <v>76.49325501973658</v>
          </cell>
          <cell r="AQ331">
            <v>48.448719902542962</v>
          </cell>
          <cell r="AR331">
            <v>46.092416650931028</v>
          </cell>
          <cell r="AS331">
            <v>33.079273500119228</v>
          </cell>
          <cell r="AT331">
            <v>21.283163600536369</v>
          </cell>
          <cell r="AU331">
            <v>38.449075128037236</v>
          </cell>
          <cell r="AV331">
            <v>69.974406950867888</v>
          </cell>
          <cell r="AW331">
            <v>87.674943864367833</v>
          </cell>
          <cell r="AX331">
            <v>76.240656661896367</v>
          </cell>
          <cell r="AY331">
            <v>91.005431777863862</v>
          </cell>
          <cell r="AZ331">
            <v>87.426215379454078</v>
          </cell>
          <cell r="BA331">
            <v>72.530177668665146</v>
          </cell>
          <cell r="BB331">
            <v>56.772337519517691</v>
          </cell>
          <cell r="BC331">
            <v>47.751434980154556</v>
          </cell>
          <cell r="BD331">
            <v>50.959834662043022</v>
          </cell>
          <cell r="BE331">
            <v>55.214110846941253</v>
          </cell>
          <cell r="BF331">
            <v>74.795465355954605</v>
          </cell>
        </row>
        <row r="332">
          <cell r="I332">
            <v>16.3</v>
          </cell>
          <cell r="J332">
            <v>16.3</v>
          </cell>
          <cell r="K332">
            <v>13.288718749999997</v>
          </cell>
          <cell r="L332">
            <v>14.07959374999999</v>
          </cell>
          <cell r="M332">
            <v>14.870468749999983</v>
          </cell>
          <cell r="N332">
            <v>12.6</v>
          </cell>
          <cell r="O332">
            <v>24.1</v>
          </cell>
          <cell r="P332">
            <v>33.9</v>
          </cell>
          <cell r="Q332">
            <v>27.1</v>
          </cell>
          <cell r="R332">
            <v>24.045999999999999</v>
          </cell>
          <cell r="S332">
            <v>32.894717391304347</v>
          </cell>
          <cell r="T332">
            <v>29.555326086956523</v>
          </cell>
          <cell r="U332">
            <v>26.215934782608709</v>
          </cell>
          <cell r="V332">
            <v>22.876543478260896</v>
          </cell>
          <cell r="W332">
            <v>18.193999999999999</v>
          </cell>
          <cell r="X332">
            <v>24.937000000000001</v>
          </cell>
          <cell r="Y332">
            <v>28.721</v>
          </cell>
          <cell r="Z332">
            <v>23.939</v>
          </cell>
          <cell r="AA332">
            <v>30.155999999999999</v>
          </cell>
          <cell r="AB332">
            <v>35.375999999999998</v>
          </cell>
          <cell r="AC332">
            <v>34.485999999999997</v>
          </cell>
          <cell r="AD332">
            <v>27.876000000000001</v>
          </cell>
          <cell r="AE332">
            <v>29.637</v>
          </cell>
          <cell r="AF332">
            <v>38.171999999999997</v>
          </cell>
          <cell r="AG332">
            <v>31.359077436674795</v>
          </cell>
          <cell r="AH332">
            <v>38.104496944917486</v>
          </cell>
          <cell r="AI332">
            <v>47.443815062025237</v>
          </cell>
          <cell r="AJ332">
            <v>46.999555639484441</v>
          </cell>
          <cell r="AK332">
            <v>43.426316048558931</v>
          </cell>
          <cell r="AL332">
            <v>45.960092404218017</v>
          </cell>
          <cell r="AM332">
            <v>60.022755048489643</v>
          </cell>
          <cell r="AN332">
            <v>92.009845730965253</v>
          </cell>
          <cell r="AO332">
            <v>79.64247552702173</v>
          </cell>
          <cell r="AP332">
            <v>64.827424159647563</v>
          </cell>
          <cell r="AQ332">
            <v>42.6780321422452</v>
          </cell>
          <cell r="AR332">
            <v>45.230109172199775</v>
          </cell>
          <cell r="AS332">
            <v>35.383970083312619</v>
          </cell>
          <cell r="AT332">
            <v>22.853477126434854</v>
          </cell>
          <cell r="AU332">
            <v>38.142865615446681</v>
          </cell>
          <cell r="AV332">
            <v>70.571622762230959</v>
          </cell>
          <cell r="AW332">
            <v>84.739728282925626</v>
          </cell>
          <cell r="AX332">
            <v>66.6519140627654</v>
          </cell>
          <cell r="AY332">
            <v>81.025272100263805</v>
          </cell>
          <cell r="AZ332">
            <v>79.236517309915428</v>
          </cell>
          <cell r="BA332">
            <v>65.590335894669408</v>
          </cell>
          <cell r="BB332">
            <v>53.087694237988273</v>
          </cell>
          <cell r="BC332">
            <v>46.94368319658463</v>
          </cell>
          <cell r="BD332">
            <v>51.915182420272913</v>
          </cell>
          <cell r="BE332">
            <v>56.014502931265838</v>
          </cell>
          <cell r="BF332">
            <v>73.894537845915465</v>
          </cell>
        </row>
        <row r="353">
          <cell r="K353" t="e">
            <v>#REF!</v>
          </cell>
          <cell r="L353" t="e">
            <v>#REF!</v>
          </cell>
          <cell r="M353" t="e">
            <v>#REF!</v>
          </cell>
          <cell r="N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  <cell r="T353" t="e">
            <v>#REF!</v>
          </cell>
          <cell r="U353" t="e">
            <v>#REF!</v>
          </cell>
          <cell r="V353" t="e">
            <v>#REF!</v>
          </cell>
          <cell r="W353" t="e">
            <v>#REF!</v>
          </cell>
          <cell r="X353" t="e">
            <v>#REF!</v>
          </cell>
          <cell r="Y353" t="e">
            <v>#REF!</v>
          </cell>
          <cell r="Z353" t="e">
            <v>#REF!</v>
          </cell>
          <cell r="AA353" t="e">
            <v>#REF!</v>
          </cell>
        </row>
        <row r="354">
          <cell r="K354" t="e">
            <v>#REF!</v>
          </cell>
          <cell r="L354" t="e">
            <v>#REF!</v>
          </cell>
          <cell r="M354" t="e">
            <v>#REF!</v>
          </cell>
          <cell r="N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  <cell r="T354" t="e">
            <v>#REF!</v>
          </cell>
          <cell r="U354" t="e">
            <v>#REF!</v>
          </cell>
          <cell r="V354" t="e">
            <v>#REF!</v>
          </cell>
          <cell r="W354" t="e">
            <v>#REF!</v>
          </cell>
          <cell r="X354" t="e">
            <v>#REF!</v>
          </cell>
          <cell r="Y354" t="e">
            <v>#REF!</v>
          </cell>
          <cell r="Z354" t="e">
            <v>#REF!</v>
          </cell>
          <cell r="AA354" t="e">
            <v>#REF!</v>
          </cell>
        </row>
        <row r="355">
          <cell r="K355" t="e">
            <v>#REF!</v>
          </cell>
          <cell r="L355" t="e">
            <v>#REF!</v>
          </cell>
          <cell r="M355" t="e">
            <v>#REF!</v>
          </cell>
          <cell r="N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  <cell r="T355" t="e">
            <v>#REF!</v>
          </cell>
          <cell r="U355" t="e">
            <v>#REF!</v>
          </cell>
          <cell r="V355" t="e">
            <v>#REF!</v>
          </cell>
          <cell r="W355" t="e">
            <v>#REF!</v>
          </cell>
          <cell r="X355" t="e">
            <v>#REF!</v>
          </cell>
          <cell r="Y355" t="e">
            <v>#REF!</v>
          </cell>
          <cell r="Z355" t="e">
            <v>#REF!</v>
          </cell>
          <cell r="AA355" t="e">
            <v>#REF!</v>
          </cell>
        </row>
        <row r="356">
          <cell r="J356" t="e">
            <v>#REF!</v>
          </cell>
          <cell r="K356" t="e">
            <v>#REF!</v>
          </cell>
          <cell r="L356" t="e">
            <v>#REF!</v>
          </cell>
          <cell r="M356" t="e">
            <v>#REF!</v>
          </cell>
          <cell r="N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  <cell r="T356" t="e">
            <v>#REF!</v>
          </cell>
          <cell r="U356" t="e">
            <v>#REF!</v>
          </cell>
          <cell r="V356" t="e">
            <v>#REF!</v>
          </cell>
          <cell r="W356" t="e">
            <v>#REF!</v>
          </cell>
          <cell r="X356" t="e">
            <v>#REF!</v>
          </cell>
          <cell r="Y356" t="e">
            <v>#REF!</v>
          </cell>
          <cell r="Z356" t="e">
            <v>#REF!</v>
          </cell>
        </row>
        <row r="357">
          <cell r="J357" t="e">
            <v>#REF!</v>
          </cell>
          <cell r="K357" t="e">
            <v>#REF!</v>
          </cell>
          <cell r="L357" t="e">
            <v>#REF!</v>
          </cell>
          <cell r="M357" t="e">
            <v>#REF!</v>
          </cell>
          <cell r="N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  <cell r="T357" t="e">
            <v>#REF!</v>
          </cell>
          <cell r="U357" t="e">
            <v>#REF!</v>
          </cell>
          <cell r="V357" t="e">
            <v>#REF!</v>
          </cell>
          <cell r="W357" t="e">
            <v>#REF!</v>
          </cell>
          <cell r="X357" t="e">
            <v>#REF!</v>
          </cell>
          <cell r="Y357" t="e">
            <v>#REF!</v>
          </cell>
          <cell r="Z357" t="e">
            <v>#REF!</v>
          </cell>
        </row>
        <row r="358">
          <cell r="J358" t="e">
            <v>#REF!</v>
          </cell>
          <cell r="K358" t="e">
            <v>#REF!</v>
          </cell>
          <cell r="L358" t="e">
            <v>#REF!</v>
          </cell>
          <cell r="M358" t="e">
            <v>#REF!</v>
          </cell>
          <cell r="N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  <cell r="T358" t="e">
            <v>#REF!</v>
          </cell>
          <cell r="U358" t="e">
            <v>#REF!</v>
          </cell>
          <cell r="V358" t="e">
            <v>#REF!</v>
          </cell>
          <cell r="W358" t="e">
            <v>#REF!</v>
          </cell>
          <cell r="X358" t="e">
            <v>#REF!</v>
          </cell>
          <cell r="Y358" t="e">
            <v>#REF!</v>
          </cell>
          <cell r="Z358" t="e">
            <v>#REF!</v>
          </cell>
        </row>
        <row r="359">
          <cell r="J359" t="e">
            <v>#REF!</v>
          </cell>
          <cell r="K359" t="e">
            <v>#REF!</v>
          </cell>
          <cell r="L359" t="e">
            <v>#REF!</v>
          </cell>
          <cell r="M359" t="e">
            <v>#REF!</v>
          </cell>
          <cell r="N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  <cell r="T359" t="e">
            <v>#REF!</v>
          </cell>
          <cell r="U359" t="e">
            <v>#REF!</v>
          </cell>
          <cell r="V359" t="e">
            <v>#REF!</v>
          </cell>
          <cell r="W359" t="e">
            <v>#REF!</v>
          </cell>
          <cell r="X359" t="e">
            <v>#REF!</v>
          </cell>
          <cell r="Y359" t="e">
            <v>#REF!</v>
          </cell>
          <cell r="Z359" t="e">
            <v>#REF!</v>
          </cell>
        </row>
        <row r="360">
          <cell r="J360" t="e">
            <v>#REF!</v>
          </cell>
          <cell r="K360" t="e">
            <v>#REF!</v>
          </cell>
          <cell r="L360" t="e">
            <v>#REF!</v>
          </cell>
          <cell r="M360" t="e">
            <v>#REF!</v>
          </cell>
          <cell r="N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  <cell r="T360" t="e">
            <v>#REF!</v>
          </cell>
          <cell r="U360" t="e">
            <v>#REF!</v>
          </cell>
          <cell r="V360" t="e">
            <v>#REF!</v>
          </cell>
          <cell r="W360" t="e">
            <v>#REF!</v>
          </cell>
          <cell r="X360" t="e">
            <v>#REF!</v>
          </cell>
          <cell r="Y360" t="e">
            <v>#REF!</v>
          </cell>
          <cell r="Z360" t="e">
            <v>#REF!</v>
          </cell>
        </row>
        <row r="361">
          <cell r="J361" t="e">
            <v>#REF!</v>
          </cell>
          <cell r="K361" t="e">
            <v>#REF!</v>
          </cell>
          <cell r="L361" t="e">
            <v>#REF!</v>
          </cell>
          <cell r="M361" t="e">
            <v>#REF!</v>
          </cell>
          <cell r="N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  <cell r="T361" t="e">
            <v>#REF!</v>
          </cell>
          <cell r="U361" t="e">
            <v>#REF!</v>
          </cell>
          <cell r="V361" t="e">
            <v>#REF!</v>
          </cell>
          <cell r="W361" t="e">
            <v>#REF!</v>
          </cell>
          <cell r="X361" t="e">
            <v>#REF!</v>
          </cell>
          <cell r="Y361" t="e">
            <v>#REF!</v>
          </cell>
          <cell r="Z361" t="e">
            <v>#REF!</v>
          </cell>
        </row>
        <row r="362">
          <cell r="J362" t="e">
            <v>#REF!</v>
          </cell>
          <cell r="K362" t="e">
            <v>#REF!</v>
          </cell>
          <cell r="L362" t="e">
            <v>#REF!</v>
          </cell>
          <cell r="M362" t="e">
            <v>#REF!</v>
          </cell>
          <cell r="N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  <cell r="T362" t="e">
            <v>#REF!</v>
          </cell>
          <cell r="U362" t="e">
            <v>#REF!</v>
          </cell>
          <cell r="V362" t="e">
            <v>#REF!</v>
          </cell>
          <cell r="W362" t="e">
            <v>#REF!</v>
          </cell>
          <cell r="X362" t="e">
            <v>#REF!</v>
          </cell>
          <cell r="Y362" t="e">
            <v>#REF!</v>
          </cell>
          <cell r="Z362" t="e">
            <v>#REF!</v>
          </cell>
        </row>
        <row r="363">
          <cell r="J363" t="e">
            <v>#REF!</v>
          </cell>
          <cell r="K363" t="e">
            <v>#REF!</v>
          </cell>
          <cell r="L363" t="e">
            <v>#REF!</v>
          </cell>
          <cell r="M363" t="e">
            <v>#REF!</v>
          </cell>
          <cell r="N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  <cell r="T363" t="e">
            <v>#REF!</v>
          </cell>
          <cell r="U363" t="e">
            <v>#REF!</v>
          </cell>
          <cell r="V363" t="e">
            <v>#REF!</v>
          </cell>
          <cell r="W363" t="e">
            <v>#REF!</v>
          </cell>
          <cell r="X363" t="e">
            <v>#REF!</v>
          </cell>
          <cell r="Y363" t="e">
            <v>#REF!</v>
          </cell>
          <cell r="Z363" t="e">
            <v>#REF!</v>
          </cell>
        </row>
        <row r="364">
          <cell r="J364" t="e">
            <v>#REF!</v>
          </cell>
          <cell r="K364" t="e">
            <v>#REF!</v>
          </cell>
          <cell r="L364" t="e">
            <v>#REF!</v>
          </cell>
          <cell r="M364" t="e">
            <v>#REF!</v>
          </cell>
          <cell r="N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  <cell r="T364" t="e">
            <v>#REF!</v>
          </cell>
          <cell r="U364" t="e">
            <v>#REF!</v>
          </cell>
          <cell r="V364" t="e">
            <v>#REF!</v>
          </cell>
          <cell r="W364" t="e">
            <v>#REF!</v>
          </cell>
          <cell r="X364" t="e">
            <v>#REF!</v>
          </cell>
          <cell r="Y364" t="e">
            <v>#REF!</v>
          </cell>
          <cell r="Z364" t="e">
            <v>#REF!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dates"/>
      <sheetName val="Biofuel Volumes"/>
      <sheetName val="Processing Tech Breakdown"/>
      <sheetName val="Credit Prices"/>
      <sheetName val="Price Spread Comp"/>
      <sheetName val="chart_FnGImports"/>
      <sheetName val="chart_FnGProd"/>
      <sheetName val="chart_FnGSND"/>
      <sheetName val="Chart1"/>
      <sheetName val="chart_SBO"/>
      <sheetName val="chart_VOuseanddemand"/>
      <sheetName val="Total Feedstocks"/>
      <sheetName val="Veg Oils"/>
      <sheetName val="Fats and Grease"/>
      <sheetName val="SBO"/>
      <sheetName val="Canola Oil"/>
      <sheetName val="DCO"/>
      <sheetName val="Inedible Tallow"/>
      <sheetName val="UCO-YG"/>
      <sheetName val="UCO"/>
      <sheetName val="Yellow Grease"/>
      <sheetName val="CWG"/>
      <sheetName val="Poultry Fat"/>
      <sheetName val="Feedstocks Comp"/>
      <sheetName val="Veg Oils Comp"/>
      <sheetName val="Fat and Grease Comp"/>
      <sheetName val="SBO Comp"/>
      <sheetName val="Canola Oil Comp"/>
      <sheetName val="CWG Comp"/>
      <sheetName val="UCO-YG Comp"/>
      <sheetName val="UCO Comp"/>
      <sheetName val="YG Comp"/>
      <sheetName val="Tallow Comp"/>
      <sheetName val="Poultry Fat Comp"/>
      <sheetName val="DCO Comp"/>
    </sheetNames>
    <sheetDataSet>
      <sheetData sheetId="0"/>
      <sheetData sheetId="1"/>
      <sheetData sheetId="2"/>
      <sheetData sheetId="3"/>
      <sheetData sheetId="4"/>
      <sheetData sheetId="11">
        <row r="3">
          <cell r="AC3">
            <v>2020</v>
          </cell>
          <cell r="AD3">
            <v>2021</v>
          </cell>
          <cell r="AE3">
            <v>2022</v>
          </cell>
          <cell r="AF3">
            <v>2023</v>
          </cell>
          <cell r="AG3">
            <v>2024</v>
          </cell>
          <cell r="AH3">
            <v>2025</v>
          </cell>
          <cell r="AI3">
            <v>2026</v>
          </cell>
          <cell r="AJ3">
            <v>2027</v>
          </cell>
          <cell r="AK3">
            <v>2028</v>
          </cell>
          <cell r="AL3">
            <v>2029</v>
          </cell>
          <cell r="AM3">
            <v>2030</v>
          </cell>
          <cell r="AN3">
            <v>2031</v>
          </cell>
          <cell r="AO3">
            <v>2032</v>
          </cell>
          <cell r="AP3">
            <v>2033</v>
          </cell>
        </row>
        <row r="10">
          <cell r="B10" t="str">
            <v xml:space="preserve">    Biodiesel Production</v>
          </cell>
          <cell r="AC10">
            <v>13317.683514083714</v>
          </cell>
          <cell r="AD10">
            <v>11980.644248205346</v>
          </cell>
          <cell r="AE10">
            <v>13513.514252990692</v>
          </cell>
          <cell r="AF10">
            <v>14501.796388009625</v>
          </cell>
          <cell r="AG10">
            <v>13250.44206389081</v>
          </cell>
          <cell r="AH10">
            <v>12713.131995781107</v>
          </cell>
          <cell r="AI10">
            <v>11900.774862198294</v>
          </cell>
          <cell r="AJ10">
            <v>12005.601921959893</v>
          </cell>
          <cell r="AK10">
            <v>9419.5726943244954</v>
          </cell>
          <cell r="AL10">
            <v>10329.526639069907</v>
          </cell>
          <cell r="AM10">
            <v>10339.567382772821</v>
          </cell>
          <cell r="AN10">
            <v>10213.095589937433</v>
          </cell>
          <cell r="AO10">
            <v>10685.49495656229</v>
          </cell>
          <cell r="AP10">
            <v>9060.1252866962386</v>
          </cell>
        </row>
        <row r="11">
          <cell r="B11" t="str">
            <v xml:space="preserve">    Renewable Diesel Production</v>
          </cell>
          <cell r="AC11">
            <v>5787.3095791019587</v>
          </cell>
          <cell r="AD11">
            <v>7688.7050601534829</v>
          </cell>
          <cell r="AE11">
            <v>16229.87020873692</v>
          </cell>
          <cell r="AF11">
            <v>25884.809785324931</v>
          </cell>
          <cell r="AG11">
            <v>31049.987234820295</v>
          </cell>
          <cell r="AH11">
            <v>26751.287012001849</v>
          </cell>
          <cell r="AI11">
            <v>35194.817950055767</v>
          </cell>
          <cell r="AJ11">
            <v>43882.572481888899</v>
          </cell>
          <cell r="AK11">
            <v>46865.698987669472</v>
          </cell>
          <cell r="AL11">
            <v>51259.884534014767</v>
          </cell>
          <cell r="AM11">
            <v>58697.172908928595</v>
          </cell>
          <cell r="AN11">
            <v>64623.95889170876</v>
          </cell>
          <cell r="AO11">
            <v>76789.358989154236</v>
          </cell>
          <cell r="AP11">
            <v>78307.292261151772</v>
          </cell>
        </row>
      </sheetData>
      <sheetData sheetId="12">
        <row r="13">
          <cell r="AC13">
            <v>35390.276030000008</v>
          </cell>
          <cell r="AD13">
            <v>35416.187150901998</v>
          </cell>
          <cell r="AE13">
            <v>36365.937473434038</v>
          </cell>
          <cell r="AF13">
            <v>41276.010466577805</v>
          </cell>
          <cell r="AG13">
            <v>42671.540142413964</v>
          </cell>
          <cell r="AH13">
            <v>39970.951371336167</v>
          </cell>
          <cell r="AI13">
            <v>46342.504155280825</v>
          </cell>
          <cell r="AJ13">
            <v>47544.634288117391</v>
          </cell>
          <cell r="AK13">
            <v>48793.485772271233</v>
          </cell>
          <cell r="AL13">
            <v>50313.004640748695</v>
          </cell>
          <cell r="AM13">
            <v>53195.999015517846</v>
          </cell>
          <cell r="AN13">
            <v>54382.582408649381</v>
          </cell>
          <cell r="AO13">
            <v>57286.275780607255</v>
          </cell>
          <cell r="AP13">
            <v>58390.262484536477</v>
          </cell>
          <cell r="AQ13">
            <v>53523.77373352526</v>
          </cell>
        </row>
        <row r="29">
          <cell r="AC29">
            <v>33114.883030000005</v>
          </cell>
          <cell r="AD29">
            <v>32811.125150901993</v>
          </cell>
          <cell r="AE29">
            <v>33869.14747343403</v>
          </cell>
          <cell r="AF29">
            <v>39262.452466577801</v>
          </cell>
          <cell r="AG29">
            <v>40854.731142413963</v>
          </cell>
          <cell r="AH29">
            <v>38614.94722655473</v>
          </cell>
          <cell r="AI29">
            <v>44422.72487351286</v>
          </cell>
          <cell r="AJ29">
            <v>45646.220301751753</v>
          </cell>
          <cell r="AK29">
            <v>47116.48559109505</v>
          </cell>
          <cell r="AL29">
            <v>48534.838569589003</v>
          </cell>
          <cell r="AM29">
            <v>51464.595084472458</v>
          </cell>
          <cell r="AN29">
            <v>52586.786910600553</v>
          </cell>
          <cell r="AO29">
            <v>55218.303833861821</v>
          </cell>
          <cell r="AP29">
            <v>55642.936856180684</v>
          </cell>
          <cell r="AQ29">
            <v>50780.515245312752</v>
          </cell>
        </row>
      </sheetData>
      <sheetData sheetId="13">
        <row r="3">
          <cell r="AC3">
            <v>2020</v>
          </cell>
          <cell r="AD3">
            <v>2021</v>
          </cell>
          <cell r="AE3">
            <v>2022</v>
          </cell>
          <cell r="AF3">
            <v>2023</v>
          </cell>
          <cell r="AG3">
            <v>2024</v>
          </cell>
          <cell r="AH3">
            <v>2025</v>
          </cell>
          <cell r="AI3">
            <v>2026</v>
          </cell>
          <cell r="AJ3">
            <v>2027</v>
          </cell>
          <cell r="AK3">
            <v>2028</v>
          </cell>
          <cell r="AL3">
            <v>2029</v>
          </cell>
          <cell r="AM3">
            <v>2030</v>
          </cell>
          <cell r="AN3">
            <v>2031</v>
          </cell>
          <cell r="AO3">
            <v>2032</v>
          </cell>
          <cell r="AP3">
            <v>2033</v>
          </cell>
          <cell r="AQ3">
            <v>2034</v>
          </cell>
        </row>
        <row r="12">
          <cell r="B12" t="str">
            <v xml:space="preserve">  Inedible Tallow</v>
          </cell>
          <cell r="AC12">
            <v>3533.9079999999999</v>
          </cell>
          <cell r="AD12">
            <v>3941.5820000000003</v>
          </cell>
          <cell r="AE12">
            <v>3956.1569999999997</v>
          </cell>
          <cell r="AF12">
            <v>3834.4410000000003</v>
          </cell>
          <cell r="AG12">
            <v>3868.1689999999994</v>
          </cell>
          <cell r="AH12">
            <v>3672.2102363051767</v>
          </cell>
          <cell r="AI12">
            <v>3800.2059054833517</v>
          </cell>
          <cell r="AJ12">
            <v>3816.7812851756762</v>
          </cell>
          <cell r="AK12">
            <v>3842.6536210441036</v>
          </cell>
          <cell r="AL12">
            <v>3814.1209959381122</v>
          </cell>
          <cell r="AM12">
            <v>3792.3219390741287</v>
          </cell>
          <cell r="AN12">
            <v>3800.3809119683879</v>
          </cell>
          <cell r="AO12">
            <v>3864.7427727357135</v>
          </cell>
          <cell r="AP12">
            <v>3841.1174161669974</v>
          </cell>
          <cell r="AQ12">
            <v>3817.2951220271016</v>
          </cell>
        </row>
        <row r="13">
          <cell r="B13" t="str">
            <v xml:space="preserve">  Yellow Grease</v>
          </cell>
          <cell r="AC13">
            <v>1565.2837499999998</v>
          </cell>
          <cell r="AD13">
            <v>1653.135</v>
          </cell>
          <cell r="AE13">
            <v>1709.5342499999999</v>
          </cell>
          <cell r="AF13">
            <v>2023.5839999999998</v>
          </cell>
          <cell r="AG13">
            <v>2427.0750000000007</v>
          </cell>
          <cell r="AH13">
            <v>2446.3497536740574</v>
          </cell>
          <cell r="AI13">
            <v>2580.6790665163999</v>
          </cell>
          <cell r="AJ13">
            <v>2904.0413700618428</v>
          </cell>
          <cell r="AK13">
            <v>2993.8814748024829</v>
          </cell>
          <cell r="AL13">
            <v>2862.206040750074</v>
          </cell>
          <cell r="AM13">
            <v>3333.4196581373944</v>
          </cell>
          <cell r="AN13">
            <v>3729.6504012487248</v>
          </cell>
          <cell r="AO13">
            <v>4272.1154052396123</v>
          </cell>
          <cell r="AP13">
            <v>4505.4778726037002</v>
          </cell>
          <cell r="AQ13">
            <v>4613.181996473586</v>
          </cell>
        </row>
        <row r="14">
          <cell r="B14" t="str">
            <v xml:space="preserve">  Used Cooking Oil</v>
          </cell>
          <cell r="AC14">
            <v>1758.9907533554049</v>
          </cell>
          <cell r="AD14">
            <v>2330.1389352941178</v>
          </cell>
          <cell r="AE14">
            <v>3703.4203205882354</v>
          </cell>
          <cell r="AF14">
            <v>4549.9405588235286</v>
          </cell>
          <cell r="AG14">
            <v>4635.9424588235297</v>
          </cell>
          <cell r="AH14">
            <v>4757.1207450498396</v>
          </cell>
          <cell r="AI14">
            <v>5087.5918095525058</v>
          </cell>
          <cell r="AJ14">
            <v>5402.6459505659241</v>
          </cell>
          <cell r="AK14">
            <v>5758.4792914281707</v>
          </cell>
          <cell r="AL14">
            <v>6079.0711586302377</v>
          </cell>
          <cell r="AM14">
            <v>6654.286311724054</v>
          </cell>
          <cell r="AN14">
            <v>7053.3442043201621</v>
          </cell>
          <cell r="AO14">
            <v>7715.2205470299014</v>
          </cell>
          <cell r="AP14">
            <v>8123.4189047943655</v>
          </cell>
          <cell r="AQ14">
            <v>9559.9418231207947</v>
          </cell>
        </row>
        <row r="15">
          <cell r="B15" t="str">
            <v xml:space="preserve">  Choice White Grease</v>
          </cell>
          <cell r="AC15">
            <v>1315.174</v>
          </cell>
          <cell r="AD15">
            <v>1247.52</v>
          </cell>
          <cell r="AE15">
            <v>1361.057</v>
          </cell>
          <cell r="AF15">
            <v>1336.88</v>
          </cell>
          <cell r="AG15">
            <v>1233.6860000000001</v>
          </cell>
          <cell r="AH15">
            <v>1334.6513796127281</v>
          </cell>
          <cell r="AI15">
            <v>1385.8526293029565</v>
          </cell>
          <cell r="AJ15">
            <v>1412.2332147810912</v>
          </cell>
          <cell r="AK15">
            <v>1426.6840516423506</v>
          </cell>
          <cell r="AL15">
            <v>1449.618587287689</v>
          </cell>
          <cell r="AM15">
            <v>1471.5580943823018</v>
          </cell>
          <cell r="AN15">
            <v>1492.6097677964221</v>
          </cell>
          <cell r="AO15">
            <v>1510.2976904527038</v>
          </cell>
          <cell r="AP15">
            <v>1521.0022877434183</v>
          </cell>
          <cell r="AQ15">
            <v>1534.2311418793188</v>
          </cell>
        </row>
        <row r="16">
          <cell r="B16" t="str">
            <v xml:space="preserve">  Poultry Fat</v>
          </cell>
          <cell r="AC16">
            <v>2527.6399999999994</v>
          </cell>
          <cell r="AD16">
            <v>2110.0580000000004</v>
          </cell>
          <cell r="AE16">
            <v>2023.7369999999999</v>
          </cell>
          <cell r="AF16">
            <v>2296.9290000000001</v>
          </cell>
          <cell r="AG16">
            <v>2227.451</v>
          </cell>
          <cell r="AH16">
            <v>2273.8869398205215</v>
          </cell>
          <cell r="AI16">
            <v>2319.6475252872092</v>
          </cell>
          <cell r="AJ16">
            <v>2365.0271291092386</v>
          </cell>
          <cell r="AK16">
            <v>2432.1514510548</v>
          </cell>
          <cell r="AL16">
            <v>2449.3223829555172</v>
          </cell>
          <cell r="AM16">
            <v>2502.2121569735509</v>
          </cell>
          <cell r="AN16">
            <v>2569.2759994233156</v>
          </cell>
          <cell r="AO16">
            <v>2636.9247602141595</v>
          </cell>
          <cell r="AP16">
            <v>2671.9351714785853</v>
          </cell>
          <cell r="AQ16">
            <v>2740.6394590075147</v>
          </cell>
        </row>
        <row r="17">
          <cell r="B17" t="str">
            <v xml:space="preserve">  Distillers' Corn Oil</v>
          </cell>
          <cell r="AC17">
            <v>3809.5107453488781</v>
          </cell>
          <cell r="AD17">
            <v>4097.0277375894484</v>
          </cell>
          <cell r="AE17">
            <v>4103.7251894771998</v>
          </cell>
          <cell r="AF17">
            <v>4248.6090480617013</v>
          </cell>
          <cell r="AG17">
            <v>4456.254297781521</v>
          </cell>
          <cell r="AH17">
            <v>4478.2364390664734</v>
          </cell>
          <cell r="AI17">
            <v>4499.2835832457704</v>
          </cell>
          <cell r="AJ17">
            <v>4564.0358028308547</v>
          </cell>
          <cell r="AK17">
            <v>4685.6733813342516</v>
          </cell>
          <cell r="AL17">
            <v>4778.5276885615358</v>
          </cell>
          <cell r="AM17">
            <v>5104.2167714306297</v>
          </cell>
          <cell r="AN17">
            <v>5223.2811019084338</v>
          </cell>
          <cell r="AO17">
            <v>5229.7916756970981</v>
          </cell>
          <cell r="AP17">
            <v>5355.9385475834424</v>
          </cell>
          <cell r="AQ17">
            <v>5476.0701928108283</v>
          </cell>
        </row>
        <row r="19">
          <cell r="AC19">
            <v>511.70585600376</v>
          </cell>
          <cell r="AD19">
            <v>702.44172196915997</v>
          </cell>
          <cell r="AE19">
            <v>1148.6836040000001</v>
          </cell>
          <cell r="AF19">
            <v>1698.357833</v>
          </cell>
          <cell r="AG19">
            <v>1916.9493247109599</v>
          </cell>
          <cell r="AH19">
            <v>3620.2979857098135</v>
          </cell>
          <cell r="AI19">
            <v>4701.2430471739744</v>
          </cell>
          <cell r="AJ19">
            <v>5896.9012498631428</v>
          </cell>
          <cell r="AK19">
            <v>5986.7186405129196</v>
          </cell>
          <cell r="AL19">
            <v>6303.5915029787848</v>
          </cell>
          <cell r="AM19">
            <v>7013.5278812644992</v>
          </cell>
          <cell r="AN19">
            <v>7696.7962362707904</v>
          </cell>
          <cell r="AO19">
            <v>8999.6375310044969</v>
          </cell>
          <cell r="AP19">
            <v>10230.685425689779</v>
          </cell>
          <cell r="AQ19">
            <v>10214.3667114704</v>
          </cell>
        </row>
        <row r="21">
          <cell r="B21" t="str">
            <v xml:space="preserve">  Used Cooking Oil</v>
          </cell>
          <cell r="AC21">
            <v>181.770273</v>
          </cell>
          <cell r="AD21">
            <v>292.50858599999998</v>
          </cell>
          <cell r="AE21">
            <v>725.9360180000001</v>
          </cell>
          <cell r="AF21">
            <v>3019.642902</v>
          </cell>
          <cell r="AG21">
            <v>5396.4669739999999</v>
          </cell>
          <cell r="AH21">
            <v>5719.3464266659912</v>
          </cell>
          <cell r="AI21">
            <v>7089.679546988953</v>
          </cell>
          <cell r="AJ21">
            <v>10072.92521391198</v>
          </cell>
          <cell r="AK21">
            <v>12499.510921922878</v>
          </cell>
          <cell r="AL21">
            <v>15201.877675392243</v>
          </cell>
          <cell r="AM21">
            <v>18720.193250657456</v>
          </cell>
          <cell r="AN21">
            <v>21590.784675196559</v>
          </cell>
          <cell r="AO21">
            <v>25062.605395928942</v>
          </cell>
          <cell r="AP21">
            <v>28187.596955993678</v>
          </cell>
          <cell r="AQ21">
            <v>27151.273851292899</v>
          </cell>
        </row>
      </sheetData>
      <sheetData sheetId="14">
        <row r="3">
          <cell r="AC3">
            <v>2020</v>
          </cell>
          <cell r="AD3">
            <v>2021</v>
          </cell>
          <cell r="AE3">
            <v>2022</v>
          </cell>
          <cell r="AF3">
            <v>2023</v>
          </cell>
          <cell r="AG3">
            <v>2024</v>
          </cell>
          <cell r="AH3">
            <v>2025</v>
          </cell>
          <cell r="AI3">
            <v>2026</v>
          </cell>
          <cell r="AJ3">
            <v>2027</v>
          </cell>
          <cell r="AK3">
            <v>2028</v>
          </cell>
          <cell r="AL3">
            <v>2029</v>
          </cell>
          <cell r="AM3">
            <v>2030</v>
          </cell>
          <cell r="AN3">
            <v>2031</v>
          </cell>
          <cell r="AO3">
            <v>2032</v>
          </cell>
          <cell r="AP3">
            <v>2033</v>
          </cell>
          <cell r="AQ3">
            <v>2034</v>
          </cell>
        </row>
        <row r="7">
          <cell r="B7" t="str">
            <v xml:space="preserve">    Total Supply</v>
          </cell>
          <cell r="AC7">
            <v>27804.356212000002</v>
          </cell>
          <cell r="AD7">
            <v>27654.347188</v>
          </cell>
          <cell r="AE7">
            <v>28713.704073896035</v>
          </cell>
          <cell r="AF7">
            <v>29304.531870999999</v>
          </cell>
          <cell r="AG7">
            <v>30102.153053367139</v>
          </cell>
          <cell r="AH7">
            <v>28651.508877497949</v>
          </cell>
          <cell r="AI7">
            <v>30471.66949834441</v>
          </cell>
          <cell r="AJ7">
            <v>31313.215198359168</v>
          </cell>
          <cell r="AK7">
            <v>32003.762748235709</v>
          </cell>
          <cell r="AL7">
            <v>32788.920433067877</v>
          </cell>
          <cell r="AM7">
            <v>34805.140415714501</v>
          </cell>
          <cell r="AN7">
            <v>35451.864366146459</v>
          </cell>
          <cell r="AO7">
            <v>37102.339571002536</v>
          </cell>
          <cell r="AP7">
            <v>37322.752659405247</v>
          </cell>
          <cell r="AQ7">
            <v>39450.07994689016</v>
          </cell>
        </row>
        <row r="14">
          <cell r="B14" t="str">
            <v xml:space="preserve">    Total Use</v>
          </cell>
          <cell r="AC14">
            <v>25693.570212000002</v>
          </cell>
          <cell r="AD14">
            <v>25188.456188</v>
          </cell>
          <cell r="AE14">
            <v>26407.557073896034</v>
          </cell>
          <cell r="AF14">
            <v>27480.697871</v>
          </cell>
          <cell r="AG14">
            <v>28411.58305336714</v>
          </cell>
          <cell r="AH14">
            <v>27416.289379153535</v>
          </cell>
          <cell r="AI14">
            <v>28673.224299985242</v>
          </cell>
          <cell r="AJ14">
            <v>29523.342450123459</v>
          </cell>
          <cell r="AK14">
            <v>30450.042315167837</v>
          </cell>
          <cell r="AL14">
            <v>31151.280017353372</v>
          </cell>
          <cell r="AM14">
            <v>33199.226049568046</v>
          </cell>
          <cell r="AN14">
            <v>33803.924795143925</v>
          </cell>
          <cell r="AO14">
            <v>35183.986911597291</v>
          </cell>
          <cell r="AP14">
            <v>34748.972712515082</v>
          </cell>
          <cell r="AQ14">
            <v>36888.926581881198</v>
          </cell>
        </row>
      </sheetData>
      <sheetData sheetId="15">
        <row r="7">
          <cell r="AC7">
            <v>7585.9198179999994</v>
          </cell>
          <cell r="AD7">
            <v>7761.8399629020005</v>
          </cell>
          <cell r="AE7">
            <v>7652.2333995379995</v>
          </cell>
          <cell r="AF7">
            <v>10027.28937608</v>
          </cell>
          <cell r="AG7">
            <v>11331.351406321201</v>
          </cell>
          <cell r="AH7">
            <v>9918.5882439589423</v>
          </cell>
          <cell r="AI7">
            <v>10073.030496642699</v>
          </cell>
          <cell r="AJ7">
            <v>10665.285940583064</v>
          </cell>
          <cell r="AK7">
            <v>11175.230732415159</v>
          </cell>
          <cell r="AL7">
            <v>11702.694694268725</v>
          </cell>
          <cell r="AM7">
            <v>12221.668032275886</v>
          </cell>
          <cell r="AN7">
            <v>12529.398773199489</v>
          </cell>
          <cell r="AO7">
            <v>13550.95256133817</v>
          </cell>
          <cell r="AP7">
            <v>13834.044994025964</v>
          </cell>
          <cell r="AQ7">
            <v>14073.693786635104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mestic BBD Production Chart"/>
      <sheetName val="Chart1"/>
      <sheetName val="Chart2"/>
      <sheetName val="Chart3"/>
      <sheetName val="Chart4"/>
      <sheetName val="Chart5"/>
      <sheetName val="Graph Dashboard"/>
      <sheetName val="Dom Production"/>
      <sheetName val="Feedstock Yields"/>
      <sheetName val="Feedstock Use"/>
      <sheetName val="Feedstock Use - chart data"/>
      <sheetName val="BBD Prod and Profit - data"/>
      <sheetName val="Biodiesel"/>
      <sheetName val="Renewable Diesel"/>
      <sheetName val="SAF"/>
      <sheetName val="Renewable Fuel - E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L15">
            <v>1824875658</v>
          </cell>
          <cell r="M15">
            <v>1704629355</v>
          </cell>
          <cell r="N15">
            <v>1620211085</v>
          </cell>
          <cell r="O15">
            <v>1670320836</v>
          </cell>
          <cell r="P15">
            <v>1669248540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</row>
      </sheetData>
      <sheetData sheetId="13">
        <row r="15">
          <cell r="L15">
            <v>949790285</v>
          </cell>
          <cell r="M15">
            <v>1291683037</v>
          </cell>
          <cell r="N15">
            <v>1867879622</v>
          </cell>
          <cell r="O15">
            <v>2908193168</v>
          </cell>
          <cell r="P15">
            <v>3563930563</v>
          </cell>
          <cell r="Q15">
            <v>2774400974.4209366</v>
          </cell>
          <cell r="R15">
            <v>2962799613.1736603</v>
          </cell>
          <cell r="S15">
            <v>3218917266.5645237</v>
          </cell>
          <cell r="T15">
            <v>3254906566.0596151</v>
          </cell>
          <cell r="U15">
            <v>3257932185.7916117</v>
          </cell>
          <cell r="V15">
            <v>3382573255.2890577</v>
          </cell>
          <cell r="W15">
            <v>3651203110.3205156</v>
          </cell>
          <cell r="X15">
            <v>4273943245.6252847</v>
          </cell>
          <cell r="Y15">
            <v>4245111377.7250662</v>
          </cell>
          <cell r="Z15">
            <v>4123727321.9107876</v>
          </cell>
          <cell r="AA15">
            <v>4359803492.4501266</v>
          </cell>
          <cell r="AB15">
            <v>4609790575.5408516</v>
          </cell>
        </row>
      </sheetData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j BBD Production 2023-2025"/>
      <sheetName val="Adj BBD Prod Split 2023-2025"/>
      <sheetName val="Unadj BBD Prod Split 2023-2025"/>
      <sheetName val="Mandates v Supply"/>
      <sheetName val="D3 and eRINs"/>
      <sheetName val="FM Mandate Analysis"/>
      <sheetName val="10 Year RFS Curves (2020)"/>
      <sheetName val="Fuel Cat Chart"/>
      <sheetName val="Production by Fuel Cat"/>
      <sheetName val="2023 Mandate Analysis"/>
      <sheetName val="High Scenario Balance Sheets"/>
      <sheetName val="Mid Scenario Balance Sheets"/>
      <sheetName val="Low Scenario Balance Sheets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E48">
            <v>4.608399E-3</v>
          </cell>
          <cell r="F48">
            <v>5.0766229999999997E-3</v>
          </cell>
          <cell r="G48">
            <v>7.8931369999999997E-3</v>
          </cell>
          <cell r="H48">
            <v>1.2190797E-2</v>
          </cell>
          <cell r="I48">
            <v>3.867077E-2</v>
          </cell>
          <cell r="J48">
            <v>7.9739914157630945E-2</v>
          </cell>
          <cell r="K48">
            <v>0.36870796183055154</v>
          </cell>
          <cell r="L48">
            <v>0.88334979443870332</v>
          </cell>
          <cell r="M48">
            <v>1.1574184034938932</v>
          </cell>
          <cell r="N48">
            <v>1.5157458953455289</v>
          </cell>
          <cell r="O48">
            <v>1.756032427961536</v>
          </cell>
          <cell r="P48">
            <v>2.0505164814129362</v>
          </cell>
          <cell r="Q48">
            <v>2.7511070080664588</v>
          </cell>
          <cell r="R48">
            <v>3.160606490284652</v>
          </cell>
          <cell r="S48">
            <v>3.3245937864343666</v>
          </cell>
          <cell r="T48">
            <v>3.5889535567172204</v>
          </cell>
          <cell r="U48">
            <v>4.1418814130584121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6"/>
      <sheetName val="Chart7"/>
      <sheetName val="Chart8"/>
      <sheetName val="Chart11"/>
      <sheetName val="Chart12"/>
      <sheetName val="Chart13"/>
      <sheetName val="Chart14"/>
      <sheetName val="Delta to 5-Yr Cap U v HOBO"/>
      <sheetName val="US EIA"/>
      <sheetName val="Chart15"/>
      <sheetName val="SBO Fuel Value"/>
      <sheetName val="Chart16"/>
      <sheetName val="Chart17"/>
      <sheetName val="US LCFS"/>
      <sheetName val="Days of Sales Chart"/>
      <sheetName val="Sheet1"/>
      <sheetName val="Balance Sheet"/>
      <sheetName val="EPA Requirements"/>
      <sheetName val="Brazil"/>
      <sheetName val="Chart18"/>
      <sheetName val="Chart19"/>
      <sheetName val="Malaysia"/>
      <sheetName val="Thailand"/>
      <sheetName val="Philippines"/>
      <sheetName val="Peru"/>
      <sheetName val="Chart1"/>
      <sheetName val="European Union"/>
      <sheetName val="EU Plant List"/>
      <sheetName val="Australia"/>
      <sheetName val="Colombia"/>
      <sheetName val="Chart27"/>
      <sheetName val="Canada Biofuel Bal Sheets"/>
      <sheetName val="Chart33"/>
      <sheetName val="Canada"/>
      <sheetName val="Chart34"/>
      <sheetName val="Canada Biodiesel Plants"/>
      <sheetName val="Indonesia"/>
      <sheetName val="China"/>
      <sheetName val="Chart5"/>
      <sheetName val="Argentina"/>
      <sheetName val="India"/>
      <sheetName val="Brazil - GAIN"/>
      <sheetName val="Chart5 (2)"/>
      <sheetName val="Japan"/>
      <sheetName val="Chart35"/>
      <sheetName val="Sheet2"/>
      <sheetName val="Chart36"/>
      <sheetName val="World"/>
      <sheetName val="US Biodiesel Imports"/>
      <sheetName val="Chart37"/>
      <sheetName val="US Biodiesel Exports"/>
      <sheetName val="wldbiodiesel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C3">
            <v>0</v>
          </cell>
        </row>
        <row r="282">
          <cell r="D282">
            <v>0</v>
          </cell>
          <cell r="E282">
            <v>0</v>
          </cell>
          <cell r="G282">
            <v>1</v>
          </cell>
          <cell r="K282">
            <v>35</v>
          </cell>
          <cell r="N282">
            <v>0</v>
          </cell>
          <cell r="O282">
            <v>3</v>
          </cell>
          <cell r="P282">
            <v>980.93640517501228</v>
          </cell>
        </row>
        <row r="283">
          <cell r="D283">
            <v>0</v>
          </cell>
          <cell r="E283">
            <v>0</v>
          </cell>
          <cell r="G283">
            <v>0</v>
          </cell>
          <cell r="K283">
            <v>40</v>
          </cell>
          <cell r="N283">
            <v>0</v>
          </cell>
          <cell r="O283">
            <v>6</v>
          </cell>
          <cell r="P283">
            <v>1000.55606805024</v>
          </cell>
          <cell r="Q283">
            <v>8.8011265166929675</v>
          </cell>
        </row>
        <row r="284">
          <cell r="D284">
            <v>0</v>
          </cell>
          <cell r="E284">
            <v>0</v>
          </cell>
          <cell r="G284">
            <v>0</v>
          </cell>
          <cell r="K284">
            <v>45</v>
          </cell>
          <cell r="N284">
            <v>0</v>
          </cell>
          <cell r="O284">
            <v>6</v>
          </cell>
          <cell r="P284">
            <v>1162.5500048392919</v>
          </cell>
          <cell r="Q284">
            <v>8.7571089965673004</v>
          </cell>
        </row>
        <row r="285">
          <cell r="D285">
            <v>0</v>
          </cell>
          <cell r="E285">
            <v>0</v>
          </cell>
          <cell r="G285">
            <v>0</v>
          </cell>
          <cell r="K285">
            <v>50</v>
          </cell>
          <cell r="N285">
            <v>0</v>
          </cell>
          <cell r="O285">
            <v>6</v>
          </cell>
          <cell r="P285">
            <v>1064.7795800254089</v>
          </cell>
          <cell r="Q285">
            <v>8.4011581009090026</v>
          </cell>
        </row>
        <row r="286">
          <cell r="D286">
            <v>0</v>
          </cell>
          <cell r="E286">
            <v>0</v>
          </cell>
          <cell r="G286">
            <v>1</v>
          </cell>
          <cell r="K286">
            <v>55</v>
          </cell>
          <cell r="N286">
            <v>0</v>
          </cell>
          <cell r="O286">
            <v>6</v>
          </cell>
          <cell r="P286">
            <v>1106.5127672152128</v>
          </cell>
          <cell r="Q286">
            <v>8.1272788966067271</v>
          </cell>
        </row>
        <row r="287">
          <cell r="D287">
            <v>0</v>
          </cell>
          <cell r="E287">
            <v>0</v>
          </cell>
          <cell r="G287">
            <v>1</v>
          </cell>
          <cell r="K287">
            <v>60</v>
          </cell>
          <cell r="N287">
            <v>0</v>
          </cell>
          <cell r="O287">
            <v>6</v>
          </cell>
          <cell r="P287">
            <v>1100.3121860233359</v>
          </cell>
          <cell r="Q287">
            <v>8.0227503373946281</v>
          </cell>
        </row>
        <row r="288">
          <cell r="D288">
            <v>0</v>
          </cell>
          <cell r="E288">
            <v>0</v>
          </cell>
          <cell r="G288">
            <v>1</v>
          </cell>
          <cell r="K288">
            <v>60</v>
          </cell>
          <cell r="N288">
            <v>0</v>
          </cell>
          <cell r="O288">
            <v>6</v>
          </cell>
          <cell r="P288">
            <v>1197.5608419021528</v>
          </cell>
          <cell r="Q288">
            <v>8.1700152947342932</v>
          </cell>
        </row>
        <row r="289">
          <cell r="D289">
            <v>0</v>
          </cell>
          <cell r="E289">
            <v>0</v>
          </cell>
          <cell r="G289">
            <v>1</v>
          </cell>
          <cell r="K289">
            <v>61.83</v>
          </cell>
          <cell r="N289">
            <v>0</v>
          </cell>
          <cell r="O289">
            <v>6</v>
          </cell>
          <cell r="P289">
            <v>1199.9937980129771</v>
          </cell>
          <cell r="Q289">
            <v>8.1197520621771666</v>
          </cell>
        </row>
        <row r="290">
          <cell r="D290">
            <v>0</v>
          </cell>
          <cell r="E290">
            <v>0</v>
          </cell>
          <cell r="G290">
            <v>0</v>
          </cell>
          <cell r="K290">
            <v>56</v>
          </cell>
          <cell r="N290">
            <v>0</v>
          </cell>
          <cell r="O290">
            <v>6</v>
          </cell>
          <cell r="P290">
            <v>1127.0133168606978</v>
          </cell>
          <cell r="Q290">
            <v>8.009532559116316</v>
          </cell>
        </row>
        <row r="291">
          <cell r="D291">
            <v>0</v>
          </cell>
          <cell r="E291">
            <v>0</v>
          </cell>
          <cell r="G291">
            <v>0</v>
          </cell>
          <cell r="K291">
            <v>52</v>
          </cell>
          <cell r="N291">
            <v>0</v>
          </cell>
          <cell r="O291">
            <v>5</v>
          </cell>
          <cell r="P291">
            <v>1181.4359047020864</v>
          </cell>
          <cell r="Q291">
            <v>8.1207273975288441</v>
          </cell>
        </row>
        <row r="292">
          <cell r="D292">
            <v>0</v>
          </cell>
          <cell r="E292">
            <v>0</v>
          </cell>
          <cell r="G292">
            <v>0</v>
          </cell>
          <cell r="K292">
            <v>48</v>
          </cell>
          <cell r="N292">
            <v>0</v>
          </cell>
          <cell r="O292">
            <v>25</v>
          </cell>
          <cell r="P292">
            <v>1122.971731781553</v>
          </cell>
          <cell r="Q292">
            <v>7.902241476775079</v>
          </cell>
        </row>
        <row r="293">
          <cell r="D293">
            <v>0</v>
          </cell>
          <cell r="E293">
            <v>0</v>
          </cell>
          <cell r="G293">
            <v>0</v>
          </cell>
          <cell r="K293">
            <v>44</v>
          </cell>
          <cell r="N293">
            <v>0</v>
          </cell>
          <cell r="O293">
            <v>25</v>
          </cell>
          <cell r="P293">
            <v>1099.8245384403133</v>
          </cell>
          <cell r="Q293">
            <v>8.276015579754489</v>
          </cell>
        </row>
        <row r="294">
          <cell r="D294">
            <v>0</v>
          </cell>
          <cell r="E294">
            <v>0</v>
          </cell>
          <cell r="G294">
            <v>0</v>
          </cell>
          <cell r="K294">
            <v>8.6340000000000003</v>
          </cell>
          <cell r="N294">
            <v>0</v>
          </cell>
          <cell r="O294">
            <v>50</v>
          </cell>
          <cell r="P294">
            <v>1047.7821345392967</v>
          </cell>
          <cell r="Q294">
            <v>7.6939840400294965</v>
          </cell>
        </row>
        <row r="295">
          <cell r="D295">
            <v>0</v>
          </cell>
          <cell r="E295">
            <v>0</v>
          </cell>
          <cell r="G295">
            <v>0</v>
          </cell>
          <cell r="K295">
            <v>10.708</v>
          </cell>
          <cell r="N295">
            <v>0</v>
          </cell>
          <cell r="O295">
            <v>50</v>
          </cell>
          <cell r="P295">
            <v>965.18531852105127</v>
          </cell>
          <cell r="Q295">
            <v>8.0910154036855371</v>
          </cell>
        </row>
        <row r="296">
          <cell r="D296">
            <v>0</v>
          </cell>
          <cell r="E296">
            <v>0</v>
          </cell>
          <cell r="G296">
            <v>0</v>
          </cell>
          <cell r="K296">
            <v>10.516</v>
          </cell>
          <cell r="N296">
            <v>0</v>
          </cell>
          <cell r="O296">
            <v>5</v>
          </cell>
          <cell r="P296">
            <v>1141.8089540145584</v>
          </cell>
          <cell r="Q296">
            <v>8.176628646008453</v>
          </cell>
        </row>
        <row r="297">
          <cell r="D297">
            <v>0</v>
          </cell>
          <cell r="E297">
            <v>0</v>
          </cell>
          <cell r="G297">
            <v>0</v>
          </cell>
          <cell r="K297">
            <v>14.412000000000001</v>
          </cell>
          <cell r="N297">
            <v>0</v>
          </cell>
          <cell r="O297">
            <v>5</v>
          </cell>
          <cell r="P297">
            <v>1074.820182255625</v>
          </cell>
          <cell r="Q297">
            <v>8.0893833146854401</v>
          </cell>
        </row>
        <row r="298">
          <cell r="D298">
            <v>0</v>
          </cell>
          <cell r="E298">
            <v>0</v>
          </cell>
          <cell r="G298">
            <v>0</v>
          </cell>
          <cell r="K298">
            <v>17.936</v>
          </cell>
          <cell r="N298">
            <v>0</v>
          </cell>
          <cell r="O298">
            <v>5</v>
          </cell>
          <cell r="P298">
            <v>1250.3420917340447</v>
          </cell>
          <cell r="Q298">
            <v>7.9991689009208988</v>
          </cell>
        </row>
        <row r="299">
          <cell r="D299">
            <v>0</v>
          </cell>
          <cell r="E299">
            <v>0</v>
          </cell>
          <cell r="G299">
            <v>5</v>
          </cell>
          <cell r="K299">
            <v>14.532</v>
          </cell>
          <cell r="N299">
            <v>0</v>
          </cell>
          <cell r="O299">
            <v>5</v>
          </cell>
          <cell r="P299">
            <v>1183.2358927981593</v>
          </cell>
          <cell r="Q299">
            <v>7.748101948086668</v>
          </cell>
        </row>
        <row r="300">
          <cell r="D300">
            <v>0</v>
          </cell>
          <cell r="E300">
            <v>0</v>
          </cell>
          <cell r="G300">
            <v>5</v>
          </cell>
          <cell r="K300">
            <v>12.709</v>
          </cell>
          <cell r="N300">
            <v>0</v>
          </cell>
          <cell r="O300">
            <v>5</v>
          </cell>
          <cell r="P300">
            <v>1178.889898504053</v>
          </cell>
          <cell r="Q300">
            <v>7.7710387962271872</v>
          </cell>
        </row>
        <row r="301">
          <cell r="D301">
            <v>0</v>
          </cell>
          <cell r="E301">
            <v>0</v>
          </cell>
          <cell r="G301">
            <v>5</v>
          </cell>
          <cell r="K301">
            <v>13.814</v>
          </cell>
          <cell r="N301">
            <v>0</v>
          </cell>
          <cell r="O301">
            <v>5</v>
          </cell>
          <cell r="P301">
            <v>1143.9357035737248</v>
          </cell>
          <cell r="Q301">
            <v>7.8765549398120589</v>
          </cell>
        </row>
        <row r="302">
          <cell r="D302">
            <v>0</v>
          </cell>
          <cell r="E302">
            <v>0</v>
          </cell>
          <cell r="G302">
            <v>15.526</v>
          </cell>
          <cell r="K302">
            <v>19.478081</v>
          </cell>
          <cell r="N302">
            <v>0</v>
          </cell>
          <cell r="O302">
            <v>5</v>
          </cell>
          <cell r="P302">
            <v>1146.0268185449395</v>
          </cell>
          <cell r="Q302">
            <v>7.9377381338089821</v>
          </cell>
        </row>
        <row r="303">
          <cell r="D303">
            <v>0</v>
          </cell>
          <cell r="E303">
            <v>0</v>
          </cell>
          <cell r="G303">
            <v>6.6849999999999996</v>
          </cell>
          <cell r="K303">
            <v>17.27</v>
          </cell>
          <cell r="N303">
            <v>0</v>
          </cell>
          <cell r="O303">
            <v>40</v>
          </cell>
          <cell r="P303">
            <v>1165.1931496672823</v>
          </cell>
          <cell r="Q303">
            <v>7.9387431589412385</v>
          </cell>
        </row>
        <row r="304">
          <cell r="D304">
            <v>0</v>
          </cell>
          <cell r="E304">
            <v>0</v>
          </cell>
          <cell r="G304">
            <v>5</v>
          </cell>
          <cell r="K304">
            <v>16.727</v>
          </cell>
          <cell r="N304">
            <v>0</v>
          </cell>
          <cell r="O304">
            <v>20</v>
          </cell>
          <cell r="P304">
            <v>1089.2298088213965</v>
          </cell>
          <cell r="Q304">
            <v>8.027517808053803</v>
          </cell>
        </row>
        <row r="305">
          <cell r="D305">
            <v>0</v>
          </cell>
          <cell r="E305">
            <v>0</v>
          </cell>
          <cell r="G305">
            <v>4.2569999999999997</v>
          </cell>
          <cell r="K305">
            <v>17.332000000000001</v>
          </cell>
          <cell r="N305">
            <v>0</v>
          </cell>
          <cell r="O305">
            <v>100</v>
          </cell>
          <cell r="P305">
            <v>1131.3412180919649</v>
          </cell>
          <cell r="Q305">
            <v>8.1972931593314069</v>
          </cell>
        </row>
        <row r="306">
          <cell r="D306">
            <v>0</v>
          </cell>
          <cell r="E306">
            <v>0</v>
          </cell>
          <cell r="G306">
            <v>4.2569999999999997</v>
          </cell>
          <cell r="K306">
            <v>9.4550000000000001</v>
          </cell>
          <cell r="N306">
            <v>0</v>
          </cell>
          <cell r="O306">
            <v>5</v>
          </cell>
          <cell r="P306">
            <v>1019.625347931446</v>
          </cell>
          <cell r="Q306">
            <v>8.4977984942655951</v>
          </cell>
        </row>
        <row r="307">
          <cell r="D307">
            <v>0</v>
          </cell>
          <cell r="E307">
            <v>0</v>
          </cell>
          <cell r="G307">
            <v>6</v>
          </cell>
          <cell r="K307">
            <v>20.495000000000001</v>
          </cell>
          <cell r="N307">
            <v>0</v>
          </cell>
          <cell r="O307">
            <v>5</v>
          </cell>
          <cell r="P307">
            <v>995.05829515130119</v>
          </cell>
          <cell r="Q307">
            <v>8.7527668131354286</v>
          </cell>
        </row>
        <row r="308">
          <cell r="D308">
            <v>0</v>
          </cell>
          <cell r="E308">
            <v>0</v>
          </cell>
          <cell r="G308">
            <v>6</v>
          </cell>
          <cell r="K308">
            <v>20.372</v>
          </cell>
          <cell r="N308">
            <v>0</v>
          </cell>
          <cell r="O308">
            <v>5</v>
          </cell>
          <cell r="P308">
            <v>1041.6466047179379</v>
          </cell>
          <cell r="Q308">
            <v>7.8463832226126167</v>
          </cell>
        </row>
        <row r="309">
          <cell r="D309">
            <v>0</v>
          </cell>
          <cell r="E309">
            <v>0</v>
          </cell>
          <cell r="G309">
            <v>6</v>
          </cell>
          <cell r="K309">
            <v>18.748999999999999</v>
          </cell>
          <cell r="N309">
            <v>0</v>
          </cell>
          <cell r="O309">
            <v>5</v>
          </cell>
          <cell r="P309">
            <v>1025.2540769445259</v>
          </cell>
          <cell r="Q309">
            <v>8.0893001289590334</v>
          </cell>
        </row>
        <row r="310">
          <cell r="D310">
            <v>0</v>
          </cell>
          <cell r="E310">
            <v>0</v>
          </cell>
          <cell r="G310">
            <v>18.143000000000001</v>
          </cell>
          <cell r="K310">
            <v>17.423999999999999</v>
          </cell>
          <cell r="N310">
            <v>0</v>
          </cell>
          <cell r="O310">
            <v>5</v>
          </cell>
          <cell r="P310">
            <v>1096.6826403827017</v>
          </cell>
          <cell r="Q310">
            <v>8.0550771247664432</v>
          </cell>
        </row>
        <row r="311">
          <cell r="D311">
            <v>0</v>
          </cell>
          <cell r="E311">
            <v>0</v>
          </cell>
          <cell r="G311">
            <v>37.298000000000002</v>
          </cell>
          <cell r="K311">
            <v>18.499151999999999</v>
          </cell>
          <cell r="N311">
            <v>0</v>
          </cell>
          <cell r="O311">
            <v>5</v>
          </cell>
          <cell r="P311">
            <v>1119.2413816459248</v>
          </cell>
          <cell r="Q311">
            <v>8.1607695400325539</v>
          </cell>
        </row>
        <row r="312">
          <cell r="D312">
            <v>0</v>
          </cell>
          <cell r="E312">
            <v>0</v>
          </cell>
          <cell r="G312">
            <v>15</v>
          </cell>
          <cell r="K312">
            <v>18.577999999999999</v>
          </cell>
          <cell r="N312">
            <v>0</v>
          </cell>
          <cell r="O312">
            <v>5</v>
          </cell>
          <cell r="P312">
            <v>1129.5446177507156</v>
          </cell>
          <cell r="Q312">
            <v>7.7059941175516133</v>
          </cell>
        </row>
        <row r="313">
          <cell r="D313">
            <v>0</v>
          </cell>
          <cell r="E313">
            <v>0</v>
          </cell>
          <cell r="G313">
            <v>10</v>
          </cell>
          <cell r="K313">
            <v>18.788</v>
          </cell>
          <cell r="N313">
            <v>0</v>
          </cell>
          <cell r="O313">
            <v>5</v>
          </cell>
          <cell r="P313">
            <v>1169.2290978090057</v>
          </cell>
          <cell r="Q313">
            <v>7.9960410447458434</v>
          </cell>
        </row>
        <row r="314">
          <cell r="D314">
            <v>0</v>
          </cell>
          <cell r="E314">
            <v>0</v>
          </cell>
          <cell r="G314">
            <v>10</v>
          </cell>
          <cell r="K314">
            <v>18.972000000000001</v>
          </cell>
          <cell r="N314">
            <v>0</v>
          </cell>
          <cell r="O314">
            <v>5</v>
          </cell>
          <cell r="P314">
            <v>1108.9973535235845</v>
          </cell>
          <cell r="Q314">
            <v>7.8567040978483247</v>
          </cell>
        </row>
        <row r="315">
          <cell r="D315">
            <v>0</v>
          </cell>
          <cell r="E315">
            <v>0</v>
          </cell>
          <cell r="G315">
            <v>40</v>
          </cell>
          <cell r="K315">
            <v>16.337</v>
          </cell>
          <cell r="N315">
            <v>0</v>
          </cell>
          <cell r="O315">
            <v>5</v>
          </cell>
          <cell r="P315">
            <v>1054.1798819318083</v>
          </cell>
          <cell r="Q315">
            <v>7.2764789089339654</v>
          </cell>
        </row>
        <row r="316">
          <cell r="D316">
            <v>0</v>
          </cell>
          <cell r="E316">
            <v>0</v>
          </cell>
          <cell r="G316">
            <v>10</v>
          </cell>
          <cell r="K316">
            <v>22.872</v>
          </cell>
          <cell r="N316">
            <v>0</v>
          </cell>
          <cell r="O316">
            <v>5</v>
          </cell>
          <cell r="P316">
            <v>1015.9121016528603</v>
          </cell>
          <cell r="Q316">
            <v>7.0184395170457847</v>
          </cell>
        </row>
        <row r="317">
          <cell r="D317">
            <v>0</v>
          </cell>
          <cell r="E317">
            <v>0</v>
          </cell>
          <cell r="G317">
            <v>60</v>
          </cell>
          <cell r="K317">
            <v>14.835463000000001</v>
          </cell>
          <cell r="N317">
            <v>0</v>
          </cell>
          <cell r="O317">
            <v>0</v>
          </cell>
          <cell r="P317">
            <v>997.36136991713602</v>
          </cell>
          <cell r="Q317">
            <v>7.0234737748030769</v>
          </cell>
        </row>
        <row r="318">
          <cell r="D318">
            <v>0</v>
          </cell>
          <cell r="E318">
            <v>0</v>
          </cell>
          <cell r="G318">
            <v>0</v>
          </cell>
          <cell r="K318">
            <v>5</v>
          </cell>
          <cell r="N318">
            <v>0</v>
          </cell>
          <cell r="O318">
            <v>0</v>
          </cell>
          <cell r="P318">
            <v>632.44781017666139</v>
          </cell>
          <cell r="Q318">
            <v>8.0874644848104431</v>
          </cell>
        </row>
        <row r="319">
          <cell r="D319">
            <v>0</v>
          </cell>
          <cell r="E319">
            <v>0</v>
          </cell>
          <cell r="G319">
            <v>2.5202635343776985</v>
          </cell>
          <cell r="K319">
            <v>9.5457550069686583</v>
          </cell>
          <cell r="N319">
            <v>0</v>
          </cell>
          <cell r="O319">
            <v>10.060867048413376</v>
          </cell>
          <cell r="P319">
            <v>602.72980976078054</v>
          </cell>
          <cell r="Q319">
            <v>8.175723122486982</v>
          </cell>
        </row>
        <row r="320">
          <cell r="D320">
            <v>0</v>
          </cell>
          <cell r="E320">
            <v>0</v>
          </cell>
          <cell r="G320">
            <v>2.2951319457060584</v>
          </cell>
          <cell r="K320">
            <v>11.804549631562502</v>
          </cell>
          <cell r="N320">
            <v>0</v>
          </cell>
          <cell r="O320">
            <v>4.2448055554497772</v>
          </cell>
          <cell r="P320">
            <v>763.32152119640887</v>
          </cell>
          <cell r="Q320">
            <v>7.9649208729533463</v>
          </cell>
        </row>
        <row r="321">
          <cell r="D321">
            <v>0</v>
          </cell>
          <cell r="E321">
            <v>0</v>
          </cell>
          <cell r="G321">
            <v>2.6013008153733832</v>
          </cell>
          <cell r="K321">
            <v>18.40472309428046</v>
          </cell>
          <cell r="N321">
            <v>0</v>
          </cell>
          <cell r="O321">
            <v>5.5182448473931709</v>
          </cell>
          <cell r="P321">
            <v>1044.5246715304554</v>
          </cell>
          <cell r="Q321">
            <v>7.9255552728049938</v>
          </cell>
        </row>
        <row r="322">
          <cell r="D322">
            <v>0</v>
          </cell>
          <cell r="E322">
            <v>0</v>
          </cell>
          <cell r="G322">
            <v>4.5470701614254754</v>
          </cell>
          <cell r="K322">
            <v>18.66922809107022</v>
          </cell>
          <cell r="N322">
            <v>0</v>
          </cell>
          <cell r="O322">
            <v>7.0787725594198196</v>
          </cell>
          <cell r="P322">
            <v>1089.0042130744632</v>
          </cell>
          <cell r="Q322">
            <v>7.8958986558400719</v>
          </cell>
        </row>
        <row r="323">
          <cell r="D323">
            <v>9.6249330951549139E-2</v>
          </cell>
          <cell r="E323">
            <v>0</v>
          </cell>
          <cell r="G323">
            <v>10.902989410462874</v>
          </cell>
          <cell r="K323">
            <v>19.669500236426462</v>
          </cell>
          <cell r="N323">
            <v>0</v>
          </cell>
          <cell r="O323">
            <v>9.1450426262123194</v>
          </cell>
          <cell r="P323">
            <v>1093.3923996095982</v>
          </cell>
          <cell r="Q323">
            <v>7.8325301858975882</v>
          </cell>
        </row>
        <row r="324">
          <cell r="D324">
            <v>8.5963132930355582E-2</v>
          </cell>
          <cell r="E324">
            <v>0</v>
          </cell>
          <cell r="G324">
            <v>9.1429274627663215</v>
          </cell>
          <cell r="K324">
            <v>18.149911803708953</v>
          </cell>
          <cell r="N324">
            <v>0</v>
          </cell>
          <cell r="O324">
            <v>13.959558459134676</v>
          </cell>
          <cell r="P324">
            <v>1064.223585677802</v>
          </cell>
          <cell r="Q324">
            <v>7.7621882078257132</v>
          </cell>
        </row>
        <row r="325">
          <cell r="D325">
            <v>8.8181655779563967E-2</v>
          </cell>
          <cell r="E325">
            <v>0</v>
          </cell>
          <cell r="G325">
            <v>7.7672768364883167</v>
          </cell>
          <cell r="K325">
            <v>19.795524571764311</v>
          </cell>
          <cell r="N325">
            <v>0</v>
          </cell>
          <cell r="O325">
            <v>21.188673165947254</v>
          </cell>
          <cell r="P325">
            <v>1092.5707151087977</v>
          </cell>
          <cell r="Q325">
            <v>7.6179626967381662</v>
          </cell>
        </row>
        <row r="326">
          <cell r="D326">
            <v>0</v>
          </cell>
          <cell r="E326">
            <v>0</v>
          </cell>
          <cell r="G326">
            <v>10.909833645839106</v>
          </cell>
          <cell r="K326">
            <v>19.635740959642511</v>
          </cell>
          <cell r="N326">
            <v>0</v>
          </cell>
          <cell r="O326">
            <v>5.0868215048462178</v>
          </cell>
          <cell r="P326">
            <v>1036.7555483190954</v>
          </cell>
          <cell r="Q326">
            <v>7.6549858028947968</v>
          </cell>
        </row>
        <row r="327">
          <cell r="D327">
            <v>0</v>
          </cell>
          <cell r="E327">
            <v>0</v>
          </cell>
          <cell r="G327">
            <v>18.512306993283136</v>
          </cell>
          <cell r="K327">
            <v>20.737559870213111</v>
          </cell>
          <cell r="N327">
            <v>0</v>
          </cell>
          <cell r="O327">
            <v>10.635007660722652</v>
          </cell>
          <cell r="P327">
            <v>1002.1753589086853</v>
          </cell>
          <cell r="Q327">
            <v>7.4701963014282811</v>
          </cell>
        </row>
        <row r="328">
          <cell r="D328">
            <v>0</v>
          </cell>
          <cell r="E328">
            <v>0</v>
          </cell>
          <cell r="G328">
            <v>5.9966333829870706</v>
          </cell>
          <cell r="K328">
            <v>22.939846435811575</v>
          </cell>
          <cell r="N328">
            <v>0</v>
          </cell>
          <cell r="O328">
            <v>9.431148819398766</v>
          </cell>
          <cell r="P328">
            <v>971.77922003508218</v>
          </cell>
          <cell r="Q328">
            <v>7.5128667150531943</v>
          </cell>
        </row>
        <row r="329">
          <cell r="D329">
            <v>0</v>
          </cell>
          <cell r="E329">
            <v>0</v>
          </cell>
          <cell r="G329">
            <v>51.482388767341114</v>
          </cell>
          <cell r="K329">
            <v>42.830311625363919</v>
          </cell>
          <cell r="N329">
            <v>0</v>
          </cell>
          <cell r="O329">
            <v>45.177007137241645</v>
          </cell>
          <cell r="P329">
            <v>1986.9404639087861</v>
          </cell>
          <cell r="Q329">
            <v>7.7062322791739861</v>
          </cell>
        </row>
        <row r="330">
          <cell r="D330">
            <v>0</v>
          </cell>
          <cell r="E330">
            <v>0</v>
          </cell>
          <cell r="G330">
            <v>1.956854337183747</v>
          </cell>
          <cell r="K330">
            <v>12.472451735825199</v>
          </cell>
          <cell r="N330">
            <v>0</v>
          </cell>
          <cell r="O330">
            <v>13.991540998739778</v>
          </cell>
          <cell r="P330">
            <v>941.79202113674899</v>
          </cell>
          <cell r="Q330">
            <v>8.038459710702762</v>
          </cell>
        </row>
        <row r="331">
          <cell r="D331">
            <v>0</v>
          </cell>
          <cell r="E331">
            <v>0</v>
          </cell>
          <cell r="G331">
            <v>3.5584071010272149</v>
          </cell>
          <cell r="K331">
            <v>15.963721531913512</v>
          </cell>
          <cell r="N331">
            <v>0</v>
          </cell>
          <cell r="O331">
            <v>16.181459748364201</v>
          </cell>
          <cell r="P331">
            <v>871.20091505145422</v>
          </cell>
          <cell r="Q331">
            <v>8.2869631968052229</v>
          </cell>
        </row>
        <row r="332">
          <cell r="D332">
            <v>0</v>
          </cell>
          <cell r="E332">
            <v>0</v>
          </cell>
          <cell r="G332">
            <v>3.2618173068785898</v>
          </cell>
          <cell r="K332">
            <v>16.850224737184824</v>
          </cell>
          <cell r="N332">
            <v>0</v>
          </cell>
          <cell r="O332">
            <v>5.0243696305604697</v>
          </cell>
          <cell r="P332">
            <v>930.15334612586128</v>
          </cell>
          <cell r="Q332">
            <v>8.0378043608627276</v>
          </cell>
        </row>
        <row r="333">
          <cell r="D333">
            <v>0</v>
          </cell>
          <cell r="E333">
            <v>0</v>
          </cell>
          <cell r="G333">
            <v>3.1754825965310869</v>
          </cell>
          <cell r="K333">
            <v>18.889673195615469</v>
          </cell>
          <cell r="N333">
            <v>0</v>
          </cell>
          <cell r="O333">
            <v>5.1022743048398933</v>
          </cell>
          <cell r="P333">
            <v>951.58390466867797</v>
          </cell>
          <cell r="Q333">
            <v>8.026019689139936</v>
          </cell>
        </row>
        <row r="334">
          <cell r="D334">
            <v>0</v>
          </cell>
          <cell r="E334">
            <v>0</v>
          </cell>
          <cell r="G334">
            <v>8.8203439015375782</v>
          </cell>
          <cell r="K334">
            <v>20.887035769607959</v>
          </cell>
          <cell r="N334">
            <v>0</v>
          </cell>
          <cell r="O334">
            <v>7.5829679900754048</v>
          </cell>
          <cell r="P334">
            <v>1019.8010847420768</v>
          </cell>
          <cell r="Q334">
            <v>7.9654487836196024</v>
          </cell>
        </row>
        <row r="335">
          <cell r="D335">
            <v>1.7621947250339508E-2</v>
          </cell>
          <cell r="E335">
            <v>0</v>
          </cell>
          <cell r="G335">
            <v>19.390189716356261</v>
          </cell>
          <cell r="K335">
            <v>21.211446877434547</v>
          </cell>
          <cell r="N335">
            <v>0</v>
          </cell>
          <cell r="O335">
            <v>9.0263177123137535</v>
          </cell>
          <cell r="P335">
            <v>1000.926603819284</v>
          </cell>
          <cell r="Q335">
            <v>7.894778236670561</v>
          </cell>
        </row>
        <row r="336">
          <cell r="D336">
            <v>1.6307775262739677E-2</v>
          </cell>
          <cell r="E336">
            <v>0</v>
          </cell>
          <cell r="G336">
            <v>11.240378938140754</v>
          </cell>
          <cell r="K336">
            <v>19.845206070453468</v>
          </cell>
          <cell r="N336">
            <v>0</v>
          </cell>
          <cell r="O336">
            <v>14.400615885393014</v>
          </cell>
          <cell r="P336">
            <v>1009.451288763586</v>
          </cell>
          <cell r="Q336">
            <v>7.7866534605714914</v>
          </cell>
        </row>
        <row r="337">
          <cell r="D337">
            <v>1.5984379376242377E-2</v>
          </cell>
          <cell r="E337">
            <v>0</v>
          </cell>
          <cell r="G337">
            <v>8.6712950778298676</v>
          </cell>
          <cell r="K337">
            <v>20.907080429372385</v>
          </cell>
          <cell r="N337">
            <v>0</v>
          </cell>
          <cell r="O337">
            <v>21.783864485160638</v>
          </cell>
          <cell r="P337">
            <v>990.23230235821541</v>
          </cell>
          <cell r="Q337">
            <v>7.626046431487099</v>
          </cell>
        </row>
        <row r="338">
          <cell r="D338">
            <v>0</v>
          </cell>
          <cell r="E338">
            <v>0</v>
          </cell>
          <cell r="G338">
            <v>12.520251723422593</v>
          </cell>
          <cell r="K338">
            <v>20.423301253009186</v>
          </cell>
          <cell r="N338">
            <v>0</v>
          </cell>
          <cell r="O338">
            <v>4.4960920056326943</v>
          </cell>
          <cell r="P338">
            <v>945.9846435494037</v>
          </cell>
          <cell r="Q338">
            <v>7.6787323484647523</v>
          </cell>
        </row>
        <row r="339">
          <cell r="D339">
            <v>0</v>
          </cell>
          <cell r="E339">
            <v>0</v>
          </cell>
          <cell r="G339">
            <v>0</v>
          </cell>
          <cell r="K339">
            <v>23.843193104430522</v>
          </cell>
          <cell r="N339">
            <v>0</v>
          </cell>
          <cell r="O339">
            <v>11.447512674494163</v>
          </cell>
          <cell r="P339">
            <v>980.46561471584221</v>
          </cell>
          <cell r="Q339">
            <v>7.6990414829115856</v>
          </cell>
        </row>
        <row r="340">
          <cell r="D340">
            <v>0</v>
          </cell>
          <cell r="E340">
            <v>0</v>
          </cell>
          <cell r="G340">
            <v>0</v>
          </cell>
          <cell r="K340">
            <v>25.744246404445384</v>
          </cell>
          <cell r="N340">
            <v>0</v>
          </cell>
          <cell r="O340">
            <v>10.786289484449727</v>
          </cell>
          <cell r="P340">
            <v>926.17666760376903</v>
          </cell>
          <cell r="Q340">
            <v>7.5209185823264768</v>
          </cell>
        </row>
        <row r="341">
          <cell r="D341">
            <v>0</v>
          </cell>
          <cell r="E341">
            <v>0</v>
          </cell>
          <cell r="G341">
            <v>0</v>
          </cell>
          <cell r="K341">
            <v>25.223370842540596</v>
          </cell>
          <cell r="N341">
            <v>0</v>
          </cell>
          <cell r="O341">
            <v>27.323958565418703</v>
          </cell>
          <cell r="P341">
            <v>1001.4511501184021</v>
          </cell>
          <cell r="Q341">
            <v>7.7649481311449877</v>
          </cell>
        </row>
        <row r="342">
          <cell r="D342">
            <v>0</v>
          </cell>
          <cell r="E342">
            <v>0</v>
          </cell>
          <cell r="G342">
            <v>0</v>
          </cell>
          <cell r="K342">
            <v>12.776994062426919</v>
          </cell>
          <cell r="N342">
            <v>0</v>
          </cell>
          <cell r="O342">
            <v>12.123149801104532</v>
          </cell>
          <cell r="P342">
            <v>859.33218363799983</v>
          </cell>
          <cell r="Q342">
            <v>8.09712886923732</v>
          </cell>
        </row>
        <row r="343">
          <cell r="D343">
            <v>0</v>
          </cell>
          <cell r="E343">
            <v>0</v>
          </cell>
          <cell r="G343">
            <v>0</v>
          </cell>
          <cell r="K343">
            <v>17.562872007177887</v>
          </cell>
          <cell r="N343">
            <v>0</v>
          </cell>
          <cell r="O343">
            <v>16.278522974638122</v>
          </cell>
          <cell r="P343">
            <v>829.7669977607485</v>
          </cell>
          <cell r="Q343">
            <v>8.4204162440600552</v>
          </cell>
        </row>
        <row r="344">
          <cell r="D344">
            <v>0</v>
          </cell>
          <cell r="E344">
            <v>0</v>
          </cell>
          <cell r="G344">
            <v>0</v>
          </cell>
          <cell r="K344">
            <v>18.72660697702181</v>
          </cell>
          <cell r="N344">
            <v>0</v>
          </cell>
          <cell r="O344">
            <v>4.6888556210690249</v>
          </cell>
          <cell r="P344">
            <v>926.54872670719374</v>
          </cell>
          <cell r="Q344">
            <v>8.1544037229808843</v>
          </cell>
        </row>
        <row r="345">
          <cell r="D345">
            <v>0</v>
          </cell>
          <cell r="E345">
            <v>0</v>
          </cell>
          <cell r="G345">
            <v>0</v>
          </cell>
          <cell r="K345">
            <v>22.200049657202023</v>
          </cell>
          <cell r="N345">
            <v>0</v>
          </cell>
          <cell r="O345">
            <v>4.9339365812716691</v>
          </cell>
          <cell r="P345">
            <v>955.86895499917989</v>
          </cell>
          <cell r="Q345">
            <v>8.1048229077396918</v>
          </cell>
        </row>
        <row r="346">
          <cell r="D346">
            <v>0</v>
          </cell>
          <cell r="E346">
            <v>0</v>
          </cell>
          <cell r="G346">
            <v>0</v>
          </cell>
          <cell r="K346">
            <v>24.218127756315425</v>
          </cell>
          <cell r="N346">
            <v>0</v>
          </cell>
          <cell r="O346">
            <v>5.7508181164972045</v>
          </cell>
          <cell r="P346">
            <v>1030.0031251548346</v>
          </cell>
          <cell r="Q346">
            <v>8.0071795494144684</v>
          </cell>
        </row>
        <row r="347">
          <cell r="D347">
            <v>2.1439688329222977E-2</v>
          </cell>
          <cell r="E347">
            <v>0</v>
          </cell>
          <cell r="G347">
            <v>0</v>
          </cell>
          <cell r="K347">
            <v>24.867171104287838</v>
          </cell>
          <cell r="N347">
            <v>0</v>
          </cell>
          <cell r="O347">
            <v>6.398975187284857</v>
          </cell>
          <cell r="P347">
            <v>1014.8119142498875</v>
          </cell>
          <cell r="Q347">
            <v>7.9304551386177664</v>
          </cell>
        </row>
        <row r="348">
          <cell r="D348">
            <v>1.9806185742307726E-2</v>
          </cell>
          <cell r="E348">
            <v>0</v>
          </cell>
          <cell r="G348">
            <v>0</v>
          </cell>
          <cell r="K348">
            <v>23.302976057611701</v>
          </cell>
          <cell r="N348">
            <v>0</v>
          </cell>
          <cell r="O348">
            <v>8.3901385425967785</v>
          </cell>
          <cell r="P348">
            <v>1021.6690812073734</v>
          </cell>
          <cell r="Q348">
            <v>7.8370795225701553</v>
          </cell>
        </row>
        <row r="349">
          <cell r="D349">
            <v>1.984512894950425E-2</v>
          </cell>
          <cell r="E349">
            <v>0</v>
          </cell>
          <cell r="G349">
            <v>0</v>
          </cell>
          <cell r="K349">
            <v>24.363018033576182</v>
          </cell>
          <cell r="N349">
            <v>0</v>
          </cell>
          <cell r="O349">
            <v>11.277620686729103</v>
          </cell>
          <cell r="P349">
            <v>1024.5047820181569</v>
          </cell>
          <cell r="Q349">
            <v>7.8469748481836783</v>
          </cell>
        </row>
        <row r="350">
          <cell r="D350">
            <v>0</v>
          </cell>
          <cell r="E350">
            <v>0</v>
          </cell>
          <cell r="G350">
            <v>0</v>
          </cell>
          <cell r="K350">
            <v>24.388046697975842</v>
          </cell>
          <cell r="N350">
            <v>0</v>
          </cell>
          <cell r="O350">
            <v>4.6795353966482871</v>
          </cell>
          <cell r="P350">
            <v>980.84629145243377</v>
          </cell>
          <cell r="Q350">
            <v>7.8268337520005833</v>
          </cell>
        </row>
        <row r="351">
          <cell r="D351">
            <v>0</v>
          </cell>
          <cell r="E351">
            <v>0</v>
          </cell>
          <cell r="G351">
            <v>0</v>
          </cell>
          <cell r="K351">
            <v>23.551386068383749</v>
          </cell>
          <cell r="N351">
            <v>0</v>
          </cell>
          <cell r="O351">
            <v>12.943902979458526</v>
          </cell>
          <cell r="P351">
            <v>986.70213362271488</v>
          </cell>
          <cell r="Q351">
            <v>7.6989343724031807</v>
          </cell>
        </row>
        <row r="352">
          <cell r="D352">
            <v>0</v>
          </cell>
          <cell r="E352">
            <v>0</v>
          </cell>
          <cell r="G352">
            <v>0</v>
          </cell>
          <cell r="K352">
            <v>24.842177203582924</v>
          </cell>
          <cell r="N352">
            <v>0</v>
          </cell>
          <cell r="O352">
            <v>12.588275476534797</v>
          </cell>
          <cell r="P352">
            <v>940.87397498086557</v>
          </cell>
          <cell r="Q352">
            <v>7.5944441992831218</v>
          </cell>
        </row>
        <row r="353">
          <cell r="D353">
            <v>0</v>
          </cell>
          <cell r="E353">
            <v>0</v>
          </cell>
          <cell r="G353">
            <v>0</v>
          </cell>
          <cell r="K353">
            <v>26.70867938761549</v>
          </cell>
          <cell r="N353">
            <v>0</v>
          </cell>
          <cell r="O353">
            <v>36.80330069795059</v>
          </cell>
          <cell r="P353">
            <v>1141.9461058166164</v>
          </cell>
          <cell r="Q353">
            <v>7.7907845459406895</v>
          </cell>
        </row>
        <row r="354">
          <cell r="D354">
            <v>0</v>
          </cell>
          <cell r="E354">
            <v>0</v>
          </cell>
          <cell r="G354">
            <v>0</v>
          </cell>
          <cell r="K354">
            <v>7.2780274132154421</v>
          </cell>
          <cell r="N354">
            <v>0</v>
          </cell>
          <cell r="O354">
            <v>11.09259057119387</v>
          </cell>
          <cell r="P354">
            <v>679.79682910483621</v>
          </cell>
          <cell r="Q354">
            <v>8.0823932979652433</v>
          </cell>
        </row>
        <row r="355">
          <cell r="D355">
            <v>0</v>
          </cell>
          <cell r="E355">
            <v>0</v>
          </cell>
          <cell r="G355">
            <v>0</v>
          </cell>
          <cell r="K355">
            <v>11.291733808003581</v>
          </cell>
          <cell r="N355">
            <v>0</v>
          </cell>
          <cell r="O355">
            <v>14.496097373496577</v>
          </cell>
          <cell r="P355">
            <v>648.81298394669807</v>
          </cell>
          <cell r="Q355">
            <v>8.344016627896595</v>
          </cell>
        </row>
        <row r="356">
          <cell r="D356">
            <v>0</v>
          </cell>
          <cell r="E356">
            <v>0</v>
          </cell>
          <cell r="G356">
            <v>0</v>
          </cell>
          <cell r="K356">
            <v>11.859722965256319</v>
          </cell>
          <cell r="N356">
            <v>0</v>
          </cell>
          <cell r="O356">
            <v>3.6203541044855774</v>
          </cell>
          <cell r="P356">
            <v>718.25887254229576</v>
          </cell>
          <cell r="Q356">
            <v>8.0331642818588911</v>
          </cell>
        </row>
        <row r="357">
          <cell r="D357">
            <v>0</v>
          </cell>
          <cell r="E357">
            <v>0</v>
          </cell>
          <cell r="G357">
            <v>0</v>
          </cell>
          <cell r="K357">
            <v>14.020425957403196</v>
          </cell>
          <cell r="N357">
            <v>0</v>
          </cell>
          <cell r="O357">
            <v>3.8446362332079311</v>
          </cell>
          <cell r="P357">
            <v>758.74772308052923</v>
          </cell>
          <cell r="Q357">
            <v>8.0448476662014805</v>
          </cell>
        </row>
        <row r="358">
          <cell r="D358">
            <v>0</v>
          </cell>
          <cell r="E358">
            <v>0</v>
          </cell>
          <cell r="G358">
            <v>0</v>
          </cell>
          <cell r="K358">
            <v>15.052066653005845</v>
          </cell>
          <cell r="N358">
            <v>0</v>
          </cell>
          <cell r="O358">
            <v>4.6253789019808078</v>
          </cell>
          <cell r="P358">
            <v>823.68453391844412</v>
          </cell>
          <cell r="Q358">
            <v>7.9826821600552016</v>
          </cell>
        </row>
        <row r="359">
          <cell r="D359">
            <v>2.0530451547563732E-2</v>
          </cell>
          <cell r="E359">
            <v>0</v>
          </cell>
          <cell r="G359">
            <v>0</v>
          </cell>
          <cell r="K359">
            <v>14.980769040819492</v>
          </cell>
          <cell r="N359">
            <v>0</v>
          </cell>
          <cell r="O359">
            <v>5.2444198385069418</v>
          </cell>
          <cell r="P359">
            <v>809.81225548723592</v>
          </cell>
          <cell r="Q359">
            <v>7.912012216210031</v>
          </cell>
        </row>
        <row r="360">
          <cell r="D360">
            <v>1.8663503132874949E-2</v>
          </cell>
          <cell r="E360">
            <v>0</v>
          </cell>
          <cell r="G360">
            <v>0</v>
          </cell>
          <cell r="K360">
            <v>13.91949772750803</v>
          </cell>
          <cell r="N360">
            <v>0</v>
          </cell>
          <cell r="O360">
            <v>7.1021789799710717</v>
          </cell>
          <cell r="P360">
            <v>802.27141939233275</v>
          </cell>
          <cell r="Q360">
            <v>7.7704669829773492</v>
          </cell>
        </row>
        <row r="361">
          <cell r="D361">
            <v>1.8699181577398374E-2</v>
          </cell>
          <cell r="E361">
            <v>0</v>
          </cell>
          <cell r="G361">
            <v>0</v>
          </cell>
          <cell r="K361">
            <v>14.666242171288161</v>
          </cell>
          <cell r="N361">
            <v>0</v>
          </cell>
          <cell r="O361">
            <v>9.8219414033437236</v>
          </cell>
          <cell r="P361">
            <v>804.45437411099272</v>
          </cell>
          <cell r="Q361">
            <v>7.7910522703039486</v>
          </cell>
        </row>
        <row r="362">
          <cell r="D362">
            <v>0</v>
          </cell>
          <cell r="E362">
            <v>0</v>
          </cell>
          <cell r="G362">
            <v>0</v>
          </cell>
          <cell r="K362">
            <v>15.386159040179718</v>
          </cell>
          <cell r="N362">
            <v>0</v>
          </cell>
          <cell r="O362">
            <v>3.6033642525748326</v>
          </cell>
          <cell r="P362">
            <v>773.19801546495228</v>
          </cell>
          <cell r="Q362">
            <v>7.7890638315270433</v>
          </cell>
        </row>
        <row r="363">
          <cell r="D363">
            <v>0</v>
          </cell>
          <cell r="E363">
            <v>0</v>
          </cell>
          <cell r="G363">
            <v>0</v>
          </cell>
          <cell r="K363">
            <v>15.299255173131549</v>
          </cell>
          <cell r="N363">
            <v>0</v>
          </cell>
          <cell r="O363">
            <v>11.486637568397928</v>
          </cell>
          <cell r="P363">
            <v>771.14344858180027</v>
          </cell>
          <cell r="Q363">
            <v>7.6132640763624879</v>
          </cell>
        </row>
        <row r="364">
          <cell r="D364">
            <v>0</v>
          </cell>
          <cell r="E364">
            <v>0</v>
          </cell>
          <cell r="G364">
            <v>0</v>
          </cell>
          <cell r="K364">
            <v>17.019724797504487</v>
          </cell>
          <cell r="N364">
            <v>0</v>
          </cell>
          <cell r="O364">
            <v>8.5357083985455819</v>
          </cell>
          <cell r="P364">
            <v>735.66318918130787</v>
          </cell>
          <cell r="Q364">
            <v>7.5314953966634945</v>
          </cell>
        </row>
        <row r="365">
          <cell r="D365">
            <v>0</v>
          </cell>
          <cell r="E365">
            <v>0</v>
          </cell>
          <cell r="G365">
            <v>0</v>
          </cell>
          <cell r="K365">
            <v>18.657839253417926</v>
          </cell>
          <cell r="N365">
            <v>0</v>
          </cell>
          <cell r="O365">
            <v>31.73437399070605</v>
          </cell>
          <cell r="P365">
            <v>929.86013152305679</v>
          </cell>
          <cell r="Q365">
            <v>7.6926397478528328</v>
          </cell>
        </row>
        <row r="366">
          <cell r="D366">
            <v>0</v>
          </cell>
          <cell r="E366">
            <v>0</v>
          </cell>
          <cell r="G366">
            <v>0</v>
          </cell>
          <cell r="K366">
            <v>8.3774110689775707</v>
          </cell>
          <cell r="N366">
            <v>0</v>
          </cell>
          <cell r="O366">
            <v>7.5079641680023164</v>
          </cell>
          <cell r="P366">
            <v>748.02562059954039</v>
          </cell>
          <cell r="Q366">
            <v>7.9493667000028898</v>
          </cell>
        </row>
        <row r="367">
          <cell r="D367">
            <v>0</v>
          </cell>
          <cell r="E367">
            <v>0</v>
          </cell>
          <cell r="G367">
            <v>0</v>
          </cell>
          <cell r="K367">
            <v>13.464629742870791</v>
          </cell>
          <cell r="N367">
            <v>0</v>
          </cell>
          <cell r="O367">
            <v>11.866607504715502</v>
          </cell>
          <cell r="P367">
            <v>721.36190902011538</v>
          </cell>
          <cell r="Q367">
            <v>8.1780827181505753</v>
          </cell>
        </row>
        <row r="368">
          <cell r="D368">
            <v>0</v>
          </cell>
          <cell r="E368">
            <v>0</v>
          </cell>
          <cell r="G368">
            <v>0</v>
          </cell>
          <cell r="K368">
            <v>14.154665596136081</v>
          </cell>
          <cell r="N368">
            <v>0</v>
          </cell>
          <cell r="O368">
            <v>4.0740024669002715</v>
          </cell>
          <cell r="P368">
            <v>787.58973239510954</v>
          </cell>
          <cell r="Q368">
            <v>7.8000670383625197</v>
          </cell>
        </row>
        <row r="369">
          <cell r="D369">
            <v>0</v>
          </cell>
          <cell r="E369">
            <v>0</v>
          </cell>
          <cell r="G369">
            <v>0</v>
          </cell>
          <cell r="K369">
            <v>17.12236115306299</v>
          </cell>
          <cell r="N369">
            <v>0</v>
          </cell>
          <cell r="O369">
            <v>4.5239415121733479</v>
          </cell>
          <cell r="P369">
            <v>878.41663435055182</v>
          </cell>
          <cell r="Q369">
            <v>8.0359036111908502</v>
          </cell>
        </row>
        <row r="370">
          <cell r="D370">
            <v>0</v>
          </cell>
          <cell r="E370">
            <v>0</v>
          </cell>
          <cell r="G370">
            <v>0</v>
          </cell>
          <cell r="K370">
            <v>17.423084662003291</v>
          </cell>
          <cell r="N370">
            <v>0</v>
          </cell>
          <cell r="O370">
            <v>5.4287778724752656</v>
          </cell>
          <cell r="P370">
            <v>914.12227697799165</v>
          </cell>
          <cell r="Q370">
            <v>7.7745922518952586</v>
          </cell>
        </row>
        <row r="371">
          <cell r="D371">
            <v>2.7575530323754968E-2</v>
          </cell>
          <cell r="E371">
            <v>0</v>
          </cell>
          <cell r="G371">
            <v>0</v>
          </cell>
          <cell r="K371">
            <v>17.895011762916898</v>
          </cell>
          <cell r="N371">
            <v>0</v>
          </cell>
          <cell r="O371">
            <v>6.2780063507160708</v>
          </cell>
          <cell r="P371">
            <v>906.41789490120493</v>
          </cell>
          <cell r="Q371">
            <v>7.7403071487780259</v>
          </cell>
        </row>
        <row r="372">
          <cell r="D372">
            <v>2.5060303076504899E-2</v>
          </cell>
          <cell r="E372">
            <v>0</v>
          </cell>
          <cell r="G372">
            <v>0</v>
          </cell>
          <cell r="K372">
            <v>16.754782771844344</v>
          </cell>
          <cell r="N372">
            <v>0</v>
          </cell>
          <cell r="O372">
            <v>8.7749241771410151</v>
          </cell>
          <cell r="P372">
            <v>897.70414377063241</v>
          </cell>
          <cell r="Q372">
            <v>7.5714797225498316</v>
          </cell>
        </row>
        <row r="373">
          <cell r="D373">
            <v>2.5300057453700828E-2</v>
          </cell>
          <cell r="E373">
            <v>0</v>
          </cell>
          <cell r="G373">
            <v>0</v>
          </cell>
          <cell r="K373">
            <v>17.652857152527982</v>
          </cell>
          <cell r="N373">
            <v>0</v>
          </cell>
          <cell r="O373">
            <v>12.496222484578038</v>
          </cell>
          <cell r="P373">
            <v>907.02462919951768</v>
          </cell>
          <cell r="Q373">
            <v>7.5735732517064669</v>
          </cell>
        </row>
        <row r="374">
          <cell r="D374">
            <v>0</v>
          </cell>
          <cell r="E374">
            <v>0</v>
          </cell>
          <cell r="G374">
            <v>0</v>
          </cell>
          <cell r="K374">
            <v>18.159013488105227</v>
          </cell>
          <cell r="N374">
            <v>0</v>
          </cell>
          <cell r="O374">
            <v>4.1849274650070543</v>
          </cell>
          <cell r="P374">
            <v>886.66987663445525</v>
          </cell>
          <cell r="Q374">
            <v>7.7588561981415625</v>
          </cell>
        </row>
        <row r="375">
          <cell r="D375">
            <v>0</v>
          </cell>
          <cell r="E375">
            <v>0</v>
          </cell>
          <cell r="G375">
            <v>0</v>
          </cell>
          <cell r="K375">
            <v>17.893595883465547</v>
          </cell>
          <cell r="N375">
            <v>5</v>
          </cell>
          <cell r="O375">
            <v>9.4509256115612459</v>
          </cell>
          <cell r="P375">
            <v>858.48085973133857</v>
          </cell>
          <cell r="Q375">
            <v>7.3562474594274292</v>
          </cell>
        </row>
        <row r="376">
          <cell r="D376">
            <v>0</v>
          </cell>
          <cell r="E376">
            <v>0</v>
          </cell>
          <cell r="G376">
            <v>0</v>
          </cell>
          <cell r="K376">
            <v>20.325039139799436</v>
          </cell>
          <cell r="N376">
            <v>5</v>
          </cell>
          <cell r="O376">
            <v>8.4383812079329932</v>
          </cell>
          <cell r="P376">
            <v>823.17897366685281</v>
          </cell>
          <cell r="Q376">
            <v>7.2434362257021565</v>
          </cell>
        </row>
        <row r="377">
          <cell r="D377">
            <v>0</v>
          </cell>
          <cell r="E377">
            <v>0</v>
          </cell>
          <cell r="G377">
            <v>0</v>
          </cell>
          <cell r="K377">
            <v>22.733166617354911</v>
          </cell>
          <cell r="N377">
            <v>5</v>
          </cell>
          <cell r="O377">
            <v>25.17946204240609</v>
          </cell>
          <cell r="P377">
            <v>1081.7961922760267</v>
          </cell>
          <cell r="Q377">
            <v>7.3995927498730119</v>
          </cell>
        </row>
        <row r="378">
          <cell r="D378">
            <v>0</v>
          </cell>
          <cell r="E378">
            <v>0</v>
          </cell>
          <cell r="G378">
            <v>0</v>
          </cell>
          <cell r="K378">
            <v>8.4587804444539803</v>
          </cell>
          <cell r="N378">
            <v>5</v>
          </cell>
          <cell r="O378">
            <v>8.0784070050740411</v>
          </cell>
          <cell r="P378">
            <v>730.17244976274878</v>
          </cell>
          <cell r="Q378">
            <v>7.8431698776335637</v>
          </cell>
        </row>
        <row r="379">
          <cell r="D379">
            <v>0</v>
          </cell>
          <cell r="E379">
            <v>0</v>
          </cell>
          <cell r="G379">
            <v>0</v>
          </cell>
          <cell r="K379">
            <v>12.688966572015243</v>
          </cell>
          <cell r="N379">
            <v>5</v>
          </cell>
          <cell r="O379">
            <v>13.00554185313967</v>
          </cell>
          <cell r="P379">
            <v>694.17041543341884</v>
          </cell>
          <cell r="Q379">
            <v>8.0676076549330507</v>
          </cell>
        </row>
        <row r="380">
          <cell r="D380">
            <v>0</v>
          </cell>
          <cell r="E380">
            <v>0</v>
          </cell>
          <cell r="G380">
            <v>0</v>
          </cell>
          <cell r="K380">
            <v>13.765517559929501</v>
          </cell>
          <cell r="N380">
            <v>5</v>
          </cell>
          <cell r="O380">
            <v>4.0912637718077391</v>
          </cell>
          <cell r="P380">
            <v>779.69259344386376</v>
          </cell>
          <cell r="Q380">
            <v>7.7923950061024572</v>
          </cell>
        </row>
        <row r="381">
          <cell r="D381">
            <v>0</v>
          </cell>
          <cell r="E381">
            <v>0</v>
          </cell>
          <cell r="G381">
            <v>0</v>
          </cell>
          <cell r="K381">
            <v>17.13666877991416</v>
          </cell>
          <cell r="N381">
            <v>5</v>
          </cell>
          <cell r="O381">
            <v>4.5198816971827949</v>
          </cell>
          <cell r="P381">
            <v>868.41259421205632</v>
          </cell>
          <cell r="Q381">
            <v>7.8200771824939954</v>
          </cell>
        </row>
        <row r="382">
          <cell r="D382">
            <v>0</v>
          </cell>
          <cell r="E382">
            <v>0</v>
          </cell>
          <cell r="G382">
            <v>0</v>
          </cell>
          <cell r="K382">
            <v>18.165272116890687</v>
          </cell>
          <cell r="N382">
            <v>5</v>
          </cell>
          <cell r="O382">
            <v>5.7322050556406206</v>
          </cell>
          <cell r="P382">
            <v>922.36170660756079</v>
          </cell>
          <cell r="Q382">
            <v>7.7209870388614039</v>
          </cell>
        </row>
        <row r="383">
          <cell r="D383">
            <v>3.3329528515301673E-2</v>
          </cell>
          <cell r="E383">
            <v>0</v>
          </cell>
          <cell r="G383">
            <v>0</v>
          </cell>
          <cell r="K383">
            <v>18.611102200151286</v>
          </cell>
          <cell r="N383">
            <v>5</v>
          </cell>
          <cell r="O383">
            <v>6.7722983904586016</v>
          </cell>
          <cell r="P383">
            <v>912.96162213982188</v>
          </cell>
          <cell r="Q383">
            <v>7.6593401211779764</v>
          </cell>
        </row>
        <row r="384">
          <cell r="D384">
            <v>3.0377129339032121E-2</v>
          </cell>
          <cell r="E384">
            <v>0</v>
          </cell>
          <cell r="G384">
            <v>0</v>
          </cell>
          <cell r="K384">
            <v>17.326604171384275</v>
          </cell>
          <cell r="N384">
            <v>5</v>
          </cell>
          <cell r="O384">
            <v>9.8338203890384239</v>
          </cell>
          <cell r="P384">
            <v>906.80184514182486</v>
          </cell>
          <cell r="Q384">
            <v>7.5461732087175326</v>
          </cell>
        </row>
        <row r="385">
          <cell r="D385">
            <v>3.0524048133594484E-2</v>
          </cell>
          <cell r="E385">
            <v>0</v>
          </cell>
          <cell r="G385">
            <v>0</v>
          </cell>
          <cell r="K385">
            <v>18.36715672292943</v>
          </cell>
          <cell r="N385">
            <v>5</v>
          </cell>
          <cell r="O385">
            <v>14.296523925114039</v>
          </cell>
          <cell r="P385">
            <v>911.92360237084222</v>
          </cell>
          <cell r="Q385">
            <v>7.4927992586305576</v>
          </cell>
        </row>
        <row r="386">
          <cell r="D386">
            <v>0</v>
          </cell>
          <cell r="E386">
            <v>0</v>
          </cell>
          <cell r="G386">
            <v>0</v>
          </cell>
          <cell r="K386">
            <v>18.508130361856278</v>
          </cell>
          <cell r="N386">
            <v>5</v>
          </cell>
          <cell r="O386">
            <v>4.166343193100766</v>
          </cell>
          <cell r="P386">
            <v>874.90066509632197</v>
          </cell>
          <cell r="Q386">
            <v>7.5415284862134193</v>
          </cell>
        </row>
        <row r="387">
          <cell r="D387">
            <v>0</v>
          </cell>
          <cell r="E387">
            <v>0</v>
          </cell>
          <cell r="G387">
            <v>0</v>
          </cell>
          <cell r="K387">
            <v>19.061999891514617</v>
          </cell>
          <cell r="N387">
            <v>10</v>
          </cell>
          <cell r="O387">
            <v>10.666941494100804</v>
          </cell>
          <cell r="P387">
            <v>869.91365654896549</v>
          </cell>
          <cell r="Q387">
            <v>7.3731950185765456</v>
          </cell>
        </row>
        <row r="388">
          <cell r="D388">
            <v>0</v>
          </cell>
          <cell r="E388">
            <v>0</v>
          </cell>
          <cell r="G388">
            <v>0</v>
          </cell>
          <cell r="K388">
            <v>20.897522618691657</v>
          </cell>
          <cell r="N388">
            <v>10</v>
          </cell>
          <cell r="O388">
            <v>9.4121775583116793</v>
          </cell>
          <cell r="P388">
            <v>831.69777121443428</v>
          </cell>
          <cell r="Q388">
            <v>7.288298797296032</v>
          </cell>
        </row>
        <row r="389">
          <cell r="D389">
            <v>0</v>
          </cell>
          <cell r="E389">
            <v>0</v>
          </cell>
          <cell r="G389">
            <v>0</v>
          </cell>
          <cell r="K389">
            <v>25.832392387354425</v>
          </cell>
          <cell r="N389">
            <v>10</v>
          </cell>
          <cell r="O389">
            <v>32.439136737250443</v>
          </cell>
          <cell r="P389">
            <v>1161.4139645496819</v>
          </cell>
          <cell r="Q389">
            <v>7.4738804609808875</v>
          </cell>
        </row>
        <row r="390">
          <cell r="D390">
            <v>0</v>
          </cell>
          <cell r="E390">
            <v>0</v>
          </cell>
          <cell r="G390">
            <v>0</v>
          </cell>
          <cell r="K390">
            <v>9.4614879254830129</v>
          </cell>
          <cell r="N390">
            <v>10</v>
          </cell>
          <cell r="O390">
            <v>10.195677251306565</v>
          </cell>
          <cell r="P390">
            <v>767.9528310161578</v>
          </cell>
          <cell r="Q390">
            <v>7.7962207654678437</v>
          </cell>
        </row>
        <row r="391">
          <cell r="D391">
            <v>0</v>
          </cell>
          <cell r="E391">
            <v>0</v>
          </cell>
          <cell r="G391">
            <v>0</v>
          </cell>
          <cell r="K391">
            <v>13.706239460647343</v>
          </cell>
          <cell r="N391">
            <v>10</v>
          </cell>
          <cell r="O391">
            <v>13.981078513653779</v>
          </cell>
          <cell r="P391">
            <v>730.31069769398971</v>
          </cell>
          <cell r="Q391">
            <v>8.0471980290645195</v>
          </cell>
        </row>
        <row r="392">
          <cell r="D392">
            <v>0</v>
          </cell>
          <cell r="E392">
            <v>0</v>
          </cell>
          <cell r="G392">
            <v>0</v>
          </cell>
          <cell r="K392">
            <v>14.532935920249207</v>
          </cell>
          <cell r="N392">
            <v>10</v>
          </cell>
          <cell r="O392">
            <v>4.1643766166676333</v>
          </cell>
          <cell r="P392">
            <v>803.22968519726135</v>
          </cell>
          <cell r="Q392">
            <v>7.759057460938231</v>
          </cell>
        </row>
        <row r="393">
          <cell r="D393">
            <v>0</v>
          </cell>
          <cell r="E393">
            <v>0</v>
          </cell>
          <cell r="G393">
            <v>0</v>
          </cell>
          <cell r="K393">
            <v>17.250194779497271</v>
          </cell>
          <cell r="N393">
            <v>10</v>
          </cell>
          <cell r="O393">
            <v>4.4410295937524991</v>
          </cell>
          <cell r="P393">
            <v>855.8362210822329</v>
          </cell>
          <cell r="Q393">
            <v>7.8002180304449</v>
          </cell>
        </row>
        <row r="394">
          <cell r="D394">
            <v>0</v>
          </cell>
          <cell r="E394">
            <v>0</v>
          </cell>
          <cell r="G394">
            <v>0</v>
          </cell>
          <cell r="K394">
            <v>18.454917974392874</v>
          </cell>
          <cell r="N394">
            <v>10</v>
          </cell>
          <cell r="O394">
            <v>5.6243944134262556</v>
          </cell>
          <cell r="P394">
            <v>913.40693452687879</v>
          </cell>
          <cell r="Q394">
            <v>7.6873784829765581</v>
          </cell>
        </row>
        <row r="395">
          <cell r="D395">
            <v>2.3601405862319159E-2</v>
          </cell>
          <cell r="E395">
            <v>0</v>
          </cell>
          <cell r="G395">
            <v>0</v>
          </cell>
          <cell r="K395">
            <v>18.793178731116125</v>
          </cell>
          <cell r="N395">
            <v>10</v>
          </cell>
          <cell r="O395">
            <v>6.5110807830874959</v>
          </cell>
          <cell r="P395">
            <v>900.72017642692981</v>
          </cell>
          <cell r="Q395">
            <v>7.6261084358516822</v>
          </cell>
        </row>
        <row r="396">
          <cell r="D396">
            <v>2.1618882318887596E-2</v>
          </cell>
          <cell r="E396">
            <v>0</v>
          </cell>
          <cell r="G396">
            <v>0</v>
          </cell>
          <cell r="K396">
            <v>17.549362477218054</v>
          </cell>
          <cell r="N396">
            <v>10</v>
          </cell>
          <cell r="O396">
            <v>9.3420559713785689</v>
          </cell>
          <cell r="P396">
            <v>899.14051785848608</v>
          </cell>
          <cell r="Q396">
            <v>7.5043798800948727</v>
          </cell>
        </row>
        <row r="397">
          <cell r="D397">
            <v>2.1613126125309533E-2</v>
          </cell>
          <cell r="E397">
            <v>0</v>
          </cell>
          <cell r="G397">
            <v>0</v>
          </cell>
          <cell r="K397">
            <v>18.483449116141486</v>
          </cell>
          <cell r="N397">
            <v>10</v>
          </cell>
          <cell r="O397">
            <v>13.435131099478825</v>
          </cell>
          <cell r="P397">
            <v>899.62720615386854</v>
          </cell>
          <cell r="Q397">
            <v>7.4693478732794745</v>
          </cell>
        </row>
        <row r="398">
          <cell r="D398">
            <v>0</v>
          </cell>
          <cell r="E398">
            <v>0</v>
          </cell>
          <cell r="G398">
            <v>0</v>
          </cell>
          <cell r="K398">
            <v>18.687027946140137</v>
          </cell>
          <cell r="N398">
            <v>10</v>
          </cell>
          <cell r="O398">
            <v>4.0953433419677925</v>
          </cell>
          <cell r="P398">
            <v>865.2387395554191</v>
          </cell>
          <cell r="Q398">
            <v>7.5204030154221533</v>
          </cell>
        </row>
        <row r="399">
          <cell r="D399">
            <v>0</v>
          </cell>
          <cell r="E399">
            <v>0</v>
          </cell>
          <cell r="G399">
            <v>0</v>
          </cell>
          <cell r="K399">
            <v>19.182485592434944</v>
          </cell>
          <cell r="N399">
            <v>15</v>
          </cell>
          <cell r="O399">
            <v>10.901884090705666</v>
          </cell>
          <cell r="P399">
            <v>865.77182362412725</v>
          </cell>
          <cell r="Q399">
            <v>7.3542822875729366</v>
          </cell>
        </row>
        <row r="400">
          <cell r="D400">
            <v>0</v>
          </cell>
          <cell r="E400">
            <v>0</v>
          </cell>
          <cell r="G400">
            <v>0</v>
          </cell>
          <cell r="K400">
            <v>20.991003401508635</v>
          </cell>
          <cell r="N400">
            <v>15</v>
          </cell>
          <cell r="O400">
            <v>9.6073233476749706</v>
          </cell>
          <cell r="P400">
            <v>825.42937932506175</v>
          </cell>
          <cell r="Q400">
            <v>7.2448099035435023</v>
          </cell>
        </row>
        <row r="401">
          <cell r="D401">
            <v>0</v>
          </cell>
          <cell r="E401">
            <v>0</v>
          </cell>
          <cell r="G401">
            <v>0</v>
          </cell>
          <cell r="K401">
            <v>23.099705658274026</v>
          </cell>
          <cell r="N401">
            <v>15</v>
          </cell>
          <cell r="O401">
            <v>29.901828811669763</v>
          </cell>
          <cell r="P401">
            <v>1032.1838785896446</v>
          </cell>
          <cell r="Q401">
            <v>7.4285610819802459</v>
          </cell>
        </row>
        <row r="402">
          <cell r="D402">
            <v>0</v>
          </cell>
          <cell r="E402">
            <v>0</v>
          </cell>
          <cell r="G402">
            <v>0</v>
          </cell>
          <cell r="K402">
            <v>9.574420714153467</v>
          </cell>
          <cell r="N402">
            <v>15</v>
          </cell>
          <cell r="O402">
            <v>10.225015922088442</v>
          </cell>
          <cell r="P402">
            <v>788.93897067609373</v>
          </cell>
          <cell r="Q402">
            <v>7.7489134122668251</v>
          </cell>
        </row>
        <row r="403">
          <cell r="D403">
            <v>0</v>
          </cell>
          <cell r="E403">
            <v>0</v>
          </cell>
          <cell r="G403">
            <v>0</v>
          </cell>
          <cell r="K403">
            <v>14.241148557123715</v>
          </cell>
          <cell r="N403">
            <v>15</v>
          </cell>
          <cell r="O403">
            <v>14.544462153979991</v>
          </cell>
          <cell r="P403">
            <v>755.23989567093258</v>
          </cell>
          <cell r="Q403">
            <v>8.0000302737559483</v>
          </cell>
        </row>
        <row r="404">
          <cell r="D404">
            <v>0</v>
          </cell>
          <cell r="E404">
            <v>0</v>
          </cell>
          <cell r="G404">
            <v>0</v>
          </cell>
          <cell r="K404">
            <v>15.131578815895029</v>
          </cell>
          <cell r="N404">
            <v>15</v>
          </cell>
          <cell r="O404">
            <v>4.3006657964195618</v>
          </cell>
          <cell r="P404">
            <v>836.52364920861612</v>
          </cell>
          <cell r="Q404">
            <v>7.7039147289479848</v>
          </cell>
        </row>
        <row r="405">
          <cell r="D405">
            <v>0</v>
          </cell>
          <cell r="E405">
            <v>0</v>
          </cell>
          <cell r="G405">
            <v>0</v>
          </cell>
          <cell r="K405">
            <v>18.189984772239185</v>
          </cell>
          <cell r="N405">
            <v>15</v>
          </cell>
          <cell r="O405">
            <v>4.6377500367560112</v>
          </cell>
          <cell r="P405">
            <v>899.73754550218189</v>
          </cell>
          <cell r="Q405">
            <v>7.7563946780267043</v>
          </cell>
        </row>
        <row r="406">
          <cell r="D406">
            <v>0</v>
          </cell>
          <cell r="E406">
            <v>0</v>
          </cell>
          <cell r="G406">
            <v>0</v>
          </cell>
          <cell r="K406">
            <v>19.331524741851801</v>
          </cell>
          <cell r="N406">
            <v>15</v>
          </cell>
          <cell r="O406">
            <v>5.6624967840978231</v>
          </cell>
          <cell r="P406">
            <v>959.42432286008852</v>
          </cell>
          <cell r="Q406">
            <v>7.6327579919039019</v>
          </cell>
        </row>
        <row r="407">
          <cell r="D407">
            <v>2.6446646796717259E-2</v>
          </cell>
          <cell r="E407">
            <v>0</v>
          </cell>
          <cell r="G407">
            <v>0</v>
          </cell>
          <cell r="K407">
            <v>19.700001082831022</v>
          </cell>
          <cell r="N407">
            <v>15</v>
          </cell>
          <cell r="O407">
            <v>6.5078007221429734</v>
          </cell>
          <cell r="P407">
            <v>947.1530217540278</v>
          </cell>
          <cell r="Q407">
            <v>7.5734699990861145</v>
          </cell>
        </row>
        <row r="408">
          <cell r="D408">
            <v>2.4171522251052752E-2</v>
          </cell>
          <cell r="E408">
            <v>0</v>
          </cell>
          <cell r="G408">
            <v>0</v>
          </cell>
          <cell r="K408">
            <v>18.38652274609121</v>
          </cell>
          <cell r="N408">
            <v>15</v>
          </cell>
          <cell r="O408">
            <v>9.0706246177492318</v>
          </cell>
          <cell r="P408">
            <v>943.3999506553439</v>
          </cell>
          <cell r="Q408">
            <v>7.448848248051414</v>
          </cell>
        </row>
        <row r="409">
          <cell r="D409">
            <v>2.4262846583040336E-2</v>
          </cell>
          <cell r="E409">
            <v>0</v>
          </cell>
          <cell r="G409">
            <v>0</v>
          </cell>
          <cell r="K409">
            <v>19.364144634581674</v>
          </cell>
          <cell r="N409">
            <v>15</v>
          </cell>
          <cell r="O409">
            <v>12.814419885521371</v>
          </cell>
          <cell r="P409">
            <v>947.72919891962908</v>
          </cell>
          <cell r="Q409">
            <v>7.438208030631726</v>
          </cell>
        </row>
        <row r="410">
          <cell r="D410">
            <v>0</v>
          </cell>
          <cell r="E410">
            <v>0</v>
          </cell>
          <cell r="G410">
            <v>0</v>
          </cell>
          <cell r="K410">
            <v>19.719033921517561</v>
          </cell>
          <cell r="N410">
            <v>15</v>
          </cell>
          <cell r="O410">
            <v>4.317605889356714</v>
          </cell>
          <cell r="P410">
            <v>912.95396236658871</v>
          </cell>
          <cell r="Q410">
            <v>7.4896993066759112</v>
          </cell>
        </row>
        <row r="411">
          <cell r="D411">
            <v>0</v>
          </cell>
          <cell r="E411">
            <v>0</v>
          </cell>
          <cell r="G411">
            <v>0</v>
          </cell>
          <cell r="K411">
            <v>19.698467087443529</v>
          </cell>
          <cell r="N411">
            <v>15</v>
          </cell>
          <cell r="O411">
            <v>11.584139191333762</v>
          </cell>
          <cell r="P411">
            <v>906.7534993801147</v>
          </cell>
          <cell r="Q411">
            <v>7.2862652841484223</v>
          </cell>
        </row>
        <row r="412">
          <cell r="D412">
            <v>0</v>
          </cell>
          <cell r="E412">
            <v>0</v>
          </cell>
          <cell r="G412">
            <v>0</v>
          </cell>
          <cell r="K412">
            <v>21.617412756387562</v>
          </cell>
          <cell r="N412">
            <v>15</v>
          </cell>
          <cell r="O412">
            <v>10.080418837776342</v>
          </cell>
          <cell r="P412">
            <v>866.17822216854086</v>
          </cell>
          <cell r="Q412">
            <v>7.1901490820383609</v>
          </cell>
        </row>
        <row r="413">
          <cell r="D413">
            <v>0</v>
          </cell>
          <cell r="E413">
            <v>0</v>
          </cell>
          <cell r="G413">
            <v>0</v>
          </cell>
          <cell r="K413">
            <v>24.323837989813267</v>
          </cell>
          <cell r="N413">
            <v>15</v>
          </cell>
          <cell r="O413">
            <v>32.672447166794356</v>
          </cell>
          <cell r="P413">
            <v>1114.8532108829506</v>
          </cell>
          <cell r="Q413">
            <v>7.362043825428108</v>
          </cell>
        </row>
        <row r="414">
          <cell r="D414">
            <v>0</v>
          </cell>
          <cell r="E414">
            <v>0</v>
          </cell>
          <cell r="G414">
            <v>0</v>
          </cell>
          <cell r="K414">
            <v>10.529073701095722</v>
          </cell>
          <cell r="N414">
            <v>15</v>
          </cell>
          <cell r="O414">
            <v>11.566374489452926</v>
          </cell>
          <cell r="P414">
            <v>908.51837068985219</v>
          </cell>
          <cell r="Q414">
            <v>7.6806984700489584</v>
          </cell>
        </row>
        <row r="415">
          <cell r="D415">
            <v>0</v>
          </cell>
          <cell r="E415">
            <v>0</v>
          </cell>
          <cell r="G415">
            <v>0</v>
          </cell>
          <cell r="K415">
            <v>12.848103946919107</v>
          </cell>
          <cell r="N415">
            <v>15</v>
          </cell>
          <cell r="O415">
            <v>13.400948176046493</v>
          </cell>
          <cell r="P415">
            <v>698.47368524120134</v>
          </cell>
          <cell r="Q415">
            <v>7.9176526334007766</v>
          </cell>
        </row>
        <row r="416">
          <cell r="D416">
            <v>0</v>
          </cell>
          <cell r="E416">
            <v>0</v>
          </cell>
          <cell r="G416">
            <v>0</v>
          </cell>
          <cell r="K416">
            <v>13.642522328156897</v>
          </cell>
          <cell r="N416">
            <v>15</v>
          </cell>
          <cell r="O416">
            <v>3.983074169420505</v>
          </cell>
          <cell r="P416">
            <v>772.32848105397306</v>
          </cell>
          <cell r="Q416">
            <v>7.6158484926147123</v>
          </cell>
        </row>
        <row r="417">
          <cell r="D417">
            <v>0</v>
          </cell>
          <cell r="E417">
            <v>0</v>
          </cell>
          <cell r="G417">
            <v>0</v>
          </cell>
          <cell r="K417">
            <v>16.449303101680989</v>
          </cell>
          <cell r="N417">
            <v>15</v>
          </cell>
          <cell r="O417">
            <v>4.3213677312093219</v>
          </cell>
          <cell r="P417">
            <v>838.59172781159407</v>
          </cell>
          <cell r="Q417">
            <v>7.6881091568723434</v>
          </cell>
        </row>
        <row r="418">
          <cell r="D418">
            <v>0</v>
          </cell>
          <cell r="E418">
            <v>0</v>
          </cell>
          <cell r="G418">
            <v>0</v>
          </cell>
          <cell r="K418">
            <v>17.377176698229228</v>
          </cell>
          <cell r="N418">
            <v>15</v>
          </cell>
          <cell r="O418">
            <v>5.3227143971847664</v>
          </cell>
          <cell r="P418">
            <v>892.21843729797354</v>
          </cell>
          <cell r="Q418">
            <v>7.5594085031725555</v>
          </cell>
        </row>
        <row r="419">
          <cell r="D419">
            <v>2.5804595166363218E-2</v>
          </cell>
          <cell r="E419">
            <v>0</v>
          </cell>
          <cell r="G419">
            <v>0</v>
          </cell>
          <cell r="K419">
            <v>17.676535433254035</v>
          </cell>
          <cell r="N419">
            <v>15</v>
          </cell>
          <cell r="O419">
            <v>6.1547228243763463</v>
          </cell>
          <cell r="P419">
            <v>881.26378409937797</v>
          </cell>
          <cell r="Q419">
            <v>7.503521518537922</v>
          </cell>
        </row>
        <row r="420">
          <cell r="D420">
            <v>2.3531384838371066E-2</v>
          </cell>
          <cell r="E420">
            <v>0</v>
          </cell>
          <cell r="G420">
            <v>0</v>
          </cell>
          <cell r="K420">
            <v>16.487413656139037</v>
          </cell>
          <cell r="N420">
            <v>15</v>
          </cell>
          <cell r="O420">
            <v>8.6662236504558336</v>
          </cell>
          <cell r="P420">
            <v>875.78735967560988</v>
          </cell>
          <cell r="Q420">
            <v>7.3729363217921806</v>
          </cell>
        </row>
        <row r="421">
          <cell r="D421">
            <v>2.3629694048215411E-2</v>
          </cell>
          <cell r="E421">
            <v>0</v>
          </cell>
          <cell r="G421">
            <v>0</v>
          </cell>
          <cell r="K421">
            <v>17.394113933359574</v>
          </cell>
          <cell r="N421">
            <v>15</v>
          </cell>
          <cell r="O421">
            <v>12.343179210601262</v>
          </cell>
          <cell r="P421">
            <v>880.15659288932693</v>
          </cell>
          <cell r="Q421">
            <v>7.3579959005103897</v>
          </cell>
        </row>
        <row r="422">
          <cell r="D422">
            <v>0</v>
          </cell>
          <cell r="E422">
            <v>0</v>
          </cell>
          <cell r="G422">
            <v>0</v>
          </cell>
          <cell r="K422">
            <v>17.781929724779864</v>
          </cell>
          <cell r="N422">
            <v>15</v>
          </cell>
          <cell r="O422">
            <v>4.0077784637145957</v>
          </cell>
          <cell r="P422">
            <v>848.93637527776048</v>
          </cell>
          <cell r="Q422">
            <v>7.4235106609395443</v>
          </cell>
        </row>
        <row r="423">
          <cell r="D423">
            <v>0</v>
          </cell>
          <cell r="E423">
            <v>0</v>
          </cell>
          <cell r="G423">
            <v>0</v>
          </cell>
          <cell r="K423">
            <v>17.908009731516053</v>
          </cell>
          <cell r="N423">
            <v>15</v>
          </cell>
          <cell r="O423">
            <v>10.68565700269855</v>
          </cell>
          <cell r="P423">
            <v>840.93932655745959</v>
          </cell>
          <cell r="Q423">
            <v>7.2055830488686112</v>
          </cell>
        </row>
        <row r="424">
          <cell r="D424">
            <v>0</v>
          </cell>
          <cell r="E424">
            <v>0</v>
          </cell>
          <cell r="G424">
            <v>0</v>
          </cell>
          <cell r="K424">
            <v>19.824637407876864</v>
          </cell>
          <cell r="N424">
            <v>15</v>
          </cell>
          <cell r="O424">
            <v>9.0728942175378684</v>
          </cell>
          <cell r="P424">
            <v>803.65738549729554</v>
          </cell>
          <cell r="Q424">
            <v>7.1110816417220253</v>
          </cell>
        </row>
        <row r="425">
          <cell r="D425">
            <v>0</v>
          </cell>
          <cell r="E425">
            <v>0</v>
          </cell>
          <cell r="G425">
            <v>0</v>
          </cell>
          <cell r="K425">
            <v>19.569883163976794</v>
          </cell>
          <cell r="N425">
            <v>15</v>
          </cell>
          <cell r="O425">
            <v>26.13897658463042</v>
          </cell>
          <cell r="P425">
            <v>910.06540325823983</v>
          </cell>
          <cell r="Q425">
            <v>7.2783348930647449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2">
          <cell r="CD4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Biodiesel "/>
      <sheetName val="Removed Projects"/>
      <sheetName val="Canada Renewable Diesel"/>
      <sheetName val="Renewable Diesel"/>
      <sheetName val="RD Feedstock Breakdown"/>
      <sheetName val="Co-Processing"/>
      <sheetName val="Co-Pro Feedstock Breakdown"/>
      <sheetName val="Feedstock Conversion Rates"/>
      <sheetName val="SBO Use"/>
      <sheetName val="Sheet1"/>
      <sheetName val="RD Feedstock Use"/>
      <sheetName val="SAF Feedstock Use"/>
      <sheetName val="RD Feedstock Build Up - HOBO"/>
    </sheetNames>
    <sheetDataSet>
      <sheetData sheetId="0"/>
      <sheetData sheetId="1"/>
      <sheetData sheetId="2"/>
      <sheetData sheetId="3"/>
      <sheetData sheetId="4">
        <row r="17">
          <cell r="BE17">
            <v>0</v>
          </cell>
        </row>
        <row r="144">
          <cell r="BL144">
            <v>9.7275121839686296</v>
          </cell>
          <cell r="BM144">
            <v>9.7555016464886055</v>
          </cell>
        </row>
        <row r="145">
          <cell r="BL145">
            <v>8.3053210365451893</v>
          </cell>
          <cell r="BM145">
            <v>8.345563814837476</v>
          </cell>
        </row>
        <row r="146">
          <cell r="BL146">
            <v>8.035420465823508</v>
          </cell>
          <cell r="BM146">
            <v>8.1587258411102184</v>
          </cell>
        </row>
        <row r="147">
          <cell r="BL147">
            <v>8.0212908044831774</v>
          </cell>
          <cell r="BM147">
            <v>8.1185557646040909</v>
          </cell>
        </row>
        <row r="148">
          <cell r="BL148">
            <v>8.1401896628151338</v>
          </cell>
          <cell r="BM148">
            <v>8.1730913542031942</v>
          </cell>
        </row>
        <row r="149">
          <cell r="BL149">
            <v>8.1198050783140534</v>
          </cell>
          <cell r="BM149">
            <v>8.1327332341882741</v>
          </cell>
        </row>
        <row r="150">
          <cell r="BL150">
            <v>8.2141495373810507</v>
          </cell>
          <cell r="BM150">
            <v>8.3053095397805166</v>
          </cell>
        </row>
        <row r="151">
          <cell r="BL151">
            <v>8.2923999720579236</v>
          </cell>
          <cell r="BM151">
            <v>8.4125653976047126</v>
          </cell>
        </row>
        <row r="152">
          <cell r="BL152">
            <v>8.2234117240219629</v>
          </cell>
          <cell r="BM152">
            <v>8.2514841288875331</v>
          </cell>
        </row>
        <row r="153">
          <cell r="BL153">
            <v>8.2007619180965232</v>
          </cell>
          <cell r="BM153">
            <v>8.227948940451995</v>
          </cell>
        </row>
        <row r="154">
          <cell r="BL154">
            <v>8.3522645969952123</v>
          </cell>
          <cell r="BM154">
            <v>8.5416782529081949</v>
          </cell>
        </row>
        <row r="155">
          <cell r="BL155">
            <v>8.1740029251340776</v>
          </cell>
          <cell r="BM155">
            <v>8.9533645297963034</v>
          </cell>
        </row>
        <row r="156">
          <cell r="BL156">
            <v>8.200085749486993</v>
          </cell>
        </row>
        <row r="157">
          <cell r="BL157">
            <v>8.1826547811867076</v>
          </cell>
        </row>
        <row r="158">
          <cell r="BL158">
            <v>8.1984835980119932</v>
          </cell>
        </row>
        <row r="159">
          <cell r="BL159">
            <v>8.0732163664114029</v>
          </cell>
        </row>
        <row r="160">
          <cell r="BL160">
            <v>8.1007278206855435</v>
          </cell>
        </row>
        <row r="161">
          <cell r="BL161">
            <v>8.0999222971273284</v>
          </cell>
        </row>
        <row r="162">
          <cell r="BL162">
            <v>8.1849406041207722</v>
          </cell>
        </row>
        <row r="163">
          <cell r="BL163">
            <v>8.1622137829178705</v>
          </cell>
        </row>
        <row r="164">
          <cell r="BL164">
            <v>8.2401635271551044</v>
          </cell>
        </row>
        <row r="165">
          <cell r="BL165">
            <v>8.220042398091465</v>
          </cell>
        </row>
        <row r="166">
          <cell r="BL166">
            <v>8.1269647484529663</v>
          </cell>
        </row>
        <row r="167">
          <cell r="BL167">
            <v>8.220583516257534</v>
          </cell>
        </row>
        <row r="168">
          <cell r="BL168">
            <v>8.0335851824121463</v>
          </cell>
        </row>
        <row r="169">
          <cell r="BL169">
            <v>7.9889829947916731</v>
          </cell>
        </row>
        <row r="170">
          <cell r="BL170">
            <v>8.0392942211988796</v>
          </cell>
        </row>
        <row r="171">
          <cell r="BL171">
            <v>8.051198843194932</v>
          </cell>
        </row>
        <row r="172">
          <cell r="BL172">
            <v>8.0243872904788454</v>
          </cell>
        </row>
        <row r="173">
          <cell r="BL173">
            <v>8.0236553560564374</v>
          </cell>
        </row>
        <row r="174">
          <cell r="BL174">
            <v>8.0161940178580959</v>
          </cell>
        </row>
        <row r="175">
          <cell r="BL175">
            <v>8.0252302786112217</v>
          </cell>
        </row>
        <row r="176">
          <cell r="BL176">
            <v>8.0327618034244281</v>
          </cell>
        </row>
        <row r="177">
          <cell r="BL177">
            <v>8.0392720894185725</v>
          </cell>
        </row>
        <row r="178">
          <cell r="BL178">
            <v>8.0650943440533052</v>
          </cell>
        </row>
        <row r="179">
          <cell r="BL179">
            <v>8.0105674495139176</v>
          </cell>
        </row>
        <row r="180">
          <cell r="BL180">
            <v>7.9951210320559021</v>
          </cell>
          <cell r="BM180">
            <v>9.7422973548879188</v>
          </cell>
        </row>
        <row r="181">
          <cell r="BL181">
            <v>8.0735490271285144</v>
          </cell>
          <cell r="BM181">
            <v>10.118238335753373</v>
          </cell>
        </row>
        <row r="182">
          <cell r="BL182">
            <v>8.0726896593734061</v>
          </cell>
          <cell r="BM182">
            <v>11.062235365692345</v>
          </cell>
        </row>
        <row r="183">
          <cell r="BL183">
            <v>8.1142830587204706</v>
          </cell>
          <cell r="BM183">
            <v>9.8710265350683262</v>
          </cell>
        </row>
        <row r="184">
          <cell r="BL184">
            <v>8.0861989204836515</v>
          </cell>
          <cell r="BM184">
            <v>8.4302547756956834</v>
          </cell>
        </row>
        <row r="185">
          <cell r="BL185">
            <v>8.0985664791351688</v>
          </cell>
          <cell r="BM185">
            <v>8.5570642342536374</v>
          </cell>
        </row>
        <row r="186">
          <cell r="BL186">
            <v>8.0937690710835852</v>
          </cell>
          <cell r="BM186">
            <v>8.5531961252880073</v>
          </cell>
        </row>
        <row r="187">
          <cell r="BL187">
            <v>8.0933796319787774</v>
          </cell>
          <cell r="BM187">
            <v>8.5655789909583184</v>
          </cell>
        </row>
        <row r="188">
          <cell r="BL188">
            <v>8.0911331414167318</v>
          </cell>
          <cell r="BM188">
            <v>8.5922006239106068</v>
          </cell>
        </row>
        <row r="189">
          <cell r="BL189">
            <v>8.0821562069636279</v>
          </cell>
          <cell r="BM189">
            <v>8.5980853059353208</v>
          </cell>
        </row>
        <row r="190">
          <cell r="BL190">
            <v>7.506724594971586</v>
          </cell>
          <cell r="BM190">
            <v>8.0320598789902427</v>
          </cell>
        </row>
        <row r="191">
          <cell r="BL191">
            <v>8.0788373040646864</v>
          </cell>
          <cell r="BM191">
            <v>8.6566659943166044</v>
          </cell>
        </row>
        <row r="192">
          <cell r="BL192">
            <v>8.0944946077701658</v>
          </cell>
          <cell r="BM192">
            <v>8.53031194649874</v>
          </cell>
        </row>
        <row r="193">
          <cell r="BL193">
            <v>8.032656601875761</v>
          </cell>
          <cell r="BM193">
            <v>9.1794136356673786</v>
          </cell>
        </row>
        <row r="194">
          <cell r="BL194">
            <v>8.0302716781746692</v>
          </cell>
          <cell r="BM194">
            <v>9.9989677644113542</v>
          </cell>
        </row>
        <row r="195">
          <cell r="BL195">
            <v>8.0343906257024464</v>
          </cell>
          <cell r="BM195">
            <v>8.790936928366234</v>
          </cell>
        </row>
        <row r="196">
          <cell r="BL196">
            <v>8.0502593596028564</v>
          </cell>
          <cell r="BM196">
            <v>9.2839779340625945</v>
          </cell>
        </row>
        <row r="197">
          <cell r="BL197">
            <v>8.0425867333316798</v>
          </cell>
          <cell r="BM197">
            <v>9.494947394221688</v>
          </cell>
        </row>
        <row r="198">
          <cell r="BL198">
            <v>8.0498304862058294</v>
          </cell>
          <cell r="BM198">
            <v>9.4528119464192919</v>
          </cell>
        </row>
        <row r="199">
          <cell r="BL199">
            <v>8.0498304862058276</v>
          </cell>
          <cell r="BM199">
            <v>9.621029030163573</v>
          </cell>
        </row>
        <row r="200">
          <cell r="BL200">
            <v>8.0498304862058276</v>
          </cell>
          <cell r="BM200">
            <v>9.7138863297644757</v>
          </cell>
        </row>
        <row r="201">
          <cell r="BL201">
            <v>8.0486987405194039</v>
          </cell>
          <cell r="BM201">
            <v>10.027132328239245</v>
          </cell>
        </row>
        <row r="202">
          <cell r="BL202">
            <v>7.964026948009737</v>
          </cell>
          <cell r="BM202">
            <v>9.7387482710844964</v>
          </cell>
        </row>
        <row r="203">
          <cell r="BL203">
            <v>7.9661303026810302</v>
          </cell>
          <cell r="BM203">
            <v>9.2011979277255538</v>
          </cell>
        </row>
        <row r="204">
          <cell r="BL204">
            <v>7.9661303026810302</v>
          </cell>
          <cell r="BM204">
            <v>8.947962669646401</v>
          </cell>
        </row>
        <row r="205">
          <cell r="BL205">
            <v>7.9620803792346804</v>
          </cell>
          <cell r="BM205">
            <v>10.92229302842323</v>
          </cell>
        </row>
        <row r="206">
          <cell r="BL206">
            <v>7.9684695095521434</v>
          </cell>
          <cell r="BM206">
            <v>13.066401387252785</v>
          </cell>
        </row>
        <row r="207">
          <cell r="BL207">
            <v>7.9684759557255527</v>
          </cell>
          <cell r="BM207">
            <v>9.922882811166593</v>
          </cell>
        </row>
        <row r="208">
          <cell r="BL208">
            <v>7.9620877035569118</v>
          </cell>
          <cell r="BM208">
            <v>11.158690730985853</v>
          </cell>
        </row>
        <row r="209">
          <cell r="BL209">
            <v>7.9739696411351808</v>
          </cell>
          <cell r="BM209">
            <v>11.750200517753521</v>
          </cell>
        </row>
        <row r="210">
          <cell r="BL210">
            <v>7.9746408558277766</v>
          </cell>
          <cell r="BM210">
            <v>11.603102408766011</v>
          </cell>
        </row>
        <row r="211">
          <cell r="BL211">
            <v>7.974872713108244</v>
          </cell>
          <cell r="BM211">
            <v>12.009076994069963</v>
          </cell>
        </row>
        <row r="212">
          <cell r="BL212">
            <v>7.9752225052292314</v>
          </cell>
          <cell r="BM212">
            <v>12.315165713614816</v>
          </cell>
        </row>
        <row r="213">
          <cell r="BL213">
            <v>7.9870376662545235</v>
          </cell>
          <cell r="BM213">
            <v>13.167585776238958</v>
          </cell>
        </row>
        <row r="214">
          <cell r="BL214">
            <v>7.9280138991840134</v>
          </cell>
          <cell r="BM214">
            <v>12.485186087648833</v>
          </cell>
        </row>
        <row r="215">
          <cell r="BL215">
            <v>7.9179459143253856</v>
          </cell>
          <cell r="BM215">
            <v>11.148039464677899</v>
          </cell>
        </row>
        <row r="216">
          <cell r="BL216">
            <v>8.6646243202139939</v>
          </cell>
          <cell r="BM216">
            <v>11.451110659089142</v>
          </cell>
        </row>
        <row r="217">
          <cell r="BL217">
            <v>7.9570237439278273</v>
          </cell>
          <cell r="BM217">
            <v>11.750356866427811</v>
          </cell>
        </row>
        <row r="218">
          <cell r="BL218">
            <v>7.9426170983406665</v>
          </cell>
          <cell r="BM218">
            <v>14.478952485339111</v>
          </cell>
        </row>
        <row r="219">
          <cell r="BL219">
            <v>7.9505150200368888</v>
          </cell>
          <cell r="BM219">
            <v>10.43642787437334</v>
          </cell>
        </row>
        <row r="220">
          <cell r="BL220">
            <v>7.9602415611667698</v>
          </cell>
          <cell r="BM220">
            <v>12.072372514863376</v>
          </cell>
        </row>
        <row r="221">
          <cell r="BL221">
            <v>7.9544585719187788</v>
          </cell>
          <cell r="BM221">
            <v>12.799598479446468</v>
          </cell>
        </row>
        <row r="222">
          <cell r="BL222">
            <v>7.9469792391580434</v>
          </cell>
          <cell r="BM222">
            <v>12.596698178548346</v>
          </cell>
        </row>
        <row r="223">
          <cell r="BL223">
            <v>7.9469792391580434</v>
          </cell>
          <cell r="BM223">
            <v>13.116502469003422</v>
          </cell>
        </row>
        <row r="224">
          <cell r="BL224">
            <v>7.9544585719187788</v>
          </cell>
          <cell r="BM224">
            <v>13.513112127641286</v>
          </cell>
        </row>
        <row r="225">
          <cell r="BL225">
            <v>7.9464860161872455</v>
          </cell>
          <cell r="BM225">
            <v>14.579491790873654</v>
          </cell>
        </row>
        <row r="226">
          <cell r="BL226">
            <v>8.1183494011857515</v>
          </cell>
          <cell r="BM226">
            <v>14.127862903103296</v>
          </cell>
        </row>
        <row r="227">
          <cell r="BL227">
            <v>8.3761785564126239</v>
          </cell>
          <cell r="BM227">
            <v>12.778346563703524</v>
          </cell>
        </row>
        <row r="228">
          <cell r="BL228">
            <v>9.1023068800255658</v>
          </cell>
          <cell r="BM228">
            <v>12.89340175297162</v>
          </cell>
        </row>
        <row r="229">
          <cell r="BL229">
            <v>7.9499527298084658</v>
          </cell>
          <cell r="BM229">
            <v>12.897780544964483</v>
          </cell>
        </row>
        <row r="230">
          <cell r="BL230">
            <v>7.9541486242409718</v>
          </cell>
          <cell r="BM230">
            <v>16.46719794142469</v>
          </cell>
        </row>
        <row r="231">
          <cell r="BL231">
            <v>7.9541486242409736</v>
          </cell>
          <cell r="BM231">
            <v>11.184941860587305</v>
          </cell>
        </row>
        <row r="232">
          <cell r="BL232">
            <v>7.9512345025493092</v>
          </cell>
          <cell r="BM232">
            <v>13.295431343560288</v>
          </cell>
        </row>
        <row r="233">
          <cell r="BL233">
            <v>7.9470655317852437</v>
          </cell>
          <cell r="BM233">
            <v>14.236464971155373</v>
          </cell>
        </row>
        <row r="234">
          <cell r="BL234">
            <v>7.951234502549311</v>
          </cell>
          <cell r="BM234">
            <v>14.004683358069414</v>
          </cell>
        </row>
        <row r="235">
          <cell r="BL235">
            <v>7.9281206539102422</v>
          </cell>
          <cell r="BM235">
            <v>14.627146873835613</v>
          </cell>
        </row>
        <row r="236">
          <cell r="BL236">
            <v>7.9195288585440036</v>
          </cell>
          <cell r="BM236">
            <v>15.105971730071229</v>
          </cell>
        </row>
        <row r="237">
          <cell r="BL237">
            <v>8.6193343644447964</v>
          </cell>
          <cell r="BM237">
            <v>18.002311308021259</v>
          </cell>
        </row>
        <row r="238">
          <cell r="BL238">
            <v>9.2476652808284481</v>
          </cell>
          <cell r="BM238">
            <v>18.157433633275748</v>
          </cell>
        </row>
        <row r="239">
          <cell r="BL239">
            <v>9.3382500009927956</v>
          </cell>
          <cell r="BM239">
            <v>15.748799895896255</v>
          </cell>
        </row>
        <row r="240">
          <cell r="BL240">
            <v>10.025535423496175</v>
          </cell>
          <cell r="BM240">
            <v>15.477708646375088</v>
          </cell>
        </row>
        <row r="241">
          <cell r="BL241">
            <v>7.941919744973994</v>
          </cell>
          <cell r="BM241">
            <v>14.34665279327867</v>
          </cell>
        </row>
        <row r="242">
          <cell r="BL242">
            <v>9.0488961696798089</v>
          </cell>
          <cell r="BM242">
            <v>21.60501698625918</v>
          </cell>
        </row>
        <row r="243">
          <cell r="BL243">
            <v>7.9669675811357124</v>
          </cell>
          <cell r="BM243">
            <v>12.133309766979357</v>
          </cell>
        </row>
        <row r="244">
          <cell r="BL244">
            <v>7.9669675811357141</v>
          </cell>
          <cell r="BM244">
            <v>14.873482787054044</v>
          </cell>
        </row>
        <row r="245">
          <cell r="BL245">
            <v>9.0433974046752414</v>
          </cell>
          <cell r="BM245">
            <v>18.280902631465985</v>
          </cell>
        </row>
        <row r="246">
          <cell r="BL246">
            <v>8.5145867203466175</v>
          </cell>
          <cell r="BM246">
            <v>16.883360242770856</v>
          </cell>
        </row>
        <row r="247">
          <cell r="BL247">
            <v>9.0869250397368209</v>
          </cell>
          <cell r="BM247">
            <v>18.999595674459218</v>
          </cell>
        </row>
        <row r="248">
          <cell r="BL248">
            <v>9.2593380895977138</v>
          </cell>
          <cell r="BM248">
            <v>20.097399015615125</v>
          </cell>
        </row>
        <row r="249">
          <cell r="BL249">
            <v>10.373274635648075</v>
          </cell>
          <cell r="BM249">
            <v>24.846300120789699</v>
          </cell>
        </row>
        <row r="250">
          <cell r="BL250">
            <v>11.040609879365162</v>
          </cell>
          <cell r="BM250">
            <v>24.769861218983831</v>
          </cell>
        </row>
        <row r="251">
          <cell r="BL251">
            <v>10.949245554491972</v>
          </cell>
          <cell r="BM251">
            <v>20.674633002840363</v>
          </cell>
        </row>
        <row r="252">
          <cell r="BL252">
            <v>11.574693555815987</v>
          </cell>
          <cell r="BM252">
            <v>19.718927328806721</v>
          </cell>
        </row>
        <row r="253">
          <cell r="BL253">
            <v>7.9740668868015838</v>
          </cell>
          <cell r="BM253">
            <v>14.871740423125489</v>
          </cell>
        </row>
        <row r="254">
          <cell r="BL254">
            <v>10.217362864566551</v>
          </cell>
          <cell r="BM254">
            <v>25.430607656986052</v>
          </cell>
        </row>
        <row r="255">
          <cell r="BL255">
            <v>7.9760423309128319</v>
          </cell>
          <cell r="BM255">
            <v>12.482941880517918</v>
          </cell>
        </row>
        <row r="256">
          <cell r="BL256">
            <v>8.0581159854137994</v>
          </cell>
          <cell r="BM256">
            <v>15.576168907439319</v>
          </cell>
        </row>
        <row r="257">
          <cell r="BL257">
            <v>10.102872335087465</v>
          </cell>
          <cell r="BM257">
            <v>21.210595419385207</v>
          </cell>
        </row>
        <row r="258">
          <cell r="BL258">
            <v>9.5030935941676624</v>
          </cell>
          <cell r="BM258">
            <v>19.55196812573465</v>
          </cell>
        </row>
        <row r="259">
          <cell r="BL259">
            <v>10.167027579369307</v>
          </cell>
          <cell r="BM259">
            <v>22.111957843974295</v>
          </cell>
        </row>
        <row r="260">
          <cell r="BL260">
            <v>10.374291520922814</v>
          </cell>
          <cell r="BM260">
            <v>23.454468342403363</v>
          </cell>
        </row>
        <row r="261">
          <cell r="BL261">
            <v>11.616135157499418</v>
          </cell>
          <cell r="BM261">
            <v>29.107423833768802</v>
          </cell>
        </row>
        <row r="262">
          <cell r="BL262">
            <v>12.44263618324324</v>
          </cell>
          <cell r="BM262">
            <v>29.095597191387448</v>
          </cell>
        </row>
        <row r="263">
          <cell r="BL263">
            <v>12.212690721092228</v>
          </cell>
          <cell r="BM263">
            <v>23.83950672577728</v>
          </cell>
        </row>
        <row r="264">
          <cell r="BL264">
            <v>12.803743199999083</v>
          </cell>
          <cell r="BM264">
            <v>22.455513930612138</v>
          </cell>
        </row>
        <row r="265">
          <cell r="BL265">
            <v>8.4167460871940527</v>
          </cell>
          <cell r="BM265">
            <v>16.170112831449892</v>
          </cell>
        </row>
        <row r="266">
          <cell r="BL266">
            <v>12.470791222116754</v>
          </cell>
          <cell r="BM266">
            <v>32.246852695873592</v>
          </cell>
        </row>
        <row r="267">
          <cell r="BL267">
            <v>8.6962532386999563</v>
          </cell>
          <cell r="BM267">
            <v>13.927234412254759</v>
          </cell>
        </row>
        <row r="268">
          <cell r="BL268">
            <v>9.849970008695438</v>
          </cell>
          <cell r="BM268">
            <v>19.638311708967958</v>
          </cell>
        </row>
        <row r="269">
          <cell r="BL269">
            <v>12.381422617786013</v>
          </cell>
          <cell r="BM269">
            <v>26.880970144046341</v>
          </cell>
        </row>
        <row r="270">
          <cell r="BL270">
            <v>11.638409511981386</v>
          </cell>
          <cell r="BM270">
            <v>24.745056465081412</v>
          </cell>
        </row>
        <row r="271">
          <cell r="BL271">
            <v>12.451182962687605</v>
          </cell>
          <cell r="BM271">
            <v>28.025634607186767</v>
          </cell>
        </row>
        <row r="272">
          <cell r="BL272">
            <v>12.721090090618578</v>
          </cell>
          <cell r="BM272">
            <v>29.806004874728057</v>
          </cell>
        </row>
        <row r="273">
          <cell r="BL273">
            <v>14.294766632049042</v>
          </cell>
          <cell r="BM273">
            <v>37.226809018874604</v>
          </cell>
        </row>
        <row r="274">
          <cell r="BL274">
            <v>15.270512041502688</v>
          </cell>
          <cell r="BM274">
            <v>37.027950135889739</v>
          </cell>
        </row>
        <row r="275">
          <cell r="BL275">
            <v>14.883894438347111</v>
          </cell>
          <cell r="BM275">
            <v>29.981608079878921</v>
          </cell>
        </row>
        <row r="276">
          <cell r="BL276">
            <v>15.666783652525647</v>
          </cell>
          <cell r="BM276">
            <v>28.248193475446424</v>
          </cell>
        </row>
        <row r="277">
          <cell r="BL277">
            <v>8.5928238057595259</v>
          </cell>
          <cell r="BM277">
            <v>16.909796815658897</v>
          </cell>
        </row>
        <row r="278">
          <cell r="BL278">
            <v>12.834454144573138</v>
          </cell>
          <cell r="BM278">
            <v>34.220076086678546</v>
          </cell>
        </row>
        <row r="279">
          <cell r="BL279">
            <v>9.1577530623977985</v>
          </cell>
          <cell r="BM279">
            <v>14.940504714974269</v>
          </cell>
        </row>
        <row r="280">
          <cell r="BL280">
            <v>10.065924151104213</v>
          </cell>
          <cell r="BM280">
            <v>20.575206308615023</v>
          </cell>
        </row>
        <row r="281">
          <cell r="BL281">
            <v>12.67789059079634</v>
          </cell>
          <cell r="BM281">
            <v>28.274855935354715</v>
          </cell>
        </row>
        <row r="282">
          <cell r="BL282">
            <v>11.913010004643864</v>
          </cell>
          <cell r="BM282">
            <v>26.007923072725543</v>
          </cell>
        </row>
        <row r="283">
          <cell r="BL283">
            <v>12.779959192099012</v>
          </cell>
          <cell r="BM283">
            <v>29.573336169134979</v>
          </cell>
        </row>
        <row r="284">
          <cell r="BL284">
            <v>13.074450567300794</v>
          </cell>
          <cell r="BM284">
            <v>31.518091275645112</v>
          </cell>
        </row>
        <row r="285">
          <cell r="BL285">
            <v>14.86560061368546</v>
          </cell>
          <cell r="BM285">
            <v>39.918843083654664</v>
          </cell>
        </row>
        <row r="286">
          <cell r="BL286">
            <v>15.67120519408626</v>
          </cell>
          <cell r="BM286">
            <v>39.132659623966482</v>
          </cell>
        </row>
        <row r="287">
          <cell r="BL287">
            <v>15.287540923605448</v>
          </cell>
          <cell r="BM287">
            <v>31.586113082214229</v>
          </cell>
        </row>
      </sheetData>
      <sheetData sheetId="5">
        <row r="13">
          <cell r="EK13">
            <v>8.8824043025948303</v>
          </cell>
        </row>
      </sheetData>
      <sheetData sheetId="6">
        <row r="47">
          <cell r="V47"/>
        </row>
      </sheetData>
      <sheetData sheetId="7">
        <row r="57">
          <cell r="Z57">
            <v>5.7260476065573771</v>
          </cell>
        </row>
      </sheetData>
      <sheetData sheetId="8">
        <row r="3">
          <cell r="B3">
            <v>8.01</v>
          </cell>
        </row>
      </sheetData>
      <sheetData sheetId="9"/>
      <sheetData sheetId="10"/>
      <sheetData sheetId="11">
        <row r="132">
          <cell r="D132">
            <v>100</v>
          </cell>
        </row>
      </sheetData>
      <sheetData sheetId="12">
        <row r="63">
          <cell r="B63">
            <v>0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E0D9-F89A-48ED-BCA3-8053EC4E7883}">
  <dimension ref="A1:N39"/>
  <sheetViews>
    <sheetView tabSelected="1" topLeftCell="A6" workbookViewId="0">
      <selection activeCell="M14" sqref="M14"/>
    </sheetView>
  </sheetViews>
  <sheetFormatPr defaultRowHeight="12.75" x14ac:dyDescent="0.2"/>
  <cols>
    <col min="1" max="1" width="40" customWidth="1"/>
    <col min="2" max="2" width="0" hidden="1" customWidth="1"/>
  </cols>
  <sheetData>
    <row r="1" spans="1:14" x14ac:dyDescent="0.2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</row>
    <row r="2" spans="1:14" ht="14.25" x14ac:dyDescent="0.2">
      <c r="A2" s="1" t="s">
        <v>0</v>
      </c>
      <c r="B2" s="2">
        <v>0.56000000000000005</v>
      </c>
      <c r="C2" s="2">
        <v>0.63</v>
      </c>
      <c r="D2" s="2">
        <v>0.72</v>
      </c>
      <c r="E2" s="2">
        <v>1.42</v>
      </c>
      <c r="F2" s="2">
        <v>2.13</v>
      </c>
      <c r="G2" s="2">
        <v>2.52</v>
      </c>
      <c r="H2" s="2">
        <v>2.75</v>
      </c>
      <c r="I2" s="2">
        <v>3</v>
      </c>
      <c r="J2" s="2">
        <v>3.25</v>
      </c>
      <c r="K2" s="2">
        <v>3.5</v>
      </c>
      <c r="L2" s="2">
        <v>3.75</v>
      </c>
      <c r="M2" s="2">
        <v>4</v>
      </c>
      <c r="N2" s="2">
        <v>4.25</v>
      </c>
    </row>
    <row r="3" spans="1:14" ht="14.25" x14ac:dyDescent="0.2">
      <c r="A3" s="3" t="s">
        <v>1</v>
      </c>
      <c r="B3" s="4">
        <v>2.4300000000000002</v>
      </c>
      <c r="C3" s="4">
        <v>2.76</v>
      </c>
      <c r="D3" s="4">
        <v>2.82</v>
      </c>
      <c r="E3" s="4">
        <v>2.89</v>
      </c>
      <c r="F3" s="4">
        <v>2.95</v>
      </c>
      <c r="G3" s="4">
        <v>3.01</v>
      </c>
      <c r="H3" s="4">
        <v>3.07</v>
      </c>
      <c r="I3" s="4">
        <v>3.13</v>
      </c>
      <c r="J3" s="4">
        <v>3.2</v>
      </c>
      <c r="K3" s="4">
        <v>3.27</v>
      </c>
      <c r="L3" s="4">
        <v>3.34</v>
      </c>
      <c r="M3" s="4">
        <v>3.41</v>
      </c>
      <c r="N3" s="4">
        <v>3.48</v>
      </c>
    </row>
    <row r="4" spans="1:14" ht="14.25" x14ac:dyDescent="0.2">
      <c r="A4" s="1" t="s">
        <v>2</v>
      </c>
      <c r="B4" s="2">
        <v>5.05</v>
      </c>
      <c r="C4" s="2">
        <v>5.63</v>
      </c>
      <c r="D4" s="2">
        <v>5.82</v>
      </c>
      <c r="E4" s="2">
        <v>6.62</v>
      </c>
      <c r="F4" s="2">
        <v>7.43</v>
      </c>
      <c r="G4" s="2">
        <v>8</v>
      </c>
      <c r="H4" s="2">
        <v>8.5749999999999993</v>
      </c>
      <c r="I4" s="2">
        <v>9.1750000000000007</v>
      </c>
      <c r="J4" s="2">
        <v>9.7750000000000004</v>
      </c>
      <c r="K4" s="2">
        <v>10.4</v>
      </c>
      <c r="L4" s="2">
        <v>11.05</v>
      </c>
      <c r="M4" s="2">
        <v>11.7</v>
      </c>
      <c r="N4" s="2">
        <v>12.375</v>
      </c>
    </row>
    <row r="5" spans="1:14" ht="14.25" x14ac:dyDescent="0.2">
      <c r="A5" s="3" t="s">
        <v>3</v>
      </c>
      <c r="B5" s="4">
        <v>18.84</v>
      </c>
      <c r="C5" s="4">
        <v>20.63</v>
      </c>
      <c r="D5" s="4">
        <v>20.82</v>
      </c>
      <c r="E5" s="4">
        <v>21.87</v>
      </c>
      <c r="F5" s="4">
        <v>22.68</v>
      </c>
      <c r="G5" s="4">
        <v>23.25</v>
      </c>
      <c r="H5" s="4">
        <v>23.824999999999999</v>
      </c>
      <c r="I5" s="4">
        <v>24.425000000000001</v>
      </c>
      <c r="J5" s="4">
        <v>25.024999999999999</v>
      </c>
      <c r="K5" s="4">
        <v>25.65</v>
      </c>
      <c r="L5" s="4">
        <v>26.3</v>
      </c>
      <c r="M5" s="4">
        <v>26.95</v>
      </c>
      <c r="N5" s="4">
        <v>27.625</v>
      </c>
    </row>
    <row r="6" spans="1:14" ht="14.25" x14ac:dyDescent="0.2">
      <c r="A6" s="1" t="s">
        <v>4</v>
      </c>
      <c r="B6" s="2">
        <v>13.79</v>
      </c>
      <c r="C6" s="2">
        <v>14.999999999999998</v>
      </c>
      <c r="D6" s="2">
        <v>14.999999999999998</v>
      </c>
      <c r="E6" s="2">
        <v>15.250000000000002</v>
      </c>
      <c r="F6" s="2">
        <v>15.250000000000004</v>
      </c>
      <c r="G6" s="2">
        <v>15.250000000000004</v>
      </c>
      <c r="H6" s="2">
        <v>15.25</v>
      </c>
      <c r="I6" s="2">
        <v>15.25</v>
      </c>
      <c r="J6" s="2">
        <v>15.25</v>
      </c>
      <c r="K6" s="2">
        <v>15.25</v>
      </c>
      <c r="L6" s="2">
        <v>15.25</v>
      </c>
      <c r="M6" s="2">
        <v>15.25</v>
      </c>
      <c r="N6" s="2">
        <v>15.25</v>
      </c>
    </row>
    <row r="7" spans="1:14" ht="14.25" x14ac:dyDescent="0.2">
      <c r="A7" s="5" t="s">
        <v>5</v>
      </c>
      <c r="B7" s="6">
        <v>0</v>
      </c>
      <c r="C7" s="7">
        <v>0.25</v>
      </c>
      <c r="D7" s="7">
        <v>0.25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28.5" x14ac:dyDescent="0.2">
      <c r="A8" s="8" t="s">
        <v>6</v>
      </c>
      <c r="B8" s="9">
        <v>9.9824868651488652E-2</v>
      </c>
      <c r="C8" s="9">
        <v>9.5010615711252688E-2</v>
      </c>
      <c r="D8" s="9">
        <v>9.2098885118758744E-3</v>
      </c>
      <c r="E8" s="9">
        <v>5.0432276657060626E-2</v>
      </c>
      <c r="F8" s="9">
        <v>3.7037037037036979E-2</v>
      </c>
      <c r="G8" s="9">
        <v>2.5132275132275117E-2</v>
      </c>
      <c r="H8" s="9">
        <v>2.4731182795698858E-2</v>
      </c>
      <c r="I8" s="9">
        <v>2.5183630640084109E-2</v>
      </c>
      <c r="J8" s="9">
        <v>2.4564994882292579E-2</v>
      </c>
      <c r="K8" s="9">
        <v>2.4975024975024906E-2</v>
      </c>
      <c r="L8" s="9">
        <v>2.5341130604288553E-2</v>
      </c>
      <c r="M8" s="9">
        <v>2.4714828897338448E-2</v>
      </c>
      <c r="N8" s="9">
        <v>2.5046382189239269E-2</v>
      </c>
    </row>
    <row r="9" spans="1:14" x14ac:dyDescent="0.2">
      <c r="A9" t="s">
        <v>7</v>
      </c>
    </row>
    <row r="10" spans="1:14" x14ac:dyDescent="0.2">
      <c r="A10" t="s">
        <v>8</v>
      </c>
    </row>
    <row r="18" spans="1:14" x14ac:dyDescent="0.2">
      <c r="A18" t="s">
        <v>0</v>
      </c>
      <c r="B18" s="10">
        <f>B2-B33</f>
        <v>0</v>
      </c>
      <c r="C18" s="10">
        <f t="shared" ref="C18:N18" si="0">C2-C33</f>
        <v>0</v>
      </c>
      <c r="D18" s="10">
        <f t="shared" si="0"/>
        <v>2.0000000000000018E-2</v>
      </c>
      <c r="E18" s="10">
        <f t="shared" si="0"/>
        <v>0.64999999999999991</v>
      </c>
      <c r="F18" s="10">
        <f t="shared" si="0"/>
        <v>1.2799999999999998</v>
      </c>
      <c r="G18" s="10">
        <f t="shared" si="0"/>
        <v>1.595</v>
      </c>
      <c r="H18" s="10">
        <f t="shared" si="0"/>
        <v>1.75</v>
      </c>
      <c r="I18" s="10">
        <f t="shared" si="0"/>
        <v>1.925</v>
      </c>
      <c r="J18" s="10">
        <f t="shared" si="0"/>
        <v>2.1</v>
      </c>
      <c r="K18" s="10">
        <f t="shared" si="0"/>
        <v>2.2749999999999999</v>
      </c>
      <c r="L18" s="10">
        <f t="shared" si="0"/>
        <v>2.4500000000000002</v>
      </c>
      <c r="M18" s="10">
        <f t="shared" si="0"/>
        <v>2.6</v>
      </c>
      <c r="N18" s="10">
        <f t="shared" si="0"/>
        <v>2.75</v>
      </c>
    </row>
    <row r="19" spans="1:14" x14ac:dyDescent="0.2">
      <c r="A19" t="s">
        <v>1</v>
      </c>
      <c r="B19" s="10">
        <f t="shared" ref="B19:N24" si="1">B3-B34</f>
        <v>0</v>
      </c>
      <c r="C19" s="10">
        <f t="shared" si="1"/>
        <v>0</v>
      </c>
      <c r="D19" s="10">
        <f t="shared" si="1"/>
        <v>-0.18000000000000016</v>
      </c>
      <c r="E19" s="10">
        <f t="shared" si="1"/>
        <v>-0.35999999999999988</v>
      </c>
      <c r="F19" s="10">
        <f t="shared" si="1"/>
        <v>-0.54999999999999982</v>
      </c>
      <c r="G19" s="10">
        <f t="shared" si="1"/>
        <v>-0.74000000000000021</v>
      </c>
      <c r="H19" s="10">
        <f t="shared" si="1"/>
        <v>-0.93000000000000016</v>
      </c>
      <c r="I19" s="10">
        <f t="shared" si="1"/>
        <v>-1.1200000000000001</v>
      </c>
      <c r="J19" s="10">
        <f t="shared" si="1"/>
        <v>-1.2999999999999998</v>
      </c>
      <c r="K19" s="10">
        <f t="shared" si="1"/>
        <v>-1.48</v>
      </c>
      <c r="L19" s="10">
        <f t="shared" si="1"/>
        <v>-1.6600000000000001</v>
      </c>
      <c r="M19" s="10">
        <f t="shared" si="1"/>
        <v>-1.8399999999999999</v>
      </c>
      <c r="N19" s="10">
        <f t="shared" si="1"/>
        <v>-2.02</v>
      </c>
    </row>
    <row r="20" spans="1:14" x14ac:dyDescent="0.2">
      <c r="A20" t="s">
        <v>2</v>
      </c>
      <c r="B20" s="10">
        <f t="shared" si="1"/>
        <v>0</v>
      </c>
      <c r="C20" s="10">
        <f t="shared" si="1"/>
        <v>0</v>
      </c>
      <c r="D20" s="10">
        <f t="shared" si="1"/>
        <v>-0.27999999999999936</v>
      </c>
      <c r="E20" s="10">
        <f t="shared" si="1"/>
        <v>2.0000000000000462E-2</v>
      </c>
      <c r="F20" s="10">
        <f t="shared" si="1"/>
        <v>0.33000000000000007</v>
      </c>
      <c r="G20" s="10">
        <f t="shared" si="1"/>
        <v>0.40000000000000036</v>
      </c>
      <c r="H20" s="10">
        <f t="shared" si="1"/>
        <v>0.47499999999999964</v>
      </c>
      <c r="I20" s="10">
        <f t="shared" si="1"/>
        <v>0.57500000000000107</v>
      </c>
      <c r="J20" s="10">
        <f t="shared" si="1"/>
        <v>0.67500000000000071</v>
      </c>
      <c r="K20" s="10">
        <f t="shared" si="1"/>
        <v>0.80000000000000071</v>
      </c>
      <c r="L20" s="10">
        <f t="shared" si="1"/>
        <v>0.95000000000000107</v>
      </c>
      <c r="M20" s="10">
        <f t="shared" si="1"/>
        <v>1.0999999999999996</v>
      </c>
      <c r="N20" s="10">
        <f t="shared" si="1"/>
        <v>1.2750000000000004</v>
      </c>
    </row>
    <row r="21" spans="1:14" x14ac:dyDescent="0.2">
      <c r="A21" t="s">
        <v>3</v>
      </c>
      <c r="B21" s="10">
        <f t="shared" si="1"/>
        <v>0</v>
      </c>
      <c r="C21" s="10">
        <f t="shared" si="1"/>
        <v>0</v>
      </c>
      <c r="D21" s="10">
        <f t="shared" si="1"/>
        <v>-0.28000000000000114</v>
      </c>
      <c r="E21" s="10">
        <f t="shared" si="1"/>
        <v>0.26999999999999957</v>
      </c>
      <c r="F21" s="10">
        <f t="shared" si="1"/>
        <v>0.57999999999999829</v>
      </c>
      <c r="G21" s="10">
        <f t="shared" si="1"/>
        <v>0.64999999999999858</v>
      </c>
      <c r="H21" s="10">
        <f t="shared" si="1"/>
        <v>0.72499999999999787</v>
      </c>
      <c r="I21" s="10">
        <f t="shared" si="1"/>
        <v>0.82499999999999929</v>
      </c>
      <c r="J21" s="10">
        <f t="shared" si="1"/>
        <v>0.92499999999999716</v>
      </c>
      <c r="K21" s="10">
        <f t="shared" si="1"/>
        <v>1.0499999999999972</v>
      </c>
      <c r="L21" s="10">
        <f t="shared" si="1"/>
        <v>1.1999999999999993</v>
      </c>
      <c r="M21" s="10">
        <f t="shared" si="1"/>
        <v>1.3499999999999979</v>
      </c>
      <c r="N21" s="10">
        <f t="shared" si="1"/>
        <v>1.5249999999999986</v>
      </c>
    </row>
    <row r="22" spans="1:14" x14ac:dyDescent="0.2">
      <c r="A22" t="s">
        <v>4</v>
      </c>
      <c r="B22" s="10">
        <f t="shared" si="1"/>
        <v>0</v>
      </c>
      <c r="C22" s="10">
        <f t="shared" si="1"/>
        <v>0</v>
      </c>
      <c r="D22" s="10">
        <f t="shared" si="1"/>
        <v>0</v>
      </c>
      <c r="E22" s="10">
        <f t="shared" si="1"/>
        <v>0.25</v>
      </c>
      <c r="F22" s="10">
        <f t="shared" si="1"/>
        <v>0.25000000000000178</v>
      </c>
      <c r="G22" s="10">
        <f t="shared" si="1"/>
        <v>0.25000000000000178</v>
      </c>
      <c r="H22" s="10">
        <f t="shared" si="1"/>
        <v>0.24999999999999822</v>
      </c>
      <c r="I22" s="10">
        <f t="shared" si="1"/>
        <v>0.24999999999999822</v>
      </c>
      <c r="J22" s="10">
        <f t="shared" si="1"/>
        <v>0.24999999999999822</v>
      </c>
      <c r="K22" s="10">
        <f t="shared" si="1"/>
        <v>0.24999999999999822</v>
      </c>
      <c r="L22" s="10">
        <f t="shared" si="1"/>
        <v>0.24999999999999822</v>
      </c>
      <c r="M22" s="10">
        <f t="shared" si="1"/>
        <v>0.24999999999999822</v>
      </c>
      <c r="N22" s="10">
        <f t="shared" si="1"/>
        <v>0.24999999999999822</v>
      </c>
    </row>
    <row r="23" spans="1:14" x14ac:dyDescent="0.2">
      <c r="A23" t="s">
        <v>5</v>
      </c>
      <c r="B23" s="10">
        <f t="shared" si="1"/>
        <v>0</v>
      </c>
      <c r="C23" s="10">
        <f t="shared" si="1"/>
        <v>0</v>
      </c>
      <c r="D23" s="10">
        <f t="shared" si="1"/>
        <v>0</v>
      </c>
      <c r="E23" s="10">
        <f t="shared" si="1"/>
        <v>0</v>
      </c>
      <c r="F23" s="10">
        <f t="shared" si="1"/>
        <v>0</v>
      </c>
      <c r="G23" s="10">
        <f t="shared" si="1"/>
        <v>0</v>
      </c>
      <c r="H23" s="10">
        <f t="shared" si="1"/>
        <v>0</v>
      </c>
      <c r="I23" s="10">
        <f t="shared" si="1"/>
        <v>0</v>
      </c>
      <c r="J23" s="10">
        <f t="shared" si="1"/>
        <v>0</v>
      </c>
      <c r="K23" s="10">
        <f t="shared" si="1"/>
        <v>0</v>
      </c>
      <c r="L23" s="10">
        <f t="shared" si="1"/>
        <v>0</v>
      </c>
      <c r="M23" s="10">
        <f t="shared" si="1"/>
        <v>0</v>
      </c>
      <c r="N23" s="10">
        <f t="shared" si="1"/>
        <v>0</v>
      </c>
    </row>
    <row r="24" spans="1:14" x14ac:dyDescent="0.2">
      <c r="A24" t="s">
        <v>6</v>
      </c>
      <c r="B24" s="11">
        <f t="shared" si="1"/>
        <v>0</v>
      </c>
      <c r="C24" s="11">
        <f t="shared" si="1"/>
        <v>0</v>
      </c>
      <c r="D24" s="11">
        <f t="shared" si="1"/>
        <v>-1.3572467280659417E-2</v>
      </c>
      <c r="E24" s="11">
        <f t="shared" si="1"/>
        <v>2.6735594192605738E-2</v>
      </c>
      <c r="F24" s="11">
        <f t="shared" si="1"/>
        <v>1.388888888888884E-2</v>
      </c>
      <c r="G24" s="11">
        <f t="shared" si="1"/>
        <v>2.5078407431349259E-3</v>
      </c>
      <c r="H24" s="11">
        <f t="shared" si="1"/>
        <v>2.6072889903892005E-3</v>
      </c>
      <c r="I24" s="11">
        <f t="shared" si="1"/>
        <v>3.53860899506242E-3</v>
      </c>
      <c r="J24" s="11">
        <f t="shared" si="1"/>
        <v>3.3785542043265337E-3</v>
      </c>
      <c r="K24" s="11">
        <f t="shared" si="1"/>
        <v>4.2281370082200009E-3</v>
      </c>
      <c r="L24" s="11">
        <f t="shared" si="1"/>
        <v>5.0159273522560888E-3</v>
      </c>
      <c r="M24" s="11">
        <f t="shared" si="1"/>
        <v>4.7945101722388639E-3</v>
      </c>
      <c r="N24" s="11">
        <f t="shared" si="1"/>
        <v>5.5151321892392691E-3</v>
      </c>
    </row>
    <row r="33" spans="1:14" x14ac:dyDescent="0.2">
      <c r="A33" t="s">
        <v>0</v>
      </c>
      <c r="B33">
        <v>0.56000000000000005</v>
      </c>
      <c r="C33">
        <v>0.63</v>
      </c>
      <c r="D33">
        <v>0.7</v>
      </c>
      <c r="E33">
        <v>0.77</v>
      </c>
      <c r="F33">
        <v>0.85</v>
      </c>
      <c r="G33">
        <v>0.92500000000000004</v>
      </c>
      <c r="H33">
        <v>1</v>
      </c>
      <c r="I33">
        <v>1.075</v>
      </c>
      <c r="J33">
        <v>1.1499999999999999</v>
      </c>
      <c r="K33">
        <v>1.2250000000000001</v>
      </c>
      <c r="L33">
        <v>1.3</v>
      </c>
      <c r="M33">
        <v>1.4</v>
      </c>
      <c r="N33">
        <v>1.5</v>
      </c>
    </row>
    <row r="34" spans="1:14" x14ac:dyDescent="0.2">
      <c r="A34" t="s">
        <v>1</v>
      </c>
      <c r="B34">
        <v>2.4300000000000002</v>
      </c>
      <c r="C34">
        <v>2.76</v>
      </c>
      <c r="D34">
        <v>3</v>
      </c>
      <c r="E34">
        <v>3.25</v>
      </c>
      <c r="F34">
        <v>3.5</v>
      </c>
      <c r="G34">
        <v>3.75</v>
      </c>
      <c r="H34">
        <v>4</v>
      </c>
      <c r="I34">
        <v>4.25</v>
      </c>
      <c r="J34">
        <v>4.5</v>
      </c>
      <c r="K34">
        <v>4.75</v>
      </c>
      <c r="L34">
        <v>5</v>
      </c>
      <c r="M34">
        <v>5.25</v>
      </c>
      <c r="N34">
        <v>5.5</v>
      </c>
    </row>
    <row r="35" spans="1:14" x14ac:dyDescent="0.2">
      <c r="A35" t="s">
        <v>2</v>
      </c>
      <c r="B35">
        <v>5.05</v>
      </c>
      <c r="C35">
        <v>5.63</v>
      </c>
      <c r="D35">
        <v>6.1</v>
      </c>
      <c r="E35">
        <v>6.6</v>
      </c>
      <c r="F35">
        <v>7.1</v>
      </c>
      <c r="G35">
        <v>7.6</v>
      </c>
      <c r="H35">
        <v>8.1</v>
      </c>
      <c r="I35">
        <v>8.6</v>
      </c>
      <c r="J35">
        <v>9.1</v>
      </c>
      <c r="K35">
        <v>9.6</v>
      </c>
      <c r="L35">
        <v>10.1</v>
      </c>
      <c r="M35">
        <v>10.6</v>
      </c>
      <c r="N35">
        <v>11.1</v>
      </c>
    </row>
    <row r="36" spans="1:14" x14ac:dyDescent="0.2">
      <c r="A36" t="s">
        <v>3</v>
      </c>
      <c r="B36">
        <v>18.84</v>
      </c>
      <c r="C36">
        <v>20.63</v>
      </c>
      <c r="D36">
        <v>21.1</v>
      </c>
      <c r="E36">
        <v>21.6</v>
      </c>
      <c r="F36">
        <v>22.1</v>
      </c>
      <c r="G36">
        <v>22.6</v>
      </c>
      <c r="H36">
        <v>23.1</v>
      </c>
      <c r="I36">
        <v>23.6</v>
      </c>
      <c r="J36">
        <v>24.1</v>
      </c>
      <c r="K36">
        <v>24.6</v>
      </c>
      <c r="L36">
        <v>25.1</v>
      </c>
      <c r="M36">
        <v>25.6</v>
      </c>
      <c r="N36">
        <v>26.1</v>
      </c>
    </row>
    <row r="37" spans="1:14" x14ac:dyDescent="0.2">
      <c r="A37" t="s">
        <v>4</v>
      </c>
      <c r="B37">
        <v>13.79</v>
      </c>
      <c r="C37">
        <v>15</v>
      </c>
      <c r="D37">
        <v>15.000000000000002</v>
      </c>
      <c r="E37">
        <v>15.000000000000002</v>
      </c>
      <c r="F37">
        <v>15.000000000000002</v>
      </c>
      <c r="G37">
        <v>15.000000000000002</v>
      </c>
      <c r="H37">
        <v>15.000000000000002</v>
      </c>
      <c r="I37">
        <v>15.000000000000002</v>
      </c>
      <c r="J37">
        <v>15.000000000000002</v>
      </c>
      <c r="K37">
        <v>15.000000000000002</v>
      </c>
      <c r="L37">
        <v>15.000000000000002</v>
      </c>
      <c r="M37">
        <v>15.000000000000002</v>
      </c>
      <c r="N37">
        <v>15.000000000000002</v>
      </c>
    </row>
    <row r="38" spans="1:14" x14ac:dyDescent="0.2">
      <c r="A38" t="s">
        <v>5</v>
      </c>
      <c r="B38">
        <v>0</v>
      </c>
      <c r="C38">
        <v>0.25</v>
      </c>
      <c r="D38">
        <v>0.25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6</v>
      </c>
      <c r="B39" s="12">
        <v>9.9824868651488652E-2</v>
      </c>
      <c r="C39" s="12">
        <v>9.5010615711252688E-2</v>
      </c>
      <c r="D39" s="12">
        <v>2.2782355792535292E-2</v>
      </c>
      <c r="E39" s="12">
        <v>2.3696682464454888E-2</v>
      </c>
      <c r="F39" s="12">
        <v>2.314814814814814E-2</v>
      </c>
      <c r="G39" s="12">
        <v>2.2624434389140191E-2</v>
      </c>
      <c r="H39" s="12">
        <v>2.2123893805309658E-2</v>
      </c>
      <c r="I39" s="12">
        <v>2.1645021645021689E-2</v>
      </c>
      <c r="J39" s="12">
        <v>2.1186440677966045E-2</v>
      </c>
      <c r="K39" s="12">
        <v>2.0746887966804906E-2</v>
      </c>
      <c r="L39" s="12">
        <v>2.0325203252032464E-2</v>
      </c>
      <c r="M39" s="12">
        <v>1.9920318725099584E-2</v>
      </c>
      <c r="N39" s="12">
        <v>1.953125E-2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77E6-DB02-41B9-9C21-BEABE07D94D9}">
  <dimension ref="A1:N23"/>
  <sheetViews>
    <sheetView workbookViewId="0">
      <selection activeCell="M14" sqref="M14"/>
    </sheetView>
  </sheetViews>
  <sheetFormatPr defaultRowHeight="12.75" x14ac:dyDescent="0.2"/>
  <cols>
    <col min="1" max="1" width="14.5" customWidth="1"/>
    <col min="2" max="2" width="16.6640625" hidden="1" customWidth="1"/>
    <col min="3" max="14" width="16.6640625" customWidth="1"/>
  </cols>
  <sheetData>
    <row r="1" spans="1:14" ht="16.5" thickBot="1" x14ac:dyDescent="0.3">
      <c r="A1" s="13" t="s">
        <v>9</v>
      </c>
    </row>
    <row r="2" spans="1:14" ht="16.5" thickBot="1" x14ac:dyDescent="0.3">
      <c r="A2" s="13"/>
      <c r="B2" s="14">
        <v>2021</v>
      </c>
      <c r="C2" s="14">
        <v>2022</v>
      </c>
      <c r="D2" s="14">
        <v>2023</v>
      </c>
      <c r="E2" s="15">
        <v>2024</v>
      </c>
      <c r="F2" s="15">
        <v>2025</v>
      </c>
      <c r="G2" s="15">
        <v>2026</v>
      </c>
      <c r="H2" s="15">
        <v>2027</v>
      </c>
      <c r="I2" s="15">
        <v>2028</v>
      </c>
      <c r="J2" s="15">
        <v>2029</v>
      </c>
      <c r="K2" s="15">
        <v>2030</v>
      </c>
      <c r="L2" s="15">
        <v>2031</v>
      </c>
      <c r="M2" s="15">
        <v>2032</v>
      </c>
      <c r="N2" s="15">
        <v>2033</v>
      </c>
    </row>
    <row r="3" spans="1:14" ht="17.25" thickBot="1" x14ac:dyDescent="0.3">
      <c r="A3" s="16" t="s">
        <v>10</v>
      </c>
      <c r="B3" s="17">
        <v>1704627334</v>
      </c>
      <c r="C3" s="17">
        <v>1619170406</v>
      </c>
      <c r="D3" s="17">
        <v>1607042024.8767643</v>
      </c>
      <c r="E3" s="18">
        <v>931582198.825418</v>
      </c>
      <c r="F3" s="18">
        <v>676914511.49082863</v>
      </c>
      <c r="G3" s="18">
        <v>578555200.7309469</v>
      </c>
      <c r="H3" s="18">
        <v>621425598.81165993</v>
      </c>
      <c r="I3" s="18">
        <v>544503951.02048075</v>
      </c>
      <c r="J3" s="18">
        <v>515051502.53623879</v>
      </c>
      <c r="K3" s="18">
        <v>466509671.56143326</v>
      </c>
      <c r="L3" s="18">
        <v>443939408.18672615</v>
      </c>
      <c r="M3" s="18">
        <v>403232652.96721697</v>
      </c>
      <c r="N3" s="18">
        <v>343888383.79285461</v>
      </c>
    </row>
    <row r="4" spans="1:14" ht="17.25" thickBot="1" x14ac:dyDescent="0.3">
      <c r="A4" s="19" t="s">
        <v>11</v>
      </c>
      <c r="B4" s="17">
        <v>1316441940</v>
      </c>
      <c r="C4" s="17">
        <v>1898616942</v>
      </c>
      <c r="D4" s="17">
        <v>2755977034.4284286</v>
      </c>
      <c r="E4" s="18">
        <v>3887190787.6705179</v>
      </c>
      <c r="F4" s="18">
        <v>4385750164.5845013</v>
      </c>
      <c r="G4" s="18">
        <v>5667193468.9229612</v>
      </c>
      <c r="H4" s="18">
        <v>5675502559.3594227</v>
      </c>
      <c r="I4" s="18">
        <v>5732961519.5819139</v>
      </c>
      <c r="J4" s="18">
        <v>5782513008.9644699</v>
      </c>
      <c r="K4" s="18">
        <v>5804066610.8418694</v>
      </c>
      <c r="L4" s="18">
        <v>5820381736.2630854</v>
      </c>
      <c r="M4" s="18">
        <v>5839598021.677639</v>
      </c>
      <c r="N4" s="18">
        <v>5854884353.2740049</v>
      </c>
    </row>
    <row r="5" spans="1:14" ht="17.25" thickBot="1" x14ac:dyDescent="0.3">
      <c r="A5" s="19" t="s">
        <v>12</v>
      </c>
      <c r="B5" s="17">
        <v>5076623</v>
      </c>
      <c r="C5" s="17">
        <v>7893137</v>
      </c>
      <c r="D5" s="17">
        <v>25000000</v>
      </c>
      <c r="E5" s="18">
        <v>75000000</v>
      </c>
      <c r="F5" s="18">
        <v>100000000</v>
      </c>
      <c r="G5" s="18">
        <v>250000000</v>
      </c>
      <c r="H5" s="18">
        <v>500000000</v>
      </c>
      <c r="I5" s="18">
        <v>750000000</v>
      </c>
      <c r="J5" s="18">
        <v>1000000000</v>
      </c>
      <c r="K5" s="18">
        <v>1500000000</v>
      </c>
      <c r="L5" s="18">
        <v>2000000000</v>
      </c>
      <c r="M5" s="18">
        <v>2500000000</v>
      </c>
      <c r="N5" s="18">
        <v>3000000000</v>
      </c>
    </row>
    <row r="7" spans="1:14" x14ac:dyDescent="0.2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spans="1:14" x14ac:dyDescent="0.2">
      <c r="B8" s="21">
        <f>B4+B3</f>
        <v>3021069274</v>
      </c>
      <c r="C8" s="21">
        <f t="shared" ref="C8:N8" si="0">C4+C3</f>
        <v>3517787348</v>
      </c>
      <c r="D8" s="21">
        <f t="shared" si="0"/>
        <v>4363019059.3051929</v>
      </c>
      <c r="E8" s="21">
        <f t="shared" si="0"/>
        <v>4818772986.4959354</v>
      </c>
      <c r="F8" s="21">
        <f t="shared" si="0"/>
        <v>5062664676.0753298</v>
      </c>
      <c r="G8" s="21">
        <f t="shared" si="0"/>
        <v>6245748669.6539078</v>
      </c>
      <c r="H8" s="21">
        <f t="shared" si="0"/>
        <v>6296928158.1710825</v>
      </c>
      <c r="I8" s="21">
        <f t="shared" si="0"/>
        <v>6277465470.6023951</v>
      </c>
      <c r="J8" s="21">
        <f t="shared" si="0"/>
        <v>6297564511.5007086</v>
      </c>
      <c r="K8" s="21">
        <f t="shared" si="0"/>
        <v>6270576282.4033022</v>
      </c>
      <c r="L8" s="21">
        <f t="shared" si="0"/>
        <v>6264321144.4498119</v>
      </c>
      <c r="M8" s="21">
        <f t="shared" si="0"/>
        <v>6242830674.6448555</v>
      </c>
      <c r="N8" s="21">
        <f t="shared" si="0"/>
        <v>6198772737.0668592</v>
      </c>
    </row>
    <row r="9" spans="1:14" x14ac:dyDescent="0.2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 x14ac:dyDescent="0.2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ht="15.75" x14ac:dyDescent="0.25">
      <c r="A11" s="16" t="s">
        <v>10</v>
      </c>
      <c r="B11" s="21">
        <f>B3-B18</f>
        <v>249667</v>
      </c>
      <c r="C11" s="21">
        <f t="shared" ref="C11:N11" si="1">C3-C18</f>
        <v>-57758678.312658072</v>
      </c>
      <c r="D11" s="21">
        <f t="shared" si="1"/>
        <v>216170916.4185214</v>
      </c>
      <c r="E11" s="21">
        <f t="shared" si="1"/>
        <v>156966814.94101703</v>
      </c>
      <c r="F11" s="21">
        <f t="shared" si="1"/>
        <v>79299094.403084159</v>
      </c>
      <c r="G11" s="21">
        <f t="shared" si="1"/>
        <v>64019830.387261569</v>
      </c>
      <c r="H11" s="21">
        <f t="shared" si="1"/>
        <v>195314629.82578403</v>
      </c>
      <c r="I11" s="21">
        <f t="shared" si="1"/>
        <v>105304399.61950994</v>
      </c>
      <c r="J11" s="21">
        <f t="shared" si="1"/>
        <v>62772235.421144783</v>
      </c>
      <c r="K11" s="21">
        <f t="shared" si="1"/>
        <v>1533605.8255449533</v>
      </c>
      <c r="L11" s="21">
        <f t="shared" si="1"/>
        <v>-34070300.047586918</v>
      </c>
      <c r="M11" s="21">
        <f t="shared" si="1"/>
        <v>-87774339.030264556</v>
      </c>
      <c r="N11" s="21">
        <f t="shared" si="1"/>
        <v>-147118608.20462692</v>
      </c>
    </row>
    <row r="12" spans="1:14" ht="15.75" x14ac:dyDescent="0.25">
      <c r="A12" s="19" t="s">
        <v>11</v>
      </c>
      <c r="B12" s="21">
        <f t="shared" ref="B12:N13" si="2">B4-B19</f>
        <v>471036486</v>
      </c>
      <c r="C12" s="21">
        <f t="shared" si="2"/>
        <v>-150963049.93769288</v>
      </c>
      <c r="D12" s="21">
        <f t="shared" si="2"/>
        <v>172930690.14883518</v>
      </c>
      <c r="E12" s="21">
        <f t="shared" si="2"/>
        <v>788729252.13291454</v>
      </c>
      <c r="F12" s="21">
        <f t="shared" si="2"/>
        <v>999262801.08728313</v>
      </c>
      <c r="G12" s="21">
        <f t="shared" si="2"/>
        <v>2065445876.5171638</v>
      </c>
      <c r="H12" s="21">
        <f t="shared" si="2"/>
        <v>1840503838.4865398</v>
      </c>
      <c r="I12" s="21">
        <f t="shared" si="2"/>
        <v>1780165556.973177</v>
      </c>
      <c r="J12" s="21">
        <f t="shared" si="2"/>
        <v>1711999604.9286242</v>
      </c>
      <c r="K12" s="21">
        <f t="shared" si="2"/>
        <v>1619282019.2188754</v>
      </c>
      <c r="L12" s="21">
        <f t="shared" si="2"/>
        <v>1518294362.1542673</v>
      </c>
      <c r="M12" s="21">
        <f t="shared" si="2"/>
        <v>1420535093.7003059</v>
      </c>
      <c r="N12" s="21">
        <f t="shared" si="2"/>
        <v>1435821425.2966719</v>
      </c>
    </row>
    <row r="13" spans="1:14" ht="15.75" x14ac:dyDescent="0.25">
      <c r="A13" s="19" t="s">
        <v>12</v>
      </c>
      <c r="B13" s="21">
        <f t="shared" si="2"/>
        <v>56152</v>
      </c>
      <c r="C13" s="21">
        <f t="shared" si="2"/>
        <v>-5106863.0000000019</v>
      </c>
      <c r="D13" s="21">
        <f t="shared" si="2"/>
        <v>0</v>
      </c>
      <c r="E13" s="21">
        <f t="shared" si="2"/>
        <v>0</v>
      </c>
      <c r="F13" s="21">
        <f t="shared" si="2"/>
        <v>0</v>
      </c>
      <c r="G13" s="21">
        <f t="shared" si="2"/>
        <v>0</v>
      </c>
      <c r="H13" s="21">
        <f t="shared" si="2"/>
        <v>0</v>
      </c>
      <c r="I13" s="21">
        <f t="shared" si="2"/>
        <v>0</v>
      </c>
      <c r="J13" s="21">
        <f t="shared" si="2"/>
        <v>0</v>
      </c>
      <c r="K13" s="21">
        <f t="shared" si="2"/>
        <v>0</v>
      </c>
      <c r="L13" s="21">
        <f t="shared" si="2"/>
        <v>0</v>
      </c>
      <c r="M13" s="21">
        <f t="shared" si="2"/>
        <v>0</v>
      </c>
      <c r="N13" s="21">
        <f t="shared" si="2"/>
        <v>500000000</v>
      </c>
    </row>
    <row r="18" spans="1:14" ht="16.5" x14ac:dyDescent="0.25">
      <c r="A18" s="16" t="s">
        <v>10</v>
      </c>
      <c r="B18" s="22">
        <v>1704377667</v>
      </c>
      <c r="C18" s="22">
        <v>1676929084.3126581</v>
      </c>
      <c r="D18" s="22">
        <v>1390871108.4582429</v>
      </c>
      <c r="E18" s="22">
        <v>774615383.88440096</v>
      </c>
      <c r="F18" s="22">
        <v>597615417.08774447</v>
      </c>
      <c r="G18" s="22">
        <v>514535370.34368533</v>
      </c>
      <c r="H18" s="22">
        <v>426110968.9858759</v>
      </c>
      <c r="I18" s="22">
        <v>439199551.40097082</v>
      </c>
      <c r="J18" s="22">
        <v>452279267.11509401</v>
      </c>
      <c r="K18" s="22">
        <v>464976065.7358883</v>
      </c>
      <c r="L18" s="22">
        <v>478009708.23431307</v>
      </c>
      <c r="M18" s="22">
        <v>491006991.99748152</v>
      </c>
      <c r="N18" s="22">
        <v>491006991.99748152</v>
      </c>
    </row>
    <row r="19" spans="1:14" ht="16.5" x14ac:dyDescent="0.25">
      <c r="A19" s="19" t="s">
        <v>11</v>
      </c>
      <c r="B19" s="22">
        <v>845405454</v>
      </c>
      <c r="C19" s="22">
        <v>2049579991.9376929</v>
      </c>
      <c r="D19" s="22">
        <v>2583046344.2795935</v>
      </c>
      <c r="E19" s="22">
        <v>3098461535.5376034</v>
      </c>
      <c r="F19" s="22">
        <v>3386487363.4972181</v>
      </c>
      <c r="G19" s="22">
        <v>3601747592.4057975</v>
      </c>
      <c r="H19" s="22">
        <v>3834998720.8728828</v>
      </c>
      <c r="I19" s="22">
        <v>3952795962.608737</v>
      </c>
      <c r="J19" s="22">
        <v>4070513404.0358458</v>
      </c>
      <c r="K19" s="22">
        <v>4184784591.6229939</v>
      </c>
      <c r="L19" s="22">
        <v>4302087374.1088181</v>
      </c>
      <c r="M19" s="22">
        <v>4419062927.9773331</v>
      </c>
      <c r="N19" s="22">
        <v>4419062927.9773331</v>
      </c>
    </row>
    <row r="20" spans="1:14" ht="16.5" x14ac:dyDescent="0.25">
      <c r="A20" s="19" t="s">
        <v>12</v>
      </c>
      <c r="B20" s="22">
        <v>5020471</v>
      </c>
      <c r="C20" s="22">
        <v>13000000.000000002</v>
      </c>
      <c r="D20" s="22">
        <v>25000000</v>
      </c>
      <c r="E20" s="22">
        <v>75000000</v>
      </c>
      <c r="F20" s="22">
        <v>100000000</v>
      </c>
      <c r="G20" s="22">
        <v>250000000</v>
      </c>
      <c r="H20" s="22">
        <v>500000000</v>
      </c>
      <c r="I20" s="22">
        <v>750000000</v>
      </c>
      <c r="J20" s="22">
        <v>1000000000</v>
      </c>
      <c r="K20" s="22">
        <v>1500000000</v>
      </c>
      <c r="L20" s="22">
        <v>2000000000</v>
      </c>
      <c r="M20" s="22">
        <v>2500000000</v>
      </c>
      <c r="N20" s="22">
        <v>2500000000</v>
      </c>
    </row>
    <row r="21" spans="1:14" x14ac:dyDescent="0.2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1:14" x14ac:dyDescent="0.2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4" x14ac:dyDescent="0.2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2238-9A50-4F4F-848F-783C1E07DFC4}">
  <dimension ref="A1:N23"/>
  <sheetViews>
    <sheetView workbookViewId="0">
      <selection activeCell="M14" sqref="M14"/>
    </sheetView>
  </sheetViews>
  <sheetFormatPr defaultRowHeight="12.75" x14ac:dyDescent="0.2"/>
  <cols>
    <col min="1" max="1" width="42.33203125" customWidth="1"/>
    <col min="2" max="2" width="0" hidden="1" customWidth="1"/>
  </cols>
  <sheetData>
    <row r="1" spans="1:14" ht="13.5" thickBot="1" x14ac:dyDescent="0.25"/>
    <row r="2" spans="1:14" ht="16.5" thickBot="1" x14ac:dyDescent="0.3">
      <c r="A2" s="23" t="s">
        <v>13</v>
      </c>
      <c r="B2" s="14">
        <v>2021</v>
      </c>
      <c r="C2" s="14">
        <v>2022</v>
      </c>
      <c r="D2" s="15">
        <v>2023</v>
      </c>
      <c r="E2" s="15">
        <v>2024</v>
      </c>
      <c r="F2" s="15">
        <v>2025</v>
      </c>
      <c r="G2" s="15">
        <v>2026</v>
      </c>
      <c r="H2" s="15">
        <v>2027</v>
      </c>
      <c r="I2" s="15">
        <v>2028</v>
      </c>
      <c r="J2" s="15">
        <v>2029</v>
      </c>
      <c r="K2" s="15">
        <v>2030</v>
      </c>
      <c r="L2" s="15">
        <v>2031</v>
      </c>
      <c r="M2" s="15">
        <v>2032</v>
      </c>
      <c r="N2" s="15">
        <v>2033</v>
      </c>
    </row>
    <row r="3" spans="1:14" ht="15.75" x14ac:dyDescent="0.25">
      <c r="A3" s="24" t="s">
        <v>10</v>
      </c>
      <c r="B3" s="25">
        <v>0.66713686602983779</v>
      </c>
      <c r="C3" s="25">
        <v>0.52583134850806279</v>
      </c>
      <c r="D3" s="26">
        <v>0.39727942907969716</v>
      </c>
      <c r="E3" s="26">
        <v>0.2043229911830014</v>
      </c>
      <c r="F3" s="26">
        <v>0.14237424915349398</v>
      </c>
      <c r="G3" s="26">
        <v>0.11415517129227253</v>
      </c>
      <c r="H3" s="26">
        <v>0.10731250985416405</v>
      </c>
      <c r="I3" s="26">
        <v>9.599967914023752E-2</v>
      </c>
      <c r="J3" s="26">
        <v>8.6819683180405907E-2</v>
      </c>
      <c r="K3" s="26">
        <v>7.2898716863174479E-2</v>
      </c>
      <c r="L3" s="26">
        <v>6.4455565609674068E-2</v>
      </c>
      <c r="M3" s="26">
        <v>5.4784329305060116E-2</v>
      </c>
      <c r="N3" s="26">
        <v>4.3986422532570478E-2</v>
      </c>
    </row>
    <row r="4" spans="1:14" ht="15.75" x14ac:dyDescent="0.25">
      <c r="A4" s="24" t="s">
        <v>14</v>
      </c>
      <c r="B4" s="25">
        <v>0.30643739603813563</v>
      </c>
      <c r="C4" s="25">
        <v>0.44793863275707024</v>
      </c>
      <c r="D4" s="26">
        <v>0.57144633326035221</v>
      </c>
      <c r="E4" s="26">
        <v>0.75674414165573511</v>
      </c>
      <c r="F4" s="26">
        <v>0.81469605369814913</v>
      </c>
      <c r="G4" s="26">
        <v>0.81669739015101273</v>
      </c>
      <c r="H4" s="26">
        <v>0.78068907869638637</v>
      </c>
      <c r="I4" s="26">
        <v>0.75297433691956639</v>
      </c>
      <c r="J4" s="26">
        <v>0.7259994731105518</v>
      </c>
      <c r="K4" s="26">
        <v>0.67524781845353399</v>
      </c>
      <c r="L4" s="26">
        <v>0.62874303749255245</v>
      </c>
      <c r="M4" s="26">
        <v>0.58999452778491801</v>
      </c>
      <c r="N4" s="26">
        <v>0.55743719582378526</v>
      </c>
    </row>
    <row r="5" spans="1:14" ht="15.75" x14ac:dyDescent="0.25">
      <c r="A5" s="24" t="s">
        <v>15</v>
      </c>
      <c r="B5" s="25">
        <v>2.4438909321055202E-2</v>
      </c>
      <c r="C5" s="25">
        <v>2.3666694419347878E-2</v>
      </c>
      <c r="D5" s="26">
        <v>2.5093947677954601E-2</v>
      </c>
      <c r="E5" s="26">
        <v>2.2483192233976722E-2</v>
      </c>
      <c r="F5" s="26">
        <v>2.1896871475890568E-2</v>
      </c>
      <c r="G5" s="26">
        <v>2.0575333693096071E-2</v>
      </c>
      <c r="H5" s="26">
        <v>1.9714454505092759E-2</v>
      </c>
      <c r="I5" s="26">
        <v>1.8795980429220732E-2</v>
      </c>
      <c r="J5" s="26">
        <v>1.8615791956188985E-2</v>
      </c>
      <c r="K5" s="26">
        <v>1.7457305373736937E-2</v>
      </c>
      <c r="L5" s="26">
        <v>1.6421383675053292E-2</v>
      </c>
      <c r="M5" s="26">
        <v>1.5564068377952003E-2</v>
      </c>
      <c r="N5" s="26">
        <v>1.4849353291332317E-2</v>
      </c>
    </row>
    <row r="6" spans="1:14" ht="16.5" thickBot="1" x14ac:dyDescent="0.3">
      <c r="A6" s="24" t="s">
        <v>16</v>
      </c>
      <c r="B6" s="25">
        <v>1.9868286109713368E-3</v>
      </c>
      <c r="C6" s="25">
        <v>2.5633243155191933E-3</v>
      </c>
      <c r="D6" s="26">
        <v>6.1802899819959978E-3</v>
      </c>
      <c r="E6" s="26">
        <v>1.6449674927286714E-2</v>
      </c>
      <c r="F6" s="26">
        <v>2.1032825672466469E-2</v>
      </c>
      <c r="G6" s="26">
        <v>4.8572104863618772E-2</v>
      </c>
      <c r="H6" s="26">
        <v>9.228395694435669E-2</v>
      </c>
      <c r="I6" s="26">
        <v>0.13223000351097539</v>
      </c>
      <c r="J6" s="26">
        <v>0.16856505175285325</v>
      </c>
      <c r="K6" s="26">
        <v>0.23439615930955462</v>
      </c>
      <c r="L6" s="26">
        <v>0.29038001322272022</v>
      </c>
      <c r="M6" s="26">
        <v>0.33965707453206989</v>
      </c>
      <c r="N6" s="26">
        <v>0.38372702835231193</v>
      </c>
    </row>
    <row r="7" spans="1:14" x14ac:dyDescent="0.2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</row>
    <row r="8" spans="1:14" x14ac:dyDescent="0.2">
      <c r="B8" s="28">
        <f>1-SUM(B3:B6)</f>
        <v>0</v>
      </c>
      <c r="C8" s="28">
        <f t="shared" ref="C8:N8" si="0">1-SUM(C3:C6)</f>
        <v>0</v>
      </c>
      <c r="D8" s="28">
        <f t="shared" si="0"/>
        <v>0</v>
      </c>
      <c r="E8" s="28">
        <f t="shared" si="0"/>
        <v>0</v>
      </c>
      <c r="F8" s="28">
        <f t="shared" si="0"/>
        <v>0</v>
      </c>
      <c r="G8" s="28">
        <f t="shared" si="0"/>
        <v>0</v>
      </c>
      <c r="H8" s="28">
        <f t="shared" si="0"/>
        <v>0</v>
      </c>
      <c r="I8" s="28">
        <f t="shared" si="0"/>
        <v>0</v>
      </c>
      <c r="J8" s="28">
        <f t="shared" si="0"/>
        <v>0</v>
      </c>
      <c r="K8" s="28">
        <f t="shared" si="0"/>
        <v>0</v>
      </c>
      <c r="L8" s="28">
        <f t="shared" si="0"/>
        <v>0</v>
      </c>
      <c r="M8" s="28">
        <f t="shared" si="0"/>
        <v>0</v>
      </c>
      <c r="N8" s="28">
        <f t="shared" si="0"/>
        <v>0</v>
      </c>
    </row>
    <row r="9" spans="1:14" ht="15.75" x14ac:dyDescent="0.25">
      <c r="A9" s="29"/>
    </row>
    <row r="10" spans="1:14" x14ac:dyDescent="0.2"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2" spans="1:14" x14ac:dyDescent="0.2"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4" spans="1:14" x14ac:dyDescent="0.2"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1:14" ht="15.75" x14ac:dyDescent="0.25">
      <c r="A15" s="29" t="s">
        <v>10</v>
      </c>
      <c r="B15" s="28">
        <f>B3-B21</f>
        <v>-1.3033840301593935E-3</v>
      </c>
      <c r="C15" s="28">
        <f t="shared" ref="C15:N16" si="1">C3-C21</f>
        <v>7.5831348508062779E-2</v>
      </c>
      <c r="D15" s="28">
        <f t="shared" si="1"/>
        <v>4.7279429079697177E-2</v>
      </c>
      <c r="E15" s="28">
        <f t="shared" si="1"/>
        <v>4.3229911830013901E-3</v>
      </c>
      <c r="F15" s="28">
        <f t="shared" si="1"/>
        <v>-7.6257508465060186E-3</v>
      </c>
      <c r="G15" s="28">
        <f t="shared" si="1"/>
        <v>-1.0844828707727475E-2</v>
      </c>
      <c r="H15" s="28">
        <f t="shared" si="1"/>
        <v>7.3125098541640399E-3</v>
      </c>
      <c r="I15" s="28">
        <f t="shared" si="1"/>
        <v>-4.0003208597624851E-3</v>
      </c>
      <c r="J15" s="28">
        <f t="shared" si="1"/>
        <v>-1.3180316819594098E-2</v>
      </c>
      <c r="K15" s="28">
        <f t="shared" si="1"/>
        <v>-2.7101283136825527E-2</v>
      </c>
      <c r="L15" s="28">
        <f t="shared" si="1"/>
        <v>-3.5544434390325938E-2</v>
      </c>
      <c r="M15" s="28">
        <f t="shared" si="1"/>
        <v>-4.521567069493989E-2</v>
      </c>
      <c r="N15" s="28">
        <f t="shared" si="1"/>
        <v>-5.6013577467429528E-2</v>
      </c>
    </row>
    <row r="16" spans="1:14" ht="15.75" x14ac:dyDescent="0.25">
      <c r="A16" s="29" t="s">
        <v>14</v>
      </c>
      <c r="B16" s="28">
        <f>B4-B22</f>
        <v>-6.3211138449192905E-4</v>
      </c>
      <c r="C16" s="28">
        <f t="shared" si="1"/>
        <v>-8.2061367242929784E-2</v>
      </c>
      <c r="D16" s="28">
        <f t="shared" si="1"/>
        <v>-5.8553666739647792E-2</v>
      </c>
      <c r="E16" s="28">
        <f t="shared" si="1"/>
        <v>-2.3255858344264912E-2</v>
      </c>
      <c r="F16" s="28">
        <f t="shared" si="1"/>
        <v>-1.5303946301850835E-2</v>
      </c>
      <c r="G16" s="28">
        <f t="shared" si="1"/>
        <v>-3.8302609848987257E-2</v>
      </c>
      <c r="H16" s="28">
        <f t="shared" si="1"/>
        <v>-9.9310921303613631E-2</v>
      </c>
      <c r="I16" s="28">
        <f t="shared" si="1"/>
        <v>-0.12702566308043362</v>
      </c>
      <c r="J16" s="28">
        <f t="shared" si="1"/>
        <v>-0.15400052688944821</v>
      </c>
      <c r="K16" s="28">
        <f t="shared" si="1"/>
        <v>-0.20475218154646602</v>
      </c>
      <c r="L16" s="28">
        <f t="shared" si="1"/>
        <v>-0.25125696250744756</v>
      </c>
      <c r="M16" s="28">
        <f t="shared" si="1"/>
        <v>-0.29000547221508199</v>
      </c>
      <c r="N16" s="28">
        <f t="shared" si="1"/>
        <v>-0.32256280417621475</v>
      </c>
    </row>
    <row r="17" spans="1:14" ht="15.75" x14ac:dyDescent="0.25">
      <c r="A17" s="29" t="s">
        <v>15</v>
      </c>
      <c r="B17" s="28">
        <f t="shared" ref="B17:N17" si="2">B6-B23</f>
        <v>-2.2503413906403931E-2</v>
      </c>
      <c r="C17" s="28">
        <f t="shared" si="2"/>
        <v>-1.7436675684480769E-2</v>
      </c>
      <c r="D17" s="28">
        <f t="shared" si="2"/>
        <v>-1.3819710018004021E-2</v>
      </c>
      <c r="E17" s="28">
        <f t="shared" si="2"/>
        <v>-3.5503250727132486E-3</v>
      </c>
      <c r="F17" s="28">
        <f t="shared" si="2"/>
        <v>1.0328256724664239E-3</v>
      </c>
      <c r="G17" s="28">
        <f t="shared" si="2"/>
        <v>2.8572104863618754E-2</v>
      </c>
      <c r="H17" s="28">
        <f t="shared" si="2"/>
        <v>7.22839569443567E-2</v>
      </c>
      <c r="I17" s="28">
        <f t="shared" si="2"/>
        <v>0.1122300035109754</v>
      </c>
      <c r="J17" s="28">
        <f t="shared" si="2"/>
        <v>0.14856505175285326</v>
      </c>
      <c r="K17" s="28">
        <f t="shared" si="2"/>
        <v>0.21439615930955463</v>
      </c>
      <c r="L17" s="28">
        <f t="shared" si="2"/>
        <v>0.27038001322272021</v>
      </c>
      <c r="M17" s="28">
        <f t="shared" si="2"/>
        <v>0.31965707453206993</v>
      </c>
      <c r="N17" s="28">
        <f t="shared" si="2"/>
        <v>0.36372702835231197</v>
      </c>
    </row>
    <row r="21" spans="1:14" ht="15.75" x14ac:dyDescent="0.25">
      <c r="A21" s="29" t="s">
        <v>10</v>
      </c>
      <c r="B21" s="30">
        <v>0.66844025005999719</v>
      </c>
      <c r="C21" s="30">
        <v>0.45</v>
      </c>
      <c r="D21" s="30">
        <v>0.35</v>
      </c>
      <c r="E21" s="30">
        <v>0.2</v>
      </c>
      <c r="F21" s="30">
        <v>0.15</v>
      </c>
      <c r="G21" s="30">
        <v>0.125</v>
      </c>
      <c r="H21" s="30">
        <v>0.1</v>
      </c>
      <c r="I21" s="30">
        <v>0.1</v>
      </c>
      <c r="J21" s="30">
        <v>0.1</v>
      </c>
      <c r="K21" s="30">
        <v>0.1</v>
      </c>
      <c r="L21" s="30">
        <v>0.1</v>
      </c>
      <c r="M21" s="30">
        <v>0.1</v>
      </c>
      <c r="N21" s="30">
        <v>0.1</v>
      </c>
    </row>
    <row r="22" spans="1:14" ht="15.75" x14ac:dyDescent="0.25">
      <c r="A22" s="29" t="s">
        <v>14</v>
      </c>
      <c r="B22" s="30">
        <v>0.30706950742262756</v>
      </c>
      <c r="C22" s="30">
        <v>0.53</v>
      </c>
      <c r="D22" s="30">
        <v>0.63</v>
      </c>
      <c r="E22" s="30">
        <v>0.78</v>
      </c>
      <c r="F22" s="30">
        <v>0.83</v>
      </c>
      <c r="G22" s="30">
        <v>0.85499999999999998</v>
      </c>
      <c r="H22" s="30">
        <v>0.88</v>
      </c>
      <c r="I22" s="30">
        <v>0.88</v>
      </c>
      <c r="J22" s="30">
        <v>0.88</v>
      </c>
      <c r="K22" s="30">
        <v>0.88</v>
      </c>
      <c r="L22" s="30">
        <v>0.88</v>
      </c>
      <c r="M22" s="30">
        <v>0.88</v>
      </c>
      <c r="N22" s="30">
        <v>0.88</v>
      </c>
    </row>
    <row r="23" spans="1:14" ht="15.75" x14ac:dyDescent="0.25">
      <c r="A23" s="29" t="s">
        <v>15</v>
      </c>
      <c r="B23" s="30">
        <v>2.4490242517375267E-2</v>
      </c>
      <c r="C23" s="30">
        <v>1.9999999999999962E-2</v>
      </c>
      <c r="D23" s="30">
        <v>2.0000000000000018E-2</v>
      </c>
      <c r="E23" s="30">
        <v>1.9999999999999962E-2</v>
      </c>
      <c r="F23" s="30">
        <v>2.0000000000000046E-2</v>
      </c>
      <c r="G23" s="30">
        <v>2.0000000000000018E-2</v>
      </c>
      <c r="H23" s="30">
        <v>1.999999999999999E-2</v>
      </c>
      <c r="I23" s="30">
        <v>1.999999999999999E-2</v>
      </c>
      <c r="J23" s="30">
        <v>1.999999999999999E-2</v>
      </c>
      <c r="K23" s="30">
        <v>1.999999999999999E-2</v>
      </c>
      <c r="L23" s="30">
        <v>1.999999999999999E-2</v>
      </c>
      <c r="M23" s="30">
        <v>1.999999999999999E-2</v>
      </c>
      <c r="N23" s="30">
        <v>1.999999999999999E-2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8AFF-F6AF-446A-AC95-C5C635A0AD33}">
  <dimension ref="A2:N64"/>
  <sheetViews>
    <sheetView workbookViewId="0">
      <selection activeCell="M14" sqref="M14"/>
    </sheetView>
  </sheetViews>
  <sheetFormatPr defaultRowHeight="12.75" x14ac:dyDescent="0.2"/>
  <cols>
    <col min="1" max="1" width="21.5" customWidth="1"/>
  </cols>
  <sheetData>
    <row r="2" spans="1:14" ht="15" x14ac:dyDescent="0.2">
      <c r="A2" s="31"/>
      <c r="B2" s="32">
        <v>2021</v>
      </c>
      <c r="C2" s="32">
        <v>2022</v>
      </c>
      <c r="D2" s="32">
        <v>2023</v>
      </c>
      <c r="E2" s="32">
        <v>2024</v>
      </c>
      <c r="F2" s="32">
        <v>2025</v>
      </c>
      <c r="G2" s="32">
        <v>2026</v>
      </c>
      <c r="H2" s="32">
        <v>2027</v>
      </c>
      <c r="I2" s="32">
        <v>2028</v>
      </c>
      <c r="J2" s="32">
        <v>2029</v>
      </c>
      <c r="K2" s="32">
        <v>2030</v>
      </c>
      <c r="L2" s="32">
        <v>2031</v>
      </c>
      <c r="M2" s="32">
        <v>2032</v>
      </c>
      <c r="N2" s="32">
        <v>2033</v>
      </c>
    </row>
    <row r="3" spans="1:14" ht="15" x14ac:dyDescent="0.2">
      <c r="A3" s="33" t="s">
        <v>17</v>
      </c>
      <c r="B3" s="34" t="s">
        <v>18</v>
      </c>
      <c r="C3" s="34" t="s">
        <v>19</v>
      </c>
      <c r="D3" s="34" t="s">
        <v>20</v>
      </c>
      <c r="E3" s="34" t="s">
        <v>21</v>
      </c>
      <c r="F3" s="34" t="s">
        <v>22</v>
      </c>
      <c r="G3" s="34" t="s">
        <v>21</v>
      </c>
      <c r="H3" s="34" t="s">
        <v>23</v>
      </c>
      <c r="I3" s="34" t="s">
        <v>23</v>
      </c>
      <c r="J3" s="34" t="s">
        <v>24</v>
      </c>
      <c r="K3" s="34" t="s">
        <v>25</v>
      </c>
      <c r="L3" s="34" t="s">
        <v>26</v>
      </c>
      <c r="M3" s="34" t="s">
        <v>27</v>
      </c>
      <c r="N3" s="34" t="s">
        <v>28</v>
      </c>
    </row>
    <row r="4" spans="1:14" ht="15" x14ac:dyDescent="0.2">
      <c r="A4" s="35" t="s">
        <v>29</v>
      </c>
      <c r="B4" s="36" t="s">
        <v>30</v>
      </c>
      <c r="C4" s="36" t="s">
        <v>31</v>
      </c>
      <c r="D4" s="36" t="s">
        <v>32</v>
      </c>
      <c r="E4" s="36" t="s">
        <v>32</v>
      </c>
      <c r="F4" s="36" t="s">
        <v>33</v>
      </c>
      <c r="G4" s="36" t="s">
        <v>33</v>
      </c>
      <c r="H4" s="36" t="s">
        <v>34</v>
      </c>
      <c r="I4" s="36" t="s">
        <v>34</v>
      </c>
      <c r="J4" s="36" t="s">
        <v>35</v>
      </c>
      <c r="K4" s="36" t="s">
        <v>34</v>
      </c>
      <c r="L4" s="36" t="s">
        <v>36</v>
      </c>
      <c r="M4" s="36" t="s">
        <v>36</v>
      </c>
      <c r="N4" s="36" t="s">
        <v>37</v>
      </c>
    </row>
    <row r="5" spans="1:14" ht="15" x14ac:dyDescent="0.2">
      <c r="A5" s="33" t="s">
        <v>38</v>
      </c>
      <c r="B5" s="34" t="s">
        <v>39</v>
      </c>
      <c r="C5" s="34" t="s">
        <v>40</v>
      </c>
      <c r="D5" s="34" t="s">
        <v>41</v>
      </c>
      <c r="E5" s="34" t="s">
        <v>42</v>
      </c>
      <c r="F5" s="34" t="s">
        <v>41</v>
      </c>
      <c r="G5" s="34" t="s">
        <v>41</v>
      </c>
      <c r="H5" s="34" t="s">
        <v>40</v>
      </c>
      <c r="I5" s="34" t="s">
        <v>40</v>
      </c>
      <c r="J5" s="34" t="s">
        <v>41</v>
      </c>
      <c r="K5" s="34" t="s">
        <v>40</v>
      </c>
      <c r="L5" s="34" t="s">
        <v>43</v>
      </c>
      <c r="M5" s="34" t="s">
        <v>43</v>
      </c>
      <c r="N5" s="34" t="s">
        <v>44</v>
      </c>
    </row>
    <row r="7" spans="1:14" x14ac:dyDescent="0.2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9" spans="1:14" x14ac:dyDescent="0.2">
      <c r="A9" t="s">
        <v>45</v>
      </c>
      <c r="B9" s="37">
        <f>AVERAGE('[1]Soy Complex'!BJ$517:BJ$525,'[1]Soy Complex'!BK$514:BK$516)</f>
        <v>63.644430384329844</v>
      </c>
      <c r="C9" s="37">
        <f>AVERAGE('[1]Soy Complex'!BK$517:BK$525,'[1]Soy Complex'!BL$514:BL$516)</f>
        <v>75.000005064366832</v>
      </c>
      <c r="D9" s="37">
        <f>AVERAGE('[1]Soy Complex'!BL$517:BL$525,'[1]Soy Complex'!BM$514:BM$516)</f>
        <v>60.689589881461451</v>
      </c>
      <c r="E9" s="37">
        <f>AVERAGE('[1]Soy Complex'!BM$517:BM$525,'[1]Soy Complex'!BN$514:BN$516)</f>
        <v>44.44873559027949</v>
      </c>
      <c r="F9" s="37">
        <f>AVERAGE('[1]Soy Complex'!BN$517:BN$525,'[1]Soy Complex'!BO$514:BO$516)</f>
        <v>43.258390095030762</v>
      </c>
      <c r="G9" s="37">
        <f>AVERAGE('[1]Soy Complex'!BO$517:BO$525,'[1]Soy Complex'!BP$514:BP$516)</f>
        <v>42.654060264153593</v>
      </c>
      <c r="H9" s="37">
        <f>AVERAGE('[1]Soy Complex'!BP$517:BP$525,'[1]Soy Complex'!BQ$514:BQ$516)</f>
        <v>45.478534378160646</v>
      </c>
      <c r="I9" s="37">
        <f>AVERAGE('[1]Soy Complex'!BQ$517:BQ$525,'[1]Soy Complex'!BR$514:BR$516)</f>
        <v>42.843001870886923</v>
      </c>
      <c r="J9" s="37">
        <f>AVERAGE('[1]Soy Complex'!BR$517:BR$525,'[1]Soy Complex'!BS$514:BS$516)</f>
        <v>45.947645354512453</v>
      </c>
      <c r="K9" s="37">
        <f>AVERAGE('[1]Soy Complex'!BS$517:BS$525,'[1]Soy Complex'!BT$514:BT$516)</f>
        <v>48.000388747393949</v>
      </c>
      <c r="L9" s="37">
        <f>AVERAGE('[1]Soy Complex'!BT$517:BT$525,'[1]Soy Complex'!BU$514:BU$516)</f>
        <v>42.562660655923146</v>
      </c>
      <c r="M9" s="37">
        <f>AVERAGE('[1]Soy Complex'!BU$517:BU$525,'[1]Soy Complex'!BV$514:BV$516)</f>
        <v>41.396018007460754</v>
      </c>
      <c r="N9" s="37">
        <f>AVERAGE('[1]Soy Complex'!BV$517:BV$525,'[1]Soy Complex'!BW$514:BW$516)</f>
        <v>57.30247670825667</v>
      </c>
    </row>
    <row r="11" spans="1:14" x14ac:dyDescent="0.2">
      <c r="A11" t="s">
        <v>46</v>
      </c>
    </row>
    <row r="12" spans="1:14" x14ac:dyDescent="0.2">
      <c r="A12" t="s">
        <v>17</v>
      </c>
      <c r="C12">
        <v>166.39500000000001</v>
      </c>
    </row>
    <row r="13" spans="1:14" x14ac:dyDescent="0.2">
      <c r="A13" t="s">
        <v>29</v>
      </c>
      <c r="C13">
        <v>98.534999999999997</v>
      </c>
    </row>
    <row r="14" spans="1:14" x14ac:dyDescent="0.2">
      <c r="A14" t="s">
        <v>38</v>
      </c>
    </row>
    <row r="16" spans="1:14" x14ac:dyDescent="0.2">
      <c r="A16" t="s">
        <v>47</v>
      </c>
    </row>
    <row r="17" spans="1:14" x14ac:dyDescent="0.2">
      <c r="A17" t="s">
        <v>17</v>
      </c>
    </row>
    <row r="18" spans="1:14" x14ac:dyDescent="0.2">
      <c r="A18" t="s">
        <v>48</v>
      </c>
      <c r="B18">
        <f>B35-B52</f>
        <v>0</v>
      </c>
      <c r="C18">
        <f t="shared" ref="C18:N18" si="0">C35-C52</f>
        <v>6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  <c r="N18">
        <f t="shared" si="0"/>
        <v>0</v>
      </c>
    </row>
    <row r="19" spans="1:14" x14ac:dyDescent="0.2">
      <c r="A19" t="s">
        <v>49</v>
      </c>
      <c r="B19">
        <f t="shared" ref="B19:N20" si="1">B36-B53</f>
        <v>0</v>
      </c>
      <c r="C19">
        <f t="shared" si="1"/>
        <v>-39</v>
      </c>
      <c r="D19">
        <f t="shared" si="1"/>
        <v>0</v>
      </c>
      <c r="E19">
        <f t="shared" si="1"/>
        <v>0</v>
      </c>
      <c r="F19">
        <f t="shared" si="1"/>
        <v>0</v>
      </c>
      <c r="G19">
        <f t="shared" si="1"/>
        <v>0</v>
      </c>
      <c r="H19">
        <f t="shared" si="1"/>
        <v>0</v>
      </c>
      <c r="I19">
        <f t="shared" si="1"/>
        <v>0</v>
      </c>
      <c r="J19">
        <f t="shared" si="1"/>
        <v>0</v>
      </c>
      <c r="K19">
        <f t="shared" si="1"/>
        <v>0</v>
      </c>
      <c r="L19">
        <f t="shared" si="1"/>
        <v>0</v>
      </c>
      <c r="M19">
        <f t="shared" si="1"/>
        <v>0</v>
      </c>
      <c r="N19">
        <f t="shared" si="1"/>
        <v>0</v>
      </c>
    </row>
    <row r="20" spans="1:14" x14ac:dyDescent="0.2">
      <c r="A20" t="s">
        <v>50</v>
      </c>
      <c r="B20" t="e">
        <f t="shared" si="1"/>
        <v>#DIV/0!</v>
      </c>
      <c r="C20" t="e">
        <f t="shared" si="1"/>
        <v>#DIV/0!</v>
      </c>
      <c r="D20" t="e">
        <f t="shared" si="1"/>
        <v>#DIV/0!</v>
      </c>
      <c r="E20" t="e">
        <f t="shared" si="1"/>
        <v>#DIV/0!</v>
      </c>
      <c r="F20" t="e">
        <f t="shared" si="1"/>
        <v>#DIV/0!</v>
      </c>
      <c r="G20" t="e">
        <f t="shared" si="1"/>
        <v>#DIV/0!</v>
      </c>
      <c r="H20" t="e">
        <f t="shared" si="1"/>
        <v>#DIV/0!</v>
      </c>
      <c r="I20" t="e">
        <f t="shared" si="1"/>
        <v>#DIV/0!</v>
      </c>
      <c r="J20" t="e">
        <f t="shared" si="1"/>
        <v>#DIV/0!</v>
      </c>
      <c r="K20" t="e">
        <f t="shared" si="1"/>
        <v>#DIV/0!</v>
      </c>
      <c r="L20" t="e">
        <f t="shared" si="1"/>
        <v>#DIV/0!</v>
      </c>
      <c r="M20" t="e">
        <f t="shared" si="1"/>
        <v>#DIV/0!</v>
      </c>
      <c r="N20" t="e">
        <f t="shared" si="1"/>
        <v>#DIV/0!</v>
      </c>
    </row>
    <row r="22" spans="1:14" x14ac:dyDescent="0.2">
      <c r="A22" t="s">
        <v>29</v>
      </c>
    </row>
    <row r="23" spans="1:14" x14ac:dyDescent="0.2">
      <c r="A23" t="s">
        <v>48</v>
      </c>
      <c r="B23">
        <f>B40-B57</f>
        <v>0</v>
      </c>
      <c r="C23">
        <f t="shared" ref="C23:N25" si="2">C40-C57</f>
        <v>-20</v>
      </c>
      <c r="D23">
        <f t="shared" si="2"/>
        <v>0</v>
      </c>
      <c r="E23">
        <f t="shared" si="2"/>
        <v>0</v>
      </c>
      <c r="F23">
        <f t="shared" si="2"/>
        <v>0</v>
      </c>
      <c r="G23">
        <f t="shared" si="2"/>
        <v>0</v>
      </c>
      <c r="H23">
        <f t="shared" si="2"/>
        <v>0</v>
      </c>
      <c r="I23">
        <f t="shared" si="2"/>
        <v>0</v>
      </c>
      <c r="J23">
        <f t="shared" si="2"/>
        <v>0</v>
      </c>
      <c r="K23">
        <f t="shared" si="2"/>
        <v>0</v>
      </c>
      <c r="L23">
        <f t="shared" si="2"/>
        <v>0</v>
      </c>
      <c r="M23">
        <f t="shared" si="2"/>
        <v>0</v>
      </c>
      <c r="N23">
        <f t="shared" si="2"/>
        <v>0</v>
      </c>
    </row>
    <row r="24" spans="1:14" x14ac:dyDescent="0.2">
      <c r="A24" t="s">
        <v>49</v>
      </c>
      <c r="B24">
        <f>B41-B58</f>
        <v>0</v>
      </c>
      <c r="C24">
        <f t="shared" si="2"/>
        <v>-2</v>
      </c>
      <c r="D24">
        <f t="shared" si="2"/>
        <v>0</v>
      </c>
      <c r="E24">
        <f t="shared" si="2"/>
        <v>0</v>
      </c>
      <c r="F24">
        <f t="shared" si="2"/>
        <v>0</v>
      </c>
      <c r="G24">
        <f t="shared" si="2"/>
        <v>0</v>
      </c>
      <c r="H24">
        <f t="shared" si="2"/>
        <v>0</v>
      </c>
      <c r="I24">
        <f t="shared" si="2"/>
        <v>0</v>
      </c>
      <c r="J24">
        <f t="shared" si="2"/>
        <v>0</v>
      </c>
      <c r="K24">
        <f t="shared" si="2"/>
        <v>0</v>
      </c>
      <c r="L24">
        <f t="shared" si="2"/>
        <v>0</v>
      </c>
      <c r="M24">
        <f t="shared" si="2"/>
        <v>0</v>
      </c>
      <c r="N24">
        <f t="shared" si="2"/>
        <v>0</v>
      </c>
    </row>
    <row r="25" spans="1:14" x14ac:dyDescent="0.2">
      <c r="A25" t="s">
        <v>50</v>
      </c>
      <c r="B25" t="e">
        <f>B42-B59</f>
        <v>#DIV/0!</v>
      </c>
      <c r="C25" t="e">
        <f t="shared" si="2"/>
        <v>#DIV/0!</v>
      </c>
      <c r="D25" t="e">
        <f t="shared" si="2"/>
        <v>#DIV/0!</v>
      </c>
      <c r="E25" t="e">
        <f t="shared" si="2"/>
        <v>#DIV/0!</v>
      </c>
      <c r="F25" t="e">
        <f t="shared" si="2"/>
        <v>#DIV/0!</v>
      </c>
      <c r="G25" t="e">
        <f t="shared" si="2"/>
        <v>#DIV/0!</v>
      </c>
      <c r="H25" t="e">
        <f t="shared" si="2"/>
        <v>#DIV/0!</v>
      </c>
      <c r="I25" t="e">
        <f t="shared" si="2"/>
        <v>#DIV/0!</v>
      </c>
      <c r="J25" t="e">
        <f t="shared" si="2"/>
        <v>#DIV/0!</v>
      </c>
      <c r="K25" t="e">
        <f t="shared" si="2"/>
        <v>#DIV/0!</v>
      </c>
      <c r="L25" t="e">
        <f t="shared" si="2"/>
        <v>#DIV/0!</v>
      </c>
      <c r="M25" t="e">
        <f t="shared" si="2"/>
        <v>#DIV/0!</v>
      </c>
      <c r="N25" t="e">
        <f t="shared" si="2"/>
        <v>#DIV/0!</v>
      </c>
    </row>
    <row r="27" spans="1:14" x14ac:dyDescent="0.2">
      <c r="A27" t="s">
        <v>38</v>
      </c>
    </row>
    <row r="28" spans="1:14" x14ac:dyDescent="0.2">
      <c r="A28" t="s">
        <v>48</v>
      </c>
      <c r="B28">
        <f>B45-B62</f>
        <v>0</v>
      </c>
      <c r="C28">
        <f t="shared" ref="C28:N30" si="3">C45-C62</f>
        <v>0</v>
      </c>
      <c r="D28">
        <f t="shared" si="3"/>
        <v>0</v>
      </c>
      <c r="E28">
        <f t="shared" si="3"/>
        <v>0</v>
      </c>
      <c r="F28">
        <f t="shared" si="3"/>
        <v>0</v>
      </c>
      <c r="G28">
        <f t="shared" si="3"/>
        <v>0</v>
      </c>
      <c r="H28">
        <f t="shared" si="3"/>
        <v>0</v>
      </c>
      <c r="I28">
        <f t="shared" si="3"/>
        <v>0</v>
      </c>
      <c r="J28">
        <f t="shared" si="3"/>
        <v>0</v>
      </c>
      <c r="K28">
        <f t="shared" si="3"/>
        <v>0</v>
      </c>
      <c r="L28">
        <f t="shared" si="3"/>
        <v>0</v>
      </c>
      <c r="M28">
        <f t="shared" si="3"/>
        <v>0</v>
      </c>
      <c r="N28">
        <f t="shared" si="3"/>
        <v>0</v>
      </c>
    </row>
    <row r="29" spans="1:14" x14ac:dyDescent="0.2">
      <c r="A29" t="s">
        <v>49</v>
      </c>
      <c r="B29">
        <f>B46-B63</f>
        <v>0</v>
      </c>
      <c r="C29">
        <f t="shared" si="3"/>
        <v>0</v>
      </c>
      <c r="D29">
        <f t="shared" si="3"/>
        <v>0</v>
      </c>
      <c r="E29">
        <f t="shared" si="3"/>
        <v>0</v>
      </c>
      <c r="F29">
        <f t="shared" si="3"/>
        <v>0</v>
      </c>
      <c r="G29">
        <f t="shared" si="3"/>
        <v>0</v>
      </c>
      <c r="H29">
        <f t="shared" si="3"/>
        <v>0</v>
      </c>
      <c r="I29">
        <f t="shared" si="3"/>
        <v>0</v>
      </c>
      <c r="J29">
        <f t="shared" si="3"/>
        <v>0</v>
      </c>
      <c r="K29">
        <f t="shared" si="3"/>
        <v>0</v>
      </c>
      <c r="L29">
        <f t="shared" si="3"/>
        <v>0</v>
      </c>
      <c r="M29">
        <f t="shared" si="3"/>
        <v>0</v>
      </c>
      <c r="N29">
        <f t="shared" si="3"/>
        <v>0</v>
      </c>
    </row>
    <row r="30" spans="1:14" x14ac:dyDescent="0.2">
      <c r="A30" t="s">
        <v>50</v>
      </c>
      <c r="B30" t="e">
        <f>B47-B64</f>
        <v>#DIV/0!</v>
      </c>
      <c r="C30" t="e">
        <f t="shared" si="3"/>
        <v>#DIV/0!</v>
      </c>
      <c r="D30" t="e">
        <f t="shared" si="3"/>
        <v>#DIV/0!</v>
      </c>
      <c r="E30" t="e">
        <f t="shared" si="3"/>
        <v>#DIV/0!</v>
      </c>
      <c r="F30" t="e">
        <f t="shared" si="3"/>
        <v>#DIV/0!</v>
      </c>
      <c r="G30" t="e">
        <f t="shared" si="3"/>
        <v>#DIV/0!</v>
      </c>
      <c r="H30" t="e">
        <f t="shared" si="3"/>
        <v>#DIV/0!</v>
      </c>
      <c r="I30" t="e">
        <f t="shared" si="3"/>
        <v>#DIV/0!</v>
      </c>
      <c r="J30" t="e">
        <f t="shared" si="3"/>
        <v>#DIV/0!</v>
      </c>
      <c r="K30" t="e">
        <f t="shared" si="3"/>
        <v>#DIV/0!</v>
      </c>
      <c r="L30" t="e">
        <f t="shared" si="3"/>
        <v>#DIV/0!</v>
      </c>
      <c r="M30" t="e">
        <f t="shared" si="3"/>
        <v>#DIV/0!</v>
      </c>
      <c r="N30" t="e">
        <f t="shared" si="3"/>
        <v>#DIV/0!</v>
      </c>
    </row>
    <row r="33" spans="1:14" x14ac:dyDescent="0.2">
      <c r="A33" t="s">
        <v>51</v>
      </c>
    </row>
    <row r="34" spans="1:14" x14ac:dyDescent="0.2">
      <c r="A34" t="s">
        <v>17</v>
      </c>
    </row>
    <row r="35" spans="1:14" x14ac:dyDescent="0.2">
      <c r="A35" t="s">
        <v>48</v>
      </c>
      <c r="B35" t="str">
        <f>RIGHT(B3,3)</f>
        <v>204</v>
      </c>
      <c r="C35" t="str">
        <f t="shared" ref="C35:N35" si="4">RIGHT(C3,3)</f>
        <v>196</v>
      </c>
      <c r="D35" t="str">
        <f t="shared" si="4"/>
        <v>205</v>
      </c>
      <c r="E35" t="str">
        <f t="shared" si="4"/>
        <v>200</v>
      </c>
      <c r="F35" t="str">
        <f t="shared" si="4"/>
        <v>210</v>
      </c>
      <c r="G35" t="str">
        <f t="shared" si="4"/>
        <v>200</v>
      </c>
      <c r="H35" t="str">
        <f t="shared" si="4"/>
        <v>190</v>
      </c>
      <c r="I35" t="str">
        <f t="shared" si="4"/>
        <v>190</v>
      </c>
      <c r="J35" t="str">
        <f t="shared" si="4"/>
        <v>185</v>
      </c>
      <c r="K35" t="str">
        <f t="shared" si="4"/>
        <v>205</v>
      </c>
      <c r="L35" t="str">
        <f t="shared" si="4"/>
        <v>225</v>
      </c>
      <c r="M35" t="str">
        <f t="shared" si="4"/>
        <v>215</v>
      </c>
      <c r="N35" t="str">
        <f t="shared" si="4"/>
        <v>104</v>
      </c>
    </row>
    <row r="36" spans="1:14" x14ac:dyDescent="0.2">
      <c r="A36" t="s">
        <v>49</v>
      </c>
      <c r="B36" t="str">
        <f>LEFT(B3,2)</f>
        <v>91</v>
      </c>
      <c r="C36" t="str">
        <f t="shared" ref="C36:M36" si="5">LEFT(C3,3)</f>
        <v>106</v>
      </c>
      <c r="D36" t="str">
        <f t="shared" si="5"/>
        <v>135</v>
      </c>
      <c r="E36" t="str">
        <f t="shared" si="5"/>
        <v>140</v>
      </c>
      <c r="F36" t="str">
        <f t="shared" si="5"/>
        <v>150</v>
      </c>
      <c r="G36" t="str">
        <f t="shared" si="5"/>
        <v>140</v>
      </c>
      <c r="H36" t="str">
        <f t="shared" si="5"/>
        <v>130</v>
      </c>
      <c r="I36" t="str">
        <f t="shared" si="5"/>
        <v>130</v>
      </c>
      <c r="J36" t="str">
        <f t="shared" si="5"/>
        <v>120</v>
      </c>
      <c r="K36" t="str">
        <f t="shared" si="5"/>
        <v>140</v>
      </c>
      <c r="L36" t="str">
        <f t="shared" si="5"/>
        <v>165</v>
      </c>
      <c r="M36" t="str">
        <f t="shared" si="5"/>
        <v>155</v>
      </c>
      <c r="N36" t="str">
        <f>LEFT(N3,2)</f>
        <v>36</v>
      </c>
    </row>
    <row r="37" spans="1:14" x14ac:dyDescent="0.2">
      <c r="A37" t="s">
        <v>50</v>
      </c>
      <c r="B37" t="e">
        <f>AVERAGE(B35:B36)</f>
        <v>#DIV/0!</v>
      </c>
      <c r="C37" t="e">
        <f t="shared" ref="C37:N37" si="6">AVERAGE(C35:C36)</f>
        <v>#DIV/0!</v>
      </c>
      <c r="D37" t="e">
        <f t="shared" si="6"/>
        <v>#DIV/0!</v>
      </c>
      <c r="E37" t="e">
        <f t="shared" si="6"/>
        <v>#DIV/0!</v>
      </c>
      <c r="F37" t="e">
        <f t="shared" si="6"/>
        <v>#DIV/0!</v>
      </c>
      <c r="G37" t="e">
        <f t="shared" si="6"/>
        <v>#DIV/0!</v>
      </c>
      <c r="H37" t="e">
        <f t="shared" si="6"/>
        <v>#DIV/0!</v>
      </c>
      <c r="I37" t="e">
        <f t="shared" si="6"/>
        <v>#DIV/0!</v>
      </c>
      <c r="J37" t="e">
        <f t="shared" si="6"/>
        <v>#DIV/0!</v>
      </c>
      <c r="K37" t="e">
        <f t="shared" si="6"/>
        <v>#DIV/0!</v>
      </c>
      <c r="L37" t="e">
        <f t="shared" si="6"/>
        <v>#DIV/0!</v>
      </c>
      <c r="M37" t="e">
        <f t="shared" si="6"/>
        <v>#DIV/0!</v>
      </c>
      <c r="N37" t="e">
        <f t="shared" si="6"/>
        <v>#DIV/0!</v>
      </c>
    </row>
    <row r="39" spans="1:14" x14ac:dyDescent="0.2">
      <c r="A39" t="s">
        <v>29</v>
      </c>
    </row>
    <row r="40" spans="1:14" x14ac:dyDescent="0.2">
      <c r="A40" t="s">
        <v>48</v>
      </c>
      <c r="B40" t="str">
        <f>RIGHT(B4,3)</f>
        <v>202</v>
      </c>
      <c r="C40" t="str">
        <f t="shared" ref="C40:N40" si="7">RIGHT(C4,3)</f>
        <v>155</v>
      </c>
      <c r="D40" t="str">
        <f t="shared" si="7"/>
        <v>100</v>
      </c>
      <c r="E40" t="str">
        <f t="shared" si="7"/>
        <v>100</v>
      </c>
      <c r="F40" t="str">
        <f t="shared" si="7"/>
        <v>125</v>
      </c>
      <c r="G40" t="str">
        <f t="shared" si="7"/>
        <v>125</v>
      </c>
      <c r="H40" t="str">
        <f t="shared" si="7"/>
        <v>150</v>
      </c>
      <c r="I40" t="str">
        <f t="shared" si="7"/>
        <v>150</v>
      </c>
      <c r="J40" t="str">
        <f t="shared" si="7"/>
        <v>140</v>
      </c>
      <c r="K40" t="str">
        <f t="shared" si="7"/>
        <v>150</v>
      </c>
      <c r="L40" t="str">
        <f t="shared" si="7"/>
        <v>160</v>
      </c>
      <c r="M40" t="str">
        <f t="shared" si="7"/>
        <v>160</v>
      </c>
      <c r="N40" t="str">
        <f t="shared" si="7"/>
        <v>217</v>
      </c>
    </row>
    <row r="41" spans="1:14" x14ac:dyDescent="0.2">
      <c r="A41" t="s">
        <v>49</v>
      </c>
      <c r="B41" t="str">
        <f>LEFT(B4,3)</f>
        <v>144</v>
      </c>
      <c r="C41" t="str">
        <f>LEFT(C4,2)</f>
        <v>58</v>
      </c>
      <c r="D41" t="str">
        <f>LEFT(D4,2)</f>
        <v>50</v>
      </c>
      <c r="E41" t="str">
        <f>LEFT(E4,2)</f>
        <v>50</v>
      </c>
      <c r="F41" t="str">
        <f>LEFT(F4,2)</f>
        <v>75</v>
      </c>
      <c r="G41" t="str">
        <f>LEFT(G4,2)</f>
        <v>75</v>
      </c>
      <c r="H41" t="str">
        <f t="shared" ref="H41:N41" si="8">LEFT(H4,3)</f>
        <v>100</v>
      </c>
      <c r="I41" t="str">
        <f t="shared" si="8"/>
        <v>100</v>
      </c>
      <c r="J41" t="str">
        <f t="shared" si="8"/>
        <v xml:space="preserve">95 </v>
      </c>
      <c r="K41" t="str">
        <f t="shared" si="8"/>
        <v>100</v>
      </c>
      <c r="L41" t="str">
        <f t="shared" si="8"/>
        <v>110</v>
      </c>
      <c r="M41" t="str">
        <f t="shared" si="8"/>
        <v>110</v>
      </c>
      <c r="N41" t="str">
        <f t="shared" si="8"/>
        <v>171</v>
      </c>
    </row>
    <row r="42" spans="1:14" x14ac:dyDescent="0.2">
      <c r="A42" t="s">
        <v>50</v>
      </c>
      <c r="B42" t="e">
        <f t="shared" ref="B42:N42" si="9">AVERAGE(B40:B41)</f>
        <v>#DIV/0!</v>
      </c>
      <c r="C42" t="e">
        <f t="shared" si="9"/>
        <v>#DIV/0!</v>
      </c>
      <c r="D42" t="e">
        <f t="shared" si="9"/>
        <v>#DIV/0!</v>
      </c>
      <c r="E42" t="e">
        <f t="shared" si="9"/>
        <v>#DIV/0!</v>
      </c>
      <c r="F42" t="e">
        <f t="shared" si="9"/>
        <v>#DIV/0!</v>
      </c>
      <c r="G42" t="e">
        <f t="shared" si="9"/>
        <v>#DIV/0!</v>
      </c>
      <c r="H42" t="e">
        <f t="shared" si="9"/>
        <v>#DIV/0!</v>
      </c>
      <c r="I42" t="e">
        <f t="shared" si="9"/>
        <v>#DIV/0!</v>
      </c>
      <c r="J42" t="e">
        <f t="shared" si="9"/>
        <v>#DIV/0!</v>
      </c>
      <c r="K42" t="e">
        <f t="shared" si="9"/>
        <v>#DIV/0!</v>
      </c>
      <c r="L42" t="e">
        <f t="shared" si="9"/>
        <v>#DIV/0!</v>
      </c>
      <c r="M42" t="e">
        <f t="shared" si="9"/>
        <v>#DIV/0!</v>
      </c>
      <c r="N42" t="e">
        <f t="shared" si="9"/>
        <v>#DIV/0!</v>
      </c>
    </row>
    <row r="44" spans="1:14" x14ac:dyDescent="0.2">
      <c r="A44" t="s">
        <v>38</v>
      </c>
    </row>
    <row r="45" spans="1:14" x14ac:dyDescent="0.2">
      <c r="A45" t="s">
        <v>48</v>
      </c>
      <c r="B45" t="str">
        <f>RIGHT(B5,3)</f>
        <v>127</v>
      </c>
      <c r="C45" t="str">
        <f t="shared" ref="C45:N45" si="10">RIGHT(C5,3)</f>
        <v>140</v>
      </c>
      <c r="D45" t="str">
        <f t="shared" si="10"/>
        <v>130</v>
      </c>
      <c r="E45" t="str">
        <f t="shared" si="10"/>
        <v>120</v>
      </c>
      <c r="F45" t="str">
        <f t="shared" si="10"/>
        <v>130</v>
      </c>
      <c r="G45" t="str">
        <f t="shared" si="10"/>
        <v>130</v>
      </c>
      <c r="H45" t="str">
        <f t="shared" si="10"/>
        <v>140</v>
      </c>
      <c r="I45" t="str">
        <f t="shared" si="10"/>
        <v>140</v>
      </c>
      <c r="J45" t="str">
        <f t="shared" si="10"/>
        <v>130</v>
      </c>
      <c r="K45" t="str">
        <f t="shared" si="10"/>
        <v>140</v>
      </c>
      <c r="L45" t="str">
        <f t="shared" si="10"/>
        <v>150</v>
      </c>
      <c r="M45" t="str">
        <f t="shared" si="10"/>
        <v>150</v>
      </c>
      <c r="N45" t="str">
        <f t="shared" si="10"/>
        <v>159</v>
      </c>
    </row>
    <row r="46" spans="1:14" x14ac:dyDescent="0.2">
      <c r="A46" t="s">
        <v>49</v>
      </c>
      <c r="B46" t="str">
        <f>LEFT(B5,3)</f>
        <v>125</v>
      </c>
      <c r="C46" t="str">
        <f t="shared" ref="C46:N46" si="11">LEFT(C5,3)</f>
        <v>120</v>
      </c>
      <c r="D46" t="str">
        <f t="shared" si="11"/>
        <v>110</v>
      </c>
      <c r="E46" t="str">
        <f t="shared" si="11"/>
        <v>100</v>
      </c>
      <c r="F46" t="str">
        <f t="shared" si="11"/>
        <v>110</v>
      </c>
      <c r="G46" t="str">
        <f t="shared" si="11"/>
        <v>110</v>
      </c>
      <c r="H46" t="str">
        <f t="shared" si="11"/>
        <v>120</v>
      </c>
      <c r="I46" t="str">
        <f t="shared" si="11"/>
        <v>120</v>
      </c>
      <c r="J46" t="str">
        <f t="shared" si="11"/>
        <v>110</v>
      </c>
      <c r="K46" t="str">
        <f t="shared" si="11"/>
        <v>120</v>
      </c>
      <c r="L46" t="str">
        <f t="shared" si="11"/>
        <v>130</v>
      </c>
      <c r="M46" t="str">
        <f t="shared" si="11"/>
        <v>130</v>
      </c>
      <c r="N46" t="str">
        <f t="shared" si="11"/>
        <v>111</v>
      </c>
    </row>
    <row r="47" spans="1:14" x14ac:dyDescent="0.2">
      <c r="A47" t="s">
        <v>50</v>
      </c>
      <c r="B47" t="e">
        <f t="shared" ref="B47:N47" si="12">AVERAGE(B45:B46)</f>
        <v>#DIV/0!</v>
      </c>
      <c r="C47" t="e">
        <f t="shared" si="12"/>
        <v>#DIV/0!</v>
      </c>
      <c r="D47" t="e">
        <f t="shared" si="12"/>
        <v>#DIV/0!</v>
      </c>
      <c r="E47" t="e">
        <f t="shared" si="12"/>
        <v>#DIV/0!</v>
      </c>
      <c r="F47" t="e">
        <f t="shared" si="12"/>
        <v>#DIV/0!</v>
      </c>
      <c r="G47" t="e">
        <f t="shared" si="12"/>
        <v>#DIV/0!</v>
      </c>
      <c r="H47" t="e">
        <f t="shared" si="12"/>
        <v>#DIV/0!</v>
      </c>
      <c r="I47" t="e">
        <f t="shared" si="12"/>
        <v>#DIV/0!</v>
      </c>
      <c r="J47" t="e">
        <f t="shared" si="12"/>
        <v>#DIV/0!</v>
      </c>
      <c r="K47" t="e">
        <f t="shared" si="12"/>
        <v>#DIV/0!</v>
      </c>
      <c r="L47" t="e">
        <f t="shared" si="12"/>
        <v>#DIV/0!</v>
      </c>
      <c r="M47" t="e">
        <f t="shared" si="12"/>
        <v>#DIV/0!</v>
      </c>
      <c r="N47" t="e">
        <f t="shared" si="12"/>
        <v>#DIV/0!</v>
      </c>
    </row>
    <row r="50" spans="1:14" x14ac:dyDescent="0.2">
      <c r="A50" t="s">
        <v>52</v>
      </c>
    </row>
    <row r="51" spans="1:14" x14ac:dyDescent="0.2">
      <c r="A51" t="s">
        <v>17</v>
      </c>
    </row>
    <row r="52" spans="1:14" x14ac:dyDescent="0.2">
      <c r="A52" t="s">
        <v>48</v>
      </c>
      <c r="B52">
        <v>204</v>
      </c>
      <c r="C52">
        <v>190</v>
      </c>
      <c r="D52">
        <v>205</v>
      </c>
      <c r="E52">
        <v>200</v>
      </c>
      <c r="F52">
        <v>210</v>
      </c>
      <c r="G52">
        <v>200</v>
      </c>
      <c r="H52">
        <v>190</v>
      </c>
      <c r="I52">
        <v>190</v>
      </c>
      <c r="J52">
        <v>185</v>
      </c>
      <c r="K52">
        <v>205</v>
      </c>
      <c r="L52">
        <v>225</v>
      </c>
      <c r="M52">
        <v>215</v>
      </c>
      <c r="N52">
        <v>104</v>
      </c>
    </row>
    <row r="53" spans="1:14" x14ac:dyDescent="0.2">
      <c r="A53" t="s">
        <v>49</v>
      </c>
      <c r="B53">
        <v>91</v>
      </c>
      <c r="C53">
        <v>145</v>
      </c>
      <c r="D53">
        <v>135</v>
      </c>
      <c r="E53">
        <v>140</v>
      </c>
      <c r="F53">
        <v>150</v>
      </c>
      <c r="G53">
        <v>140</v>
      </c>
      <c r="H53">
        <v>130</v>
      </c>
      <c r="I53">
        <v>130</v>
      </c>
      <c r="J53">
        <v>120</v>
      </c>
      <c r="K53">
        <v>140</v>
      </c>
      <c r="L53">
        <v>165</v>
      </c>
      <c r="M53">
        <v>155</v>
      </c>
      <c r="N53">
        <v>36</v>
      </c>
    </row>
    <row r="54" spans="1:14" x14ac:dyDescent="0.2">
      <c r="A54" t="s">
        <v>50</v>
      </c>
      <c r="B54">
        <f>AVERAGE(B52:B53)</f>
        <v>147.5</v>
      </c>
      <c r="C54">
        <f>AVERAGE(C52:C53)</f>
        <v>167.5</v>
      </c>
      <c r="D54">
        <f t="shared" ref="D54:N54" si="13">AVERAGE(D52:D53)</f>
        <v>170</v>
      </c>
      <c r="E54">
        <f t="shared" si="13"/>
        <v>170</v>
      </c>
      <c r="F54">
        <f t="shared" si="13"/>
        <v>180</v>
      </c>
      <c r="G54">
        <f t="shared" si="13"/>
        <v>170</v>
      </c>
      <c r="H54">
        <f t="shared" si="13"/>
        <v>160</v>
      </c>
      <c r="I54">
        <f t="shared" si="13"/>
        <v>160</v>
      </c>
      <c r="J54">
        <f t="shared" si="13"/>
        <v>152.5</v>
      </c>
      <c r="K54">
        <f t="shared" si="13"/>
        <v>172.5</v>
      </c>
      <c r="L54">
        <f t="shared" si="13"/>
        <v>195</v>
      </c>
      <c r="M54">
        <f t="shared" si="13"/>
        <v>185</v>
      </c>
      <c r="N54">
        <f t="shared" si="13"/>
        <v>70</v>
      </c>
    </row>
    <row r="56" spans="1:14" x14ac:dyDescent="0.2">
      <c r="A56" t="s">
        <v>29</v>
      </c>
    </row>
    <row r="57" spans="1:14" x14ac:dyDescent="0.2">
      <c r="A57" t="s">
        <v>48</v>
      </c>
      <c r="B57">
        <v>202</v>
      </c>
      <c r="C57">
        <v>175</v>
      </c>
      <c r="D57">
        <v>100</v>
      </c>
      <c r="E57">
        <v>100</v>
      </c>
      <c r="F57">
        <v>125</v>
      </c>
      <c r="G57">
        <v>125</v>
      </c>
      <c r="H57">
        <v>150</v>
      </c>
      <c r="I57">
        <v>150</v>
      </c>
      <c r="J57">
        <v>140</v>
      </c>
      <c r="K57">
        <v>150</v>
      </c>
      <c r="L57">
        <v>160</v>
      </c>
      <c r="M57">
        <v>160</v>
      </c>
      <c r="N57">
        <v>217</v>
      </c>
    </row>
    <row r="58" spans="1:14" x14ac:dyDescent="0.2">
      <c r="A58" t="s">
        <v>49</v>
      </c>
      <c r="B58">
        <v>144</v>
      </c>
      <c r="C58">
        <v>60</v>
      </c>
      <c r="D58">
        <v>50</v>
      </c>
      <c r="E58">
        <v>50</v>
      </c>
      <c r="F58">
        <v>75</v>
      </c>
      <c r="G58">
        <v>75</v>
      </c>
      <c r="H58">
        <v>100</v>
      </c>
      <c r="I58">
        <v>100</v>
      </c>
      <c r="J58">
        <v>95</v>
      </c>
      <c r="K58">
        <v>100</v>
      </c>
      <c r="L58">
        <v>110</v>
      </c>
      <c r="M58">
        <v>110</v>
      </c>
      <c r="N58">
        <v>171</v>
      </c>
    </row>
    <row r="59" spans="1:14" x14ac:dyDescent="0.2">
      <c r="A59" t="s">
        <v>50</v>
      </c>
      <c r="B59">
        <f>AVERAGE(B57:B58)</f>
        <v>173</v>
      </c>
      <c r="C59">
        <f t="shared" ref="C59:N59" si="14">AVERAGE(C57:C58)</f>
        <v>117.5</v>
      </c>
      <c r="D59">
        <f t="shared" si="14"/>
        <v>75</v>
      </c>
      <c r="E59">
        <f t="shared" si="14"/>
        <v>75</v>
      </c>
      <c r="F59">
        <f t="shared" si="14"/>
        <v>100</v>
      </c>
      <c r="G59">
        <f t="shared" si="14"/>
        <v>100</v>
      </c>
      <c r="H59">
        <f t="shared" si="14"/>
        <v>125</v>
      </c>
      <c r="I59">
        <f t="shared" si="14"/>
        <v>125</v>
      </c>
      <c r="J59">
        <f t="shared" si="14"/>
        <v>117.5</v>
      </c>
      <c r="K59">
        <f t="shared" si="14"/>
        <v>125</v>
      </c>
      <c r="L59">
        <f t="shared" si="14"/>
        <v>135</v>
      </c>
      <c r="M59">
        <f t="shared" si="14"/>
        <v>135</v>
      </c>
      <c r="N59">
        <f t="shared" si="14"/>
        <v>194</v>
      </c>
    </row>
    <row r="61" spans="1:14" x14ac:dyDescent="0.2">
      <c r="A61" t="s">
        <v>38</v>
      </c>
    </row>
    <row r="62" spans="1:14" x14ac:dyDescent="0.2">
      <c r="A62" t="s">
        <v>48</v>
      </c>
      <c r="B62">
        <v>127</v>
      </c>
      <c r="C62">
        <v>140</v>
      </c>
      <c r="D62">
        <v>130</v>
      </c>
      <c r="E62">
        <v>120</v>
      </c>
      <c r="F62">
        <v>130</v>
      </c>
      <c r="G62">
        <v>130</v>
      </c>
      <c r="H62">
        <v>140</v>
      </c>
      <c r="I62">
        <v>140</v>
      </c>
      <c r="J62">
        <v>130</v>
      </c>
      <c r="K62">
        <v>140</v>
      </c>
      <c r="L62">
        <v>150</v>
      </c>
      <c r="M62">
        <v>150</v>
      </c>
      <c r="N62">
        <v>159</v>
      </c>
    </row>
    <row r="63" spans="1:14" x14ac:dyDescent="0.2">
      <c r="A63" t="s">
        <v>49</v>
      </c>
      <c r="B63">
        <v>125</v>
      </c>
      <c r="C63">
        <v>120</v>
      </c>
      <c r="D63">
        <v>110</v>
      </c>
      <c r="E63">
        <v>100</v>
      </c>
      <c r="F63">
        <v>110</v>
      </c>
      <c r="G63">
        <v>110</v>
      </c>
      <c r="H63">
        <v>120</v>
      </c>
      <c r="I63">
        <v>120</v>
      </c>
      <c r="J63">
        <v>110</v>
      </c>
      <c r="K63">
        <v>120</v>
      </c>
      <c r="L63">
        <v>130</v>
      </c>
      <c r="M63">
        <v>130</v>
      </c>
      <c r="N63">
        <v>111</v>
      </c>
    </row>
    <row r="64" spans="1:14" x14ac:dyDescent="0.2">
      <c r="A64" t="s">
        <v>50</v>
      </c>
      <c r="B64">
        <f>AVERAGE(B62:B63)</f>
        <v>126</v>
      </c>
      <c r="C64">
        <f t="shared" ref="C64:N64" si="15">AVERAGE(C62:C63)</f>
        <v>130</v>
      </c>
      <c r="D64">
        <f t="shared" si="15"/>
        <v>120</v>
      </c>
      <c r="E64">
        <f t="shared" si="15"/>
        <v>110</v>
      </c>
      <c r="F64">
        <f t="shared" si="15"/>
        <v>120</v>
      </c>
      <c r="G64">
        <f t="shared" si="15"/>
        <v>120</v>
      </c>
      <c r="H64">
        <f t="shared" si="15"/>
        <v>130</v>
      </c>
      <c r="I64">
        <f t="shared" si="15"/>
        <v>130</v>
      </c>
      <c r="J64">
        <f t="shared" si="15"/>
        <v>120</v>
      </c>
      <c r="K64">
        <f t="shared" si="15"/>
        <v>130</v>
      </c>
      <c r="L64">
        <f t="shared" si="15"/>
        <v>140</v>
      </c>
      <c r="M64">
        <f t="shared" si="15"/>
        <v>140</v>
      </c>
      <c r="N64">
        <f t="shared" si="15"/>
        <v>135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0AC3-002D-452E-B225-7F65B1C1A01F}">
  <dimension ref="A1:O21"/>
  <sheetViews>
    <sheetView workbookViewId="0">
      <selection activeCell="M14" sqref="M14"/>
    </sheetView>
  </sheetViews>
  <sheetFormatPr defaultRowHeight="12.75" x14ac:dyDescent="0.2"/>
  <cols>
    <col min="1" max="1" width="22.33203125" customWidth="1"/>
    <col min="2" max="13" width="11.6640625" customWidth="1"/>
  </cols>
  <sheetData>
    <row r="1" spans="1:13" x14ac:dyDescent="0.2"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</row>
    <row r="2" spans="1:13" x14ac:dyDescent="0.2">
      <c r="A2" t="s">
        <v>53</v>
      </c>
      <c r="B2" s="37">
        <f>SBO!AD16</f>
        <v>64.747619047619054</v>
      </c>
      <c r="C2" s="37">
        <f>SBO!AE16</f>
        <v>74.398095238095237</v>
      </c>
      <c r="D2" s="38">
        <f>SBO!AF16</f>
        <v>61.454260651629063</v>
      </c>
      <c r="E2" s="38">
        <f>SBO!AG16</f>
        <v>43.996793478260862</v>
      </c>
      <c r="F2" s="38">
        <f>SBO!AH16</f>
        <v>44.970737547104278</v>
      </c>
      <c r="G2" s="38">
        <f>SBO!AI16</f>
        <v>43.813234662768409</v>
      </c>
      <c r="H2" s="38">
        <f>SBO!AJ16</f>
        <v>43.0445449291107</v>
      </c>
      <c r="I2" s="38">
        <f>SBO!AK16</f>
        <v>42.062951095328749</v>
      </c>
      <c r="J2" s="38">
        <f>SBO!AL16</f>
        <v>42.521453376957126</v>
      </c>
      <c r="K2" s="38">
        <f>SBO!AM16</f>
        <v>47.095237972562259</v>
      </c>
      <c r="L2" s="38">
        <f>SBO!AN16</f>
        <v>40.523295290362491</v>
      </c>
      <c r="M2" s="38">
        <f>SBO!AO16</f>
        <v>41.030342217613772</v>
      </c>
    </row>
    <row r="3" spans="1:13" x14ac:dyDescent="0.2">
      <c r="A3" t="s">
        <v>54</v>
      </c>
      <c r="B3" s="37">
        <f>'Canola Oil'!AD16</f>
        <v>87.649050000000003</v>
      </c>
      <c r="C3" s="37">
        <f>'Canola Oil'!AE16</f>
        <v>96.874200000000002</v>
      </c>
      <c r="D3" s="38">
        <f>'Canola Oil'!AF16</f>
        <v>73.63024999999999</v>
      </c>
      <c r="E3" s="38">
        <f>'Canola Oil'!AG16</f>
        <v>55.095935045198175</v>
      </c>
      <c r="F3" s="38">
        <f>'Canola Oil'!AH16</f>
        <v>56.172473652894126</v>
      </c>
      <c r="G3" s="38">
        <f>'Canola Oil'!AI16</f>
        <v>54.814049311031937</v>
      </c>
      <c r="H3" s="38">
        <f>'Canola Oil'!AJ16</f>
        <v>52.97174148693766</v>
      </c>
      <c r="I3" s="38">
        <f>'Canola Oil'!AK16</f>
        <v>51.93484476924553</v>
      </c>
      <c r="J3" s="38">
        <f>'Canola Oil'!AL16</f>
        <v>52.83893487690429</v>
      </c>
      <c r="K3" s="38">
        <f>'Canola Oil'!AM16</f>
        <v>57.412719472509423</v>
      </c>
      <c r="L3" s="38">
        <f>'Canola Oil'!AN16</f>
        <v>50.305223631278295</v>
      </c>
      <c r="M3" s="38">
        <f>'Canola Oil'!AO16</f>
        <v>50.902919094967459</v>
      </c>
    </row>
    <row r="4" spans="1:13" x14ac:dyDescent="0.2"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1:13" x14ac:dyDescent="0.2"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x14ac:dyDescent="0.2">
      <c r="A6" t="s">
        <v>55</v>
      </c>
      <c r="B6" s="37">
        <f>B3-B2</f>
        <v>22.901430952380949</v>
      </c>
      <c r="C6" s="37">
        <f t="shared" ref="C6:M6" si="0">C3-C2</f>
        <v>22.476104761904764</v>
      </c>
      <c r="D6" s="38">
        <f t="shared" si="0"/>
        <v>12.175989348370926</v>
      </c>
      <c r="E6" s="38">
        <f t="shared" si="0"/>
        <v>11.099141566937313</v>
      </c>
      <c r="F6" s="38">
        <f t="shared" si="0"/>
        <v>11.201736105789848</v>
      </c>
      <c r="G6" s="38">
        <f t="shared" si="0"/>
        <v>11.000814648263528</v>
      </c>
      <c r="H6" s="38">
        <f t="shared" si="0"/>
        <v>9.9271965578269601</v>
      </c>
      <c r="I6" s="38">
        <f t="shared" si="0"/>
        <v>9.8718936739167802</v>
      </c>
      <c r="J6" s="38">
        <f t="shared" si="0"/>
        <v>10.317481499947164</v>
      </c>
      <c r="K6" s="38">
        <f t="shared" si="0"/>
        <v>10.317481499947164</v>
      </c>
      <c r="L6" s="38">
        <f t="shared" si="0"/>
        <v>9.7819283409158047</v>
      </c>
      <c r="M6" s="38">
        <f t="shared" si="0"/>
        <v>9.8725768773536871</v>
      </c>
    </row>
    <row r="8" spans="1:13" x14ac:dyDescent="0.2">
      <c r="A8" t="s">
        <v>56</v>
      </c>
      <c r="B8" s="37">
        <f>'Inedible Tallow'!AD16</f>
        <v>56.97835952380953</v>
      </c>
      <c r="C8" s="37">
        <f>'Inedible Tallow'!AE16</f>
        <v>78.45</v>
      </c>
      <c r="D8" s="38">
        <f>'Inedible Tallow'!AF16</f>
        <v>66.300000000000011</v>
      </c>
      <c r="E8" s="38">
        <f>'Inedible Tallow'!AG16</f>
        <v>45.865909090909085</v>
      </c>
      <c r="F8" s="38">
        <f>'Inedible Tallow'!AH16</f>
        <v>46.323260073260073</v>
      </c>
      <c r="G8" s="38">
        <f>'Inedible Tallow'!AI16</f>
        <v>48</v>
      </c>
      <c r="H8" s="38">
        <f>'Inedible Tallow'!AJ16</f>
        <v>49.5</v>
      </c>
      <c r="I8" s="38">
        <f>'Inedible Tallow'!AK16</f>
        <v>45.875</v>
      </c>
      <c r="J8" s="38">
        <f>'Inedible Tallow'!AL16</f>
        <v>46</v>
      </c>
      <c r="K8" s="38">
        <f>'Inedible Tallow'!AM16</f>
        <v>52.25</v>
      </c>
      <c r="L8" s="38">
        <f>'Inedible Tallow'!AN16</f>
        <v>44.875</v>
      </c>
      <c r="M8" s="38">
        <f>'Inedible Tallow'!AO16</f>
        <v>43.125</v>
      </c>
    </row>
    <row r="9" spans="1:13" x14ac:dyDescent="0.2">
      <c r="A9" t="s">
        <v>57</v>
      </c>
      <c r="B9" s="37">
        <f>CWG!AD16</f>
        <v>53.790300000000002</v>
      </c>
      <c r="C9" s="37">
        <f>CWG!AE16</f>
        <v>72.738095238095241</v>
      </c>
      <c r="D9" s="38">
        <f>CWG!AF16</f>
        <v>55.906926406926402</v>
      </c>
      <c r="E9" s="38">
        <f>CWG!AG16</f>
        <v>40.603896103896105</v>
      </c>
      <c r="F9" s="38">
        <f>CWG!AH16</f>
        <v>48.139194139194146</v>
      </c>
      <c r="G9" s="38">
        <f>CWG!AI16</f>
        <v>45.75</v>
      </c>
      <c r="H9" s="38">
        <f>CWG!AJ16</f>
        <v>43.625</v>
      </c>
      <c r="I9" s="38">
        <f>CWG!AK16</f>
        <v>37.125</v>
      </c>
      <c r="J9" s="38">
        <f>CWG!AL16</f>
        <v>41.375</v>
      </c>
      <c r="K9" s="38">
        <f>CWG!AM16</f>
        <v>47.375</v>
      </c>
      <c r="L9" s="38">
        <f>CWG!AN16</f>
        <v>39</v>
      </c>
      <c r="M9" s="38">
        <f>CWG!AO16</f>
        <v>37.25</v>
      </c>
    </row>
    <row r="10" spans="1:13" x14ac:dyDescent="0.2">
      <c r="A10" t="s">
        <v>58</v>
      </c>
      <c r="B10" s="37">
        <f>'Yellow Grease'!AD16</f>
        <v>42.762500000000003</v>
      </c>
      <c r="C10" s="37">
        <f>'Yellow Grease'!AE16</f>
        <v>60.5</v>
      </c>
      <c r="D10" s="38">
        <f>'Yellow Grease'!AF16</f>
        <v>47.079549999999998</v>
      </c>
      <c r="E10" s="38">
        <f>'Yellow Grease'!AG16</f>
        <v>35</v>
      </c>
      <c r="F10" s="38">
        <f>'Yellow Grease'!AH16</f>
        <v>38.25</v>
      </c>
      <c r="G10" s="38">
        <f>'Yellow Grease'!AI16</f>
        <v>33</v>
      </c>
      <c r="H10" s="38">
        <f>'Yellow Grease'!AJ16</f>
        <v>34.375</v>
      </c>
      <c r="I10" s="38">
        <f>'Yellow Grease'!AK16</f>
        <v>32</v>
      </c>
      <c r="J10" s="38">
        <f>'Yellow Grease'!AL16</f>
        <v>33.75</v>
      </c>
      <c r="K10" s="38">
        <f>'Yellow Grease'!AM16</f>
        <v>37.875</v>
      </c>
      <c r="L10" s="38">
        <f>'Yellow Grease'!AN16</f>
        <v>32.5</v>
      </c>
      <c r="M10" s="38">
        <f>'Yellow Grease'!AO16</f>
        <v>32.375</v>
      </c>
    </row>
    <row r="11" spans="1:13" x14ac:dyDescent="0.2">
      <c r="A11" t="s">
        <v>59</v>
      </c>
      <c r="B11" s="37">
        <f>'Poultry Fat'!AD16</f>
        <v>31.885999999999999</v>
      </c>
      <c r="C11" s="37">
        <f>'Poultry Fat'!AE16</f>
        <v>30.72</v>
      </c>
      <c r="D11" s="38">
        <f>'Poultry Fat'!AF16</f>
        <v>26.957999999999998</v>
      </c>
      <c r="E11" s="38">
        <f>'Poultry Fat'!AG16</f>
        <v>33.302</v>
      </c>
      <c r="F11" s="38">
        <f>'Poultry Fat'!AH16</f>
        <v>31.359077436674795</v>
      </c>
      <c r="G11" s="38">
        <f>'Poultry Fat'!AI16</f>
        <v>38.104496944917486</v>
      </c>
      <c r="H11" s="38">
        <f>'Poultry Fat'!AJ16</f>
        <v>57.481307656599796</v>
      </c>
      <c r="I11" s="38">
        <f>'Poultry Fat'!AK16</f>
        <v>41.48770747247832</v>
      </c>
      <c r="J11" s="38">
        <f>'Poultry Fat'!AL16</f>
        <v>38.523335419621418</v>
      </c>
      <c r="K11" s="38">
        <f>'Poultry Fat'!AM16</f>
        <v>42.947931021376263</v>
      </c>
      <c r="L11" s="38">
        <f>'Poultry Fat'!AN16</f>
        <v>51.78514094658604</v>
      </c>
      <c r="M11" s="38">
        <f>'Poultry Fat'!AO16</f>
        <v>61.544394969968266</v>
      </c>
    </row>
    <row r="12" spans="1:13" x14ac:dyDescent="0.2">
      <c r="A12" t="s">
        <v>60</v>
      </c>
      <c r="B12" s="37">
        <f>DCO!AD16</f>
        <v>53.803571428571431</v>
      </c>
      <c r="C12" s="37">
        <f>DCO!AE16</f>
        <v>73.953007518796994</v>
      </c>
      <c r="D12" s="38">
        <f>DCO!AF16</f>
        <v>57.630909090909086</v>
      </c>
      <c r="E12" s="38">
        <f>DCO!AG16</f>
        <v>43.204505928853749</v>
      </c>
      <c r="F12" s="38">
        <f>DCO!AH16</f>
        <v>48.917243107769423</v>
      </c>
      <c r="G12" s="38">
        <f>DCO!AI16</f>
        <v>41.125</v>
      </c>
      <c r="H12" s="38">
        <f>DCO!AJ16</f>
        <v>43.5</v>
      </c>
      <c r="I12" s="38">
        <f>DCO!AK16</f>
        <v>37.75</v>
      </c>
      <c r="J12" s="38">
        <f>DCO!AL16</f>
        <v>39.625</v>
      </c>
      <c r="K12" s="38">
        <f>DCO!AM16</f>
        <v>46.625</v>
      </c>
      <c r="L12" s="38">
        <f>DCO!AN16</f>
        <v>38.25</v>
      </c>
      <c r="M12" s="38">
        <f>DCO!AO16</f>
        <v>36.5</v>
      </c>
    </row>
    <row r="13" spans="1:13" x14ac:dyDescent="0.2">
      <c r="A13" t="s">
        <v>61</v>
      </c>
      <c r="B13" s="37">
        <f>UCO!AD16</f>
        <v>51.593049999999998</v>
      </c>
      <c r="C13" s="37">
        <f>UCO!AE16</f>
        <v>65.592261904761898</v>
      </c>
      <c r="D13" s="38">
        <f>UCO!AF16</f>
        <v>49.052489177489178</v>
      </c>
      <c r="E13" s="38">
        <f>UCO!AG16</f>
        <v>36.586956521739125</v>
      </c>
      <c r="F13" s="38">
        <f>UCO!AH16</f>
        <v>40.75</v>
      </c>
      <c r="G13" s="38">
        <f>UCO!AI16</f>
        <v>40.75</v>
      </c>
      <c r="H13" s="38">
        <f>UCO!AJ16</f>
        <v>38.375</v>
      </c>
      <c r="I13" s="38">
        <f>UCO!AK16</f>
        <v>37.75</v>
      </c>
      <c r="J13" s="38">
        <f>UCO!AL16</f>
        <v>38.75</v>
      </c>
      <c r="K13" s="38">
        <f>UCO!AM16</f>
        <v>43.125</v>
      </c>
      <c r="L13" s="38">
        <f>UCO!AN16</f>
        <v>36.375</v>
      </c>
      <c r="M13" s="38">
        <f>UCO!AO16</f>
        <v>36.125</v>
      </c>
    </row>
    <row r="14" spans="1:13" x14ac:dyDescent="0.2">
      <c r="D14" s="39"/>
      <c r="E14" s="39"/>
      <c r="F14" s="39"/>
      <c r="G14" s="39"/>
      <c r="H14" s="39"/>
      <c r="I14" s="39"/>
      <c r="J14" s="39"/>
      <c r="K14" s="39"/>
      <c r="L14" s="39"/>
      <c r="M14" s="39"/>
    </row>
    <row r="15" spans="1:13" x14ac:dyDescent="0.2">
      <c r="D15" s="39"/>
      <c r="E15" s="39"/>
      <c r="F15" s="39"/>
      <c r="G15" s="39"/>
      <c r="H15" s="39"/>
      <c r="I15" s="39"/>
      <c r="J15" s="39"/>
      <c r="K15" s="39"/>
      <c r="L15" s="39"/>
      <c r="M15" s="39"/>
    </row>
    <row r="16" spans="1:13" x14ac:dyDescent="0.2">
      <c r="A16" t="s">
        <v>62</v>
      </c>
      <c r="B16" s="37">
        <f t="shared" ref="B16:M18" si="1">B8-B9</f>
        <v>3.1880595238095282</v>
      </c>
      <c r="C16" s="37">
        <f t="shared" si="1"/>
        <v>5.711904761904762</v>
      </c>
      <c r="D16" s="38">
        <f t="shared" si="1"/>
        <v>10.393073593073609</v>
      </c>
      <c r="E16" s="38">
        <f t="shared" si="1"/>
        <v>5.2620129870129801</v>
      </c>
      <c r="F16" s="38">
        <f t="shared" si="1"/>
        <v>-1.8159340659340728</v>
      </c>
      <c r="G16" s="38">
        <f t="shared" si="1"/>
        <v>2.25</v>
      </c>
      <c r="H16" s="38">
        <f t="shared" si="1"/>
        <v>5.875</v>
      </c>
      <c r="I16" s="38">
        <f t="shared" si="1"/>
        <v>8.75</v>
      </c>
      <c r="J16" s="38">
        <f t="shared" si="1"/>
        <v>4.625</v>
      </c>
      <c r="K16" s="38">
        <f t="shared" si="1"/>
        <v>4.875</v>
      </c>
      <c r="L16" s="38">
        <f t="shared" si="1"/>
        <v>5.875</v>
      </c>
      <c r="M16" s="38">
        <f t="shared" si="1"/>
        <v>5.875</v>
      </c>
    </row>
    <row r="17" spans="1:15" x14ac:dyDescent="0.2">
      <c r="A17" t="s">
        <v>63</v>
      </c>
      <c r="B17" s="37">
        <f t="shared" si="1"/>
        <v>11.027799999999999</v>
      </c>
      <c r="C17" s="37">
        <f>C9-C10</f>
        <v>12.238095238095241</v>
      </c>
      <c r="D17" s="38">
        <f t="shared" si="1"/>
        <v>8.8273764069264047</v>
      </c>
      <c r="E17" s="38">
        <f t="shared" si="1"/>
        <v>5.6038961038961048</v>
      </c>
      <c r="F17" s="38">
        <f t="shared" si="1"/>
        <v>9.8891941391941458</v>
      </c>
      <c r="G17" s="38">
        <f t="shared" si="1"/>
        <v>12.75</v>
      </c>
      <c r="H17" s="38">
        <f t="shared" si="1"/>
        <v>9.25</v>
      </c>
      <c r="I17" s="38">
        <f t="shared" si="1"/>
        <v>5.125</v>
      </c>
      <c r="J17" s="38">
        <f t="shared" si="1"/>
        <v>7.625</v>
      </c>
      <c r="K17" s="38">
        <f t="shared" si="1"/>
        <v>9.5</v>
      </c>
      <c r="L17" s="38">
        <f t="shared" si="1"/>
        <v>6.5</v>
      </c>
      <c r="M17" s="38">
        <f t="shared" si="1"/>
        <v>4.875</v>
      </c>
    </row>
    <row r="18" spans="1:15" x14ac:dyDescent="0.2">
      <c r="A18" t="s">
        <v>64</v>
      </c>
      <c r="B18" s="37">
        <f t="shared" si="1"/>
        <v>10.876500000000004</v>
      </c>
      <c r="C18" s="37">
        <f t="shared" si="1"/>
        <v>29.78</v>
      </c>
      <c r="D18" s="38">
        <f t="shared" si="1"/>
        <v>20.121549999999999</v>
      </c>
      <c r="E18" s="38">
        <f t="shared" si="1"/>
        <v>1.6980000000000004</v>
      </c>
      <c r="F18" s="38">
        <f t="shared" si="1"/>
        <v>6.8909225633252049</v>
      </c>
      <c r="G18" s="38">
        <f t="shared" si="1"/>
        <v>-5.1044969449174857</v>
      </c>
      <c r="H18" s="38">
        <f t="shared" si="1"/>
        <v>-23.106307656599796</v>
      </c>
      <c r="I18" s="38">
        <f t="shared" si="1"/>
        <v>-9.4877074724783199</v>
      </c>
      <c r="J18" s="38">
        <f t="shared" si="1"/>
        <v>-4.7733354196214179</v>
      </c>
      <c r="K18" s="38">
        <f t="shared" si="1"/>
        <v>-5.0729310213762631</v>
      </c>
      <c r="L18" s="38">
        <f t="shared" si="1"/>
        <v>-19.28514094658604</v>
      </c>
      <c r="M18" s="38">
        <f t="shared" si="1"/>
        <v>-29.169394969968266</v>
      </c>
      <c r="O18" t="s">
        <v>65</v>
      </c>
    </row>
    <row r="19" spans="1:15" x14ac:dyDescent="0.2">
      <c r="A19" t="s">
        <v>66</v>
      </c>
      <c r="B19" s="37">
        <f>B8-B12</f>
        <v>3.1747880952380996</v>
      </c>
      <c r="C19" s="37">
        <f>C8-C12</f>
        <v>4.4969924812030087</v>
      </c>
      <c r="D19" s="38">
        <f t="shared" ref="D19:M19" si="2">D8-D12</f>
        <v>8.6690909090909258</v>
      </c>
      <c r="E19" s="38">
        <f t="shared" si="2"/>
        <v>2.6614031620553362</v>
      </c>
      <c r="F19" s="38">
        <f t="shared" si="2"/>
        <v>-2.5939830345093497</v>
      </c>
      <c r="G19" s="38">
        <f t="shared" si="2"/>
        <v>6.875</v>
      </c>
      <c r="H19" s="38">
        <f t="shared" si="2"/>
        <v>6</v>
      </c>
      <c r="I19" s="38">
        <f t="shared" si="2"/>
        <v>8.125</v>
      </c>
      <c r="J19" s="38">
        <f t="shared" si="2"/>
        <v>6.375</v>
      </c>
      <c r="K19" s="38">
        <f t="shared" si="2"/>
        <v>5.625</v>
      </c>
      <c r="L19" s="38">
        <f t="shared" si="2"/>
        <v>6.625</v>
      </c>
      <c r="M19" s="38">
        <f t="shared" si="2"/>
        <v>6.625</v>
      </c>
      <c r="O19" t="s">
        <v>65</v>
      </c>
    </row>
    <row r="20" spans="1:15" x14ac:dyDescent="0.2">
      <c r="A20" t="s">
        <v>67</v>
      </c>
      <c r="B20" s="37">
        <f>B13-B12</f>
        <v>-2.2105214285714325</v>
      </c>
      <c r="C20" s="37">
        <f t="shared" ref="C20:M20" si="3">C13-C12</f>
        <v>-8.3607456140350962</v>
      </c>
      <c r="D20" s="38">
        <f t="shared" si="3"/>
        <v>-8.5784199134199071</v>
      </c>
      <c r="E20" s="38">
        <f t="shared" si="3"/>
        <v>-6.6175494071146232</v>
      </c>
      <c r="F20" s="38">
        <f t="shared" si="3"/>
        <v>-8.1672431077694227</v>
      </c>
      <c r="G20" s="38">
        <f t="shared" si="3"/>
        <v>-0.375</v>
      </c>
      <c r="H20" s="38">
        <f t="shared" si="3"/>
        <v>-5.125</v>
      </c>
      <c r="I20" s="38">
        <f t="shared" si="3"/>
        <v>0</v>
      </c>
      <c r="J20" s="38">
        <f t="shared" si="3"/>
        <v>-0.875</v>
      </c>
      <c r="K20" s="38">
        <f t="shared" si="3"/>
        <v>-3.5</v>
      </c>
      <c r="L20" s="38">
        <f t="shared" si="3"/>
        <v>-1.875</v>
      </c>
      <c r="M20" s="38">
        <f t="shared" si="3"/>
        <v>-0.375</v>
      </c>
      <c r="O20" t="s">
        <v>65</v>
      </c>
    </row>
    <row r="21" spans="1:15" x14ac:dyDescent="0.2">
      <c r="A21" t="s">
        <v>68</v>
      </c>
      <c r="B21" s="37">
        <f>B13-B10</f>
        <v>8.8305499999999952</v>
      </c>
      <c r="C21" s="37">
        <f t="shared" ref="C21:M21" si="4">C13-C10</f>
        <v>5.092261904761898</v>
      </c>
      <c r="D21" s="38">
        <f t="shared" si="4"/>
        <v>1.9729391774891809</v>
      </c>
      <c r="E21" s="38">
        <f t="shared" si="4"/>
        <v>1.5869565217391255</v>
      </c>
      <c r="F21" s="38">
        <f t="shared" si="4"/>
        <v>2.5</v>
      </c>
      <c r="G21" s="38">
        <f t="shared" si="4"/>
        <v>7.75</v>
      </c>
      <c r="H21" s="38">
        <f t="shared" si="4"/>
        <v>4</v>
      </c>
      <c r="I21" s="38">
        <f t="shared" si="4"/>
        <v>5.75</v>
      </c>
      <c r="J21" s="38">
        <f t="shared" si="4"/>
        <v>5</v>
      </c>
      <c r="K21" s="38">
        <f t="shared" si="4"/>
        <v>5.25</v>
      </c>
      <c r="L21" s="38">
        <f t="shared" si="4"/>
        <v>3.875</v>
      </c>
      <c r="M21" s="38">
        <f t="shared" si="4"/>
        <v>3.75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29FB-E6A3-4F57-A22F-44AFC49030DD}">
  <sheetPr>
    <pageSetUpPr fitToPage="1"/>
  </sheetPr>
  <dimension ref="A1:BG78"/>
  <sheetViews>
    <sheetView zoomScale="115" zoomScaleNormal="115" workbookViewId="0">
      <pane xSplit="2" ySplit="3" topLeftCell="AP4" activePane="bottomRight" state="frozen"/>
      <selection activeCell="M14" sqref="M14"/>
      <selection pane="topRight" activeCell="M14" sqref="M14"/>
      <selection pane="bottomLeft" activeCell="M14" sqref="M14"/>
      <selection pane="bottomRight" activeCell="M14" sqref="M14"/>
    </sheetView>
  </sheetViews>
  <sheetFormatPr defaultColWidth="9" defaultRowHeight="11.25" x14ac:dyDescent="0.2"/>
  <cols>
    <col min="1" max="1" width="4.1640625" style="41" customWidth="1"/>
    <col min="2" max="2" width="41.6640625" style="41" customWidth="1"/>
    <col min="3" max="26" width="9.33203125" style="41" hidden="1" customWidth="1"/>
    <col min="27" max="27" width="9" style="41" hidden="1" customWidth="1"/>
    <col min="28" max="31" width="9" style="41" customWidth="1"/>
    <col min="32" max="38" width="9.1640625" style="41" bestFit="1" customWidth="1"/>
    <col min="39" max="40" width="10.5" style="41" bestFit="1" customWidth="1"/>
    <col min="41" max="49" width="9" style="41" customWidth="1"/>
    <col min="50" max="16384" width="9" style="41"/>
  </cols>
  <sheetData>
    <row r="1" spans="1:59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59" ht="12" thickBot="1" x14ac:dyDescent="0.25">
      <c r="A2" s="40"/>
      <c r="B2" s="40" t="s">
        <v>69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 spans="1:59" ht="12" thickBot="1" x14ac:dyDescent="0.25">
      <c r="A3" s="40"/>
      <c r="B3" s="42"/>
      <c r="C3" s="43">
        <f>SBO!C3</f>
        <v>1994</v>
      </c>
      <c r="D3" s="43">
        <f>SBO!D3</f>
        <v>1995</v>
      </c>
      <c r="E3" s="43">
        <f>SBO!E3</f>
        <v>1996</v>
      </c>
      <c r="F3" s="43">
        <f>SBO!F3</f>
        <v>1997</v>
      </c>
      <c r="G3" s="43">
        <f>SBO!G3</f>
        <v>1998</v>
      </c>
      <c r="H3" s="43">
        <f>SBO!H3</f>
        <v>1999</v>
      </c>
      <c r="I3" s="43">
        <f>SBO!I3</f>
        <v>2000</v>
      </c>
      <c r="J3" s="43">
        <f>SBO!J3</f>
        <v>2001</v>
      </c>
      <c r="K3" s="43">
        <f>SBO!K3</f>
        <v>2002</v>
      </c>
      <c r="L3" s="43">
        <f>SBO!L3</f>
        <v>2003</v>
      </c>
      <c r="M3" s="43">
        <f>SBO!M3</f>
        <v>2004</v>
      </c>
      <c r="N3" s="43">
        <f>SBO!N3</f>
        <v>2005</v>
      </c>
      <c r="O3" s="43">
        <f>SBO!O3</f>
        <v>2006</v>
      </c>
      <c r="P3" s="43">
        <f>SBO!P3</f>
        <v>2007</v>
      </c>
      <c r="Q3" s="43">
        <f>SBO!Q3</f>
        <v>2008</v>
      </c>
      <c r="R3" s="43">
        <f>SBO!R3</f>
        <v>2009</v>
      </c>
      <c r="S3" s="43">
        <f>SBO!S3</f>
        <v>2010</v>
      </c>
      <c r="T3" s="43">
        <f>SBO!T3</f>
        <v>2011</v>
      </c>
      <c r="U3" s="43">
        <f>SBO!U3</f>
        <v>2012</v>
      </c>
      <c r="V3" s="43">
        <f>SBO!V3</f>
        <v>2013</v>
      </c>
      <c r="W3" s="43">
        <f>SBO!W3</f>
        <v>2014</v>
      </c>
      <c r="X3" s="43">
        <f>SBO!X3</f>
        <v>2015</v>
      </c>
      <c r="Y3" s="43">
        <f>SBO!Y3</f>
        <v>2016</v>
      </c>
      <c r="Z3" s="43">
        <f>SBO!Z3</f>
        <v>2017</v>
      </c>
      <c r="AA3" s="43">
        <f>SBO!AA3</f>
        <v>2018</v>
      </c>
      <c r="AB3" s="43">
        <f>SBO!AB3</f>
        <v>2019</v>
      </c>
      <c r="AC3" s="43">
        <f>SBO!AC3</f>
        <v>2020</v>
      </c>
      <c r="AD3" s="43">
        <f>SBO!AD3</f>
        <v>2021</v>
      </c>
      <c r="AE3" s="43">
        <f>SBO!AE3</f>
        <v>2022</v>
      </c>
      <c r="AF3" s="43">
        <f>SBO!AF3</f>
        <v>2023</v>
      </c>
      <c r="AG3" s="43">
        <f>SBO!AG3</f>
        <v>2024</v>
      </c>
      <c r="AH3" s="43">
        <f>SBO!AH3</f>
        <v>2025</v>
      </c>
      <c r="AI3" s="43">
        <f>SBO!AI3</f>
        <v>2026</v>
      </c>
      <c r="AJ3" s="43">
        <f>SBO!AJ3</f>
        <v>2027</v>
      </c>
      <c r="AK3" s="43">
        <f>SBO!AK3</f>
        <v>2028</v>
      </c>
      <c r="AL3" s="43">
        <f>SBO!AL3</f>
        <v>2029</v>
      </c>
      <c r="AM3" s="43">
        <f>SBO!AM3</f>
        <v>2030</v>
      </c>
      <c r="AN3" s="43">
        <f>SBO!AN3</f>
        <v>2031</v>
      </c>
      <c r="AO3" s="44">
        <f>SBO!AO3</f>
        <v>2032</v>
      </c>
      <c r="AP3" s="44">
        <f>SBO!AP3</f>
        <v>2033</v>
      </c>
      <c r="AQ3" s="44">
        <f>SBO!AQ3</f>
        <v>2034</v>
      </c>
      <c r="AR3" s="44">
        <f>SBO!AR3</f>
        <v>2035</v>
      </c>
      <c r="AS3" s="44">
        <f>SBO!AS3</f>
        <v>2036</v>
      </c>
      <c r="AT3" s="44">
        <f>SBO!AT3</f>
        <v>2037</v>
      </c>
      <c r="AU3" s="44">
        <f>SBO!AU3</f>
        <v>2038</v>
      </c>
      <c r="AV3" s="44">
        <f>SBO!AV3</f>
        <v>2039</v>
      </c>
      <c r="AW3" s="44">
        <f>SBO!AW3</f>
        <v>2040</v>
      </c>
      <c r="AX3" s="44">
        <f>SBO!AX3</f>
        <v>2041</v>
      </c>
      <c r="AY3" s="44">
        <f>SBO!AY3</f>
        <v>2042</v>
      </c>
      <c r="AZ3" s="44">
        <f>SBO!AZ3</f>
        <v>2043</v>
      </c>
      <c r="BA3" s="44">
        <f>SBO!BA3</f>
        <v>2044</v>
      </c>
      <c r="BB3" s="44">
        <f>SBO!BB3</f>
        <v>2045</v>
      </c>
      <c r="BC3" s="44">
        <f>SBO!BC3</f>
        <v>2046</v>
      </c>
      <c r="BD3" s="44">
        <f>SBO!BD3</f>
        <v>2047</v>
      </c>
      <c r="BE3" s="44">
        <f>SBO!BE3</f>
        <v>2048</v>
      </c>
      <c r="BF3" s="44">
        <f>SBO!BF3</f>
        <v>2049</v>
      </c>
      <c r="BG3" s="44">
        <f>SBO!BG3</f>
        <v>2050</v>
      </c>
    </row>
    <row r="4" spans="1:59" x14ac:dyDescent="0.2">
      <c r="A4" s="40"/>
      <c r="B4" s="40" t="s">
        <v>70</v>
      </c>
      <c r="C4" s="45" t="e">
        <f>'Veg Oils'!C4+'Fats and Grease'!C4</f>
        <v>#REF!</v>
      </c>
      <c r="D4" s="45" t="e">
        <f>'Veg Oils'!D4+'Fats and Grease'!D4</f>
        <v>#REF!</v>
      </c>
      <c r="E4" s="45" t="e">
        <f>'Veg Oils'!E4+'Fats and Grease'!E4</f>
        <v>#REF!</v>
      </c>
      <c r="F4" s="45" t="e">
        <f>'Veg Oils'!F4+'Fats and Grease'!F4</f>
        <v>#REF!</v>
      </c>
      <c r="G4" s="45" t="e">
        <f>'Veg Oils'!G4+'Fats and Grease'!G4</f>
        <v>#REF!</v>
      </c>
      <c r="H4" s="45" t="e">
        <f>'Veg Oils'!H4+'Fats and Grease'!H4</f>
        <v>#REF!</v>
      </c>
      <c r="I4" s="45" t="e">
        <f>'Veg Oils'!I4+'Fats and Grease'!I4</f>
        <v>#REF!</v>
      </c>
      <c r="J4" s="45" t="e">
        <f>'Veg Oils'!J4+'Fats and Grease'!J4</f>
        <v>#REF!</v>
      </c>
      <c r="K4" s="45" t="e">
        <f>'Veg Oils'!K4+'Fats and Grease'!K4</f>
        <v>#REF!</v>
      </c>
      <c r="L4" s="45" t="e">
        <f>'Veg Oils'!L4+'Fats and Grease'!L4</f>
        <v>#REF!</v>
      </c>
      <c r="M4" s="45" t="e">
        <f>'Veg Oils'!M4+'Fats and Grease'!M4</f>
        <v>#REF!</v>
      </c>
      <c r="N4" s="45" t="e">
        <f>'Veg Oils'!N4+'Fats and Grease'!N4</f>
        <v>#REF!</v>
      </c>
      <c r="O4" s="45" t="e">
        <f>'Veg Oils'!O4+'Fats and Grease'!O4</f>
        <v>#REF!</v>
      </c>
      <c r="P4" s="45" t="e">
        <f>'Veg Oils'!P4+'Fats and Grease'!P4</f>
        <v>#REF!</v>
      </c>
      <c r="Q4" s="45" t="e">
        <f>'Veg Oils'!Q4+'Fats and Grease'!Q4</f>
        <v>#REF!</v>
      </c>
      <c r="R4" s="45" t="e">
        <f>'Veg Oils'!R4+'Fats and Grease'!R4</f>
        <v>#REF!</v>
      </c>
      <c r="S4" s="45" t="e">
        <f>'Veg Oils'!S4+'Fats and Grease'!S4</f>
        <v>#REF!</v>
      </c>
      <c r="T4" s="45" t="e">
        <f>'Veg Oils'!T4+'Fats and Grease'!T4</f>
        <v>#REF!</v>
      </c>
      <c r="U4" s="45" t="e">
        <f>'Veg Oils'!U4+'Fats and Grease'!U4</f>
        <v>#REF!</v>
      </c>
      <c r="V4" s="45" t="e">
        <f>'Veg Oils'!V4+'Fats and Grease'!V4</f>
        <v>#REF!</v>
      </c>
      <c r="W4" s="45" t="e">
        <f>'Veg Oils'!W4+'Fats and Grease'!W4</f>
        <v>#REF!</v>
      </c>
      <c r="X4" s="45" t="e">
        <f>'Veg Oils'!X4+'Fats and Grease'!X4</f>
        <v>#REF!</v>
      </c>
      <c r="Y4" s="45" t="e">
        <f>'Veg Oils'!Y4+'Fats and Grease'!Y4</f>
        <v>#REF!</v>
      </c>
      <c r="Z4" s="45" t="e">
        <f>'Veg Oils'!Z4+'Fats and Grease'!Z4</f>
        <v>#REF!</v>
      </c>
      <c r="AA4" s="45" t="e">
        <f>'Veg Oils'!AA4+'Fats and Grease'!AA4</f>
        <v>#REF!</v>
      </c>
      <c r="AB4" s="45">
        <f>'Veg Oils'!AB4+'Fats and Grease'!AB4</f>
        <v>2498.3963729943825</v>
      </c>
      <c r="AC4" s="45">
        <f>'Veg Oils'!AC4+'Fats and Grease'!AC4</f>
        <v>2617.1855521614152</v>
      </c>
      <c r="AD4" s="45">
        <f>'Veg Oils'!AD4+'Fats and Grease'!AD4</f>
        <v>2612.8489051957345</v>
      </c>
      <c r="AE4" s="45">
        <f>'Veg Oils'!AE4+'Fats and Grease'!AE4</f>
        <v>2946.606135219145</v>
      </c>
      <c r="AF4" s="45">
        <f>'Veg Oils'!AF4+'Fats and Grease'!AF4</f>
        <v>2877.2226570033868</v>
      </c>
      <c r="AG4" s="45">
        <f>'Veg Oils'!AG4+'Fats and Grease'!AG4</f>
        <v>2338.0178266133307</v>
      </c>
      <c r="AH4" s="45">
        <f>'Veg Oils'!AH4+'Fats and Grease'!AH4</f>
        <v>2106.1241005117845</v>
      </c>
      <c r="AI4" s="45">
        <f>'Veg Oils'!AI4+'Fats and Grease'!AI4</f>
        <v>2637.7242537532611</v>
      </c>
      <c r="AJ4" s="45">
        <f>'Veg Oils'!AJ4+'Fats and Grease'!AJ4</f>
        <v>4111.2574567885758</v>
      </c>
      <c r="AK4" s="45">
        <f>'Veg Oils'!AK4+'Fats and Grease'!AK4</f>
        <v>5845.0817481750055</v>
      </c>
      <c r="AL4" s="45">
        <f>'Veg Oils'!AL4+'Fats and Grease'!AL4</f>
        <v>9045.8351904911869</v>
      </c>
      <c r="AM4" s="45">
        <f>'Veg Oils'!AM4+'Fats and Grease'!AM4</f>
        <v>11774.433109262864</v>
      </c>
      <c r="AN4" s="45">
        <f>'Veg Oils'!AN4+'Fats and Grease'!AN4</f>
        <v>14643.990569481926</v>
      </c>
      <c r="AO4" s="45">
        <f>'Veg Oils'!AO4+'Fats and Grease'!AO4</f>
        <v>17873.975596905093</v>
      </c>
      <c r="AP4" s="45">
        <f>'Veg Oils'!AP4+'Fats and Grease'!AP4</f>
        <v>22111.653158609231</v>
      </c>
      <c r="AQ4" s="45">
        <f>'Veg Oils'!AQ4+'Fats and Grease'!AQ4</f>
        <v>28388.172976724112</v>
      </c>
      <c r="AR4" s="45">
        <f>'Veg Oils'!AR4+'Fats and Grease'!AR4</f>
        <v>34329.497360928101</v>
      </c>
      <c r="AS4" s="45">
        <f>'Veg Oils'!AS4+'Fats and Grease'!AS4</f>
        <v>39512.443859519313</v>
      </c>
      <c r="AT4" s="45">
        <f>'Veg Oils'!AT4+'Fats and Grease'!AT4</f>
        <v>43612.511825411151</v>
      </c>
      <c r="AU4" s="45">
        <f>'Veg Oils'!AU4+'Fats and Grease'!AU4</f>
        <v>49269.790383930886</v>
      </c>
      <c r="AV4" s="45">
        <f>'Veg Oils'!AV4+'Fats and Grease'!AV4</f>
        <v>54532.779050970799</v>
      </c>
      <c r="AW4" s="45">
        <f>'Veg Oils'!AW4+'Fats and Grease'!AW4</f>
        <v>59371.109877209565</v>
      </c>
      <c r="AX4" s="45">
        <f>'Veg Oils'!AX4+'Fats and Grease'!AX4</f>
        <v>65723.058755667676</v>
      </c>
      <c r="AY4" s="45">
        <f>'Veg Oils'!AY4+'Fats and Grease'!AY4</f>
        <v>71103.198993656784</v>
      </c>
      <c r="AZ4" s="45">
        <f>'Veg Oils'!AZ4+'Fats and Grease'!AZ4</f>
        <v>75652.526251337826</v>
      </c>
      <c r="BA4" s="45">
        <f>'Veg Oils'!BA4+'Fats and Grease'!BA4</f>
        <v>80014.448310665219</v>
      </c>
      <c r="BB4" s="45">
        <f>'Veg Oils'!BB4+'Fats and Grease'!BB4</f>
        <v>84011.683789435599</v>
      </c>
      <c r="BC4" s="45">
        <f>'Veg Oils'!BC4+'Fats and Grease'!BC4</f>
        <v>88449.500823632217</v>
      </c>
      <c r="BD4" s="45">
        <f>'Veg Oils'!BD4+'Fats and Grease'!BD4</f>
        <v>93784.737912450277</v>
      </c>
      <c r="BE4" s="45">
        <f>'Veg Oils'!BE4+'Fats and Grease'!BE4</f>
        <v>99606.106189071244</v>
      </c>
      <c r="BF4" s="45">
        <f>'Veg Oils'!BF4+'Fats and Grease'!BF4</f>
        <v>106242.53794921256</v>
      </c>
      <c r="BG4" s="45">
        <f>'Veg Oils'!BG4+'Fats and Grease'!BG4</f>
        <v>112482.39606968174</v>
      </c>
    </row>
    <row r="5" spans="1:59" x14ac:dyDescent="0.2">
      <c r="A5" s="40"/>
      <c r="B5" s="40" t="s">
        <v>71</v>
      </c>
      <c r="C5" s="45">
        <f>'Veg Oils'!C7+'Fats and Grease'!C11</f>
        <v>12591.377073724776</v>
      </c>
      <c r="D5" s="45">
        <f>'Veg Oils'!D7+'Fats and Grease'!D11</f>
        <v>38380.990945085905</v>
      </c>
      <c r="E5" s="45">
        <f>'Veg Oils'!E7+'Fats and Grease'!E11</f>
        <v>37580.235236845998</v>
      </c>
      <c r="F5" s="45">
        <f>'Veg Oils'!F7+'Fats and Grease'!F11</f>
        <v>38899.696760117404</v>
      </c>
      <c r="G5" s="45">
        <f>'Veg Oils'!G7+'Fats and Grease'!G11</f>
        <v>43395.27689541268</v>
      </c>
      <c r="H5" s="45">
        <f>'Veg Oils'!H7+'Fats and Grease'!H11</f>
        <v>44277.898526813427</v>
      </c>
      <c r="I5" s="45">
        <f>'Veg Oils'!I7+'Fats and Grease'!I11</f>
        <v>42997.828572610619</v>
      </c>
      <c r="J5" s="45">
        <f>'Veg Oils'!J7+'Fats and Grease'!J11</f>
        <v>44094.673007872887</v>
      </c>
      <c r="K5" s="45">
        <f>'Veg Oils'!K7+'Fats and Grease'!K11</f>
        <v>45141.689825618691</v>
      </c>
      <c r="L5" s="45">
        <f>'Veg Oils'!L7+'Fats and Grease'!L11</f>
        <v>44091.151486893199</v>
      </c>
      <c r="M5" s="45">
        <f>'Veg Oils'!M7+'Fats and Grease'!M11</f>
        <v>42313.071014652262</v>
      </c>
      <c r="N5" s="45">
        <f>'Veg Oils'!N7+'Fats and Grease'!N11</f>
        <v>47418.674460683491</v>
      </c>
      <c r="O5" s="45">
        <f>'Veg Oils'!O7+'Fats and Grease'!O11</f>
        <v>49488.39163530276</v>
      </c>
      <c r="P5" s="45">
        <f>'Veg Oils'!P7+'Fats and Grease'!P11</f>
        <v>50199.562832533433</v>
      </c>
      <c r="Q5" s="45">
        <f>'Veg Oils'!Q7+'Fats and Grease'!Q11</f>
        <v>49299.436861473485</v>
      </c>
      <c r="R5" s="45">
        <f>'Veg Oils'!R7+'Fats and Grease'!R11</f>
        <v>47144.677204244217</v>
      </c>
      <c r="S5" s="45">
        <f>'Veg Oils'!S7+'Fats and Grease'!S11</f>
        <v>48492.549755194079</v>
      </c>
      <c r="T5" s="45">
        <f>'Veg Oils'!T7+'Fats and Grease'!T11</f>
        <v>47871.77367877552</v>
      </c>
      <c r="U5" s="45">
        <f>'Veg Oils'!U7+'Fats and Grease'!U11</f>
        <v>50531.196162889806</v>
      </c>
      <c r="V5" s="45">
        <f>'Veg Oils'!V7+'Fats and Grease'!V11</f>
        <v>50536.321874999143</v>
      </c>
      <c r="W5" s="45">
        <f>'Veg Oils'!W7+'Fats and Grease'!W11</f>
        <v>51820.434482192817</v>
      </c>
      <c r="X5" s="45">
        <f>'Veg Oils'!X7+'Fats and Grease'!X11</f>
        <v>55873.331473701794</v>
      </c>
      <c r="Y5" s="45">
        <f>'Veg Oils'!Y7+'Fats and Grease'!Y11</f>
        <v>59180.434424500621</v>
      </c>
      <c r="Z5" s="45">
        <f>'Veg Oils'!Z7+'Fats and Grease'!Z11</f>
        <v>60249.493142355321</v>
      </c>
      <c r="AA5" s="45">
        <f>'Veg Oils'!AA7+'Fats and Grease'!AA11</f>
        <v>64190.265247243908</v>
      </c>
      <c r="AB5" s="45">
        <f>'Veg Oils'!AB7+'Fats and Grease'!AB11</f>
        <v>42593.086824849379</v>
      </c>
      <c r="AC5" s="45">
        <f>'Veg Oils'!AC7+'Fats and Grease'!AC11</f>
        <v>43443.136248704286</v>
      </c>
      <c r="AD5" s="45">
        <f>'Veg Oils'!AD7+'Fats and Grease'!AD11</f>
        <v>43854.840672883569</v>
      </c>
      <c r="AE5" s="45">
        <f>'Veg Oils'!AE7+'Fats and Grease'!AE11</f>
        <v>47750.920054700771</v>
      </c>
      <c r="AF5" s="45">
        <f>'Veg Oils'!AF7+'Fats and Grease'!AF11</f>
        <v>51995.832278827715</v>
      </c>
      <c r="AG5" s="45">
        <f>'Veg Oils'!AG7+'Fats and Grease'!AG11</f>
        <v>52285.763982916993</v>
      </c>
      <c r="AH5" s="45">
        <f>'Veg Oils'!AH7+'Fats and Grease'!AH11</f>
        <v>51218.233980301164</v>
      </c>
      <c r="AI5" s="45">
        <f>'Veg Oils'!AI7+'Fats and Grease'!AI11</f>
        <v>59591.380137593267</v>
      </c>
      <c r="AJ5" s="45">
        <f>'Veg Oils'!AJ7+'Fats and Grease'!AJ11</f>
        <v>60435.330373387296</v>
      </c>
      <c r="AK5" s="45">
        <f>'Veg Oils'!AK7+'Fats and Grease'!AK11</f>
        <v>61927.826995391515</v>
      </c>
      <c r="AL5" s="45">
        <f>'Veg Oils'!AL7+'Fats and Grease'!AL11</f>
        <v>63541.03475975748</v>
      </c>
      <c r="AM5" s="45">
        <f>'Veg Oils'!AM7+'Fats and Grease'!AM11</f>
        <v>67184.183370222541</v>
      </c>
      <c r="AN5" s="45">
        <f>'Veg Oils'!AN7+'Fats and Grease'!AN11</f>
        <v>69103.423723666623</v>
      </c>
      <c r="AO5" s="45">
        <f>'Veg Oils'!AO7+'Fats and Grease'!AO11</f>
        <v>72300.317399071646</v>
      </c>
      <c r="AP5" s="45">
        <f>'Veg Oils'!AP7+'Fats and Grease'!AP11</f>
        <v>73628.026657445866</v>
      </c>
      <c r="AQ5" s="45">
        <f>'Veg Oils'!AQ7+'Fats and Grease'!AQ11</f>
        <v>68364.321065045791</v>
      </c>
      <c r="AR5" s="45">
        <f>'Veg Oils'!AR7+'Fats and Grease'!AR11</f>
        <v>68362.540346853697</v>
      </c>
      <c r="AS5" s="45">
        <f>'Veg Oils'!AS7+'Fats and Grease'!AS11</f>
        <v>68124.674716719863</v>
      </c>
      <c r="AT5" s="45">
        <f>'Veg Oils'!AT7+'Fats and Grease'!AT11</f>
        <v>71086.914806826215</v>
      </c>
      <c r="AU5" s="45">
        <f>'Veg Oils'!AU7+'Fats and Grease'!AU11</f>
        <v>72654.127935323195</v>
      </c>
      <c r="AV5" s="45">
        <f>'Veg Oils'!AV7+'Fats and Grease'!AV11</f>
        <v>73864.57683658821</v>
      </c>
      <c r="AW5" s="45">
        <f>'Veg Oils'!AW7+'Fats and Grease'!AW11</f>
        <v>75038.235467881372</v>
      </c>
      <c r="AX5" s="45">
        <f>'Veg Oils'!AX7+'Fats and Grease'!AX11</f>
        <v>76361.268902596901</v>
      </c>
      <c r="AY5" s="45">
        <f>'Veg Oils'!AY7+'Fats and Grease'!AY11</f>
        <v>77797.91620543797</v>
      </c>
      <c r="AZ5" s="45">
        <f>'Veg Oils'!AZ7+'Fats and Grease'!AZ11</f>
        <v>79132.747939700843</v>
      </c>
      <c r="BA5" s="45">
        <f>'Veg Oils'!BA7+'Fats and Grease'!BA11</f>
        <v>80618.584163350562</v>
      </c>
      <c r="BB5" s="45">
        <f>'Veg Oils'!BB7+'Fats and Grease'!BB11</f>
        <v>83092.577855014126</v>
      </c>
      <c r="BC5" s="45">
        <f>'Veg Oils'!BC7+'Fats and Grease'!BC11</f>
        <v>86215.342824085819</v>
      </c>
      <c r="BD5" s="45">
        <f>'Veg Oils'!BD7+'Fats and Grease'!BD11</f>
        <v>89191.229646518099</v>
      </c>
      <c r="BE5" s="45">
        <f>'Veg Oils'!BE7+'Fats and Grease'!BE11</f>
        <v>92366.399152783997</v>
      </c>
      <c r="BF5" s="45">
        <f>'Veg Oils'!BF7+'Fats and Grease'!BF11</f>
        <v>94476.264059076901</v>
      </c>
      <c r="BG5" s="45">
        <f>'Veg Oils'!BG7+'Fats and Grease'!BG11</f>
        <v>96886.48455352991</v>
      </c>
    </row>
    <row r="6" spans="1:59" x14ac:dyDescent="0.2">
      <c r="A6" s="40"/>
      <c r="B6" s="40" t="s">
        <v>72</v>
      </c>
      <c r="C6" s="45">
        <f>'Veg Oils'!C10+'Fats and Grease'!C18</f>
        <v>1871.3181776149199</v>
      </c>
      <c r="D6" s="45">
        <f>'Veg Oils'!D10+'Fats and Grease'!D18</f>
        <v>1925.9017796027604</v>
      </c>
      <c r="E6" s="45">
        <f>'Veg Oils'!E10+'Fats and Grease'!E18</f>
        <v>2367.5628871205599</v>
      </c>
      <c r="F6" s="45">
        <f>'Veg Oils'!F10+'Fats and Grease'!F18</f>
        <v>2305.8907747906401</v>
      </c>
      <c r="G6" s="45">
        <f>'Veg Oils'!G10+'Fats and Grease'!G18</f>
        <v>2326.4176084672404</v>
      </c>
      <c r="H6" s="45">
        <f>'Veg Oils'!H10+'Fats and Grease'!H18</f>
        <v>2410.9721971314402</v>
      </c>
      <c r="I6" s="45">
        <f>'Veg Oils'!I10+'Fats and Grease'!I18</f>
        <v>2456.9370554980401</v>
      </c>
      <c r="J6" s="45">
        <f>'Veg Oils'!J10+'Fats and Grease'!J18</f>
        <v>2483.4268124977202</v>
      </c>
      <c r="K6" s="45">
        <f>'Veg Oils'!K10+'Fats and Grease'!K18</f>
        <v>2235.33346893216</v>
      </c>
      <c r="L6" s="45">
        <f>'Veg Oils'!L10+'Fats and Grease'!L18</f>
        <v>2000.8951100393801</v>
      </c>
      <c r="M6" s="45">
        <f>'Veg Oils'!M10+'Fats and Grease'!M18</f>
        <v>2801.78730065542</v>
      </c>
      <c r="N6" s="45">
        <f>'Veg Oils'!N10+'Fats and Grease'!N18</f>
        <v>2133.5538875904199</v>
      </c>
      <c r="O6" s="45">
        <f>'Veg Oils'!O10+'Fats and Grease'!O18</f>
        <v>3007.7554380081597</v>
      </c>
      <c r="P6" s="45">
        <f>'Veg Oils'!P10+'Fats and Grease'!P18</f>
        <v>3288.8641337700201</v>
      </c>
      <c r="Q6" s="45">
        <f>'Veg Oils'!Q10+'Fats and Grease'!Q18</f>
        <v>4431.1352484898598</v>
      </c>
      <c r="R6" s="45">
        <f>'Veg Oils'!R10+'Fats and Grease'!R18</f>
        <v>4532.36843689338</v>
      </c>
      <c r="S6" s="45">
        <f>'Veg Oils'!S10+'Fats and Grease'!S18</f>
        <v>4890.7689019175796</v>
      </c>
      <c r="T6" s="45">
        <f>'Veg Oils'!T10+'Fats and Grease'!T18</f>
        <v>6664.7904308430598</v>
      </c>
      <c r="U6" s="45">
        <f>'Veg Oils'!U10+'Fats and Grease'!U18</f>
        <v>6566.1424725180595</v>
      </c>
      <c r="V6" s="45">
        <f>'Veg Oils'!V10+'Fats and Grease'!V18</f>
        <v>5835.6154014527001</v>
      </c>
      <c r="W6" s="45">
        <f>'Veg Oils'!W10+'Fats and Grease'!W18</f>
        <v>7001.0570813120603</v>
      </c>
      <c r="X6" s="45">
        <f>'Veg Oils'!X10+'Fats and Grease'!X18</f>
        <v>7770.1538869913793</v>
      </c>
      <c r="Y6" s="45">
        <f>'Veg Oils'!Y10+'Fats and Grease'!Y18</f>
        <v>8692.1858144323814</v>
      </c>
      <c r="Z6" s="45">
        <f>'Veg Oils'!Z10+'Fats and Grease'!Z18</f>
        <v>9312.2909535970193</v>
      </c>
      <c r="AA6" s="45">
        <f>'Veg Oils'!AA10+'Fats and Grease'!AA18</f>
        <v>8712.0912257466589</v>
      </c>
      <c r="AB6" s="45">
        <f>'Veg Oils'!AB10+'Fats and Grease'!AB18</f>
        <v>5062.0215467031994</v>
      </c>
      <c r="AC6" s="45">
        <f>'Veg Oils'!AC10+'Fats and Grease'!AC18</f>
        <v>4930.5143044271599</v>
      </c>
      <c r="AD6" s="45">
        <f>'Veg Oils'!AD10+'Fats and Grease'!AD18</f>
        <v>5713.3604499298199</v>
      </c>
      <c r="AE6" s="45">
        <f>'Veg Oils'!AE10+'Fats and Grease'!AE18</f>
        <v>6880.541175538001</v>
      </c>
      <c r="AF6" s="45">
        <f>'Veg Oils'!AF10+'Fats and Grease'!AF18</f>
        <v>11655.814571079998</v>
      </c>
      <c r="AG6" s="45">
        <f>'Veg Oils'!AG10+'Fats and Grease'!AG18</f>
        <v>15562.43978399156</v>
      </c>
      <c r="AH6" s="45">
        <f>'Veg Oils'!AH10+'Fats and Grease'!AH18</f>
        <v>16196.923534474063</v>
      </c>
      <c r="AI6" s="45">
        <f>'Veg Oils'!AI10+'Fats and Grease'!AI18</f>
        <v>18573.703050977303</v>
      </c>
      <c r="AJ6" s="45">
        <f>'Veg Oils'!AJ10+'Fats and Grease'!AJ18</f>
        <v>23465.180718395313</v>
      </c>
      <c r="AK6" s="45">
        <f>'Veg Oils'!AK10+'Fats and Grease'!AK18</f>
        <v>26363.233369590856</v>
      </c>
      <c r="AL6" s="45">
        <f>'Veg Oils'!AL10+'Fats and Grease'!AL18</f>
        <v>29821.361053822224</v>
      </c>
      <c r="AM6" s="45">
        <f>'Veg Oils'!AM10+'Fats and Grease'!AM18</f>
        <v>34693.567275950372</v>
      </c>
      <c r="AN6" s="45">
        <f>'Veg Oils'!AN10+'Fats and Grease'!AN18</f>
        <v>38752.531468234076</v>
      </c>
      <c r="AO6" s="45">
        <f>'Veg Oils'!AO10+'Fats and Grease'!AO18</f>
        <v>44607.416913083944</v>
      </c>
      <c r="AP6" s="45">
        <f>'Veg Oils'!AP10+'Fats and Grease'!AP18</f>
        <v>49221.503810789633</v>
      </c>
      <c r="AQ6" s="45">
        <f>'Veg Oils'!AQ10+'Fats and Grease'!AQ18</f>
        <v>48087.328295677282</v>
      </c>
      <c r="AR6" s="45">
        <f>'Veg Oils'!AR10+'Fats and Grease'!AR18</f>
        <v>47949.184004290997</v>
      </c>
      <c r="AS6" s="45">
        <f>'Veg Oils'!AS10+'Fats and Grease'!AS18</f>
        <v>46287.589003594723</v>
      </c>
      <c r="AT6" s="45">
        <f>'Veg Oils'!AT10+'Fats and Grease'!AT18</f>
        <v>47790.965658525223</v>
      </c>
      <c r="AU6" s="45">
        <f>'Veg Oils'!AU10+'Fats and Grease'!AU18</f>
        <v>51865.463895282039</v>
      </c>
      <c r="AV6" s="45">
        <f>'Veg Oils'!AV10+'Fats and Grease'!AV18</f>
        <v>51704.396809270569</v>
      </c>
      <c r="AW6" s="45">
        <f>'Veg Oils'!AW10+'Fats and Grease'!AW18</f>
        <v>48856.146940059327</v>
      </c>
      <c r="AX6" s="45">
        <f>'Veg Oils'!AX10+'Fats and Grease'!AX18</f>
        <v>49966.399100659226</v>
      </c>
      <c r="AY6" s="45">
        <f>'Veg Oils'!AY10+'Fats and Grease'!AY18</f>
        <v>51711.757152477905</v>
      </c>
      <c r="AZ6" s="45">
        <f>'Veg Oils'!AZ10+'Fats and Grease'!AZ18</f>
        <v>53680.25513181807</v>
      </c>
      <c r="BA6" s="45">
        <f>'Veg Oils'!BA10+'Fats and Grease'!BA18</f>
        <v>54162.786991551751</v>
      </c>
      <c r="BB6" s="45">
        <f>'Veg Oils'!BB10+'Fats and Grease'!BB18</f>
        <v>53200.401526942303</v>
      </c>
      <c r="BC6" s="45">
        <f>'Veg Oils'!BC10+'Fats and Grease'!BC18</f>
        <v>52094.436639166153</v>
      </c>
      <c r="BD6" s="45">
        <f>'Veg Oils'!BD10+'Fats and Grease'!BD18</f>
        <v>52156.936590348327</v>
      </c>
      <c r="BE6" s="45">
        <f>'Veg Oils'!BE10+'Fats and Grease'!BE18</f>
        <v>52610.597087327449</v>
      </c>
      <c r="BF6" s="45">
        <f>'Veg Oils'!BF10+'Fats and Grease'!BF18</f>
        <v>52072.857964912233</v>
      </c>
      <c r="BG6" s="45">
        <f>'Veg Oils'!BG10+'Fats and Grease'!BG18</f>
        <v>51515.127586155315</v>
      </c>
    </row>
    <row r="7" spans="1:59" x14ac:dyDescent="0.2">
      <c r="A7" s="40"/>
      <c r="B7" s="46" t="s">
        <v>73</v>
      </c>
      <c r="C7" s="47" t="e">
        <f>SUM(C4:C6)</f>
        <v>#REF!</v>
      </c>
      <c r="D7" s="47" t="e">
        <f t="shared" ref="D7:BG7" si="0">SUM(D4:D6)</f>
        <v>#REF!</v>
      </c>
      <c r="E7" s="47" t="e">
        <f t="shared" si="0"/>
        <v>#REF!</v>
      </c>
      <c r="F7" s="47" t="e">
        <f t="shared" si="0"/>
        <v>#REF!</v>
      </c>
      <c r="G7" s="47" t="e">
        <f t="shared" si="0"/>
        <v>#REF!</v>
      </c>
      <c r="H7" s="47" t="e">
        <f t="shared" si="0"/>
        <v>#REF!</v>
      </c>
      <c r="I7" s="47" t="e">
        <f t="shared" si="0"/>
        <v>#REF!</v>
      </c>
      <c r="J7" s="47" t="e">
        <f t="shared" si="0"/>
        <v>#REF!</v>
      </c>
      <c r="K7" s="47" t="e">
        <f t="shared" si="0"/>
        <v>#REF!</v>
      </c>
      <c r="L7" s="47" t="e">
        <f t="shared" si="0"/>
        <v>#REF!</v>
      </c>
      <c r="M7" s="47" t="e">
        <f t="shared" si="0"/>
        <v>#REF!</v>
      </c>
      <c r="N7" s="47" t="e">
        <f t="shared" si="0"/>
        <v>#REF!</v>
      </c>
      <c r="O7" s="47" t="e">
        <f t="shared" si="0"/>
        <v>#REF!</v>
      </c>
      <c r="P7" s="47" t="e">
        <f t="shared" si="0"/>
        <v>#REF!</v>
      </c>
      <c r="Q7" s="47" t="e">
        <f t="shared" si="0"/>
        <v>#REF!</v>
      </c>
      <c r="R7" s="47" t="e">
        <f t="shared" si="0"/>
        <v>#REF!</v>
      </c>
      <c r="S7" s="47" t="e">
        <f t="shared" si="0"/>
        <v>#REF!</v>
      </c>
      <c r="T7" s="47" t="e">
        <f t="shared" si="0"/>
        <v>#REF!</v>
      </c>
      <c r="U7" s="47" t="e">
        <f t="shared" si="0"/>
        <v>#REF!</v>
      </c>
      <c r="V7" s="47" t="e">
        <f t="shared" si="0"/>
        <v>#REF!</v>
      </c>
      <c r="W7" s="47" t="e">
        <f t="shared" si="0"/>
        <v>#REF!</v>
      </c>
      <c r="X7" s="47" t="e">
        <f t="shared" si="0"/>
        <v>#REF!</v>
      </c>
      <c r="Y7" s="47" t="e">
        <f t="shared" si="0"/>
        <v>#REF!</v>
      </c>
      <c r="Z7" s="47" t="e">
        <f t="shared" si="0"/>
        <v>#REF!</v>
      </c>
      <c r="AA7" s="47" t="e">
        <f t="shared" si="0"/>
        <v>#REF!</v>
      </c>
      <c r="AB7" s="47">
        <f t="shared" si="0"/>
        <v>50153.504744546954</v>
      </c>
      <c r="AC7" s="47">
        <f t="shared" si="0"/>
        <v>50990.836105292859</v>
      </c>
      <c r="AD7" s="47">
        <f t="shared" si="0"/>
        <v>52181.050028009122</v>
      </c>
      <c r="AE7" s="47">
        <f t="shared" si="0"/>
        <v>57578.067365457915</v>
      </c>
      <c r="AF7" s="47">
        <f t="shared" si="0"/>
        <v>66528.869506911098</v>
      </c>
      <c r="AG7" s="47">
        <f t="shared" si="0"/>
        <v>70186.221593521885</v>
      </c>
      <c r="AH7" s="47">
        <f t="shared" si="0"/>
        <v>69521.281615287007</v>
      </c>
      <c r="AI7" s="47">
        <f t="shared" si="0"/>
        <v>80802.807442323829</v>
      </c>
      <c r="AJ7" s="47">
        <f t="shared" si="0"/>
        <v>88011.768548571185</v>
      </c>
      <c r="AK7" s="47">
        <f t="shared" si="0"/>
        <v>94136.142113157373</v>
      </c>
      <c r="AL7" s="47">
        <f t="shared" si="0"/>
        <v>102408.2310040709</v>
      </c>
      <c r="AM7" s="47">
        <f t="shared" si="0"/>
        <v>113652.18375543578</v>
      </c>
      <c r="AN7" s="47">
        <f t="shared" si="0"/>
        <v>122499.94576138264</v>
      </c>
      <c r="AO7" s="47">
        <f t="shared" si="0"/>
        <v>134781.70990906068</v>
      </c>
      <c r="AP7" s="47">
        <f t="shared" si="0"/>
        <v>144961.18362684472</v>
      </c>
      <c r="AQ7" s="47">
        <f t="shared" si="0"/>
        <v>144839.8223374472</v>
      </c>
      <c r="AR7" s="47">
        <f t="shared" si="0"/>
        <v>150641.22171207279</v>
      </c>
      <c r="AS7" s="47">
        <f t="shared" si="0"/>
        <v>153924.70757983392</v>
      </c>
      <c r="AT7" s="47">
        <f t="shared" si="0"/>
        <v>162490.39229076257</v>
      </c>
      <c r="AU7" s="47">
        <f t="shared" si="0"/>
        <v>173789.38221453613</v>
      </c>
      <c r="AV7" s="47">
        <f t="shared" si="0"/>
        <v>180101.75269682959</v>
      </c>
      <c r="AW7" s="47">
        <f t="shared" si="0"/>
        <v>183265.49228515025</v>
      </c>
      <c r="AX7" s="47">
        <f t="shared" si="0"/>
        <v>192050.72675892379</v>
      </c>
      <c r="AY7" s="47">
        <f t="shared" si="0"/>
        <v>200612.87235157267</v>
      </c>
      <c r="AZ7" s="47">
        <f t="shared" si="0"/>
        <v>208465.52932285675</v>
      </c>
      <c r="BA7" s="47">
        <f t="shared" si="0"/>
        <v>214795.81946556753</v>
      </c>
      <c r="BB7" s="47">
        <f t="shared" si="0"/>
        <v>220304.66317139202</v>
      </c>
      <c r="BC7" s="47">
        <f t="shared" si="0"/>
        <v>226759.28028688417</v>
      </c>
      <c r="BD7" s="47">
        <f t="shared" si="0"/>
        <v>235132.90414931672</v>
      </c>
      <c r="BE7" s="47">
        <f t="shared" si="0"/>
        <v>244583.10242918268</v>
      </c>
      <c r="BF7" s="47">
        <f t="shared" si="0"/>
        <v>252791.65997320169</v>
      </c>
      <c r="BG7" s="47">
        <f t="shared" si="0"/>
        <v>260884.00820936696</v>
      </c>
    </row>
    <row r="8" spans="1:59" x14ac:dyDescent="0.2">
      <c r="A8" s="40"/>
      <c r="B8" s="40" t="s">
        <v>74</v>
      </c>
      <c r="C8" s="45" t="e">
        <f t="shared" ref="C8:AA8" si="1">C9+C12</f>
        <v>#REF!</v>
      </c>
      <c r="D8" s="45" t="e">
        <f t="shared" si="1"/>
        <v>#REF!</v>
      </c>
      <c r="E8" s="45" t="e">
        <f t="shared" si="1"/>
        <v>#REF!</v>
      </c>
      <c r="F8" s="45" t="e">
        <f t="shared" si="1"/>
        <v>#REF!</v>
      </c>
      <c r="G8" s="45" t="e">
        <f t="shared" si="1"/>
        <v>#REF!</v>
      </c>
      <c r="H8" s="45" t="e">
        <f t="shared" si="1"/>
        <v>#REF!</v>
      </c>
      <c r="I8" s="45" t="e">
        <f t="shared" si="1"/>
        <v>#REF!</v>
      </c>
      <c r="J8" s="45" t="e">
        <f t="shared" si="1"/>
        <v>#REF!</v>
      </c>
      <c r="K8" s="45" t="e">
        <f t="shared" si="1"/>
        <v>#REF!</v>
      </c>
      <c r="L8" s="45" t="e">
        <f t="shared" si="1"/>
        <v>#REF!</v>
      </c>
      <c r="M8" s="45" t="e">
        <f t="shared" si="1"/>
        <v>#REF!</v>
      </c>
      <c r="N8" s="45" t="e">
        <f t="shared" si="1"/>
        <v>#REF!</v>
      </c>
      <c r="O8" s="45" t="e">
        <f t="shared" si="1"/>
        <v>#REF!</v>
      </c>
      <c r="P8" s="45" t="e">
        <f t="shared" si="1"/>
        <v>#REF!</v>
      </c>
      <c r="Q8" s="45" t="e">
        <f t="shared" si="1"/>
        <v>#REF!</v>
      </c>
      <c r="R8" s="45" t="e">
        <f t="shared" si="1"/>
        <v>#REF!</v>
      </c>
      <c r="S8" s="45" t="e">
        <f t="shared" si="1"/>
        <v>#REF!</v>
      </c>
      <c r="T8" s="45" t="e">
        <f t="shared" si="1"/>
        <v>#REF!</v>
      </c>
      <c r="U8" s="45" t="e">
        <f t="shared" si="1"/>
        <v>#REF!</v>
      </c>
      <c r="V8" s="45" t="e">
        <f t="shared" si="1"/>
        <v>#REF!</v>
      </c>
      <c r="W8" s="45" t="e">
        <f t="shared" si="1"/>
        <v>#REF!</v>
      </c>
      <c r="X8" s="45" t="e">
        <f t="shared" si="1"/>
        <v>#REF!</v>
      </c>
      <c r="Y8" s="45" t="e">
        <f t="shared" si="1"/>
        <v>#REF!</v>
      </c>
      <c r="Z8" s="45" t="e">
        <f t="shared" si="1"/>
        <v>#REF!</v>
      </c>
      <c r="AA8" s="45" t="e">
        <f t="shared" si="1"/>
        <v>#REF!</v>
      </c>
      <c r="AB8" s="45">
        <f>AB14-AB13</f>
        <v>41949.234590103617</v>
      </c>
      <c r="AC8" s="45">
        <f t="shared" ref="AC8:BG8" si="2">AC14-AC13</f>
        <v>40508.034011295065</v>
      </c>
      <c r="AD8" s="45">
        <f t="shared" si="2"/>
        <v>44338.413788553436</v>
      </c>
      <c r="AE8" s="45">
        <f t="shared" si="2"/>
        <v>49771.549006312525</v>
      </c>
      <c r="AF8" s="45">
        <f t="shared" si="2"/>
        <v>62360.318859299288</v>
      </c>
      <c r="AG8" s="45">
        <f t="shared" si="2"/>
        <v>65026.326919860308</v>
      </c>
      <c r="AH8" s="45">
        <f t="shared" si="2"/>
        <v>62538.966757531467</v>
      </c>
      <c r="AI8" s="45">
        <f t="shared" si="2"/>
        <v>72301.022974408144</v>
      </c>
      <c r="AJ8" s="45">
        <f t="shared" si="2"/>
        <v>79089.105917354973</v>
      </c>
      <c r="AK8" s="45">
        <f t="shared" si="2"/>
        <v>81580.78499486894</v>
      </c>
      <c r="AL8" s="45">
        <f t="shared" si="2"/>
        <v>86902.408542682737</v>
      </c>
      <c r="AM8" s="45">
        <f t="shared" si="2"/>
        <v>94207.985171258857</v>
      </c>
      <c r="AN8" s="45">
        <f t="shared" si="2"/>
        <v>100833.15697662201</v>
      </c>
      <c r="AO8" s="45">
        <f t="shared" si="2"/>
        <v>109141.32133929669</v>
      </c>
      <c r="AP8" s="45">
        <f t="shared" si="2"/>
        <v>113090.84791674996</v>
      </c>
      <c r="AQ8" s="45">
        <f t="shared" si="2"/>
        <v>109041.06977818035</v>
      </c>
      <c r="AR8" s="45">
        <f t="shared" si="2"/>
        <v>109162.72350844264</v>
      </c>
      <c r="AS8" s="45">
        <f t="shared" si="2"/>
        <v>106101.58830029501</v>
      </c>
      <c r="AT8" s="45">
        <f t="shared" si="2"/>
        <v>109980.22534250317</v>
      </c>
      <c r="AU8" s="45">
        <f t="shared" si="2"/>
        <v>116790.02146952537</v>
      </c>
      <c r="AV8" s="45">
        <f t="shared" si="2"/>
        <v>117973.61749204836</v>
      </c>
      <c r="AW8" s="45">
        <f t="shared" si="2"/>
        <v>113150.93264421905</v>
      </c>
      <c r="AX8" s="45">
        <f t="shared" si="2"/>
        <v>116560.48770281623</v>
      </c>
      <c r="AY8" s="45">
        <f t="shared" si="2"/>
        <v>120578.79558708618</v>
      </c>
      <c r="AZ8" s="45">
        <f t="shared" si="2"/>
        <v>124066.80017267428</v>
      </c>
      <c r="BA8" s="45">
        <f t="shared" si="2"/>
        <v>126392.26588485463</v>
      </c>
      <c r="BB8" s="45">
        <f t="shared" si="2"/>
        <v>127459.06613593834</v>
      </c>
      <c r="BC8" s="45">
        <f t="shared" si="2"/>
        <v>128572.66450878365</v>
      </c>
      <c r="BD8" s="45">
        <f t="shared" si="2"/>
        <v>131122.83184082</v>
      </c>
      <c r="BE8" s="45">
        <f t="shared" si="2"/>
        <v>133934.25530440483</v>
      </c>
      <c r="BF8" s="45">
        <f t="shared" si="2"/>
        <v>135898.71450286981</v>
      </c>
      <c r="BG8" s="45">
        <f t="shared" si="2"/>
        <v>138272.0337583817</v>
      </c>
    </row>
    <row r="9" spans="1:59" x14ac:dyDescent="0.2">
      <c r="A9" s="40"/>
      <c r="B9" s="40" t="s">
        <v>75</v>
      </c>
      <c r="C9" s="45" t="e">
        <f>C10+C11+#REF!</f>
        <v>#REF!</v>
      </c>
      <c r="D9" s="45" t="e">
        <f>D10+D11+#REF!</f>
        <v>#REF!</v>
      </c>
      <c r="E9" s="45" t="e">
        <f>E10+E11+#REF!</f>
        <v>#REF!</v>
      </c>
      <c r="F9" s="45" t="e">
        <f>F10+F11+#REF!</f>
        <v>#REF!</v>
      </c>
      <c r="G9" s="45" t="e">
        <f>G10+G11+#REF!</f>
        <v>#REF!</v>
      </c>
      <c r="H9" s="45" t="e">
        <f>H10+H11+#REF!</f>
        <v>#REF!</v>
      </c>
      <c r="I9" s="45" t="e">
        <f>I10+I11+#REF!</f>
        <v>#REF!</v>
      </c>
      <c r="J9" s="45" t="e">
        <f>J10+J11+#REF!</f>
        <v>#REF!</v>
      </c>
      <c r="K9" s="45" t="e">
        <f>K10+K11+#REF!</f>
        <v>#REF!</v>
      </c>
      <c r="L9" s="45" t="e">
        <f>L10+L11+#REF!</f>
        <v>#REF!</v>
      </c>
      <c r="M9" s="45" t="e">
        <f>M10+M11+#REF!</f>
        <v>#REF!</v>
      </c>
      <c r="N9" s="45" t="e">
        <f>N10+N11+#REF!</f>
        <v>#REF!</v>
      </c>
      <c r="O9" s="45" t="e">
        <f>O10+O11+#REF!</f>
        <v>#REF!</v>
      </c>
      <c r="P9" s="45" t="e">
        <f>P10+P11+#REF!</f>
        <v>#REF!</v>
      </c>
      <c r="Q9" s="45" t="e">
        <f>Q10+Q11+#REF!</f>
        <v>#REF!</v>
      </c>
      <c r="R9" s="45" t="e">
        <f>R10+R11+#REF!</f>
        <v>#REF!</v>
      </c>
      <c r="S9" s="45" t="e">
        <f>S10+S11+#REF!</f>
        <v>#REF!</v>
      </c>
      <c r="T9" s="45" t="e">
        <f>T10+T11+#REF!</f>
        <v>#REF!</v>
      </c>
      <c r="U9" s="45" t="e">
        <f>U10+U11+#REF!</f>
        <v>#REF!</v>
      </c>
      <c r="V9" s="45" t="e">
        <f>V10+V11+#REF!</f>
        <v>#REF!</v>
      </c>
      <c r="W9" s="45" t="e">
        <f>W10+W11+#REF!</f>
        <v>#REF!</v>
      </c>
      <c r="X9" s="45" t="e">
        <f>X10+X11+#REF!</f>
        <v>#REF!</v>
      </c>
      <c r="Y9" s="45" t="e">
        <f>Y10+Y11+#REF!</f>
        <v>#REF!</v>
      </c>
      <c r="Z9" s="45" t="e">
        <f>Z10+Z11+#REF!</f>
        <v>#REF!</v>
      </c>
      <c r="AA9" s="45" t="e">
        <f>AA10+AA11+#REF!</f>
        <v>#REF!</v>
      </c>
      <c r="AB9" s="45">
        <f>SUM(AB10:AB11)</f>
        <v>18054.639214345025</v>
      </c>
      <c r="AC9" s="45">
        <f t="shared" ref="AC9:BG9" si="3">SUM(AC10:AC11)</f>
        <v>19104.993093185672</v>
      </c>
      <c r="AD9" s="45">
        <f t="shared" si="3"/>
        <v>19669.349308358829</v>
      </c>
      <c r="AE9" s="45">
        <f t="shared" si="3"/>
        <v>29743.384461727612</v>
      </c>
      <c r="AF9" s="45">
        <f t="shared" si="3"/>
        <v>40386.606173334556</v>
      </c>
      <c r="AG9" s="45">
        <f t="shared" si="3"/>
        <v>44300.429298711104</v>
      </c>
      <c r="AH9" s="45">
        <f t="shared" si="3"/>
        <v>39464.419007782955</v>
      </c>
      <c r="AI9" s="45">
        <f t="shared" si="3"/>
        <v>47095.592812254064</v>
      </c>
      <c r="AJ9" s="45">
        <f t="shared" si="3"/>
        <v>55888.174403848796</v>
      </c>
      <c r="AK9" s="45">
        <f t="shared" si="3"/>
        <v>56285.271681993967</v>
      </c>
      <c r="AL9" s="45">
        <f t="shared" si="3"/>
        <v>61589.411173084678</v>
      </c>
      <c r="AM9" s="45">
        <f t="shared" si="3"/>
        <v>69036.740291701411</v>
      </c>
      <c r="AN9" s="45">
        <f t="shared" si="3"/>
        <v>74837.054481646192</v>
      </c>
      <c r="AO9" s="45">
        <f t="shared" si="3"/>
        <v>87474.853945716532</v>
      </c>
      <c r="AP9" s="45">
        <f t="shared" si="3"/>
        <v>87367.417547848017</v>
      </c>
      <c r="AQ9" s="45">
        <f t="shared" si="3"/>
        <v>82202.673829671228</v>
      </c>
      <c r="AR9" s="45">
        <f t="shared" si="3"/>
        <v>85523.01074968811</v>
      </c>
      <c r="AS9" s="45">
        <f t="shared" si="3"/>
        <v>78967.972805265934</v>
      </c>
      <c r="AT9" s="45">
        <f t="shared" si="3"/>
        <v>83388.561768292333</v>
      </c>
      <c r="AU9" s="45">
        <f t="shared" si="3"/>
        <v>91529.365695561748</v>
      </c>
      <c r="AV9" s="45">
        <f t="shared" si="3"/>
        <v>92046.302324804317</v>
      </c>
      <c r="AW9" s="45">
        <f t="shared" si="3"/>
        <v>82830.362387439018</v>
      </c>
      <c r="AX9" s="45">
        <f t="shared" si="3"/>
        <v>86772.42942817937</v>
      </c>
      <c r="AY9" s="45">
        <f t="shared" si="3"/>
        <v>91691.484927571553</v>
      </c>
      <c r="AZ9" s="45">
        <f t="shared" si="3"/>
        <v>95609.135678328981</v>
      </c>
      <c r="BA9" s="45">
        <f t="shared" si="3"/>
        <v>96777.977753724525</v>
      </c>
      <c r="BB9" s="45">
        <f t="shared" si="3"/>
        <v>97647.649098703041</v>
      </c>
      <c r="BC9" s="45">
        <f t="shared" si="3"/>
        <v>97646.966530543606</v>
      </c>
      <c r="BD9" s="45">
        <f t="shared" si="3"/>
        <v>101144.82516904552</v>
      </c>
      <c r="BE9" s="45">
        <f t="shared" si="3"/>
        <v>103532.14659693128</v>
      </c>
      <c r="BF9" s="45">
        <f t="shared" si="3"/>
        <v>104897.79592280681</v>
      </c>
      <c r="BG9" s="45">
        <f t="shared" si="3"/>
        <v>108116.31543441389</v>
      </c>
    </row>
    <row r="10" spans="1:59" x14ac:dyDescent="0.2">
      <c r="A10" s="40"/>
      <c r="B10" s="40" t="s">
        <v>76</v>
      </c>
      <c r="C10" s="45">
        <f>'Veg Oils'!C17+'Fats and Grease'!C29</f>
        <v>48.75</v>
      </c>
      <c r="D10" s="45">
        <f>'Veg Oils'!D17+'Fats and Grease'!D29</f>
        <v>0</v>
      </c>
      <c r="E10" s="45">
        <f>'Veg Oils'!E17+'Fats and Grease'!E29</f>
        <v>0</v>
      </c>
      <c r="F10" s="45">
        <f>'Veg Oils'!F17+'Fats and Grease'!F29</f>
        <v>0</v>
      </c>
      <c r="G10" s="45">
        <f>'Veg Oils'!G17+'Fats and Grease'!G29</f>
        <v>0.66676392604383905</v>
      </c>
      <c r="H10" s="45">
        <f>'Veg Oils'!H17+'Fats and Grease'!H29</f>
        <v>8.7631957759527577</v>
      </c>
      <c r="I10" s="45">
        <f>'Veg Oils'!I17+'Fats and Grease'!I29</f>
        <v>28.371253774848892</v>
      </c>
      <c r="J10" s="45">
        <f>'Veg Oils'!J17+'Fats and Grease'!J29</f>
        <v>153.78185730993778</v>
      </c>
      <c r="K10" s="45">
        <f>'Veg Oils'!K17+'Fats and Grease'!K29</f>
        <v>204.39761516017248</v>
      </c>
      <c r="L10" s="45">
        <f>'Veg Oils'!L17+'Fats and Grease'!L29</f>
        <v>253.11440846768639</v>
      </c>
      <c r="M10" s="45">
        <f>'Veg Oils'!M17+'Fats and Grease'!M29</f>
        <v>363.17720194081255</v>
      </c>
      <c r="N10" s="45">
        <f>'Veg Oils'!N17+'Fats and Grease'!N29</f>
        <v>1289.2227441728571</v>
      </c>
      <c r="O10" s="45">
        <f>'Veg Oils'!O17+'Fats and Grease'!O29</f>
        <v>3533.0547124812015</v>
      </c>
      <c r="P10" s="45">
        <f>'Veg Oils'!P17+'Fats and Grease'!P29</f>
        <v>6361.209825528008</v>
      </c>
      <c r="Q10" s="45">
        <f>'Veg Oils'!Q17+'Fats and Grease'!Q29</f>
        <v>8565.3619999999992</v>
      </c>
      <c r="R10" s="45">
        <f>'Veg Oils'!R17+'Fats and Grease'!R29</f>
        <v>5740.4989999999998</v>
      </c>
      <c r="S10" s="45">
        <f>'Veg Oils'!S17+'Fats and Grease'!S29</f>
        <v>4469</v>
      </c>
      <c r="T10" s="45">
        <f>'Veg Oils'!T17+'Fats and Grease'!T29</f>
        <v>10512</v>
      </c>
      <c r="U10" s="45">
        <f>'Veg Oils'!U17+'Fats and Grease'!U29</f>
        <v>12892</v>
      </c>
      <c r="V10" s="45">
        <f>'Veg Oils'!V17+'Fats and Grease'!V29</f>
        <v>14344</v>
      </c>
      <c r="W10" s="45">
        <f>'Veg Oils'!W17+'Fats and Grease'!W29</f>
        <v>14797.01</v>
      </c>
      <c r="X10" s="45">
        <f>'Veg Oils'!X17+'Fats and Grease'!X29</f>
        <v>15047.66</v>
      </c>
      <c r="Y10" s="45">
        <f>'Veg Oils'!Y17+'Fats and Grease'!Y29</f>
        <v>17221.98</v>
      </c>
      <c r="Z10" s="45">
        <f>'Veg Oils'!Z17+'Fats and Grease'!Z29</f>
        <v>19386.240000000002</v>
      </c>
      <c r="AA10" s="45">
        <f>'Veg Oils'!AA17+'Fats and Grease'!AA29</f>
        <v>22287.876555989584</v>
      </c>
      <c r="AB10" s="45">
        <f>'Veg Oils'!AB17+'Fats and Grease'!AB29</f>
        <v>12744.93856576988</v>
      </c>
      <c r="AC10" s="45">
        <f>'Veg Oils'!AC17+'Fats and Grease'!AC29</f>
        <v>13317.683514083714</v>
      </c>
      <c r="AD10" s="45">
        <f>'Veg Oils'!AD17+'Fats and Grease'!AD29</f>
        <v>11980.644248205346</v>
      </c>
      <c r="AE10" s="45">
        <f>'Veg Oils'!AE17+'Fats and Grease'!AE29</f>
        <v>13513.514252990692</v>
      </c>
      <c r="AF10" s="45">
        <f>'Veg Oils'!AF17+'Fats and Grease'!AF29</f>
        <v>14501.796388009625</v>
      </c>
      <c r="AG10" s="45">
        <f>'Veg Oils'!AG17+'Fats and Grease'!AG29</f>
        <v>13250.44206389081</v>
      </c>
      <c r="AH10" s="45">
        <f>'Veg Oils'!AH17+'Fats and Grease'!AH29</f>
        <v>12713.131995781107</v>
      </c>
      <c r="AI10" s="45">
        <f>'Veg Oils'!AI17+'Fats and Grease'!AI29</f>
        <v>11900.774862198294</v>
      </c>
      <c r="AJ10" s="45">
        <f>'Veg Oils'!AJ17+'Fats and Grease'!AJ29</f>
        <v>12005.601921959893</v>
      </c>
      <c r="AK10" s="45">
        <f>'Veg Oils'!AK17+'Fats and Grease'!AK29</f>
        <v>9419.5726943244954</v>
      </c>
      <c r="AL10" s="45">
        <f>'Veg Oils'!AL17+'Fats and Grease'!AL29</f>
        <v>10329.526639069907</v>
      </c>
      <c r="AM10" s="45">
        <f>'Veg Oils'!AM17+'Fats and Grease'!AM29</f>
        <v>10339.567382772821</v>
      </c>
      <c r="AN10" s="45">
        <f>'Veg Oils'!AN17+'Fats and Grease'!AN29</f>
        <v>10213.095589937433</v>
      </c>
      <c r="AO10" s="45">
        <f>'Veg Oils'!AO17+'Fats and Grease'!AO29</f>
        <v>10685.49495656229</v>
      </c>
      <c r="AP10" s="45">
        <f>'Veg Oils'!AP17+'Fats and Grease'!AP29</f>
        <v>9060.1252866962386</v>
      </c>
      <c r="AQ10" s="45">
        <f>'Veg Oils'!AQ17+'Fats and Grease'!AQ29</f>
        <v>9059.3720654792851</v>
      </c>
      <c r="AR10" s="45">
        <f>'Veg Oils'!AR17+'Fats and Grease'!AR29</f>
        <v>8871.416318501464</v>
      </c>
      <c r="AS10" s="45">
        <f>'Veg Oils'!AS17+'Fats and Grease'!AS29</f>
        <v>7534.0746121764914</v>
      </c>
      <c r="AT10" s="45">
        <f>'Veg Oils'!AT17+'Fats and Grease'!AT29</f>
        <v>6132.925480990205</v>
      </c>
      <c r="AU10" s="45">
        <f>'Veg Oils'!AU17+'Fats and Grease'!AU29</f>
        <v>6020.8759999153499</v>
      </c>
      <c r="AV10" s="45">
        <f>'Veg Oils'!AV17+'Fats and Grease'!AV29</f>
        <v>5777.3793703568936</v>
      </c>
      <c r="AW10" s="45">
        <f>'Veg Oils'!AW17+'Fats and Grease'!AW29</f>
        <v>3941.1275228439599</v>
      </c>
      <c r="AX10" s="45">
        <f>'Veg Oils'!AX17+'Fats and Grease'!AX29</f>
        <v>4102.4520330554515</v>
      </c>
      <c r="AY10" s="45">
        <f>'Veg Oils'!AY17+'Fats and Grease'!AY29</f>
        <v>4193.0397149068931</v>
      </c>
      <c r="AZ10" s="45">
        <f>'Veg Oils'!AZ17+'Fats and Grease'!AZ29</f>
        <v>3669.2041948012975</v>
      </c>
      <c r="BA10" s="45">
        <f>'Veg Oils'!BA17+'Fats and Grease'!BA29</f>
        <v>3551.040511444467</v>
      </c>
      <c r="BB10" s="45">
        <f>'Veg Oils'!BB17+'Fats and Grease'!BB29</f>
        <v>3421.7740621268285</v>
      </c>
      <c r="BC10" s="45">
        <f>'Veg Oils'!BC17+'Fats and Grease'!BC29</f>
        <v>3279.2416047021725</v>
      </c>
      <c r="BD10" s="45">
        <f>'Veg Oils'!BD17+'Fats and Grease'!BD29</f>
        <v>3143.5791184058571</v>
      </c>
      <c r="BE10" s="45">
        <f>'Veg Oils'!BE17+'Fats and Grease'!BE29</f>
        <v>3099.5971509750179</v>
      </c>
      <c r="BF10" s="45">
        <f>'Veg Oils'!BF17+'Fats and Grease'!BF29</f>
        <v>3011.0593910096723</v>
      </c>
      <c r="BG10" s="45">
        <f>'Veg Oils'!BG17+'Fats and Grease'!BG29</f>
        <v>3074.2665798288335</v>
      </c>
    </row>
    <row r="11" spans="1:59" x14ac:dyDescent="0.2">
      <c r="A11" s="40"/>
      <c r="B11" s="40" t="s">
        <v>77</v>
      </c>
      <c r="C11" s="45">
        <f>'Veg Oils'!C20+'Fats and Grease'!C36</f>
        <v>103.77000000000001</v>
      </c>
      <c r="D11" s="45">
        <f>'Veg Oils'!D20+'Fats and Grease'!D36</f>
        <v>0</v>
      </c>
      <c r="E11" s="45">
        <f>'Veg Oils'!E20+'Fats and Grease'!E36</f>
        <v>0</v>
      </c>
      <c r="F11" s="45">
        <f>'Veg Oils'!F20+'Fats and Grease'!F36</f>
        <v>0</v>
      </c>
      <c r="G11" s="45">
        <f>'Veg Oils'!G20+'Fats and Grease'!G36</f>
        <v>0</v>
      </c>
      <c r="H11" s="45">
        <f>'Veg Oils'!H20+'Fats and Grease'!H36</f>
        <v>0</v>
      </c>
      <c r="I11" s="45">
        <f>'Veg Oils'!I20+'Fats and Grease'!I36</f>
        <v>0</v>
      </c>
      <c r="J11" s="45">
        <f>'Veg Oils'!J20+'Fats and Grease'!J36</f>
        <v>0</v>
      </c>
      <c r="K11" s="45" t="e">
        <f>'Veg Oils'!K20+'Fats and Grease'!K36</f>
        <v>#REF!</v>
      </c>
      <c r="L11" s="45" t="e">
        <f>'Veg Oils'!L20+'Fats and Grease'!L36</f>
        <v>#REF!</v>
      </c>
      <c r="M11" s="45" t="e">
        <f>'Veg Oils'!M20+'Fats and Grease'!M36</f>
        <v>#REF!</v>
      </c>
      <c r="N11" s="45" t="e">
        <f>'Veg Oils'!N20+'Fats and Grease'!N36</f>
        <v>#REF!</v>
      </c>
      <c r="O11" s="45" t="e">
        <f>'Veg Oils'!O20+'Fats and Grease'!O36</f>
        <v>#REF!</v>
      </c>
      <c r="P11" s="45" t="e">
        <f>'Veg Oils'!P20+'Fats and Grease'!P36</f>
        <v>#REF!</v>
      </c>
      <c r="Q11" s="45" t="e">
        <f>'Veg Oils'!Q20+'Fats and Grease'!Q36</f>
        <v>#REF!</v>
      </c>
      <c r="R11" s="45" t="e">
        <f>'Veg Oils'!R20+'Fats and Grease'!R36</f>
        <v>#REF!</v>
      </c>
      <c r="S11" s="45" t="e">
        <f>'Veg Oils'!S20+'Fats and Grease'!S36</f>
        <v>#REF!</v>
      </c>
      <c r="T11" s="45" t="e">
        <f>'Veg Oils'!T20+'Fats and Grease'!T36</f>
        <v>#REF!</v>
      </c>
      <c r="U11" s="45" t="e">
        <f>'Veg Oils'!U20+'Fats and Grease'!U36</f>
        <v>#REF!</v>
      </c>
      <c r="V11" s="45" t="e">
        <f>'Veg Oils'!V20+'Fats and Grease'!V36</f>
        <v>#REF!</v>
      </c>
      <c r="W11" s="45" t="e">
        <f>'Veg Oils'!W20+'Fats and Grease'!W36</f>
        <v>#REF!</v>
      </c>
      <c r="X11" s="45" t="e">
        <f>'Veg Oils'!X20+'Fats and Grease'!X36</f>
        <v>#REF!</v>
      </c>
      <c r="Y11" s="45" t="e">
        <f>'Veg Oils'!Y20+'Fats and Grease'!Y36</f>
        <v>#REF!</v>
      </c>
      <c r="Z11" s="45" t="e">
        <f>'Veg Oils'!Z20+'Fats and Grease'!Z36</f>
        <v>#REF!</v>
      </c>
      <c r="AA11" s="45" t="e">
        <f>'Veg Oils'!AA20+'Fats and Grease'!AA36</f>
        <v>#REF!</v>
      </c>
      <c r="AB11" s="45">
        <f>'Veg Oils'!AB20+'Fats and Grease'!AB36</f>
        <v>5309.7006485751444</v>
      </c>
      <c r="AC11" s="45">
        <f>'Veg Oils'!AC20+'Fats and Grease'!AC36</f>
        <v>5787.3095791019587</v>
      </c>
      <c r="AD11" s="45">
        <f>'Veg Oils'!AD20+'Fats and Grease'!AD36</f>
        <v>7688.7050601534829</v>
      </c>
      <c r="AE11" s="45">
        <f>'Veg Oils'!AE20+'Fats and Grease'!AE36</f>
        <v>16229.87020873692</v>
      </c>
      <c r="AF11" s="45">
        <f>'Veg Oils'!AF20+'Fats and Grease'!AF36</f>
        <v>25884.809785324931</v>
      </c>
      <c r="AG11" s="45">
        <f>'Veg Oils'!AG20+'Fats and Grease'!AG36</f>
        <v>31049.987234820295</v>
      </c>
      <c r="AH11" s="45">
        <f>'Veg Oils'!AH20+'Fats and Grease'!AH36</f>
        <v>26751.287012001849</v>
      </c>
      <c r="AI11" s="45">
        <f>'Veg Oils'!AI20+'Fats and Grease'!AI36</f>
        <v>35194.817950055767</v>
      </c>
      <c r="AJ11" s="45">
        <f>'Veg Oils'!AJ20+'Fats and Grease'!AJ36</f>
        <v>43882.572481888899</v>
      </c>
      <c r="AK11" s="45">
        <f>'Veg Oils'!AK20+'Fats and Grease'!AK36</f>
        <v>46865.698987669472</v>
      </c>
      <c r="AL11" s="45">
        <f>'Veg Oils'!AL20+'Fats and Grease'!AL36</f>
        <v>51259.884534014767</v>
      </c>
      <c r="AM11" s="45">
        <f>'Veg Oils'!AM20+'Fats and Grease'!AM36</f>
        <v>58697.172908928595</v>
      </c>
      <c r="AN11" s="45">
        <f>'Veg Oils'!AN20+'Fats and Grease'!AN36</f>
        <v>64623.95889170876</v>
      </c>
      <c r="AO11" s="45">
        <f>'Veg Oils'!AO20+'Fats and Grease'!AO36</f>
        <v>76789.358989154236</v>
      </c>
      <c r="AP11" s="45">
        <f>'Veg Oils'!AP20+'Fats and Grease'!AP36</f>
        <v>78307.292261151772</v>
      </c>
      <c r="AQ11" s="45">
        <f>'Veg Oils'!AQ20+'Fats and Grease'!AQ36</f>
        <v>73143.301764191943</v>
      </c>
      <c r="AR11" s="45">
        <f>'Veg Oils'!AR20+'Fats and Grease'!AR36</f>
        <v>76651.594431186648</v>
      </c>
      <c r="AS11" s="45">
        <f>'Veg Oils'!AS20+'Fats and Grease'!AS36</f>
        <v>71433.898193089437</v>
      </c>
      <c r="AT11" s="45">
        <f>'Veg Oils'!AT20+'Fats and Grease'!AT36</f>
        <v>77255.636287302128</v>
      </c>
      <c r="AU11" s="45">
        <f>'Veg Oils'!AU20+'Fats and Grease'!AU36</f>
        <v>85508.489695646393</v>
      </c>
      <c r="AV11" s="45">
        <f>'Veg Oils'!AV20+'Fats and Grease'!AV36</f>
        <v>86268.922954447422</v>
      </c>
      <c r="AW11" s="45">
        <f>'Veg Oils'!AW20+'Fats and Grease'!AW36</f>
        <v>78889.234864595055</v>
      </c>
      <c r="AX11" s="45">
        <f>'Veg Oils'!AX20+'Fats and Grease'!AX36</f>
        <v>82669.977395123919</v>
      </c>
      <c r="AY11" s="45">
        <f>'Veg Oils'!AY20+'Fats and Grease'!AY36</f>
        <v>87498.445212664665</v>
      </c>
      <c r="AZ11" s="45">
        <f>'Veg Oils'!AZ20+'Fats and Grease'!AZ36</f>
        <v>91939.931483527689</v>
      </c>
      <c r="BA11" s="45">
        <f>'Veg Oils'!BA20+'Fats and Grease'!BA36</f>
        <v>93226.937242280052</v>
      </c>
      <c r="BB11" s="45">
        <f>'Veg Oils'!BB20+'Fats and Grease'!BB36</f>
        <v>94225.87503657621</v>
      </c>
      <c r="BC11" s="45">
        <f>'Veg Oils'!BC20+'Fats and Grease'!BC36</f>
        <v>94367.724925841438</v>
      </c>
      <c r="BD11" s="45">
        <f>'Veg Oils'!BD20+'Fats and Grease'!BD36</f>
        <v>98001.24605063966</v>
      </c>
      <c r="BE11" s="45">
        <f>'Veg Oils'!BE20+'Fats and Grease'!BE36</f>
        <v>100432.54944595626</v>
      </c>
      <c r="BF11" s="45">
        <f>'Veg Oils'!BF20+'Fats and Grease'!BF36</f>
        <v>101886.73653179713</v>
      </c>
      <c r="BG11" s="45">
        <f>'Veg Oils'!BG20+'Fats and Grease'!BG36</f>
        <v>105042.04885458505</v>
      </c>
    </row>
    <row r="12" spans="1:59" x14ac:dyDescent="0.2">
      <c r="A12" s="40"/>
      <c r="B12" s="40" t="s">
        <v>78</v>
      </c>
      <c r="C12" s="45">
        <f>'Veg Oils'!C23+'Fats and Grease'!C43</f>
        <v>3298.7785149390002</v>
      </c>
      <c r="D12" s="45">
        <f>'Veg Oils'!D23+'Fats and Grease'!D43</f>
        <v>23583.133652264605</v>
      </c>
      <c r="E12" s="45">
        <f>'Veg Oils'!E23+'Fats and Grease'!E43</f>
        <v>25884.958855645607</v>
      </c>
      <c r="F12" s="45">
        <f>'Veg Oils'!F23+'Fats and Grease'!F43</f>
        <v>27359.230305501402</v>
      </c>
      <c r="G12" s="45">
        <f>'Veg Oils'!G23+'Fats and Grease'!G43</f>
        <v>29132.843935981593</v>
      </c>
      <c r="H12" s="45">
        <f>'Veg Oils'!H23+'Fats and Grease'!H43</f>
        <v>30342.549079158278</v>
      </c>
      <c r="I12" s="45">
        <f>'Veg Oils'!I23+'Fats and Grease'!I43</f>
        <v>30603.941204559575</v>
      </c>
      <c r="J12" s="45">
        <f>'Veg Oils'!J23+'Fats and Grease'!J43</f>
        <v>31156.349086011061</v>
      </c>
      <c r="K12" s="45">
        <f>'Veg Oils'!K23+'Fats and Grease'!K43</f>
        <v>31851.686252804757</v>
      </c>
      <c r="L12" s="45">
        <f>'Veg Oils'!L23+'Fats and Grease'!L43</f>
        <v>32107.253844212999</v>
      </c>
      <c r="M12" s="45">
        <f>'Veg Oils'!M23+'Fats and Grease'!M43</f>
        <v>32187.878961895523</v>
      </c>
      <c r="N12" s="45">
        <f>'Veg Oils'!N23+'Fats and Grease'!N43</f>
        <v>32275.591320810297</v>
      </c>
      <c r="O12" s="45">
        <f>'Veg Oils'!O23+'Fats and Grease'!O43</f>
        <v>30910.759192287751</v>
      </c>
      <c r="P12" s="45">
        <f>'Veg Oils'!P23+'Fats and Grease'!P43</f>
        <v>30352.360310678199</v>
      </c>
      <c r="Q12" s="45">
        <f>'Veg Oils'!Q23+'Fats and Grease'!Q43</f>
        <v>28261.024341296605</v>
      </c>
      <c r="R12" s="45">
        <f>'Veg Oils'!R23+'Fats and Grease'!R43</f>
        <v>27308.295608635999</v>
      </c>
      <c r="S12" s="45">
        <f>'Veg Oils'!S23+'Fats and Grease'!S43</f>
        <v>27137.058695803393</v>
      </c>
      <c r="T12" s="45">
        <f>'Veg Oils'!T23+'Fats and Grease'!T43</f>
        <v>26245.5107005561</v>
      </c>
      <c r="U12" s="45">
        <f>'Veg Oils'!U23+'Fats and Grease'!U43</f>
        <v>25163.024119614463</v>
      </c>
      <c r="V12" s="45">
        <f>'Veg Oils'!V23+'Fats and Grease'!V43</f>
        <v>25536.734581157245</v>
      </c>
      <c r="W12" s="45">
        <f>'Veg Oils'!W23+'Fats and Grease'!W43</f>
        <v>25663.319188056466</v>
      </c>
      <c r="X12" s="45">
        <f>'Veg Oils'!X23+'Fats and Grease'!X43</f>
        <v>25858.722108007158</v>
      </c>
      <c r="Y12" s="45">
        <f>'Veg Oils'!Y23+'Fats and Grease'!Y43</f>
        <v>26372.227254363508</v>
      </c>
      <c r="Z12" s="45">
        <f>'Veg Oils'!Z23+'Fats and Grease'!Z43</f>
        <v>24827.565164043961</v>
      </c>
      <c r="AA12" s="45">
        <f>'Veg Oils'!AA23+'Fats and Grease'!AA43</f>
        <v>25664.665541856342</v>
      </c>
      <c r="AB12" s="45">
        <f>AB8-AB9</f>
        <v>23894.595375758592</v>
      </c>
      <c r="AC12" s="45">
        <f t="shared" ref="AC12:BG12" si="4">AC8-AC9</f>
        <v>21403.040918109393</v>
      </c>
      <c r="AD12" s="45">
        <f t="shared" si="4"/>
        <v>24669.064480194607</v>
      </c>
      <c r="AE12" s="45">
        <f t="shared" si="4"/>
        <v>20028.164544584914</v>
      </c>
      <c r="AF12" s="45">
        <f t="shared" si="4"/>
        <v>21973.712685964732</v>
      </c>
      <c r="AG12" s="45">
        <f t="shared" si="4"/>
        <v>20725.897621149204</v>
      </c>
      <c r="AH12" s="45">
        <f t="shared" si="4"/>
        <v>23074.547749748512</v>
      </c>
      <c r="AI12" s="45">
        <f t="shared" si="4"/>
        <v>25205.43016215408</v>
      </c>
      <c r="AJ12" s="45">
        <f t="shared" si="4"/>
        <v>23200.931513506177</v>
      </c>
      <c r="AK12" s="45">
        <f t="shared" si="4"/>
        <v>25295.513312874973</v>
      </c>
      <c r="AL12" s="45">
        <f t="shared" si="4"/>
        <v>25312.997369598059</v>
      </c>
      <c r="AM12" s="45">
        <f t="shared" si="4"/>
        <v>25171.244879557446</v>
      </c>
      <c r="AN12" s="45">
        <f t="shared" si="4"/>
        <v>25996.102494975814</v>
      </c>
      <c r="AO12" s="45">
        <f t="shared" si="4"/>
        <v>21666.467393580155</v>
      </c>
      <c r="AP12" s="45">
        <f t="shared" si="4"/>
        <v>25723.430368901943</v>
      </c>
      <c r="AQ12" s="45">
        <f t="shared" si="4"/>
        <v>26838.395948509118</v>
      </c>
      <c r="AR12" s="45">
        <f t="shared" si="4"/>
        <v>23639.712758754526</v>
      </c>
      <c r="AS12" s="45">
        <f t="shared" si="4"/>
        <v>27133.61549502908</v>
      </c>
      <c r="AT12" s="45">
        <f t="shared" si="4"/>
        <v>26591.663574210834</v>
      </c>
      <c r="AU12" s="45">
        <f t="shared" si="4"/>
        <v>25260.655773963619</v>
      </c>
      <c r="AV12" s="45">
        <f t="shared" si="4"/>
        <v>25927.315167244044</v>
      </c>
      <c r="AW12" s="45">
        <f t="shared" si="4"/>
        <v>30320.570256780033</v>
      </c>
      <c r="AX12" s="45">
        <f t="shared" si="4"/>
        <v>29788.05827463686</v>
      </c>
      <c r="AY12" s="45">
        <f t="shared" si="4"/>
        <v>28887.310659514624</v>
      </c>
      <c r="AZ12" s="45">
        <f t="shared" si="4"/>
        <v>28457.664494345299</v>
      </c>
      <c r="BA12" s="45">
        <f t="shared" si="4"/>
        <v>29614.288131130103</v>
      </c>
      <c r="BB12" s="45">
        <f t="shared" si="4"/>
        <v>29811.417037235296</v>
      </c>
      <c r="BC12" s="45">
        <f t="shared" si="4"/>
        <v>30925.697978240045</v>
      </c>
      <c r="BD12" s="45">
        <f t="shared" si="4"/>
        <v>29978.006671774478</v>
      </c>
      <c r="BE12" s="45">
        <f t="shared" si="4"/>
        <v>30402.108707473541</v>
      </c>
      <c r="BF12" s="45">
        <f t="shared" si="4"/>
        <v>31000.918580063008</v>
      </c>
      <c r="BG12" s="45">
        <f t="shared" si="4"/>
        <v>30155.718323967812</v>
      </c>
    </row>
    <row r="13" spans="1:59" x14ac:dyDescent="0.2">
      <c r="A13" s="40"/>
      <c r="B13" s="40" t="s">
        <v>79</v>
      </c>
      <c r="C13" s="45">
        <f>'Veg Oils'!C26+'Fats and Grease'!C50</f>
        <v>3367.3060162144002</v>
      </c>
      <c r="D13" s="45">
        <f>'Veg Oils'!D26+'Fats and Grease'!D50</f>
        <v>8008.1590288128</v>
      </c>
      <c r="E13" s="45">
        <f>'Veg Oils'!E26+'Fats and Grease'!E50</f>
        <v>4619.6737653932005</v>
      </c>
      <c r="F13" s="45">
        <f>'Veg Oils'!F26+'Fats and Grease'!F50</f>
        <v>6778.6604546888011</v>
      </c>
      <c r="G13" s="45">
        <f>'Veg Oils'!G26+'Fats and Grease'!G50</f>
        <v>9115.0745660946013</v>
      </c>
      <c r="H13" s="45">
        <f>'Veg Oils'!H26+'Fats and Grease'!H50</f>
        <v>6613.758213544199</v>
      </c>
      <c r="I13" s="45">
        <f>'Veg Oils'!I26+'Fats and Grease'!I50</f>
        <v>5232.6548664214006</v>
      </c>
      <c r="J13" s="45">
        <f>'Veg Oils'!J26+'Fats and Grease'!J50</f>
        <v>4826.9871492007996</v>
      </c>
      <c r="K13" s="45">
        <f>'Veg Oils'!K26+'Fats and Grease'!K50</f>
        <v>7478.8325958320002</v>
      </c>
      <c r="L13" s="45">
        <f>'Veg Oils'!L26+'Fats and Grease'!L50</f>
        <v>6247.0842709578001</v>
      </c>
      <c r="M13" s="45">
        <f>'Veg Oils'!M26+'Fats and Grease'!M50</f>
        <v>4497.4356461713996</v>
      </c>
      <c r="N13" s="45">
        <f>'Veg Oils'!N26+'Fats and Grease'!N50</f>
        <v>4795.3338491920003</v>
      </c>
      <c r="O13" s="45">
        <f>'Veg Oils'!O26+'Fats and Grease'!O50</f>
        <v>5592.8362716580014</v>
      </c>
      <c r="P13" s="45">
        <f>'Veg Oils'!P26+'Fats and Grease'!P50</f>
        <v>7201.9570271608</v>
      </c>
      <c r="Q13" s="45">
        <f>'Veg Oils'!Q26+'Fats and Grease'!Q50</f>
        <v>8208.1032402060009</v>
      </c>
      <c r="R13" s="45">
        <f>'Veg Oils'!R26+'Fats and Grease'!R50</f>
        <v>8362.5730997175997</v>
      </c>
      <c r="S13" s="45">
        <f>'Veg Oils'!S26+'Fats and Grease'!S50</f>
        <v>10357.0944253294</v>
      </c>
      <c r="T13" s="45">
        <f>'Veg Oils'!T26+'Fats and Grease'!T50</f>
        <v>8191.5610434199998</v>
      </c>
      <c r="U13" s="45">
        <f>'Veg Oils'!U26+'Fats and Grease'!U50</f>
        <v>6700.9835535952006</v>
      </c>
      <c r="V13" s="45">
        <f>'Veg Oils'!V26+'Fats and Grease'!V50</f>
        <v>6161.0719619760002</v>
      </c>
      <c r="W13" s="45">
        <f>'Veg Oils'!W26+'Fats and Grease'!W50</f>
        <v>5598.9390365047993</v>
      </c>
      <c r="X13" s="45">
        <f>'Veg Oils'!X26+'Fats and Grease'!X50</f>
        <v>5725.6945147335791</v>
      </c>
      <c r="Y13" s="45">
        <f>'Veg Oils'!Y26+'Fats and Grease'!Y50</f>
        <v>6416.2104353563809</v>
      </c>
      <c r="Z13" s="45">
        <f>'Veg Oils'!Z26+'Fats and Grease'!Z50</f>
        <v>6656.1033463020212</v>
      </c>
      <c r="AA13" s="45">
        <f>'Veg Oils'!AA26+'Fats and Grease'!AA50</f>
        <v>6524.6423336483203</v>
      </c>
      <c r="AB13" s="45">
        <f>'Veg Oils'!AB26+'Fats and Grease'!AB50</f>
        <v>5586.9236022819205</v>
      </c>
      <c r="AC13" s="45">
        <f>'Veg Oils'!AC26+'Fats and Grease'!AC50</f>
        <v>7866.4324888020592</v>
      </c>
      <c r="AD13" s="45">
        <f>'Veg Oils'!AD26+'Fats and Grease'!AD50</f>
        <v>4896.4056042365401</v>
      </c>
      <c r="AE13" s="45">
        <f>'Veg Oils'!AE26+'Fats and Grease'!AE50</f>
        <v>4930.7534021419997</v>
      </c>
      <c r="AF13" s="45">
        <f>'Veg Oils'!AF26+'Fats and Grease'!AF50</f>
        <v>1834.3848209984799</v>
      </c>
      <c r="AG13" s="45">
        <f>'Veg Oils'!AG26+'Fats and Grease'!AG50</f>
        <v>3054.1365837252843</v>
      </c>
      <c r="AH13" s="45">
        <f>'Veg Oils'!AH26+'Fats and Grease'!AH50</f>
        <v>4344.6512743459734</v>
      </c>
      <c r="AI13" s="45">
        <f>'Veg Oils'!AI26+'Fats and Grease'!AI50</f>
        <v>4392.9756849297573</v>
      </c>
      <c r="AJ13" s="45">
        <f>'Veg Oils'!AJ26+'Fats and Grease'!AJ50</f>
        <v>3076.8157601522603</v>
      </c>
      <c r="AK13" s="45">
        <f>'Veg Oils'!AK26+'Fats and Grease'!AK50</f>
        <v>3512.4156560866713</v>
      </c>
      <c r="AL13" s="45">
        <f>'Veg Oils'!AL26+'Fats and Grease'!AL50</f>
        <v>3732.020325970494</v>
      </c>
      <c r="AM13" s="45">
        <f>'Veg Oils'!AM26+'Fats and Grease'!AM50</f>
        <v>4795.1937016113807</v>
      </c>
      <c r="AN13" s="45">
        <f>'Veg Oils'!AN26+'Fats and Grease'!AN50</f>
        <v>3794.53914844579</v>
      </c>
      <c r="AO13" s="45">
        <f>'Veg Oils'!AO26+'Fats and Grease'!AO50</f>
        <v>3531.3505475221182</v>
      </c>
      <c r="AP13" s="45">
        <f>'Veg Oils'!AP26+'Fats and Grease'!AP50</f>
        <v>3484.4616240633927</v>
      </c>
      <c r="AQ13" s="45">
        <f>'Veg Oils'!AQ26+'Fats and Grease'!AQ50</f>
        <v>1469.048700701579</v>
      </c>
      <c r="AR13" s="45">
        <f>'Veg Oils'!AR26+'Fats and Grease'!AR50</f>
        <v>1965.4584067039871</v>
      </c>
      <c r="AS13" s="45">
        <f>'Veg Oils'!AS26+'Fats and Grease'!AS50</f>
        <v>4211.6781208390466</v>
      </c>
      <c r="AT13" s="45">
        <f>'Veg Oils'!AT26+'Fats and Grease'!AT50</f>
        <v>3235.4809348919971</v>
      </c>
      <c r="AU13" s="45">
        <f>'Veg Oils'!AU26+'Fats and Grease'!AU50</f>
        <v>2430.9003843046503</v>
      </c>
      <c r="AV13" s="45">
        <f>'Veg Oils'!AV26+'Fats and Grease'!AV50</f>
        <v>2760.7164574921749</v>
      </c>
      <c r="AW13" s="45">
        <f>'Veg Oils'!AW26+'Fats and Grease'!AW50</f>
        <v>4390.9989966509311</v>
      </c>
      <c r="AX13" s="45">
        <f>'Veg Oils'!AX26+'Fats and Grease'!AX50</f>
        <v>4386.1259337266911</v>
      </c>
      <c r="AY13" s="45">
        <f>'Veg Oils'!AY26+'Fats and Grease'!AY50</f>
        <v>4388.1210153635002</v>
      </c>
      <c r="AZ13" s="45">
        <f>'Veg Oils'!AZ26+'Fats and Grease'!AZ50</f>
        <v>4389.8411129326023</v>
      </c>
      <c r="BA13" s="45">
        <f>'Veg Oils'!BA26+'Fats and Grease'!BA50</f>
        <v>4392.0359000046274</v>
      </c>
      <c r="BB13" s="45">
        <f>'Veg Oils'!BB26+'Fats and Grease'!BB50</f>
        <v>4394.8995359968658</v>
      </c>
      <c r="BC13" s="45">
        <f>'Veg Oils'!BC26+'Fats and Grease'!BC50</f>
        <v>4397.8199408463097</v>
      </c>
      <c r="BD13" s="45">
        <f>'Veg Oils'!BD26+'Fats and Grease'!BD50</f>
        <v>4400.679138918952</v>
      </c>
      <c r="BE13" s="45">
        <f>'Veg Oils'!BE26+'Fats and Grease'!BE50</f>
        <v>4403.5751179604958</v>
      </c>
      <c r="BF13" s="45">
        <f>'Veg Oils'!BF26+'Fats and Grease'!BF50</f>
        <v>4406.4440348907356</v>
      </c>
      <c r="BG13" s="45">
        <f>'Veg Oils'!BG26+'Fats and Grease'!BG50</f>
        <v>4409.34821203301</v>
      </c>
    </row>
    <row r="14" spans="1:59" x14ac:dyDescent="0.2">
      <c r="A14" s="40"/>
      <c r="B14" s="46" t="s">
        <v>80</v>
      </c>
      <c r="C14" s="47" t="e">
        <f t="shared" ref="C14:AA14" si="5">C13+C8</f>
        <v>#REF!</v>
      </c>
      <c r="D14" s="47" t="e">
        <f t="shared" si="5"/>
        <v>#REF!</v>
      </c>
      <c r="E14" s="47" t="e">
        <f t="shared" si="5"/>
        <v>#REF!</v>
      </c>
      <c r="F14" s="47" t="e">
        <f t="shared" si="5"/>
        <v>#REF!</v>
      </c>
      <c r="G14" s="47" t="e">
        <f t="shared" si="5"/>
        <v>#REF!</v>
      </c>
      <c r="H14" s="47" t="e">
        <f t="shared" si="5"/>
        <v>#REF!</v>
      </c>
      <c r="I14" s="47" t="e">
        <f t="shared" si="5"/>
        <v>#REF!</v>
      </c>
      <c r="J14" s="47" t="e">
        <f t="shared" si="5"/>
        <v>#REF!</v>
      </c>
      <c r="K14" s="47" t="e">
        <f t="shared" si="5"/>
        <v>#REF!</v>
      </c>
      <c r="L14" s="47" t="e">
        <f t="shared" si="5"/>
        <v>#REF!</v>
      </c>
      <c r="M14" s="47" t="e">
        <f t="shared" si="5"/>
        <v>#REF!</v>
      </c>
      <c r="N14" s="47" t="e">
        <f t="shared" si="5"/>
        <v>#REF!</v>
      </c>
      <c r="O14" s="47" t="e">
        <f t="shared" si="5"/>
        <v>#REF!</v>
      </c>
      <c r="P14" s="47" t="e">
        <f t="shared" si="5"/>
        <v>#REF!</v>
      </c>
      <c r="Q14" s="47" t="e">
        <f t="shared" si="5"/>
        <v>#REF!</v>
      </c>
      <c r="R14" s="47" t="e">
        <f t="shared" si="5"/>
        <v>#REF!</v>
      </c>
      <c r="S14" s="47" t="e">
        <f t="shared" si="5"/>
        <v>#REF!</v>
      </c>
      <c r="T14" s="47" t="e">
        <f t="shared" si="5"/>
        <v>#REF!</v>
      </c>
      <c r="U14" s="47" t="e">
        <f t="shared" si="5"/>
        <v>#REF!</v>
      </c>
      <c r="V14" s="47" t="e">
        <f t="shared" si="5"/>
        <v>#REF!</v>
      </c>
      <c r="W14" s="47" t="e">
        <f t="shared" si="5"/>
        <v>#REF!</v>
      </c>
      <c r="X14" s="47" t="e">
        <f t="shared" si="5"/>
        <v>#REF!</v>
      </c>
      <c r="Y14" s="47" t="e">
        <f t="shared" si="5"/>
        <v>#REF!</v>
      </c>
      <c r="Z14" s="47" t="e">
        <f t="shared" si="5"/>
        <v>#REF!</v>
      </c>
      <c r="AA14" s="47" t="e">
        <f t="shared" si="5"/>
        <v>#REF!</v>
      </c>
      <c r="AB14" s="47">
        <f>AB7-AB15</f>
        <v>47536.158192385541</v>
      </c>
      <c r="AC14" s="47">
        <f t="shared" ref="AC14:BG14" si="6">AC7-AC15</f>
        <v>48374.466500097122</v>
      </c>
      <c r="AD14" s="47">
        <f t="shared" si="6"/>
        <v>49234.819392789977</v>
      </c>
      <c r="AE14" s="47">
        <f t="shared" si="6"/>
        <v>54702.302408454525</v>
      </c>
      <c r="AF14" s="47">
        <f t="shared" si="6"/>
        <v>64194.703680297767</v>
      </c>
      <c r="AG14" s="47">
        <f t="shared" si="6"/>
        <v>68080.46350358559</v>
      </c>
      <c r="AH14" s="47">
        <f t="shared" si="6"/>
        <v>66883.618031877442</v>
      </c>
      <c r="AI14" s="47">
        <f t="shared" si="6"/>
        <v>76693.9986593379</v>
      </c>
      <c r="AJ14" s="47">
        <f t="shared" si="6"/>
        <v>82165.921677507227</v>
      </c>
      <c r="AK14" s="47">
        <f t="shared" si="6"/>
        <v>85093.200650955609</v>
      </c>
      <c r="AL14" s="47">
        <f t="shared" si="6"/>
        <v>90634.428868653238</v>
      </c>
      <c r="AM14" s="47">
        <f t="shared" si="6"/>
        <v>99003.178872870238</v>
      </c>
      <c r="AN14" s="47">
        <f t="shared" si="6"/>
        <v>104627.6961250678</v>
      </c>
      <c r="AO14" s="47">
        <f t="shared" si="6"/>
        <v>112672.6718868188</v>
      </c>
      <c r="AP14" s="47">
        <f t="shared" si="6"/>
        <v>116575.30954081335</v>
      </c>
      <c r="AQ14" s="47">
        <f t="shared" si="6"/>
        <v>110510.11847888192</v>
      </c>
      <c r="AR14" s="47">
        <f t="shared" si="6"/>
        <v>111128.18191514662</v>
      </c>
      <c r="AS14" s="47">
        <f t="shared" si="6"/>
        <v>110313.26642113406</v>
      </c>
      <c r="AT14" s="47">
        <f t="shared" si="6"/>
        <v>113215.70627739516</v>
      </c>
      <c r="AU14" s="47">
        <f t="shared" si="6"/>
        <v>119220.92185383002</v>
      </c>
      <c r="AV14" s="47">
        <f t="shared" si="6"/>
        <v>120734.33394954054</v>
      </c>
      <c r="AW14" s="47">
        <f t="shared" si="6"/>
        <v>117541.93164086998</v>
      </c>
      <c r="AX14" s="47">
        <f t="shared" si="6"/>
        <v>120946.61363654293</v>
      </c>
      <c r="AY14" s="47">
        <f t="shared" si="6"/>
        <v>124966.91660244968</v>
      </c>
      <c r="AZ14" s="47">
        <f t="shared" si="6"/>
        <v>128456.64128560688</v>
      </c>
      <c r="BA14" s="47">
        <f t="shared" si="6"/>
        <v>130784.30178485926</v>
      </c>
      <c r="BB14" s="47">
        <f t="shared" si="6"/>
        <v>131853.96567193521</v>
      </c>
      <c r="BC14" s="47">
        <f t="shared" si="6"/>
        <v>132970.48444962996</v>
      </c>
      <c r="BD14" s="47">
        <f t="shared" si="6"/>
        <v>135523.51097973896</v>
      </c>
      <c r="BE14" s="47">
        <f t="shared" si="6"/>
        <v>138337.83042236531</v>
      </c>
      <c r="BF14" s="47">
        <f t="shared" si="6"/>
        <v>140305.15853776055</v>
      </c>
      <c r="BG14" s="47">
        <f t="shared" si="6"/>
        <v>142681.38197041472</v>
      </c>
    </row>
    <row r="15" spans="1:59" ht="12" thickBot="1" x14ac:dyDescent="0.25">
      <c r="A15" s="40"/>
      <c r="B15" s="40" t="s">
        <v>81</v>
      </c>
      <c r="C15" s="45" t="e">
        <f>'Veg Oils'!C31+'Fats and Grease'!C59</f>
        <v>#REF!</v>
      </c>
      <c r="D15" s="45" t="e">
        <f>'Veg Oils'!D31+'Fats and Grease'!D59</f>
        <v>#REF!</v>
      </c>
      <c r="E15" s="45" t="e">
        <f>'Veg Oils'!E31+'Fats and Grease'!E59</f>
        <v>#REF!</v>
      </c>
      <c r="F15" s="45" t="e">
        <f>'Veg Oils'!F31+'Fats and Grease'!F59</f>
        <v>#REF!</v>
      </c>
      <c r="G15" s="45" t="e">
        <f>'Veg Oils'!G31+'Fats and Grease'!G59</f>
        <v>#REF!</v>
      </c>
      <c r="H15" s="45" t="e">
        <f>'Veg Oils'!H31+'Fats and Grease'!H59</f>
        <v>#REF!</v>
      </c>
      <c r="I15" s="45" t="e">
        <f>'Veg Oils'!I31+'Fats and Grease'!I59</f>
        <v>#REF!</v>
      </c>
      <c r="J15" s="45" t="e">
        <f>'Veg Oils'!J31+'Fats and Grease'!J59</f>
        <v>#REF!</v>
      </c>
      <c r="K15" s="45" t="e">
        <f>'Veg Oils'!K31+'Fats and Grease'!K59</f>
        <v>#REF!</v>
      </c>
      <c r="L15" s="45" t="e">
        <f>'Veg Oils'!L31+'Fats and Grease'!L59</f>
        <v>#REF!</v>
      </c>
      <c r="M15" s="45" t="e">
        <f>'Veg Oils'!M31+'Fats and Grease'!M59</f>
        <v>#REF!</v>
      </c>
      <c r="N15" s="45" t="e">
        <f>'Veg Oils'!N31+'Fats and Grease'!N59</f>
        <v>#REF!</v>
      </c>
      <c r="O15" s="45" t="e">
        <f>'Veg Oils'!O31+'Fats and Grease'!O59</f>
        <v>#REF!</v>
      </c>
      <c r="P15" s="45" t="e">
        <f>'Veg Oils'!P31+'Fats and Grease'!P59</f>
        <v>#REF!</v>
      </c>
      <c r="Q15" s="45" t="e">
        <f>'Veg Oils'!Q31+'Fats and Grease'!Q59</f>
        <v>#REF!</v>
      </c>
      <c r="R15" s="45" t="e">
        <f>'Veg Oils'!R31+'Fats and Grease'!R59</f>
        <v>#REF!</v>
      </c>
      <c r="S15" s="45" t="e">
        <f>'Veg Oils'!S31+'Fats and Grease'!S59</f>
        <v>#REF!</v>
      </c>
      <c r="T15" s="45" t="e">
        <f>'Veg Oils'!T31+'Fats and Grease'!T59</f>
        <v>#REF!</v>
      </c>
      <c r="U15" s="45" t="e">
        <f>'Veg Oils'!U31+'Fats and Grease'!U59</f>
        <v>#REF!</v>
      </c>
      <c r="V15" s="45" t="e">
        <f>'Veg Oils'!V31+'Fats and Grease'!V59</f>
        <v>#REF!</v>
      </c>
      <c r="W15" s="45" t="e">
        <f>'Veg Oils'!W31+'Fats and Grease'!W59</f>
        <v>#REF!</v>
      </c>
      <c r="X15" s="45" t="e">
        <f>'Veg Oils'!X31+'Fats and Grease'!X59</f>
        <v>#REF!</v>
      </c>
      <c r="Y15" s="45" t="e">
        <f>'Veg Oils'!Y31+'Fats and Grease'!Y59</f>
        <v>#REF!</v>
      </c>
      <c r="Z15" s="45" t="e">
        <f>'Veg Oils'!Z31+'Fats and Grease'!Z59</f>
        <v>#REF!</v>
      </c>
      <c r="AA15" s="45" t="e">
        <f>'Veg Oils'!AA31+'Fats and Grease'!AA59</f>
        <v>#REF!</v>
      </c>
      <c r="AB15" s="45">
        <f>'Veg Oils'!AB31+'Fats and Grease'!AB59</f>
        <v>2617.3465521614153</v>
      </c>
      <c r="AC15" s="45">
        <f>'Veg Oils'!AC31+'Fats and Grease'!AC59</f>
        <v>2616.3696051957345</v>
      </c>
      <c r="AD15" s="45">
        <f>'Veg Oils'!AD31+'Fats and Grease'!AD59</f>
        <v>2946.2306352191449</v>
      </c>
      <c r="AE15" s="45">
        <f>'Veg Oils'!AE31+'Fats and Grease'!AE59</f>
        <v>2875.7649570033868</v>
      </c>
      <c r="AF15" s="45">
        <f>'Veg Oils'!AF31+'Fats and Grease'!AF59</f>
        <v>2334.1658266133304</v>
      </c>
      <c r="AG15" s="45">
        <f>'Veg Oils'!AG31+'Fats and Grease'!AG59</f>
        <v>2105.7580899362902</v>
      </c>
      <c r="AH15" s="45">
        <f>'Veg Oils'!AH31+'Fats and Grease'!AH59</f>
        <v>2637.6635834095632</v>
      </c>
      <c r="AI15" s="45">
        <f>'Veg Oils'!AI31+'Fats and Grease'!AI59</f>
        <v>4108.8087829859269</v>
      </c>
      <c r="AJ15" s="45">
        <f>'Veg Oils'!AJ31+'Fats and Grease'!AJ59</f>
        <v>5845.8468710639627</v>
      </c>
      <c r="AK15" s="45">
        <f>'Veg Oils'!AK31+'Fats and Grease'!AK59</f>
        <v>9042.9414622017648</v>
      </c>
      <c r="AL15" s="45">
        <f>'Veg Oils'!AL31+'Fats and Grease'!AL59</f>
        <v>11773.802135417662</v>
      </c>
      <c r="AM15" s="45">
        <f>'Veg Oils'!AM31+'Fats and Grease'!AM59</f>
        <v>14649.004882565534</v>
      </c>
      <c r="AN15" s="45">
        <f>'Veg Oils'!AN31+'Fats and Grease'!AN59</f>
        <v>17872.249636314838</v>
      </c>
      <c r="AO15" s="45">
        <f>'Veg Oils'!AO31+'Fats and Grease'!AO59</f>
        <v>22109.038022241883</v>
      </c>
      <c r="AP15" s="45">
        <f>'Veg Oils'!AP31+'Fats and Grease'!AP59</f>
        <v>28385.87408603137</v>
      </c>
      <c r="AQ15" s="45">
        <f>'Veg Oils'!AQ31+'Fats and Grease'!AQ59</f>
        <v>34329.703858565277</v>
      </c>
      <c r="AR15" s="45">
        <f>'Veg Oils'!AR31+'Fats and Grease'!AR59</f>
        <v>39513.039796926176</v>
      </c>
      <c r="AS15" s="45">
        <f>'Veg Oils'!AS31+'Fats and Grease'!AS59</f>
        <v>43611.441158699854</v>
      </c>
      <c r="AT15" s="45">
        <f>'Veg Oils'!AT31+'Fats and Grease'!AT59</f>
        <v>49274.686013367405</v>
      </c>
      <c r="AU15" s="45">
        <f>'Veg Oils'!AU31+'Fats and Grease'!AU59</f>
        <v>54568.460360706122</v>
      </c>
      <c r="AV15" s="45">
        <f>'Veg Oils'!AV31+'Fats and Grease'!AV59</f>
        <v>59367.418747289048</v>
      </c>
      <c r="AW15" s="45">
        <f>'Veg Oils'!AW31+'Fats and Grease'!AW59</f>
        <v>65723.560644280267</v>
      </c>
      <c r="AX15" s="45">
        <f>'Veg Oils'!AX31+'Fats and Grease'!AX59</f>
        <v>71104.113122380862</v>
      </c>
      <c r="AY15" s="45">
        <f>'Veg Oils'!AY31+'Fats and Grease'!AY59</f>
        <v>75645.955749122993</v>
      </c>
      <c r="AZ15" s="45">
        <f>'Veg Oils'!AZ31+'Fats and Grease'!AZ59</f>
        <v>80008.888037249868</v>
      </c>
      <c r="BA15" s="45">
        <f>'Veg Oils'!BA31+'Fats and Grease'!BA59</f>
        <v>84011.517680708275</v>
      </c>
      <c r="BB15" s="45">
        <f>'Veg Oils'!BB31+'Fats and Grease'!BB59</f>
        <v>88450.697499456815</v>
      </c>
      <c r="BC15" s="45">
        <f>'Veg Oils'!BC31+'Fats and Grease'!BC59</f>
        <v>93788.795837254205</v>
      </c>
      <c r="BD15" s="45">
        <f>'Veg Oils'!BD31+'Fats and Grease'!BD59</f>
        <v>99609.393169577772</v>
      </c>
      <c r="BE15" s="45">
        <f>'Veg Oils'!BE31+'Fats and Grease'!BE59</f>
        <v>106245.27200681737</v>
      </c>
      <c r="BF15" s="45">
        <f>'Veg Oils'!BF31+'Fats and Grease'!BF59</f>
        <v>112486.50143544113</v>
      </c>
      <c r="BG15" s="45">
        <f>'Veg Oils'!BG31+'Fats and Grease'!BG59</f>
        <v>118202.62623895226</v>
      </c>
    </row>
    <row r="16" spans="1:59" x14ac:dyDescent="0.2">
      <c r="A16" s="40"/>
      <c r="B16" s="48" t="s">
        <v>82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</row>
    <row r="17" spans="1:59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</row>
    <row r="18" spans="1:59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>
        <f t="shared" ref="AD18:AI18" si="7">AD9/AD8</f>
        <v>0.44361869601741905</v>
      </c>
      <c r="AE18" s="40">
        <f t="shared" si="7"/>
        <v>0.59759812695311654</v>
      </c>
      <c r="AF18" s="40">
        <f t="shared" si="7"/>
        <v>0.64763309283996751</v>
      </c>
      <c r="AG18" s="40">
        <f t="shared" si="7"/>
        <v>0.68126913201337358</v>
      </c>
      <c r="AH18" s="40">
        <f t="shared" si="7"/>
        <v>0.63103727250227271</v>
      </c>
      <c r="AI18" s="40">
        <f t="shared" si="7"/>
        <v>0.65138210878322067</v>
      </c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</row>
    <row r="19" spans="1:59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50" t="e">
        <f>(AE9/W9)^(1/9)-1</f>
        <v>#REF!</v>
      </c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</row>
    <row r="20" spans="1:59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</row>
    <row r="21" spans="1:59" x14ac:dyDescent="0.2">
      <c r="B21" s="41" t="s">
        <v>83</v>
      </c>
      <c r="C21" s="51" t="e">
        <f t="shared" ref="C21:BG21" si="8">C7</f>
        <v>#REF!</v>
      </c>
      <c r="D21" s="51" t="e">
        <f t="shared" si="8"/>
        <v>#REF!</v>
      </c>
      <c r="E21" s="51" t="e">
        <f t="shared" si="8"/>
        <v>#REF!</v>
      </c>
      <c r="F21" s="51" t="e">
        <f t="shared" si="8"/>
        <v>#REF!</v>
      </c>
      <c r="G21" s="51" t="e">
        <f t="shared" si="8"/>
        <v>#REF!</v>
      </c>
      <c r="H21" s="51" t="e">
        <f t="shared" si="8"/>
        <v>#REF!</v>
      </c>
      <c r="I21" s="51" t="e">
        <f t="shared" si="8"/>
        <v>#REF!</v>
      </c>
      <c r="J21" s="51" t="e">
        <f t="shared" si="8"/>
        <v>#REF!</v>
      </c>
      <c r="K21" s="51" t="e">
        <f t="shared" si="8"/>
        <v>#REF!</v>
      </c>
      <c r="L21" s="51" t="e">
        <f t="shared" si="8"/>
        <v>#REF!</v>
      </c>
      <c r="M21" s="51" t="e">
        <f t="shared" si="8"/>
        <v>#REF!</v>
      </c>
      <c r="N21" s="51" t="e">
        <f t="shared" si="8"/>
        <v>#REF!</v>
      </c>
      <c r="O21" s="51" t="e">
        <f t="shared" si="8"/>
        <v>#REF!</v>
      </c>
      <c r="P21" s="51" t="e">
        <f t="shared" si="8"/>
        <v>#REF!</v>
      </c>
      <c r="Q21" s="51" t="e">
        <f t="shared" si="8"/>
        <v>#REF!</v>
      </c>
      <c r="R21" s="51" t="e">
        <f t="shared" si="8"/>
        <v>#REF!</v>
      </c>
      <c r="S21" s="51" t="e">
        <f t="shared" si="8"/>
        <v>#REF!</v>
      </c>
      <c r="T21" s="51" t="e">
        <f t="shared" si="8"/>
        <v>#REF!</v>
      </c>
      <c r="U21" s="51" t="e">
        <f t="shared" si="8"/>
        <v>#REF!</v>
      </c>
      <c r="V21" s="51" t="e">
        <f t="shared" si="8"/>
        <v>#REF!</v>
      </c>
      <c r="W21" s="51" t="e">
        <f t="shared" si="8"/>
        <v>#REF!</v>
      </c>
      <c r="X21" s="51" t="e">
        <f t="shared" si="8"/>
        <v>#REF!</v>
      </c>
      <c r="Y21" s="51" t="e">
        <f t="shared" si="8"/>
        <v>#REF!</v>
      </c>
      <c r="Z21" s="51" t="e">
        <f t="shared" si="8"/>
        <v>#REF!</v>
      </c>
      <c r="AA21" s="51" t="e">
        <f t="shared" si="8"/>
        <v>#REF!</v>
      </c>
      <c r="AB21" s="51">
        <f t="shared" si="8"/>
        <v>50153.504744546954</v>
      </c>
      <c r="AC21" s="51">
        <f t="shared" si="8"/>
        <v>50990.836105292859</v>
      </c>
      <c r="AD21" s="51">
        <f t="shared" si="8"/>
        <v>52181.050028009122</v>
      </c>
      <c r="AE21" s="51">
        <f t="shared" si="8"/>
        <v>57578.067365457915</v>
      </c>
      <c r="AF21" s="51">
        <f t="shared" si="8"/>
        <v>66528.869506911098</v>
      </c>
      <c r="AG21" s="51">
        <f t="shared" si="8"/>
        <v>70186.221593521885</v>
      </c>
      <c r="AH21" s="51">
        <f t="shared" si="8"/>
        <v>69521.281615287007</v>
      </c>
      <c r="AI21" s="51">
        <f t="shared" si="8"/>
        <v>80802.807442323829</v>
      </c>
      <c r="AJ21" s="51">
        <f t="shared" si="8"/>
        <v>88011.768548571185</v>
      </c>
      <c r="AK21" s="51">
        <f t="shared" si="8"/>
        <v>94136.142113157373</v>
      </c>
      <c r="AL21" s="51">
        <f t="shared" si="8"/>
        <v>102408.2310040709</v>
      </c>
      <c r="AM21" s="51">
        <f t="shared" si="8"/>
        <v>113652.18375543578</v>
      </c>
      <c r="AN21" s="51">
        <f t="shared" si="8"/>
        <v>122499.94576138264</v>
      </c>
      <c r="AO21" s="51">
        <f t="shared" si="8"/>
        <v>134781.70990906068</v>
      </c>
      <c r="AP21" s="51">
        <f t="shared" si="8"/>
        <v>144961.18362684472</v>
      </c>
      <c r="AQ21" s="51">
        <f t="shared" si="8"/>
        <v>144839.8223374472</v>
      </c>
      <c r="AR21" s="51">
        <f t="shared" si="8"/>
        <v>150641.22171207279</v>
      </c>
      <c r="AS21" s="51">
        <f t="shared" si="8"/>
        <v>153924.70757983392</v>
      </c>
      <c r="AT21" s="51">
        <f t="shared" si="8"/>
        <v>162490.39229076257</v>
      </c>
      <c r="AU21" s="51">
        <f t="shared" si="8"/>
        <v>173789.38221453613</v>
      </c>
      <c r="AV21" s="51">
        <f t="shared" si="8"/>
        <v>180101.75269682959</v>
      </c>
      <c r="AW21" s="51">
        <f t="shared" si="8"/>
        <v>183265.49228515025</v>
      </c>
      <c r="AX21" s="51">
        <f t="shared" si="8"/>
        <v>192050.72675892379</v>
      </c>
      <c r="AY21" s="51">
        <f t="shared" si="8"/>
        <v>200612.87235157267</v>
      </c>
      <c r="AZ21" s="51">
        <f t="shared" si="8"/>
        <v>208465.52932285675</v>
      </c>
      <c r="BA21" s="51">
        <f t="shared" si="8"/>
        <v>214795.81946556753</v>
      </c>
      <c r="BB21" s="51">
        <f t="shared" si="8"/>
        <v>220304.66317139202</v>
      </c>
      <c r="BC21" s="51">
        <f t="shared" si="8"/>
        <v>226759.28028688417</v>
      </c>
      <c r="BD21" s="51">
        <f t="shared" si="8"/>
        <v>235132.90414931672</v>
      </c>
      <c r="BE21" s="51">
        <f t="shared" si="8"/>
        <v>244583.10242918268</v>
      </c>
      <c r="BF21" s="51">
        <f t="shared" si="8"/>
        <v>252791.65997320169</v>
      </c>
      <c r="BG21" s="51">
        <f t="shared" si="8"/>
        <v>260884.00820936696</v>
      </c>
    </row>
    <row r="22" spans="1:59" x14ac:dyDescent="0.2">
      <c r="B22" s="41" t="s">
        <v>84</v>
      </c>
      <c r="C22" s="51" t="e">
        <f>C15</f>
        <v>#REF!</v>
      </c>
      <c r="D22" s="51" t="e">
        <f t="shared" ref="D22:BG22" si="9">D15</f>
        <v>#REF!</v>
      </c>
      <c r="E22" s="51" t="e">
        <f t="shared" si="9"/>
        <v>#REF!</v>
      </c>
      <c r="F22" s="51" t="e">
        <f t="shared" si="9"/>
        <v>#REF!</v>
      </c>
      <c r="G22" s="51" t="e">
        <f t="shared" si="9"/>
        <v>#REF!</v>
      </c>
      <c r="H22" s="51" t="e">
        <f t="shared" si="9"/>
        <v>#REF!</v>
      </c>
      <c r="I22" s="51" t="e">
        <f t="shared" si="9"/>
        <v>#REF!</v>
      </c>
      <c r="J22" s="51" t="e">
        <f t="shared" si="9"/>
        <v>#REF!</v>
      </c>
      <c r="K22" s="51" t="e">
        <f t="shared" si="9"/>
        <v>#REF!</v>
      </c>
      <c r="L22" s="51" t="e">
        <f t="shared" si="9"/>
        <v>#REF!</v>
      </c>
      <c r="M22" s="51" t="e">
        <f t="shared" si="9"/>
        <v>#REF!</v>
      </c>
      <c r="N22" s="51" t="e">
        <f t="shared" si="9"/>
        <v>#REF!</v>
      </c>
      <c r="O22" s="51" t="e">
        <f t="shared" si="9"/>
        <v>#REF!</v>
      </c>
      <c r="P22" s="51" t="e">
        <f t="shared" si="9"/>
        <v>#REF!</v>
      </c>
      <c r="Q22" s="51" t="e">
        <f t="shared" si="9"/>
        <v>#REF!</v>
      </c>
      <c r="R22" s="51" t="e">
        <f t="shared" si="9"/>
        <v>#REF!</v>
      </c>
      <c r="S22" s="51" t="e">
        <f t="shared" si="9"/>
        <v>#REF!</v>
      </c>
      <c r="T22" s="51" t="e">
        <f t="shared" si="9"/>
        <v>#REF!</v>
      </c>
      <c r="U22" s="51" t="e">
        <f t="shared" si="9"/>
        <v>#REF!</v>
      </c>
      <c r="V22" s="51" t="e">
        <f t="shared" si="9"/>
        <v>#REF!</v>
      </c>
      <c r="W22" s="51" t="e">
        <f t="shared" si="9"/>
        <v>#REF!</v>
      </c>
      <c r="X22" s="51" t="e">
        <f t="shared" si="9"/>
        <v>#REF!</v>
      </c>
      <c r="Y22" s="51" t="e">
        <f t="shared" si="9"/>
        <v>#REF!</v>
      </c>
      <c r="Z22" s="51" t="e">
        <f t="shared" si="9"/>
        <v>#REF!</v>
      </c>
      <c r="AA22" s="51" t="e">
        <f t="shared" si="9"/>
        <v>#REF!</v>
      </c>
      <c r="AB22" s="51">
        <f t="shared" si="9"/>
        <v>2617.3465521614153</v>
      </c>
      <c r="AC22" s="51">
        <f t="shared" si="9"/>
        <v>2616.3696051957345</v>
      </c>
      <c r="AD22" s="51">
        <f t="shared" si="9"/>
        <v>2946.2306352191449</v>
      </c>
      <c r="AE22" s="51">
        <f t="shared" si="9"/>
        <v>2875.7649570033868</v>
      </c>
      <c r="AF22" s="51">
        <f t="shared" si="9"/>
        <v>2334.1658266133304</v>
      </c>
      <c r="AG22" s="51">
        <f t="shared" si="9"/>
        <v>2105.7580899362902</v>
      </c>
      <c r="AH22" s="51">
        <f t="shared" si="9"/>
        <v>2637.6635834095632</v>
      </c>
      <c r="AI22" s="51">
        <f t="shared" si="9"/>
        <v>4108.8087829859269</v>
      </c>
      <c r="AJ22" s="51">
        <f t="shared" si="9"/>
        <v>5845.8468710639627</v>
      </c>
      <c r="AK22" s="51">
        <f t="shared" si="9"/>
        <v>9042.9414622017648</v>
      </c>
      <c r="AL22" s="51">
        <f t="shared" si="9"/>
        <v>11773.802135417662</v>
      </c>
      <c r="AM22" s="51">
        <f t="shared" si="9"/>
        <v>14649.004882565534</v>
      </c>
      <c r="AN22" s="51">
        <f t="shared" si="9"/>
        <v>17872.249636314838</v>
      </c>
      <c r="AO22" s="51">
        <f t="shared" si="9"/>
        <v>22109.038022241883</v>
      </c>
      <c r="AP22" s="51">
        <f t="shared" si="9"/>
        <v>28385.87408603137</v>
      </c>
      <c r="AQ22" s="51">
        <f t="shared" si="9"/>
        <v>34329.703858565277</v>
      </c>
      <c r="AR22" s="51">
        <f t="shared" si="9"/>
        <v>39513.039796926176</v>
      </c>
      <c r="AS22" s="51">
        <f t="shared" si="9"/>
        <v>43611.441158699854</v>
      </c>
      <c r="AT22" s="51">
        <f t="shared" si="9"/>
        <v>49274.686013367405</v>
      </c>
      <c r="AU22" s="51">
        <f t="shared" si="9"/>
        <v>54568.460360706122</v>
      </c>
      <c r="AV22" s="51">
        <f t="shared" si="9"/>
        <v>59367.418747289048</v>
      </c>
      <c r="AW22" s="51">
        <f t="shared" si="9"/>
        <v>65723.560644280267</v>
      </c>
      <c r="AX22" s="51">
        <f t="shared" si="9"/>
        <v>71104.113122380862</v>
      </c>
      <c r="AY22" s="51">
        <f t="shared" si="9"/>
        <v>75645.955749122993</v>
      </c>
      <c r="AZ22" s="51">
        <f t="shared" si="9"/>
        <v>80008.888037249868</v>
      </c>
      <c r="BA22" s="51">
        <f t="shared" si="9"/>
        <v>84011.517680708275</v>
      </c>
      <c r="BB22" s="51">
        <f t="shared" si="9"/>
        <v>88450.697499456815</v>
      </c>
      <c r="BC22" s="51">
        <f t="shared" si="9"/>
        <v>93788.795837254205</v>
      </c>
      <c r="BD22" s="51">
        <f t="shared" si="9"/>
        <v>99609.393169577772</v>
      </c>
      <c r="BE22" s="51">
        <f t="shared" si="9"/>
        <v>106245.27200681737</v>
      </c>
      <c r="BF22" s="51">
        <f t="shared" si="9"/>
        <v>112486.50143544113</v>
      </c>
      <c r="BG22" s="51">
        <f t="shared" si="9"/>
        <v>118202.62623895226</v>
      </c>
    </row>
    <row r="23" spans="1:59" x14ac:dyDescent="0.2">
      <c r="B23" s="41" t="s">
        <v>85</v>
      </c>
      <c r="C23" s="51" t="e">
        <f>C21-C22</f>
        <v>#REF!</v>
      </c>
      <c r="D23" s="51" t="e">
        <f t="shared" ref="D23:BG23" si="10">D21-D22</f>
        <v>#REF!</v>
      </c>
      <c r="E23" s="51" t="e">
        <f t="shared" si="10"/>
        <v>#REF!</v>
      </c>
      <c r="F23" s="51" t="e">
        <f t="shared" si="10"/>
        <v>#REF!</v>
      </c>
      <c r="G23" s="51" t="e">
        <f t="shared" si="10"/>
        <v>#REF!</v>
      </c>
      <c r="H23" s="51" t="e">
        <f t="shared" si="10"/>
        <v>#REF!</v>
      </c>
      <c r="I23" s="51" t="e">
        <f t="shared" si="10"/>
        <v>#REF!</v>
      </c>
      <c r="J23" s="51" t="e">
        <f t="shared" si="10"/>
        <v>#REF!</v>
      </c>
      <c r="K23" s="51" t="e">
        <f t="shared" si="10"/>
        <v>#REF!</v>
      </c>
      <c r="L23" s="51" t="e">
        <f t="shared" si="10"/>
        <v>#REF!</v>
      </c>
      <c r="M23" s="51" t="e">
        <f t="shared" si="10"/>
        <v>#REF!</v>
      </c>
      <c r="N23" s="51" t="e">
        <f t="shared" si="10"/>
        <v>#REF!</v>
      </c>
      <c r="O23" s="51" t="e">
        <f t="shared" si="10"/>
        <v>#REF!</v>
      </c>
      <c r="P23" s="51" t="e">
        <f t="shared" si="10"/>
        <v>#REF!</v>
      </c>
      <c r="Q23" s="51" t="e">
        <f t="shared" si="10"/>
        <v>#REF!</v>
      </c>
      <c r="R23" s="51" t="e">
        <f t="shared" si="10"/>
        <v>#REF!</v>
      </c>
      <c r="S23" s="51" t="e">
        <f t="shared" si="10"/>
        <v>#REF!</v>
      </c>
      <c r="T23" s="51" t="e">
        <f t="shared" si="10"/>
        <v>#REF!</v>
      </c>
      <c r="U23" s="51" t="e">
        <f t="shared" si="10"/>
        <v>#REF!</v>
      </c>
      <c r="V23" s="51" t="e">
        <f t="shared" si="10"/>
        <v>#REF!</v>
      </c>
      <c r="W23" s="51" t="e">
        <f t="shared" si="10"/>
        <v>#REF!</v>
      </c>
      <c r="X23" s="51" t="e">
        <f t="shared" si="10"/>
        <v>#REF!</v>
      </c>
      <c r="Y23" s="51" t="e">
        <f t="shared" si="10"/>
        <v>#REF!</v>
      </c>
      <c r="Z23" s="51" t="e">
        <f t="shared" si="10"/>
        <v>#REF!</v>
      </c>
      <c r="AA23" s="51" t="e">
        <f t="shared" si="10"/>
        <v>#REF!</v>
      </c>
      <c r="AB23" s="51">
        <f t="shared" si="10"/>
        <v>47536.158192385541</v>
      </c>
      <c r="AC23" s="51">
        <f t="shared" si="10"/>
        <v>48374.466500097122</v>
      </c>
      <c r="AD23" s="51">
        <f t="shared" si="10"/>
        <v>49234.819392789977</v>
      </c>
      <c r="AE23" s="51">
        <f t="shared" si="10"/>
        <v>54702.302408454525</v>
      </c>
      <c r="AF23" s="51">
        <f t="shared" si="10"/>
        <v>64194.703680297767</v>
      </c>
      <c r="AG23" s="51">
        <f t="shared" si="10"/>
        <v>68080.46350358559</v>
      </c>
      <c r="AH23" s="51">
        <f t="shared" si="10"/>
        <v>66883.618031877442</v>
      </c>
      <c r="AI23" s="51">
        <f t="shared" si="10"/>
        <v>76693.9986593379</v>
      </c>
      <c r="AJ23" s="51">
        <f t="shared" si="10"/>
        <v>82165.921677507227</v>
      </c>
      <c r="AK23" s="51">
        <f t="shared" si="10"/>
        <v>85093.200650955609</v>
      </c>
      <c r="AL23" s="51">
        <f t="shared" si="10"/>
        <v>90634.428868653238</v>
      </c>
      <c r="AM23" s="51">
        <f t="shared" si="10"/>
        <v>99003.178872870238</v>
      </c>
      <c r="AN23" s="51">
        <f t="shared" si="10"/>
        <v>104627.6961250678</v>
      </c>
      <c r="AO23" s="51">
        <f t="shared" si="10"/>
        <v>112672.6718868188</v>
      </c>
      <c r="AP23" s="51">
        <f t="shared" si="10"/>
        <v>116575.30954081335</v>
      </c>
      <c r="AQ23" s="51">
        <f t="shared" si="10"/>
        <v>110510.11847888192</v>
      </c>
      <c r="AR23" s="51">
        <f t="shared" si="10"/>
        <v>111128.18191514662</v>
      </c>
      <c r="AS23" s="51">
        <f t="shared" si="10"/>
        <v>110313.26642113406</v>
      </c>
      <c r="AT23" s="51">
        <f t="shared" si="10"/>
        <v>113215.70627739516</v>
      </c>
      <c r="AU23" s="51">
        <f t="shared" si="10"/>
        <v>119220.92185383002</v>
      </c>
      <c r="AV23" s="51">
        <f t="shared" si="10"/>
        <v>120734.33394954054</v>
      </c>
      <c r="AW23" s="51">
        <f t="shared" si="10"/>
        <v>117541.93164086998</v>
      </c>
      <c r="AX23" s="51">
        <f t="shared" si="10"/>
        <v>120946.61363654293</v>
      </c>
      <c r="AY23" s="51">
        <f t="shared" si="10"/>
        <v>124966.91660244968</v>
      </c>
      <c r="AZ23" s="51">
        <f t="shared" si="10"/>
        <v>128456.64128560688</v>
      </c>
      <c r="BA23" s="51">
        <f t="shared" si="10"/>
        <v>130784.30178485926</v>
      </c>
      <c r="BB23" s="51">
        <f t="shared" si="10"/>
        <v>131853.96567193521</v>
      </c>
      <c r="BC23" s="51">
        <f t="shared" si="10"/>
        <v>132970.48444962996</v>
      </c>
      <c r="BD23" s="51">
        <f t="shared" si="10"/>
        <v>135523.51097973896</v>
      </c>
      <c r="BE23" s="51">
        <f t="shared" si="10"/>
        <v>138337.83042236531</v>
      </c>
      <c r="BF23" s="51">
        <f t="shared" si="10"/>
        <v>140305.15853776055</v>
      </c>
      <c r="BG23" s="51">
        <f t="shared" si="10"/>
        <v>142681.38197041472</v>
      </c>
    </row>
    <row r="24" spans="1:59" x14ac:dyDescent="0.2">
      <c r="B24" s="41" t="s">
        <v>86</v>
      </c>
      <c r="C24" s="52" t="e">
        <f>C23-C14</f>
        <v>#REF!</v>
      </c>
      <c r="D24" s="52" t="e">
        <f t="shared" ref="D24:AD24" si="11">D23-D14</f>
        <v>#REF!</v>
      </c>
      <c r="E24" s="52" t="e">
        <f t="shared" si="11"/>
        <v>#REF!</v>
      </c>
      <c r="F24" s="52" t="e">
        <f t="shared" si="11"/>
        <v>#REF!</v>
      </c>
      <c r="G24" s="52" t="e">
        <f t="shared" si="11"/>
        <v>#REF!</v>
      </c>
      <c r="H24" s="52" t="e">
        <f t="shared" si="11"/>
        <v>#REF!</v>
      </c>
      <c r="I24" s="52" t="e">
        <f t="shared" si="11"/>
        <v>#REF!</v>
      </c>
      <c r="J24" s="52" t="e">
        <f t="shared" si="11"/>
        <v>#REF!</v>
      </c>
      <c r="K24" s="52" t="e">
        <f t="shared" si="11"/>
        <v>#REF!</v>
      </c>
      <c r="L24" s="52" t="e">
        <f t="shared" si="11"/>
        <v>#REF!</v>
      </c>
      <c r="M24" s="52" t="e">
        <f t="shared" si="11"/>
        <v>#REF!</v>
      </c>
      <c r="N24" s="52" t="e">
        <f t="shared" si="11"/>
        <v>#REF!</v>
      </c>
      <c r="O24" s="52" t="e">
        <f t="shared" si="11"/>
        <v>#REF!</v>
      </c>
      <c r="P24" s="52" t="e">
        <f t="shared" si="11"/>
        <v>#REF!</v>
      </c>
      <c r="Q24" s="52" t="e">
        <f t="shared" si="11"/>
        <v>#REF!</v>
      </c>
      <c r="R24" s="52" t="e">
        <f t="shared" si="11"/>
        <v>#REF!</v>
      </c>
      <c r="S24" s="52" t="e">
        <f t="shared" si="11"/>
        <v>#REF!</v>
      </c>
      <c r="T24" s="52" t="e">
        <f t="shared" si="11"/>
        <v>#REF!</v>
      </c>
      <c r="U24" s="52" t="e">
        <f t="shared" si="11"/>
        <v>#REF!</v>
      </c>
      <c r="V24" s="52" t="e">
        <f t="shared" si="11"/>
        <v>#REF!</v>
      </c>
      <c r="W24" s="52" t="e">
        <f t="shared" si="11"/>
        <v>#REF!</v>
      </c>
      <c r="X24" s="52" t="e">
        <f t="shared" si="11"/>
        <v>#REF!</v>
      </c>
      <c r="Y24" s="52" t="e">
        <f t="shared" si="11"/>
        <v>#REF!</v>
      </c>
      <c r="Z24" s="52" t="e">
        <f t="shared" si="11"/>
        <v>#REF!</v>
      </c>
      <c r="AA24" s="52" t="e">
        <f t="shared" si="11"/>
        <v>#REF!</v>
      </c>
      <c r="AB24" s="52">
        <f t="shared" si="11"/>
        <v>0</v>
      </c>
      <c r="AC24" s="52">
        <f>AC23-AC14</f>
        <v>0</v>
      </c>
      <c r="AD24" s="52">
        <f t="shared" si="11"/>
        <v>0</v>
      </c>
      <c r="AE24" s="52">
        <f>AE23-AE14</f>
        <v>0</v>
      </c>
      <c r="AF24" s="52">
        <f t="shared" ref="AF24:BG24" si="12">AF23-AF14</f>
        <v>0</v>
      </c>
      <c r="AG24" s="52">
        <f t="shared" si="12"/>
        <v>0</v>
      </c>
      <c r="AH24" s="52">
        <f t="shared" si="12"/>
        <v>0</v>
      </c>
      <c r="AI24" s="52">
        <f t="shared" si="12"/>
        <v>0</v>
      </c>
      <c r="AJ24" s="52">
        <f t="shared" si="12"/>
        <v>0</v>
      </c>
      <c r="AK24" s="52">
        <f t="shared" si="12"/>
        <v>0</v>
      </c>
      <c r="AL24" s="52">
        <f t="shared" si="12"/>
        <v>0</v>
      </c>
      <c r="AM24" s="52">
        <f t="shared" si="12"/>
        <v>0</v>
      </c>
      <c r="AN24" s="52">
        <f t="shared" si="12"/>
        <v>0</v>
      </c>
      <c r="AO24" s="52">
        <f t="shared" si="12"/>
        <v>0</v>
      </c>
      <c r="AP24" s="52">
        <f t="shared" si="12"/>
        <v>0</v>
      </c>
      <c r="AQ24" s="52">
        <f t="shared" si="12"/>
        <v>0</v>
      </c>
      <c r="AR24" s="52">
        <f t="shared" si="12"/>
        <v>0</v>
      </c>
      <c r="AS24" s="52">
        <f t="shared" si="12"/>
        <v>0</v>
      </c>
      <c r="AT24" s="52">
        <f t="shared" si="12"/>
        <v>0</v>
      </c>
      <c r="AU24" s="52">
        <f t="shared" si="12"/>
        <v>0</v>
      </c>
      <c r="AV24" s="52">
        <f t="shared" si="12"/>
        <v>0</v>
      </c>
      <c r="AW24" s="52">
        <f t="shared" si="12"/>
        <v>0</v>
      </c>
      <c r="AX24" s="52">
        <f t="shared" si="12"/>
        <v>0</v>
      </c>
      <c r="AY24" s="52">
        <f t="shared" si="12"/>
        <v>0</v>
      </c>
      <c r="AZ24" s="52">
        <f t="shared" si="12"/>
        <v>0</v>
      </c>
      <c r="BA24" s="52">
        <f t="shared" si="12"/>
        <v>0</v>
      </c>
      <c r="BB24" s="52">
        <f t="shared" si="12"/>
        <v>0</v>
      </c>
      <c r="BC24" s="52">
        <f t="shared" si="12"/>
        <v>0</v>
      </c>
      <c r="BD24" s="52">
        <f t="shared" si="12"/>
        <v>0</v>
      </c>
      <c r="BE24" s="52">
        <f t="shared" si="12"/>
        <v>0</v>
      </c>
      <c r="BF24" s="52">
        <f t="shared" si="12"/>
        <v>0</v>
      </c>
      <c r="BG24" s="52">
        <f t="shared" si="12"/>
        <v>0</v>
      </c>
    </row>
    <row r="26" spans="1:59" x14ac:dyDescent="0.2">
      <c r="B26" s="41" t="s">
        <v>87</v>
      </c>
      <c r="AC26" s="41">
        <v>0</v>
      </c>
      <c r="AD26" s="41">
        <f>11</f>
        <v>11</v>
      </c>
      <c r="AE26" s="41">
        <f>AD26+33+8.5</f>
        <v>52.5</v>
      </c>
      <c r="AF26" s="41">
        <f>AE26+45</f>
        <v>97.5</v>
      </c>
      <c r="AG26" s="41">
        <f>AF26+46+120+60</f>
        <v>323.5</v>
      </c>
      <c r="AH26" s="41">
        <f>AG26+32+45</f>
        <v>400.5</v>
      </c>
      <c r="AI26" s="41">
        <f>AH26</f>
        <v>400.5</v>
      </c>
      <c r="AJ26" s="41">
        <f>AI26+35</f>
        <v>435.5</v>
      </c>
      <c r="AK26" s="41">
        <f>AJ26</f>
        <v>435.5</v>
      </c>
      <c r="AL26" s="41">
        <f t="shared" ref="AL26:AS26" si="13">AK26</f>
        <v>435.5</v>
      </c>
      <c r="AM26" s="41">
        <f t="shared" si="13"/>
        <v>435.5</v>
      </c>
      <c r="AN26" s="41">
        <f t="shared" si="13"/>
        <v>435.5</v>
      </c>
      <c r="AO26" s="41">
        <f t="shared" si="13"/>
        <v>435.5</v>
      </c>
      <c r="AP26" s="41">
        <f t="shared" si="13"/>
        <v>435.5</v>
      </c>
      <c r="AQ26" s="41">
        <f t="shared" si="13"/>
        <v>435.5</v>
      </c>
      <c r="AR26" s="41">
        <f t="shared" si="13"/>
        <v>435.5</v>
      </c>
      <c r="AS26" s="41">
        <f t="shared" si="13"/>
        <v>435.5</v>
      </c>
    </row>
    <row r="27" spans="1:59" x14ac:dyDescent="0.2">
      <c r="B27" s="41" t="s">
        <v>10</v>
      </c>
      <c r="AC27" s="51">
        <f>[3]Biodiesel!L$15/1000000</f>
        <v>1824.8756579999999</v>
      </c>
      <c r="AD27" s="51">
        <f>[3]Biodiesel!M$15/1000000</f>
        <v>1704.629355</v>
      </c>
      <c r="AE27" s="51">
        <f>[3]Biodiesel!N$15/1000000</f>
        <v>1620.2110849999999</v>
      </c>
      <c r="AF27" s="51">
        <f>[3]Biodiesel!O$15/1000000</f>
        <v>1670.3208360000001</v>
      </c>
      <c r="AG27" s="51">
        <f>[3]Biodiesel!P$15/1000000</f>
        <v>1669.24854</v>
      </c>
      <c r="AH27" s="51" t="e">
        <f>[3]Biodiesel!Q$15/1000000</f>
        <v>#REF!</v>
      </c>
      <c r="AI27" s="51" t="e">
        <f>[3]Biodiesel!R$15/1000000</f>
        <v>#REF!</v>
      </c>
      <c r="AJ27" s="51" t="e">
        <f>[3]Biodiesel!S$15/1000000</f>
        <v>#REF!</v>
      </c>
      <c r="AK27" s="51" t="e">
        <f>[3]Biodiesel!T$15/1000000</f>
        <v>#REF!</v>
      </c>
      <c r="AL27" s="51" t="e">
        <f>[3]Biodiesel!U$15/1000000</f>
        <v>#REF!</v>
      </c>
      <c r="AM27" s="51" t="e">
        <f>[3]Biodiesel!V$15/1000000</f>
        <v>#REF!</v>
      </c>
      <c r="AN27" s="51" t="e">
        <f>[3]Biodiesel!W$15/1000000</f>
        <v>#REF!</v>
      </c>
      <c r="AO27" s="51" t="e">
        <f>[3]Biodiesel!X$15/1000000</f>
        <v>#REF!</v>
      </c>
      <c r="AP27" s="51" t="e">
        <f>[3]Biodiesel!Y$15/1000000</f>
        <v>#REF!</v>
      </c>
      <c r="AQ27" s="51" t="e">
        <f>[3]Biodiesel!Z$15/1000000</f>
        <v>#REF!</v>
      </c>
      <c r="AR27" s="51" t="e">
        <f>[3]Biodiesel!AA$15/1000000</f>
        <v>#REF!</v>
      </c>
      <c r="AS27" s="51" t="e">
        <f>[3]Biodiesel!AB$15/1000000</f>
        <v>#REF!</v>
      </c>
    </row>
    <row r="28" spans="1:59" x14ac:dyDescent="0.2">
      <c r="B28" s="41" t="s">
        <v>14</v>
      </c>
      <c r="AC28" s="51">
        <f>'[3]Renewable Diesel'!L$15/1000000</f>
        <v>949.79028500000004</v>
      </c>
      <c r="AD28" s="51">
        <f>'[3]Renewable Diesel'!M$15/1000000</f>
        <v>1291.683037</v>
      </c>
      <c r="AE28" s="51">
        <f>'[3]Renewable Diesel'!N$15/1000000</f>
        <v>1867.8796219999999</v>
      </c>
      <c r="AF28" s="51">
        <f>'[3]Renewable Diesel'!O$15/1000000</f>
        <v>2908.1931679999998</v>
      </c>
      <c r="AG28" s="51">
        <f>'[3]Renewable Diesel'!P$15/1000000</f>
        <v>3563.9305629999999</v>
      </c>
      <c r="AH28" s="51">
        <f>'[3]Renewable Diesel'!Q$15/1000000</f>
        <v>2774.4009744209366</v>
      </c>
      <c r="AI28" s="51">
        <f>'[3]Renewable Diesel'!R$15/1000000</f>
        <v>2962.7996131736604</v>
      </c>
      <c r="AJ28" s="51">
        <f>'[3]Renewable Diesel'!S$15/1000000</f>
        <v>3218.9172665645237</v>
      </c>
      <c r="AK28" s="51">
        <f>'[3]Renewable Diesel'!T$15/1000000</f>
        <v>3254.9065660596152</v>
      </c>
      <c r="AL28" s="51">
        <f>'[3]Renewable Diesel'!U$15/1000000</f>
        <v>3257.9321857916116</v>
      </c>
      <c r="AM28" s="51">
        <f>'[3]Renewable Diesel'!V$15/1000000</f>
        <v>3382.5732552890577</v>
      </c>
      <c r="AN28" s="51">
        <f>'[3]Renewable Diesel'!W$15/1000000</f>
        <v>3651.2031103205154</v>
      </c>
      <c r="AO28" s="51">
        <f>'[3]Renewable Diesel'!X$15/1000000</f>
        <v>4273.9432456252844</v>
      </c>
      <c r="AP28" s="51">
        <f>'[3]Renewable Diesel'!Y$15/1000000</f>
        <v>4245.1113777250666</v>
      </c>
      <c r="AQ28" s="51">
        <f>'[3]Renewable Diesel'!Z$15/1000000</f>
        <v>4123.7273219107874</v>
      </c>
      <c r="AR28" s="51">
        <f>'[3]Renewable Diesel'!AA$15/1000000</f>
        <v>4359.8034924501262</v>
      </c>
      <c r="AS28" s="51">
        <f>'[3]Renewable Diesel'!AB$15/1000000</f>
        <v>4609.7905755408519</v>
      </c>
    </row>
    <row r="29" spans="1:59" x14ac:dyDescent="0.2">
      <c r="B29" s="41" t="s">
        <v>12</v>
      </c>
      <c r="AC29" s="51">
        <f>'[4]10 Year RFS Curves (2020)'!E$48*1000/2</f>
        <v>2.3041995000000002</v>
      </c>
      <c r="AD29" s="51">
        <f>'[4]10 Year RFS Curves (2020)'!F$48*1000/2</f>
        <v>2.5383114999999998</v>
      </c>
      <c r="AE29" s="51">
        <f>'[4]10 Year RFS Curves (2020)'!G$48*1000/2</f>
        <v>3.9465684999999997</v>
      </c>
      <c r="AF29" s="51">
        <f>'[4]10 Year RFS Curves (2020)'!H$48*1000/2</f>
        <v>6.0953984999999999</v>
      </c>
      <c r="AG29" s="51">
        <f>'[4]10 Year RFS Curves (2020)'!I$48*1000/2</f>
        <v>19.335384999999999</v>
      </c>
      <c r="AH29" s="51">
        <f>'[4]10 Year RFS Curves (2020)'!J$48*1000/2</f>
        <v>39.869957078815474</v>
      </c>
      <c r="AI29" s="51">
        <f>'[4]10 Year RFS Curves (2020)'!K$48*1000/2</f>
        <v>184.35398091527577</v>
      </c>
      <c r="AJ29" s="51">
        <f>'[4]10 Year RFS Curves (2020)'!L$48*1000/2</f>
        <v>441.67489721935164</v>
      </c>
      <c r="AK29" s="51">
        <f>'[4]10 Year RFS Curves (2020)'!M$48*1000/2</f>
        <v>578.70920174694663</v>
      </c>
      <c r="AL29" s="51">
        <f>'[4]10 Year RFS Curves (2020)'!N$48*1000/2</f>
        <v>757.87294767276444</v>
      </c>
      <c r="AM29" s="51">
        <f>'[4]10 Year RFS Curves (2020)'!O$48*1000/2</f>
        <v>878.01621398076804</v>
      </c>
      <c r="AN29" s="51">
        <f>'[4]10 Year RFS Curves (2020)'!P$48*1000/2</f>
        <v>1025.2582407064681</v>
      </c>
      <c r="AO29" s="51">
        <f>'[4]10 Year RFS Curves (2020)'!Q$48*1000/2</f>
        <v>1375.5535040332295</v>
      </c>
      <c r="AP29" s="51">
        <f>'[4]10 Year RFS Curves (2020)'!R$48*1000/2</f>
        <v>1580.303245142326</v>
      </c>
      <c r="AQ29" s="51">
        <f>'[4]10 Year RFS Curves (2020)'!S$48*1000/2</f>
        <v>1662.2968932171834</v>
      </c>
      <c r="AR29" s="51">
        <f>'[4]10 Year RFS Curves (2020)'!T$48*1000/2</f>
        <v>1794.4767783586101</v>
      </c>
      <c r="AS29" s="51">
        <f>'[4]10 Year RFS Curves (2020)'!U$48*1000/2</f>
        <v>2070.9407065292062</v>
      </c>
    </row>
    <row r="30" spans="1:59" x14ac:dyDescent="0.2">
      <c r="B30" s="41" t="s">
        <v>88</v>
      </c>
      <c r="AC30" s="51">
        <f>SUM(AC27:AC29)</f>
        <v>2776.9701424999998</v>
      </c>
      <c r="AD30" s="51">
        <f t="shared" ref="AD30:AS30" si="14">SUM(AD27:AD29)</f>
        <v>2998.8507034999998</v>
      </c>
      <c r="AE30" s="51">
        <f>SUM(AE27:AE29)</f>
        <v>3492.0372754999999</v>
      </c>
      <c r="AF30" s="51">
        <f t="shared" si="14"/>
        <v>4584.6094024999993</v>
      </c>
      <c r="AG30" s="51">
        <f t="shared" si="14"/>
        <v>5252.5144880000007</v>
      </c>
      <c r="AH30" s="51" t="e">
        <f t="shared" si="14"/>
        <v>#REF!</v>
      </c>
      <c r="AI30" s="51" t="e">
        <f t="shared" si="14"/>
        <v>#REF!</v>
      </c>
      <c r="AJ30" s="51" t="e">
        <f t="shared" si="14"/>
        <v>#REF!</v>
      </c>
      <c r="AK30" s="51" t="e">
        <f t="shared" si="14"/>
        <v>#REF!</v>
      </c>
      <c r="AL30" s="51" t="e">
        <f t="shared" si="14"/>
        <v>#REF!</v>
      </c>
      <c r="AM30" s="51" t="e">
        <f t="shared" si="14"/>
        <v>#REF!</v>
      </c>
      <c r="AN30" s="51" t="e">
        <f t="shared" si="14"/>
        <v>#REF!</v>
      </c>
      <c r="AO30" s="51" t="e">
        <f t="shared" si="14"/>
        <v>#REF!</v>
      </c>
      <c r="AP30" s="51" t="e">
        <f t="shared" si="14"/>
        <v>#REF!</v>
      </c>
      <c r="AQ30" s="51" t="e">
        <f t="shared" si="14"/>
        <v>#REF!</v>
      </c>
      <c r="AR30" s="51" t="e">
        <f t="shared" si="14"/>
        <v>#REF!</v>
      </c>
      <c r="AS30" s="51" t="e">
        <f t="shared" si="14"/>
        <v>#REF!</v>
      </c>
    </row>
    <row r="31" spans="1:59" x14ac:dyDescent="0.2">
      <c r="B31" s="41" t="s">
        <v>89</v>
      </c>
      <c r="AC31" s="53">
        <f>((AC26*7.5)+AC9)/SUM(AC27:AC28)</f>
        <v>6.8855110797695307</v>
      </c>
      <c r="AD31" s="53">
        <f>((AD26*7.5)+AD9)/SUM(AD27:AD28)</f>
        <v>6.5920527382576166</v>
      </c>
      <c r="AE31" s="54">
        <f t="shared" ref="AE31:AS31" si="15">AE9/AE30</f>
        <v>8.5174876770090808</v>
      </c>
      <c r="AF31" s="54">
        <f t="shared" si="15"/>
        <v>8.8091705590691394</v>
      </c>
      <c r="AG31" s="54">
        <f t="shared" si="15"/>
        <v>8.4341374783298075</v>
      </c>
      <c r="AH31" s="54" t="e">
        <f t="shared" si="15"/>
        <v>#REF!</v>
      </c>
      <c r="AI31" s="54" t="e">
        <f t="shared" si="15"/>
        <v>#REF!</v>
      </c>
      <c r="AJ31" s="54" t="e">
        <f t="shared" si="15"/>
        <v>#REF!</v>
      </c>
      <c r="AK31" s="54" t="e">
        <f t="shared" si="15"/>
        <v>#REF!</v>
      </c>
      <c r="AL31" s="54" t="e">
        <f t="shared" si="15"/>
        <v>#REF!</v>
      </c>
      <c r="AM31" s="54" t="e">
        <f t="shared" si="15"/>
        <v>#REF!</v>
      </c>
      <c r="AN31" s="54" t="e">
        <f t="shared" si="15"/>
        <v>#REF!</v>
      </c>
      <c r="AO31" s="54" t="e">
        <f t="shared" si="15"/>
        <v>#REF!</v>
      </c>
      <c r="AP31" s="54" t="e">
        <f t="shared" si="15"/>
        <v>#REF!</v>
      </c>
      <c r="AQ31" s="54" t="e">
        <f t="shared" si="15"/>
        <v>#REF!</v>
      </c>
      <c r="AR31" s="54" t="e">
        <f t="shared" si="15"/>
        <v>#REF!</v>
      </c>
      <c r="AS31" s="54" t="e">
        <f t="shared" si="15"/>
        <v>#REF!</v>
      </c>
    </row>
    <row r="32" spans="1:59" x14ac:dyDescent="0.2">
      <c r="B32" s="41" t="s">
        <v>90</v>
      </c>
      <c r="AC32" s="54">
        <f t="shared" ref="AC32:AS32" si="16">AC10/AC27</f>
        <v>7.2978580516983991</v>
      </c>
      <c r="AD32" s="54">
        <f t="shared" si="16"/>
        <v>7.0282986815074215</v>
      </c>
      <c r="AE32" s="54">
        <f t="shared" si="16"/>
        <v>8.34058869125111</v>
      </c>
      <c r="AF32" s="54">
        <f t="shared" si="16"/>
        <v>8.6820424408629151</v>
      </c>
      <c r="AG32" s="54">
        <f t="shared" si="16"/>
        <v>7.9379683410661004</v>
      </c>
      <c r="AH32" s="54" t="e">
        <f t="shared" si="16"/>
        <v>#REF!</v>
      </c>
      <c r="AI32" s="54" t="e">
        <f t="shared" si="16"/>
        <v>#REF!</v>
      </c>
      <c r="AJ32" s="54" t="e">
        <f t="shared" si="16"/>
        <v>#REF!</v>
      </c>
      <c r="AK32" s="54" t="e">
        <f t="shared" si="16"/>
        <v>#REF!</v>
      </c>
      <c r="AL32" s="54" t="e">
        <f t="shared" si="16"/>
        <v>#REF!</v>
      </c>
      <c r="AM32" s="54" t="e">
        <f t="shared" si="16"/>
        <v>#REF!</v>
      </c>
      <c r="AN32" s="54" t="e">
        <f t="shared" si="16"/>
        <v>#REF!</v>
      </c>
      <c r="AO32" s="54" t="e">
        <f t="shared" si="16"/>
        <v>#REF!</v>
      </c>
      <c r="AP32" s="54" t="e">
        <f t="shared" si="16"/>
        <v>#REF!</v>
      </c>
      <c r="AQ32" s="54" t="e">
        <f t="shared" si="16"/>
        <v>#REF!</v>
      </c>
      <c r="AR32" s="54" t="e">
        <f t="shared" si="16"/>
        <v>#REF!</v>
      </c>
      <c r="AS32" s="54" t="e">
        <f t="shared" si="16"/>
        <v>#REF!</v>
      </c>
    </row>
    <row r="33" spans="2:45" x14ac:dyDescent="0.2">
      <c r="B33" s="41" t="s">
        <v>91</v>
      </c>
      <c r="AC33" s="54">
        <f>((AC26*7.5)+SUM(AC11:AC11))/AC28</f>
        <v>6.0932499210622675</v>
      </c>
      <c r="AD33" s="54">
        <f>((AD26*7.5)+SUM(AD11:AD11))/AD28</f>
        <v>6.0163405708280449</v>
      </c>
      <c r="AE33" s="54">
        <f t="shared" ref="AE33:AS33" si="17">SUM(AE11:AE11)/AE28</f>
        <v>8.6889272828829665</v>
      </c>
      <c r="AF33" s="54">
        <f t="shared" si="17"/>
        <v>8.9006500909725439</v>
      </c>
      <c r="AG33" s="54">
        <f t="shared" si="17"/>
        <v>8.7122873709086619</v>
      </c>
      <c r="AH33" s="54">
        <f t="shared" si="17"/>
        <v>9.642184838687669</v>
      </c>
      <c r="AI33" s="54">
        <f t="shared" si="17"/>
        <v>11.878905948808383</v>
      </c>
      <c r="AJ33" s="54">
        <f t="shared" si="17"/>
        <v>13.63271213513473</v>
      </c>
      <c r="AK33" s="54">
        <f t="shared" si="17"/>
        <v>14.39847750972619</v>
      </c>
      <c r="AL33" s="54">
        <f t="shared" si="17"/>
        <v>15.733870937390201</v>
      </c>
      <c r="AM33" s="54">
        <f t="shared" si="17"/>
        <v>17.352816474010886</v>
      </c>
      <c r="AN33" s="54">
        <f t="shared" si="17"/>
        <v>17.699360166801522</v>
      </c>
      <c r="AO33" s="54">
        <f t="shared" si="17"/>
        <v>17.966864456554063</v>
      </c>
      <c r="AP33" s="54">
        <f t="shared" si="17"/>
        <v>18.446463542051102</v>
      </c>
      <c r="AQ33" s="54">
        <f t="shared" si="17"/>
        <v>17.737181936244021</v>
      </c>
      <c r="AR33" s="54">
        <f t="shared" si="17"/>
        <v>17.581433329259966</v>
      </c>
      <c r="AS33" s="54">
        <f t="shared" si="17"/>
        <v>15.496126564211288</v>
      </c>
    </row>
    <row r="34" spans="2:45" x14ac:dyDescent="0.2">
      <c r="B34" s="41" t="s">
        <v>92</v>
      </c>
      <c r="AC34" s="53">
        <f>((AC26*7.5)+AC9)/SUM(AC27:AC29)</f>
        <v>6.8797978058151461</v>
      </c>
      <c r="AD34" s="53">
        <f>((AD26*7.5)+AD9)/SUM(AD27:AD29)</f>
        <v>6.5864730395901923</v>
      </c>
      <c r="AE34" s="54">
        <f>AE9/SUM(AE27:AE29)</f>
        <v>8.5174876770090808</v>
      </c>
      <c r="AF34" s="54">
        <f t="shared" ref="AF34:AS34" si="18">((AF26*7.5)+AF9)/SUM(AF27:AF29)</f>
        <v>8.9686716061160805</v>
      </c>
      <c r="AG34" s="54">
        <f t="shared" si="18"/>
        <v>8.8960590980688981</v>
      </c>
      <c r="AH34" s="54" t="e">
        <f t="shared" si="18"/>
        <v>#REF!</v>
      </c>
      <c r="AI34" s="54" t="e">
        <f t="shared" si="18"/>
        <v>#REF!</v>
      </c>
      <c r="AJ34" s="54" t="e">
        <f t="shared" si="18"/>
        <v>#REF!</v>
      </c>
      <c r="AK34" s="54" t="e">
        <f t="shared" si="18"/>
        <v>#REF!</v>
      </c>
      <c r="AL34" s="54" t="e">
        <f t="shared" si="18"/>
        <v>#REF!</v>
      </c>
      <c r="AM34" s="54" t="e">
        <f t="shared" si="18"/>
        <v>#REF!</v>
      </c>
      <c r="AN34" s="54" t="e">
        <f t="shared" si="18"/>
        <v>#REF!</v>
      </c>
      <c r="AO34" s="54" t="e">
        <f t="shared" si="18"/>
        <v>#REF!</v>
      </c>
      <c r="AP34" s="54" t="e">
        <f t="shared" si="18"/>
        <v>#REF!</v>
      </c>
      <c r="AQ34" s="54" t="e">
        <f t="shared" si="18"/>
        <v>#REF!</v>
      </c>
      <c r="AR34" s="54" t="e">
        <f t="shared" si="18"/>
        <v>#REF!</v>
      </c>
      <c r="AS34" s="54" t="e">
        <f t="shared" si="18"/>
        <v>#REF!</v>
      </c>
    </row>
    <row r="37" spans="2:45" x14ac:dyDescent="0.2">
      <c r="B37" s="41" t="s">
        <v>93</v>
      </c>
      <c r="AC37" s="41">
        <v>17835</v>
      </c>
      <c r="AD37" s="41">
        <v>18010</v>
      </c>
      <c r="AE37" s="51">
        <v>22261.907890693532</v>
      </c>
      <c r="AF37" s="51">
        <v>25620.431774949724</v>
      </c>
      <c r="AG37" s="51">
        <v>25530.220092692169</v>
      </c>
      <c r="AH37" s="51">
        <v>28359.956784287078</v>
      </c>
      <c r="AI37" s="51">
        <v>29959.049899058125</v>
      </c>
      <c r="AJ37" s="51">
        <v>31798.027418580725</v>
      </c>
      <c r="AK37" s="51">
        <v>32297.796274617391</v>
      </c>
      <c r="AL37" s="51">
        <v>33264.270529703783</v>
      </c>
      <c r="AM37" s="51">
        <v>34936.646943703578</v>
      </c>
      <c r="AN37" s="51">
        <v>35960.507474661368</v>
      </c>
      <c r="AO37" s="51">
        <v>36999.567794614777</v>
      </c>
      <c r="AP37" s="51">
        <v>36856.579794515186</v>
      </c>
    </row>
    <row r="38" spans="2:45" x14ac:dyDescent="0.2">
      <c r="B38" s="41" t="s">
        <v>94</v>
      </c>
      <c r="AC38" s="51">
        <f t="shared" ref="AC38:AP38" si="19">AC9-AC37</f>
        <v>1269.9930931856725</v>
      </c>
      <c r="AD38" s="51">
        <f t="shared" si="19"/>
        <v>1659.3493083588291</v>
      </c>
      <c r="AE38" s="51">
        <f t="shared" si="19"/>
        <v>7481.4765710340798</v>
      </c>
      <c r="AF38" s="51">
        <f t="shared" si="19"/>
        <v>14766.174398384832</v>
      </c>
      <c r="AG38" s="51">
        <f t="shared" si="19"/>
        <v>18770.209206018935</v>
      </c>
      <c r="AH38" s="51">
        <f t="shared" si="19"/>
        <v>11104.462223495877</v>
      </c>
      <c r="AI38" s="51">
        <f t="shared" si="19"/>
        <v>17136.542913195939</v>
      </c>
      <c r="AJ38" s="51">
        <f t="shared" si="19"/>
        <v>24090.146985268071</v>
      </c>
      <c r="AK38" s="51">
        <f t="shared" si="19"/>
        <v>23987.475407376576</v>
      </c>
      <c r="AL38" s="51">
        <f t="shared" si="19"/>
        <v>28325.140643380895</v>
      </c>
      <c r="AM38" s="51">
        <f t="shared" si="19"/>
        <v>34100.093347997834</v>
      </c>
      <c r="AN38" s="51">
        <f t="shared" si="19"/>
        <v>38876.547006984823</v>
      </c>
      <c r="AO38" s="51">
        <f t="shared" si="19"/>
        <v>50475.286151101755</v>
      </c>
      <c r="AP38" s="51">
        <f t="shared" si="19"/>
        <v>50510.837753332831</v>
      </c>
    </row>
    <row r="39" spans="2:45" x14ac:dyDescent="0.2"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</row>
    <row r="40" spans="2:45" x14ac:dyDescent="0.2">
      <c r="B40" s="41" t="s">
        <v>95</v>
      </c>
      <c r="AE40" s="51">
        <f>'Biofuel Volumes'!C18/1000000</f>
        <v>1676.929084312658</v>
      </c>
      <c r="AF40" s="51">
        <f>'Biofuel Volumes'!D18/1000000</f>
        <v>1390.8711084582428</v>
      </c>
      <c r="AG40" s="51">
        <f>'Biofuel Volumes'!E18/1000000</f>
        <v>774.61538388440101</v>
      </c>
      <c r="AH40" s="51">
        <f>'Biofuel Volumes'!F18/1000000</f>
        <v>597.6154170877445</v>
      </c>
      <c r="AI40" s="51">
        <f>'Biofuel Volumes'!G18/1000000</f>
        <v>514.53537034368537</v>
      </c>
      <c r="AJ40" s="51">
        <f>'Biofuel Volumes'!H18/1000000</f>
        <v>426.1109689858759</v>
      </c>
      <c r="AK40" s="51">
        <f>'Biofuel Volumes'!I18/1000000</f>
        <v>439.19955140097079</v>
      </c>
      <c r="AL40" s="51">
        <f>'Biofuel Volumes'!J18/1000000</f>
        <v>452.279267115094</v>
      </c>
      <c r="AM40" s="51">
        <f>'Biofuel Volumes'!K18/1000000</f>
        <v>464.97606573588831</v>
      </c>
      <c r="AN40" s="51">
        <f>'Biofuel Volumes'!L18/1000000</f>
        <v>478.00970823431305</v>
      </c>
      <c r="AO40" s="51">
        <f>'Biofuel Volumes'!M18/1000000</f>
        <v>491.00699199748152</v>
      </c>
      <c r="AP40" s="51">
        <f>'Biofuel Volumes'!N18/1000000</f>
        <v>491.00699199748152</v>
      </c>
    </row>
    <row r="41" spans="2:45" x14ac:dyDescent="0.2">
      <c r="B41" s="41" t="s">
        <v>96</v>
      </c>
      <c r="AE41" s="51">
        <f>'Biofuel Volumes'!C19/1000000</f>
        <v>2049.5799919376927</v>
      </c>
      <c r="AF41" s="51">
        <f>'Biofuel Volumes'!D19/1000000</f>
        <v>2583.0463442795935</v>
      </c>
      <c r="AG41" s="51">
        <f>'Biofuel Volumes'!E19/1000000</f>
        <v>3098.4615355376036</v>
      </c>
      <c r="AH41" s="51">
        <f>'Biofuel Volumes'!F19/1000000</f>
        <v>3386.4873634972182</v>
      </c>
      <c r="AI41" s="51">
        <f>'Biofuel Volumes'!G19/1000000</f>
        <v>3601.7475924057976</v>
      </c>
      <c r="AJ41" s="51">
        <f>'Biofuel Volumes'!H19/1000000</f>
        <v>3834.998720872883</v>
      </c>
      <c r="AK41" s="51">
        <f>'Biofuel Volumes'!I19/1000000</f>
        <v>3952.7959626087368</v>
      </c>
      <c r="AL41" s="51">
        <f>'Biofuel Volumes'!J19/1000000</f>
        <v>4070.5134040358457</v>
      </c>
      <c r="AM41" s="51">
        <f>'Biofuel Volumes'!K19/1000000</f>
        <v>4184.7845916229935</v>
      </c>
      <c r="AN41" s="51">
        <f>'Biofuel Volumes'!L19/1000000</f>
        <v>4302.087374108818</v>
      </c>
      <c r="AO41" s="51">
        <f>'Biofuel Volumes'!M19/1000000</f>
        <v>4419.0629279773329</v>
      </c>
      <c r="AP41" s="51">
        <f>'Biofuel Volumes'!N19/1000000</f>
        <v>4419.0629279773329</v>
      </c>
    </row>
    <row r="42" spans="2:45" x14ac:dyDescent="0.2">
      <c r="B42" s="41" t="s">
        <v>97</v>
      </c>
      <c r="AE42" s="51">
        <f>'Biofuel Volumes'!C20/1000000</f>
        <v>13.000000000000002</v>
      </c>
      <c r="AF42" s="51">
        <f>'Biofuel Volumes'!D20/1000000</f>
        <v>25</v>
      </c>
      <c r="AG42" s="51">
        <f>'Biofuel Volumes'!E20/1000000</f>
        <v>75</v>
      </c>
      <c r="AH42" s="51">
        <f>'Biofuel Volumes'!F20/1000000</f>
        <v>100</v>
      </c>
      <c r="AI42" s="51">
        <f>'Biofuel Volumes'!G20/1000000</f>
        <v>250</v>
      </c>
      <c r="AJ42" s="51">
        <f>'Biofuel Volumes'!H20/1000000</f>
        <v>500</v>
      </c>
      <c r="AK42" s="51">
        <f>'Biofuel Volumes'!I20/1000000</f>
        <v>750</v>
      </c>
      <c r="AL42" s="51">
        <f>'Biofuel Volumes'!J20/1000000</f>
        <v>1000</v>
      </c>
      <c r="AM42" s="51">
        <f>'Biofuel Volumes'!K20/1000000</f>
        <v>1500</v>
      </c>
      <c r="AN42" s="51">
        <f>'Biofuel Volumes'!L20/1000000</f>
        <v>2000</v>
      </c>
      <c r="AO42" s="51">
        <f>'Biofuel Volumes'!M20/1000000</f>
        <v>2500</v>
      </c>
      <c r="AP42" s="51">
        <f>'Biofuel Volumes'!N20/1000000</f>
        <v>2500</v>
      </c>
    </row>
    <row r="43" spans="2:45" x14ac:dyDescent="0.2">
      <c r="B43" s="41" t="s">
        <v>98</v>
      </c>
      <c r="AE43" s="51">
        <f>SUM(AE40:AE42)</f>
        <v>3739.5090762503505</v>
      </c>
      <c r="AF43" s="51">
        <f t="shared" ref="AF43:AO43" si="20">SUM(AF40:AF42)</f>
        <v>3998.9174527378364</v>
      </c>
      <c r="AG43" s="51">
        <f t="shared" si="20"/>
        <v>3948.0769194220047</v>
      </c>
      <c r="AH43" s="51">
        <f t="shared" si="20"/>
        <v>4084.1027805849626</v>
      </c>
      <c r="AI43" s="51">
        <f t="shared" si="20"/>
        <v>4366.282962749483</v>
      </c>
      <c r="AJ43" s="51">
        <f t="shared" si="20"/>
        <v>4761.1096898587593</v>
      </c>
      <c r="AK43" s="51">
        <f t="shared" si="20"/>
        <v>5141.9955140097072</v>
      </c>
      <c r="AL43" s="51">
        <f t="shared" si="20"/>
        <v>5522.7926711509399</v>
      </c>
      <c r="AM43" s="51">
        <f t="shared" si="20"/>
        <v>6149.7606573588819</v>
      </c>
      <c r="AN43" s="51">
        <f t="shared" si="20"/>
        <v>6780.0970823431308</v>
      </c>
      <c r="AO43" s="51">
        <f t="shared" si="20"/>
        <v>7410.0699199748142</v>
      </c>
      <c r="AP43" s="51">
        <f>SUM(AP40:AP42)</f>
        <v>7410.0699199748142</v>
      </c>
    </row>
    <row r="44" spans="2:45" x14ac:dyDescent="0.2">
      <c r="B44" s="41" t="s">
        <v>99</v>
      </c>
      <c r="AE44" s="53">
        <f>AE37/SUM(AE40:AE41)</f>
        <v>5.9739309458743302</v>
      </c>
      <c r="AF44" s="53">
        <f t="shared" ref="AF44:AO44" si="21">AF37/SUM(AF40:AF41)</f>
        <v>6.4471474507600783</v>
      </c>
      <c r="AG44" s="53">
        <f t="shared" si="21"/>
        <v>6.5917152237973493</v>
      </c>
      <c r="AH44" s="53">
        <f t="shared" si="21"/>
        <v>7.1182794084752885</v>
      </c>
      <c r="AI44" s="53">
        <f t="shared" si="21"/>
        <v>7.2781803802542511</v>
      </c>
      <c r="AJ44" s="53">
        <f t="shared" si="21"/>
        <v>7.4623818049693806</v>
      </c>
      <c r="AK44" s="53">
        <f t="shared" si="21"/>
        <v>7.3537862622111065</v>
      </c>
      <c r="AL44" s="53">
        <f t="shared" si="21"/>
        <v>7.3548077367956912</v>
      </c>
      <c r="AM44" s="53">
        <f t="shared" si="21"/>
        <v>7.5136441460511643</v>
      </c>
      <c r="AN44" s="53">
        <f t="shared" si="21"/>
        <v>7.5229659262556394</v>
      </c>
      <c r="AO44" s="53">
        <f t="shared" si="21"/>
        <v>7.5354462151538089</v>
      </c>
      <c r="AP44" s="53">
        <f>AP37/SUM(AP40:AP41)</f>
        <v>7.50632483757059</v>
      </c>
    </row>
    <row r="45" spans="2:45" x14ac:dyDescent="0.2">
      <c r="B45" s="41" t="s">
        <v>100</v>
      </c>
      <c r="AE45" s="53">
        <f>AE37/SUM(AE40:AE42)</f>
        <v>5.9531632192255053</v>
      </c>
      <c r="AF45" s="53">
        <f t="shared" ref="AF45:AO45" si="22">AF37/SUM(AF40:AF42)</f>
        <v>6.4068418710190782</v>
      </c>
      <c r="AG45" s="53">
        <f t="shared" si="22"/>
        <v>6.4664951098343275</v>
      </c>
      <c r="AH45" s="53">
        <f t="shared" si="22"/>
        <v>6.9439870414390272</v>
      </c>
      <c r="AI45" s="53">
        <f t="shared" si="22"/>
        <v>6.8614540456151918</v>
      </c>
      <c r="AJ45" s="53">
        <f t="shared" si="22"/>
        <v>6.6787008680583515</v>
      </c>
      <c r="AK45" s="53">
        <f t="shared" si="22"/>
        <v>6.2811793955517672</v>
      </c>
      <c r="AL45" s="53">
        <f t="shared" si="22"/>
        <v>6.0230887723640674</v>
      </c>
      <c r="AM45" s="53">
        <f t="shared" si="22"/>
        <v>5.680976690027431</v>
      </c>
      <c r="AN45" s="53">
        <f t="shared" si="22"/>
        <v>5.3038337118078243</v>
      </c>
      <c r="AO45" s="53">
        <f t="shared" si="22"/>
        <v>4.9931469195557243</v>
      </c>
      <c r="AP45" s="53">
        <f>AP37/SUM(AP40:AP42)</f>
        <v>4.9738504754406501</v>
      </c>
    </row>
    <row r="47" spans="2:45" x14ac:dyDescent="0.2">
      <c r="B47" s="41" t="s">
        <v>101</v>
      </c>
      <c r="AE47" s="51">
        <f t="shared" ref="AE47:AO49" si="23">AE27-AE40</f>
        <v>-56.717999312658094</v>
      </c>
      <c r="AF47" s="51">
        <f t="shared" si="23"/>
        <v>279.44972754175728</v>
      </c>
      <c r="AG47" s="51">
        <f t="shared" si="23"/>
        <v>894.63315611559904</v>
      </c>
      <c r="AH47" s="51" t="e">
        <f t="shared" si="23"/>
        <v>#REF!</v>
      </c>
      <c r="AI47" s="51" t="e">
        <f t="shared" si="23"/>
        <v>#REF!</v>
      </c>
      <c r="AJ47" s="51" t="e">
        <f t="shared" si="23"/>
        <v>#REF!</v>
      </c>
      <c r="AK47" s="51" t="e">
        <f t="shared" si="23"/>
        <v>#REF!</v>
      </c>
      <c r="AL47" s="51" t="e">
        <f t="shared" si="23"/>
        <v>#REF!</v>
      </c>
      <c r="AM47" s="51" t="e">
        <f t="shared" si="23"/>
        <v>#REF!</v>
      </c>
      <c r="AN47" s="51" t="e">
        <f t="shared" si="23"/>
        <v>#REF!</v>
      </c>
      <c r="AO47" s="51" t="e">
        <f t="shared" si="23"/>
        <v>#REF!</v>
      </c>
      <c r="AP47" s="51" t="e">
        <f>AP27-AP40</f>
        <v>#REF!</v>
      </c>
    </row>
    <row r="48" spans="2:45" x14ac:dyDescent="0.2">
      <c r="B48" s="41" t="s">
        <v>102</v>
      </c>
      <c r="AE48" s="51">
        <f t="shared" si="23"/>
        <v>-181.70036993769281</v>
      </c>
      <c r="AF48" s="51">
        <f t="shared" si="23"/>
        <v>325.14682372040625</v>
      </c>
      <c r="AG48" s="51">
        <f t="shared" si="23"/>
        <v>465.4690274623963</v>
      </c>
      <c r="AH48" s="51">
        <f t="shared" si="23"/>
        <v>-612.08638907628165</v>
      </c>
      <c r="AI48" s="51">
        <f t="shared" si="23"/>
        <v>-638.94797923213719</v>
      </c>
      <c r="AJ48" s="51">
        <f t="shared" si="23"/>
        <v>-616.0814543083593</v>
      </c>
      <c r="AK48" s="51">
        <f t="shared" si="23"/>
        <v>-697.88939654912156</v>
      </c>
      <c r="AL48" s="51">
        <f t="shared" si="23"/>
        <v>-812.58121824423415</v>
      </c>
      <c r="AM48" s="51">
        <f t="shared" si="23"/>
        <v>-802.21133633393583</v>
      </c>
      <c r="AN48" s="51">
        <f t="shared" si="23"/>
        <v>-650.88426378830263</v>
      </c>
      <c r="AO48" s="51">
        <f>AO28-AO41</f>
        <v>-145.11968235204859</v>
      </c>
      <c r="AP48" s="51">
        <f>AP28-AP41</f>
        <v>-173.95155025226632</v>
      </c>
    </row>
    <row r="49" spans="2:42" x14ac:dyDescent="0.2">
      <c r="B49" s="41" t="s">
        <v>103</v>
      </c>
      <c r="AE49" s="51">
        <f t="shared" si="23"/>
        <v>-9.0534315000000021</v>
      </c>
      <c r="AF49" s="51">
        <f t="shared" si="23"/>
        <v>-18.904601499999998</v>
      </c>
      <c r="AG49" s="51">
        <f t="shared" si="23"/>
        <v>-55.664614999999998</v>
      </c>
      <c r="AH49" s="51">
        <f t="shared" si="23"/>
        <v>-60.130042921184526</v>
      </c>
      <c r="AI49" s="51">
        <f t="shared" si="23"/>
        <v>-65.64601908472423</v>
      </c>
      <c r="AJ49" s="51">
        <f t="shared" si="23"/>
        <v>-58.325102780648365</v>
      </c>
      <c r="AK49" s="51">
        <f t="shared" si="23"/>
        <v>-171.29079825305337</v>
      </c>
      <c r="AL49" s="51">
        <f t="shared" si="23"/>
        <v>-242.12705232723556</v>
      </c>
      <c r="AM49" s="51">
        <f t="shared" si="23"/>
        <v>-621.98378601923196</v>
      </c>
      <c r="AN49" s="51">
        <f t="shared" si="23"/>
        <v>-974.74175929353191</v>
      </c>
      <c r="AO49" s="51">
        <f>AO29-AO42</f>
        <v>-1124.4464959667705</v>
      </c>
      <c r="AP49" s="51">
        <f>AP29-AP42</f>
        <v>-919.69675485767402</v>
      </c>
    </row>
    <row r="50" spans="2:42" x14ac:dyDescent="0.2">
      <c r="B50" s="41" t="s">
        <v>104</v>
      </c>
      <c r="AE50" s="55">
        <f t="shared" ref="AE50:AO50" si="24">AE31-AE44</f>
        <v>2.5435567311347507</v>
      </c>
      <c r="AF50" s="55">
        <f t="shared" si="24"/>
        <v>2.362023108309061</v>
      </c>
      <c r="AG50" s="55">
        <f t="shared" si="24"/>
        <v>1.8424222545324582</v>
      </c>
      <c r="AH50" s="55" t="e">
        <f t="shared" si="24"/>
        <v>#REF!</v>
      </c>
      <c r="AI50" s="55" t="e">
        <f t="shared" si="24"/>
        <v>#REF!</v>
      </c>
      <c r="AJ50" s="55" t="e">
        <f t="shared" si="24"/>
        <v>#REF!</v>
      </c>
      <c r="AK50" s="55" t="e">
        <f t="shared" si="24"/>
        <v>#REF!</v>
      </c>
      <c r="AL50" s="55" t="e">
        <f t="shared" si="24"/>
        <v>#REF!</v>
      </c>
      <c r="AM50" s="55" t="e">
        <f t="shared" si="24"/>
        <v>#REF!</v>
      </c>
      <c r="AN50" s="55" t="e">
        <f t="shared" si="24"/>
        <v>#REF!</v>
      </c>
      <c r="AO50" s="55" t="e">
        <f t="shared" si="24"/>
        <v>#REF!</v>
      </c>
      <c r="AP50" s="55" t="e">
        <f>AP31-AP44</f>
        <v>#REF!</v>
      </c>
    </row>
    <row r="51" spans="2:42" x14ac:dyDescent="0.2">
      <c r="B51" s="41" t="s">
        <v>105</v>
      </c>
      <c r="AE51" s="55">
        <f>AE34-AE45</f>
        <v>2.5643244577835755</v>
      </c>
      <c r="AF51" s="55">
        <f t="shared" ref="AF51:AO51" si="25">AF34-AF45</f>
        <v>2.5618297350970023</v>
      </c>
      <c r="AG51" s="55">
        <f t="shared" si="25"/>
        <v>2.4295639882345705</v>
      </c>
      <c r="AH51" s="55" t="e">
        <f t="shared" si="25"/>
        <v>#REF!</v>
      </c>
      <c r="AI51" s="55" t="e">
        <f t="shared" si="25"/>
        <v>#REF!</v>
      </c>
      <c r="AJ51" s="55" t="e">
        <f t="shared" si="25"/>
        <v>#REF!</v>
      </c>
      <c r="AK51" s="55" t="e">
        <f t="shared" si="25"/>
        <v>#REF!</v>
      </c>
      <c r="AL51" s="55" t="e">
        <f t="shared" si="25"/>
        <v>#REF!</v>
      </c>
      <c r="AM51" s="55" t="e">
        <f t="shared" si="25"/>
        <v>#REF!</v>
      </c>
      <c r="AN51" s="55" t="e">
        <f t="shared" si="25"/>
        <v>#REF!</v>
      </c>
      <c r="AO51" s="55" t="e">
        <f t="shared" si="25"/>
        <v>#REF!</v>
      </c>
      <c r="AP51" s="55" t="e">
        <f>AP34-AP45</f>
        <v>#REF!</v>
      </c>
    </row>
    <row r="53" spans="2:42" x14ac:dyDescent="0.2">
      <c r="B53" s="41" t="s">
        <v>106</v>
      </c>
      <c r="AE53" s="51">
        <f>SUM(AE47:AE49)</f>
        <v>-247.47180075035089</v>
      </c>
      <c r="AF53" s="51">
        <f t="shared" ref="AF53:AP53" si="26">SUM(AF47:AF49)</f>
        <v>585.69194976216352</v>
      </c>
      <c r="AG53" s="51">
        <f t="shared" si="26"/>
        <v>1304.4375685779953</v>
      </c>
      <c r="AH53" s="51" t="e">
        <f t="shared" si="26"/>
        <v>#REF!</v>
      </c>
      <c r="AI53" s="51" t="e">
        <f t="shared" si="26"/>
        <v>#REF!</v>
      </c>
      <c r="AJ53" s="51" t="e">
        <f t="shared" si="26"/>
        <v>#REF!</v>
      </c>
      <c r="AK53" s="51" t="e">
        <f t="shared" si="26"/>
        <v>#REF!</v>
      </c>
      <c r="AL53" s="51" t="e">
        <f t="shared" si="26"/>
        <v>#REF!</v>
      </c>
      <c r="AM53" s="51" t="e">
        <f t="shared" si="26"/>
        <v>#REF!</v>
      </c>
      <c r="AN53" s="51" t="e">
        <f t="shared" si="26"/>
        <v>#REF!</v>
      </c>
      <c r="AO53" s="51" t="e">
        <f t="shared" si="26"/>
        <v>#REF!</v>
      </c>
      <c r="AP53" s="51" t="e">
        <f t="shared" si="26"/>
        <v>#REF!</v>
      </c>
    </row>
    <row r="55" spans="2:42" x14ac:dyDescent="0.2">
      <c r="B55" s="41" t="s">
        <v>107</v>
      </c>
      <c r="AE55" s="51">
        <f>SUM('[5]US EIA'!$P$282:$P$293)</f>
        <v>13344.447143028279</v>
      </c>
      <c r="AF55" s="51">
        <f>SUM('[5]US EIA'!$P$294:$P$305)</f>
        <v>13517.791171066096</v>
      </c>
      <c r="AG55" s="51">
        <f>SUM('[5]US EIA'!$P$306:$P$317)</f>
        <v>12772.732769358947</v>
      </c>
      <c r="AH55" s="51">
        <f>SUM('[5]US EIA'!$P$318:$P$329)</f>
        <v>12379.865317306616</v>
      </c>
      <c r="AI55" s="51">
        <f>SUM('[5]US EIA'!$P$330:$P$341)</f>
        <v>11569.219542653322</v>
      </c>
      <c r="AJ55" s="51">
        <f>SUM('[5]US EIA'!$P$342:$P$353)</f>
        <v>11712.874271608005</v>
      </c>
      <c r="AK55" s="51">
        <f>SUM('[5]US EIA'!$P$354:$P$365)</f>
        <v>9255.7037763344815</v>
      </c>
      <c r="AL55" s="51">
        <f>SUM('[5]US EIA'!$P$366:$P$377)</f>
        <v>10410.788743523337</v>
      </c>
      <c r="AM55" s="51">
        <f>SUM('[5]US EIA'!$P$378:$P$389)</f>
        <v>10464.422886521541</v>
      </c>
      <c r="AN55" s="51">
        <f>SUM('[5]US EIA'!$P$390:$P$401)</f>
        <v>10358.848091050058</v>
      </c>
      <c r="AO55" s="51">
        <f>SUM('[5]US EIA'!$P$402:$P$413)</f>
        <v>10878.885450045109</v>
      </c>
      <c r="AP55" s="51">
        <f>SUM('[5]US EIA'!$P$414:$P$425)</f>
        <v>10150.936929349666</v>
      </c>
    </row>
    <row r="56" spans="2:42" x14ac:dyDescent="0.2">
      <c r="B56" s="41" t="s">
        <v>108</v>
      </c>
      <c r="AE56" s="51">
        <f t="shared" ref="AE56:AP56" si="27">AE55-AE10</f>
        <v>-169.06710996241236</v>
      </c>
      <c r="AF56" s="51">
        <f t="shared" si="27"/>
        <v>-984.00521694352938</v>
      </c>
      <c r="AG56" s="51">
        <f t="shared" si="27"/>
        <v>-477.70929453186363</v>
      </c>
      <c r="AH56" s="51">
        <f t="shared" si="27"/>
        <v>-333.26667847449062</v>
      </c>
      <c r="AI56" s="51">
        <f t="shared" si="27"/>
        <v>-331.55531954497201</v>
      </c>
      <c r="AJ56" s="51">
        <f t="shared" si="27"/>
        <v>-292.72765035188786</v>
      </c>
      <c r="AK56" s="51">
        <f t="shared" si="27"/>
        <v>-163.86891799001387</v>
      </c>
      <c r="AL56" s="51">
        <f t="shared" si="27"/>
        <v>81.262104453429856</v>
      </c>
      <c r="AM56" s="51">
        <f t="shared" si="27"/>
        <v>124.85550374872037</v>
      </c>
      <c r="AN56" s="51">
        <f t="shared" si="27"/>
        <v>145.7525011126254</v>
      </c>
      <c r="AO56" s="51">
        <f t="shared" si="27"/>
        <v>193.39049348281878</v>
      </c>
      <c r="AP56" s="51">
        <f t="shared" si="27"/>
        <v>1090.811642653427</v>
      </c>
    </row>
    <row r="57" spans="2:42" x14ac:dyDescent="0.2">
      <c r="B57" s="41" t="s">
        <v>109</v>
      </c>
      <c r="AE57" s="51">
        <f>'Veg Oils'!AE46</f>
        <v>111</v>
      </c>
      <c r="AF57" s="51">
        <f>'Veg Oils'!AF46</f>
        <v>341.46800000000002</v>
      </c>
      <c r="AG57" s="51">
        <f>'Veg Oils'!AG46</f>
        <v>277.69799999999998</v>
      </c>
      <c r="AH57" s="51">
        <f>'Veg Oils'!AH46</f>
        <v>268.47446645989174</v>
      </c>
      <c r="AI57" s="51">
        <f>'Veg Oils'!AI46</f>
        <v>219.79219828623948</v>
      </c>
      <c r="AJ57" s="51">
        <f>'Veg Oils'!AJ46</f>
        <v>136.91812306480452</v>
      </c>
      <c r="AK57" s="51">
        <f>'Veg Oils'!AK46</f>
        <v>115.26557475266873</v>
      </c>
      <c r="AL57" s="51">
        <f>'Veg Oils'!AL46</f>
        <v>123.28207875446317</v>
      </c>
      <c r="AM57" s="51">
        <f>'Veg Oils'!AM46</f>
        <v>198.10877177620756</v>
      </c>
      <c r="AN57" s="51">
        <f>'Veg Oils'!AN46</f>
        <v>257.26803724907637</v>
      </c>
      <c r="AO57" s="51">
        <f>'Veg Oils'!AO46</f>
        <v>306.49272801964742</v>
      </c>
      <c r="AP57" s="51">
        <f>'Veg Oils'!AP46</f>
        <v>295.73687659138176</v>
      </c>
    </row>
    <row r="58" spans="2:42" x14ac:dyDescent="0.2">
      <c r="B58" s="41" t="s">
        <v>110</v>
      </c>
      <c r="AE58" s="51">
        <f>'Fats and Grease'!AE78</f>
        <v>606.82999999999993</v>
      </c>
      <c r="AF58" s="51">
        <f>'Fats and Grease'!AF78</f>
        <v>174.06808100000001</v>
      </c>
      <c r="AG58" s="51">
        <f>'Fats and Grease'!AG78</f>
        <v>215.37661500000002</v>
      </c>
      <c r="AH58" s="51">
        <f>'Fats and Grease'!AH78</f>
        <v>227.18265132681267</v>
      </c>
      <c r="AI58" s="51">
        <f>'Fats and Grease'!AI78</f>
        <v>242.26095195183305</v>
      </c>
      <c r="AJ58" s="51">
        <f>'Fats and Grease'!AJ78</f>
        <v>267.50810501317778</v>
      </c>
      <c r="AK58" s="51">
        <f>'Fats and Grease'!AK78</f>
        <v>169.43146400073377</v>
      </c>
      <c r="AL58" s="51">
        <f>'Fats and Grease'!AL78</f>
        <v>201.95561903906503</v>
      </c>
      <c r="AM58" s="51">
        <f>'Fats and Grease'!AM78</f>
        <v>208.82011382708552</v>
      </c>
      <c r="AN58" s="51">
        <f>'Fats and Grease'!AN78</f>
        <v>210.1919889831031</v>
      </c>
      <c r="AO58" s="51">
        <f>'Fats and Grease'!AO78</f>
        <v>219.278077819929</v>
      </c>
      <c r="AP58" s="51">
        <f>'Fats and Grease'!AP78</f>
        <v>197.48870282698414</v>
      </c>
    </row>
    <row r="59" spans="2:42" x14ac:dyDescent="0.2">
      <c r="B59" s="41" t="s">
        <v>111</v>
      </c>
      <c r="AE59" s="51">
        <f t="shared" ref="AE59:AP59" si="28">AE58+AE57</f>
        <v>717.82999999999993</v>
      </c>
      <c r="AF59" s="51">
        <f t="shared" si="28"/>
        <v>515.53608099999997</v>
      </c>
      <c r="AG59" s="51">
        <f t="shared" si="28"/>
        <v>493.07461499999999</v>
      </c>
      <c r="AH59" s="51">
        <f t="shared" si="28"/>
        <v>495.65711778670442</v>
      </c>
      <c r="AI59" s="51">
        <f t="shared" si="28"/>
        <v>462.05315023807253</v>
      </c>
      <c r="AJ59" s="51">
        <f t="shared" si="28"/>
        <v>404.42622807798227</v>
      </c>
      <c r="AK59" s="51">
        <f t="shared" si="28"/>
        <v>284.69703875340247</v>
      </c>
      <c r="AL59" s="51">
        <f t="shared" si="28"/>
        <v>325.23769779352818</v>
      </c>
      <c r="AM59" s="51">
        <f t="shared" si="28"/>
        <v>406.92888560329311</v>
      </c>
      <c r="AN59" s="51">
        <f t="shared" si="28"/>
        <v>467.46002623217947</v>
      </c>
      <c r="AO59" s="51">
        <f t="shared" si="28"/>
        <v>525.77080583957638</v>
      </c>
      <c r="AP59" s="51">
        <f t="shared" si="28"/>
        <v>493.2255794183659</v>
      </c>
    </row>
    <row r="61" spans="2:42" x14ac:dyDescent="0.2">
      <c r="B61" s="41" t="s">
        <v>112</v>
      </c>
      <c r="AE61" s="56">
        <f>AVERAGE('[5]US EIA'!$Q$283:$Q$293)</f>
        <v>8.2461552016597075</v>
      </c>
      <c r="AF61" s="56">
        <f>AVERAGE('[5]US EIA'!$Q$294:$Q$305)</f>
        <v>7.9622640207992639</v>
      </c>
      <c r="AG61" s="56">
        <f>AVERAGE('[5]US EIA'!$Q$306:$Q$317)</f>
        <v>7.8566022320583571</v>
      </c>
      <c r="AH61" s="56">
        <f>AVERAGE('[5]US EIA'!$Q$318:$Q$329)</f>
        <v>7.8005437164922968</v>
      </c>
      <c r="AI61" s="56">
        <f>AVERAGE('[5]US EIA'!$Q$330:$Q$341)</f>
        <v>7.8604845345589327</v>
      </c>
      <c r="AJ61" s="56">
        <f>AVERAGE('[5]US EIA'!$Q$342:$Q$353)</f>
        <v>7.9424548060359674</v>
      </c>
      <c r="AK61" s="56">
        <f>AVERAGE('[5]US EIA'!$Q$354:$Q$365)</f>
        <v>7.8822582129895506</v>
      </c>
      <c r="AL61" s="56">
        <f>AVERAGE('[5]US EIA'!$Q$366:$Q$377)</f>
        <v>7.6984587563150484</v>
      </c>
      <c r="AM61" s="56">
        <f>AVERAGE('[5]US EIA'!$Q$378:$Q$389)</f>
        <v>7.6349543426347859</v>
      </c>
      <c r="AN61" s="56">
        <f>AVERAGE('[5]US EIA'!$Q$390:$Q$401)</f>
        <v>7.6031637705530768</v>
      </c>
      <c r="AO61" s="56">
        <f>AVERAGE('[5]US EIA'!$Q$402:$Q$413)</f>
        <v>7.5525579050801186</v>
      </c>
      <c r="AP61" s="56">
        <f>AVERAGE('[5]US EIA'!$Q$414:$Q$425)</f>
        <v>7.4762234367953964</v>
      </c>
    </row>
    <row r="62" spans="2:42" x14ac:dyDescent="0.2">
      <c r="B62" s="41" t="s">
        <v>47</v>
      </c>
      <c r="AE62" s="54">
        <f>AE32-AE61</f>
        <v>9.443348959140252E-2</v>
      </c>
      <c r="AF62" s="54">
        <f>AF32-AF61</f>
        <v>0.71977842006365123</v>
      </c>
      <c r="AG62" s="54">
        <f>AG32-AG61</f>
        <v>8.1366109007743326E-2</v>
      </c>
      <c r="AH62" s="54" t="e">
        <f t="shared" ref="AH62:AP62" si="29">AH32-AH61</f>
        <v>#REF!</v>
      </c>
      <c r="AI62" s="54" t="e">
        <f t="shared" si="29"/>
        <v>#REF!</v>
      </c>
      <c r="AJ62" s="54" t="e">
        <f t="shared" si="29"/>
        <v>#REF!</v>
      </c>
      <c r="AK62" s="54" t="e">
        <f t="shared" si="29"/>
        <v>#REF!</v>
      </c>
      <c r="AL62" s="54" t="e">
        <f t="shared" si="29"/>
        <v>#REF!</v>
      </c>
      <c r="AM62" s="54" t="e">
        <f t="shared" si="29"/>
        <v>#REF!</v>
      </c>
      <c r="AN62" s="54" t="e">
        <f t="shared" si="29"/>
        <v>#REF!</v>
      </c>
      <c r="AO62" s="54" t="e">
        <f t="shared" si="29"/>
        <v>#REF!</v>
      </c>
      <c r="AP62" s="54" t="e">
        <f t="shared" si="29"/>
        <v>#REF!</v>
      </c>
    </row>
    <row r="63" spans="2:42" x14ac:dyDescent="0.2">
      <c r="B63" s="41" t="s">
        <v>113</v>
      </c>
      <c r="AE63" s="51">
        <f>(-AE62*'Biofuel Volumes'!C3)/1000000</f>
        <v>-152.90391168170797</v>
      </c>
      <c r="AF63" s="51">
        <f>(-AF62*'Biofuel Volumes'!D3)/1000000</f>
        <v>-1156.7141696416884</v>
      </c>
      <c r="AG63" s="51">
        <f>(-AG62*'Biofuel Volumes'!E3)/1000000</f>
        <v>-75.799218739302177</v>
      </c>
      <c r="AH63" s="51" t="e">
        <f>(-AH62*'Biofuel Volumes'!F3)/1000000</f>
        <v>#REF!</v>
      </c>
      <c r="AI63" s="51" t="e">
        <f>(-AI62*'Biofuel Volumes'!G3)/1000000</f>
        <v>#REF!</v>
      </c>
      <c r="AJ63" s="51" t="e">
        <f>(-AJ62*'Biofuel Volumes'!H3)/1000000</f>
        <v>#REF!</v>
      </c>
      <c r="AK63" s="51" t="e">
        <f>(-AK62*'Biofuel Volumes'!I3)/1000000</f>
        <v>#REF!</v>
      </c>
      <c r="AL63" s="51" t="e">
        <f>(-AL62*'Biofuel Volumes'!J3)/1000000</f>
        <v>#REF!</v>
      </c>
      <c r="AM63" s="51" t="e">
        <f>(-AM62*'Biofuel Volumes'!K3)/1000000</f>
        <v>#REF!</v>
      </c>
      <c r="AN63" s="51" t="e">
        <f>(-AN62*'Biofuel Volumes'!L3)/1000000</f>
        <v>#REF!</v>
      </c>
      <c r="AO63" s="51" t="e">
        <f>(-AO62*'Biofuel Volumes'!M3)/1000000</f>
        <v>#REF!</v>
      </c>
      <c r="AP63" s="51" t="e">
        <f>(-AP62*'Biofuel Volumes'!N3)/1000000</f>
        <v>#REF!</v>
      </c>
    </row>
    <row r="64" spans="2:42" x14ac:dyDescent="0.2">
      <c r="B64" s="41" t="s">
        <v>109</v>
      </c>
      <c r="AE64" s="51">
        <f>AE63*(AE57/AE59)</f>
        <v>-23.643946612247447</v>
      </c>
      <c r="AF64" s="51">
        <f t="shared" ref="AF64:AP64" si="30">AF63*(AF57/AF59)</f>
        <v>-766.15563611581251</v>
      </c>
      <c r="AG64" s="51">
        <f t="shared" si="30"/>
        <v>-42.689870468117149</v>
      </c>
      <c r="AH64" s="51" t="e">
        <f t="shared" si="30"/>
        <v>#REF!</v>
      </c>
      <c r="AI64" s="51" t="e">
        <f t="shared" si="30"/>
        <v>#REF!</v>
      </c>
      <c r="AJ64" s="51" t="e">
        <f t="shared" si="30"/>
        <v>#REF!</v>
      </c>
      <c r="AK64" s="51" t="e">
        <f t="shared" si="30"/>
        <v>#REF!</v>
      </c>
      <c r="AL64" s="51" t="e">
        <f t="shared" si="30"/>
        <v>#REF!</v>
      </c>
      <c r="AM64" s="51" t="e">
        <f t="shared" si="30"/>
        <v>#REF!</v>
      </c>
      <c r="AN64" s="51" t="e">
        <f t="shared" si="30"/>
        <v>#REF!</v>
      </c>
      <c r="AO64" s="51" t="e">
        <f t="shared" si="30"/>
        <v>#REF!</v>
      </c>
      <c r="AP64" s="51" t="e">
        <f t="shared" si="30"/>
        <v>#REF!</v>
      </c>
    </row>
    <row r="65" spans="2:42" x14ac:dyDescent="0.2">
      <c r="B65" s="41" t="s">
        <v>110</v>
      </c>
      <c r="AE65" s="51">
        <f>AE63-AE64</f>
        <v>-129.25996506946052</v>
      </c>
      <c r="AF65" s="51">
        <f t="shared" ref="AF65:AP65" si="31">AF63-AF64</f>
        <v>-390.55853352587587</v>
      </c>
      <c r="AG65" s="51">
        <f t="shared" si="31"/>
        <v>-33.109348271185027</v>
      </c>
      <c r="AH65" s="51" t="e">
        <f t="shared" si="31"/>
        <v>#REF!</v>
      </c>
      <c r="AI65" s="51" t="e">
        <f t="shared" si="31"/>
        <v>#REF!</v>
      </c>
      <c r="AJ65" s="51" t="e">
        <f t="shared" si="31"/>
        <v>#REF!</v>
      </c>
      <c r="AK65" s="51" t="e">
        <f t="shared" si="31"/>
        <v>#REF!</v>
      </c>
      <c r="AL65" s="51" t="e">
        <f t="shared" si="31"/>
        <v>#REF!</v>
      </c>
      <c r="AM65" s="51" t="e">
        <f t="shared" si="31"/>
        <v>#REF!</v>
      </c>
      <c r="AN65" s="51" t="e">
        <f t="shared" si="31"/>
        <v>#REF!</v>
      </c>
      <c r="AO65" s="51" t="e">
        <f t="shared" si="31"/>
        <v>#REF!</v>
      </c>
      <c r="AP65" s="51" t="e">
        <f t="shared" si="31"/>
        <v>#REF!</v>
      </c>
    </row>
    <row r="67" spans="2:42" x14ac:dyDescent="0.2">
      <c r="B67" s="41" t="s">
        <v>114</v>
      </c>
      <c r="AE67" s="53">
        <f>AVERAGE('[6]Renewable Diesel'!$BM$144:$BM$155)</f>
        <v>8.4480435370717597</v>
      </c>
      <c r="AF67" s="53">
        <f>AVERAGE('[6]Renewable Diesel'!$BL$156:$BL$167)</f>
        <v>8.1674999324921398</v>
      </c>
      <c r="AG67" s="53">
        <f>AVERAGE('[6]Renewable Diesel'!$BL$168:$BL$179)</f>
        <v>8.0291853225843717</v>
      </c>
      <c r="AH67" s="53">
        <f>AVERAGE('[6]Renewable Diesel'!$BM$180:$BM$191)</f>
        <v>9.0649086267291974</v>
      </c>
      <c r="AI67" s="53">
        <f>AVERAGE('[6]Renewable Diesel'!$BM$192:$BM$203)</f>
        <v>9.4194467863853859</v>
      </c>
      <c r="AJ67" s="53">
        <f>AVERAGE('[6]Renewable Diesel'!$BM$204:$BM$215)</f>
        <v>11.541382299187072</v>
      </c>
      <c r="AK67" s="53">
        <f>AVERAGE('[6]Renewable Diesel'!$BM$216:$BM$227)</f>
        <v>12.808402742701068</v>
      </c>
      <c r="AL67" s="53">
        <f>AVERAGE('[6]Renewable Diesel'!$BM$228:$BM$239)</f>
        <v>14.718463767819438</v>
      </c>
      <c r="AM67" s="53">
        <f>AVERAGE('[6]Renewable Diesel'!$BM$240:$BM$251)</f>
        <v>18.582351907239286</v>
      </c>
      <c r="AN67" s="53">
        <f>AVERAGE('[6]Renewable Diesel'!$BM$252:$BM$263)</f>
        <v>21.37099197327554</v>
      </c>
      <c r="AO67" s="53">
        <f>AVERAGE('[6]Renewable Diesel'!$BM$264:$BM$275)</f>
        <v>26.511004908737011</v>
      </c>
      <c r="AP67" s="53">
        <f>AVERAGE('[6]Renewable Diesel'!$BM$276:$BM$287)</f>
        <v>28.408799970339075</v>
      </c>
    </row>
    <row r="68" spans="2:42" x14ac:dyDescent="0.2">
      <c r="B68" s="41" t="s">
        <v>47</v>
      </c>
      <c r="AE68" s="54">
        <f>AE33-AE67</f>
        <v>0.24088374581120675</v>
      </c>
      <c r="AF68" s="54">
        <f t="shared" ref="AF68:AP68" si="32">AF33-AF67</f>
        <v>0.7331501584804041</v>
      </c>
      <c r="AG68" s="54">
        <f t="shared" si="32"/>
        <v>0.68310204832429022</v>
      </c>
      <c r="AH68" s="54">
        <f t="shared" si="32"/>
        <v>0.57727621195847156</v>
      </c>
      <c r="AI68" s="54">
        <f t="shared" si="32"/>
        <v>2.4594591624229967</v>
      </c>
      <c r="AJ68" s="54">
        <f t="shared" si="32"/>
        <v>2.0913298359476578</v>
      </c>
      <c r="AK68" s="54">
        <f t="shared" si="32"/>
        <v>1.5900747670251221</v>
      </c>
      <c r="AL68" s="54">
        <f t="shared" si="32"/>
        <v>1.0154071695707625</v>
      </c>
      <c r="AM68" s="54">
        <f t="shared" si="32"/>
        <v>-1.2295354332283992</v>
      </c>
      <c r="AN68" s="54">
        <f t="shared" si="32"/>
        <v>-3.6716318064740179</v>
      </c>
      <c r="AO68" s="54">
        <f t="shared" si="32"/>
        <v>-8.5441404521829476</v>
      </c>
      <c r="AP68" s="54">
        <f t="shared" si="32"/>
        <v>-9.9623364282879727</v>
      </c>
    </row>
    <row r="69" spans="2:42" x14ac:dyDescent="0.2">
      <c r="B69" s="41" t="s">
        <v>113</v>
      </c>
      <c r="AE69" s="51">
        <f>-AE68*('Biofuel Volumes'!C4/1000000)</f>
        <v>-457.34596084957872</v>
      </c>
      <c r="AF69" s="51">
        <f>-AF68*('Biofuel Volumes'!D4/1000000)</f>
        <v>-2020.5449995595568</v>
      </c>
      <c r="AG69" s="51">
        <f>-AG68*('Biofuel Volumes'!E4/1000000)</f>
        <v>-2655.3479892850419</v>
      </c>
      <c r="AH69" s="51">
        <f>-AH68*('Biofuel Volumes'!F4/1000000)</f>
        <v>-2531.7892416075842</v>
      </c>
      <c r="AI69" s="51">
        <f>-AI68*('Biofuel Volumes'!G4/1000000)</f>
        <v>-13938.230902366342</v>
      </c>
      <c r="AJ69" s="51">
        <f>-AJ68*('Biofuel Volumes'!H4/1000000)</f>
        <v>-11869.347836385654</v>
      </c>
      <c r="AK69" s="51">
        <f>-AK68*('Biofuel Volumes'!I4/1000000)</f>
        <v>-9115.8374526132029</v>
      </c>
      <c r="AL69" s="51">
        <f>-AL68*('Biofuel Volumes'!J4/1000000)</f>
        <v>-5871.6051674387254</v>
      </c>
      <c r="AM69" s="51">
        <f>-AM68*('Biofuel Volumes'!K4/1000000)</f>
        <v>7136.3055548479442</v>
      </c>
      <c r="AN69" s="51">
        <f>-AN68*('Biofuel Volumes'!L4/1000000)</f>
        <v>21370.298708684011</v>
      </c>
      <c r="AO69" s="51">
        <f>-AO68*('Biofuel Volumes'!M4/1000000)</f>
        <v>49894.34568150343</v>
      </c>
      <c r="AP69" s="51">
        <f>-AP68*('Biofuel Volumes'!N4/1000000)</f>
        <v>58328.327676034889</v>
      </c>
    </row>
    <row r="70" spans="2:42" x14ac:dyDescent="0.2">
      <c r="B70" s="41" t="s">
        <v>109</v>
      </c>
      <c r="AE70" s="51" t="e">
        <f>(SUM('Veg Oils'!AE20,'Veg Oils'!#REF!)/SUM('Veg Oils'!AE20,'Veg Oils'!#REF!,'Fats and Grease'!AE36,'Fats and Grease'!#REF!))*AE69</f>
        <v>#REF!</v>
      </c>
      <c r="AF70" s="51" t="e">
        <f>(SUM('Veg Oils'!AF20,'Veg Oils'!#REF!)/SUM('Veg Oils'!AF20,'Veg Oils'!#REF!,'Fats and Grease'!AF36,'Fats and Grease'!#REF!))*AF69</f>
        <v>#REF!</v>
      </c>
      <c r="AG70" s="51" t="e">
        <f>(SUM('Veg Oils'!AG20,'Veg Oils'!#REF!)/SUM('Veg Oils'!AG20,'Veg Oils'!#REF!,'Fats and Grease'!AG36,'Fats and Grease'!#REF!))*AG69</f>
        <v>#REF!</v>
      </c>
      <c r="AH70" s="51" t="e">
        <f>(SUM('Veg Oils'!AH20,'Veg Oils'!#REF!)/SUM('Veg Oils'!AH20,'Veg Oils'!#REF!,'Fats and Grease'!AH36,'Fats and Grease'!#REF!))*AH69</f>
        <v>#REF!</v>
      </c>
      <c r="AI70" s="51" t="e">
        <f>(SUM('Veg Oils'!AI20,'Veg Oils'!#REF!)/SUM('Veg Oils'!AI20,'Veg Oils'!#REF!,'Fats and Grease'!AI36,'Fats and Grease'!#REF!))*AI69</f>
        <v>#REF!</v>
      </c>
      <c r="AJ70" s="51" t="e">
        <f>(SUM('Veg Oils'!AJ20,'Veg Oils'!#REF!)/SUM('Veg Oils'!AJ20,'Veg Oils'!#REF!,'Fats and Grease'!AJ36,'Fats and Grease'!#REF!))*AJ69</f>
        <v>#REF!</v>
      </c>
      <c r="AK70" s="51" t="e">
        <f>(SUM('Veg Oils'!AK20,'Veg Oils'!#REF!)/SUM('Veg Oils'!AK20,'Veg Oils'!#REF!,'Fats and Grease'!AK36,'Fats and Grease'!#REF!))*AK69</f>
        <v>#REF!</v>
      </c>
      <c r="AL70" s="51" t="e">
        <f>(SUM('Veg Oils'!AL20,'Veg Oils'!#REF!)/SUM('Veg Oils'!AL20,'Veg Oils'!#REF!,'Fats and Grease'!AL36,'Fats and Grease'!#REF!))*AL69</f>
        <v>#REF!</v>
      </c>
      <c r="AM70" s="51" t="e">
        <f>(SUM('Veg Oils'!AM20,'Veg Oils'!#REF!)/SUM('Veg Oils'!AM20,'Veg Oils'!#REF!,'Fats and Grease'!AM36,'Fats and Grease'!#REF!))*AM69</f>
        <v>#REF!</v>
      </c>
      <c r="AN70" s="51" t="e">
        <f>(SUM('Veg Oils'!AN20,'Veg Oils'!#REF!)/SUM('Veg Oils'!AN20,'Veg Oils'!#REF!,'Fats and Grease'!AN36,'Fats and Grease'!#REF!))*AN69</f>
        <v>#REF!</v>
      </c>
      <c r="AO70" s="51" t="e">
        <f>(SUM('Veg Oils'!AO20,'Veg Oils'!#REF!)/SUM('Veg Oils'!AO20,'Veg Oils'!#REF!,'Fats and Grease'!AO36,'Fats and Grease'!#REF!))*AO69</f>
        <v>#REF!</v>
      </c>
      <c r="AP70" s="51" t="e">
        <f>(SUM('Veg Oils'!AP20,'Veg Oils'!#REF!)/SUM('Veg Oils'!AP20,'Veg Oils'!#REF!,'Fats and Grease'!AP36,'Fats and Grease'!#REF!))*AP69</f>
        <v>#REF!</v>
      </c>
    </row>
    <row r="71" spans="2:42" x14ac:dyDescent="0.2">
      <c r="B71" s="41" t="s">
        <v>110</v>
      </c>
      <c r="AE71" s="51" t="e">
        <f>AE69-AE70</f>
        <v>#REF!</v>
      </c>
      <c r="AF71" s="51" t="e">
        <f t="shared" ref="AF71:AP71" si="33">AF69-AF70</f>
        <v>#REF!</v>
      </c>
      <c r="AG71" s="51" t="e">
        <f t="shared" si="33"/>
        <v>#REF!</v>
      </c>
      <c r="AH71" s="51" t="e">
        <f t="shared" si="33"/>
        <v>#REF!</v>
      </c>
      <c r="AI71" s="51" t="e">
        <f t="shared" si="33"/>
        <v>#REF!</v>
      </c>
      <c r="AJ71" s="51" t="e">
        <f t="shared" si="33"/>
        <v>#REF!</v>
      </c>
      <c r="AK71" s="51" t="e">
        <f t="shared" si="33"/>
        <v>#REF!</v>
      </c>
      <c r="AL71" s="51" t="e">
        <f t="shared" si="33"/>
        <v>#REF!</v>
      </c>
      <c r="AM71" s="51" t="e">
        <f t="shared" si="33"/>
        <v>#REF!</v>
      </c>
      <c r="AN71" s="51" t="e">
        <f t="shared" si="33"/>
        <v>#REF!</v>
      </c>
      <c r="AO71" s="51" t="e">
        <f t="shared" si="33"/>
        <v>#REF!</v>
      </c>
      <c r="AP71" s="51" t="e">
        <f t="shared" si="33"/>
        <v>#REF!</v>
      </c>
    </row>
    <row r="74" spans="2:42" x14ac:dyDescent="0.2">
      <c r="B74" s="41" t="s">
        <v>115</v>
      </c>
      <c r="AE74" s="54">
        <f>AVERAGE('[6]Renewable Diesel'!$BL$144:$BL$155)</f>
        <v>8.3172108254697026</v>
      </c>
      <c r="AF74" s="54">
        <f>AVERAGE('[6]Renewable Diesel'!$BL$156:$BL$167)</f>
        <v>8.1674999324921398</v>
      </c>
      <c r="AG74" s="54">
        <f>AVERAGE('[6]Renewable Diesel'!$BL$168:$BL$179)</f>
        <v>8.0291853225843717</v>
      </c>
      <c r="AH74" s="54">
        <f>AVERAGE('[6]Renewable Diesel'!$BL$180:$BL$191)</f>
        <v>8.0322006772813435</v>
      </c>
      <c r="AI74" s="54">
        <f>AVERAGE('[6]Renewable Diesel'!$BL$192:$BL$203)</f>
        <v>8.0344172546904371</v>
      </c>
      <c r="AJ74" s="54">
        <f>AVERAGE('[6]Renewable Diesel'!$BL$204:$BL$215)</f>
        <v>7.9632455871512233</v>
      </c>
      <c r="AK74" s="54">
        <f>AVERAGE('[6]Renewable Diesel'!$BL$216:$BL$227)</f>
        <v>8.0599092783021167</v>
      </c>
      <c r="AL74" s="54">
        <f>AVERAGE('[6]Renewable Diesel'!$BL$228:$BL$239)</f>
        <v>8.3219158794933445</v>
      </c>
      <c r="AM74" s="54">
        <f>AVERAGE('[6]Renewable Diesel'!$BL$240:$BL$251)</f>
        <v>9.268138652023584</v>
      </c>
      <c r="AN74" s="54">
        <f>AVERAGE('[6]Renewable Diesel'!$BL$252:$BL$263)</f>
        <v>10.184919059574407</v>
      </c>
      <c r="AO74" s="54">
        <f>AVERAGE('[6]Renewable Diesel'!$BL$264:$BL$275)</f>
        <v>12.156565170973144</v>
      </c>
      <c r="AP74" s="54">
        <f>AVERAGE('[6]Renewable Diesel'!$BL$276:$BL$287)</f>
        <v>12.715616325214791</v>
      </c>
    </row>
    <row r="75" spans="2:42" x14ac:dyDescent="0.2">
      <c r="B75" s="41" t="s">
        <v>47</v>
      </c>
      <c r="AE75" s="54">
        <f>AE34-AE74</f>
        <v>0.20027685153937824</v>
      </c>
      <c r="AF75" s="54">
        <f t="shared" ref="AF75:AP75" si="34">AF34-AF74</f>
        <v>0.80117167362394071</v>
      </c>
      <c r="AG75" s="54">
        <f t="shared" si="34"/>
        <v>0.86687377548452638</v>
      </c>
      <c r="AH75" s="54" t="e">
        <f t="shared" si="34"/>
        <v>#REF!</v>
      </c>
      <c r="AI75" s="54" t="e">
        <f t="shared" si="34"/>
        <v>#REF!</v>
      </c>
      <c r="AJ75" s="54" t="e">
        <f t="shared" si="34"/>
        <v>#REF!</v>
      </c>
      <c r="AK75" s="54" t="e">
        <f t="shared" si="34"/>
        <v>#REF!</v>
      </c>
      <c r="AL75" s="54" t="e">
        <f t="shared" si="34"/>
        <v>#REF!</v>
      </c>
      <c r="AM75" s="54" t="e">
        <f t="shared" si="34"/>
        <v>#REF!</v>
      </c>
      <c r="AN75" s="54" t="e">
        <f t="shared" si="34"/>
        <v>#REF!</v>
      </c>
      <c r="AO75" s="54" t="e">
        <f t="shared" si="34"/>
        <v>#REF!</v>
      </c>
      <c r="AP75" s="54" t="e">
        <f t="shared" si="34"/>
        <v>#REF!</v>
      </c>
    </row>
    <row r="76" spans="2:42" x14ac:dyDescent="0.2">
      <c r="B76" s="41" t="s">
        <v>113</v>
      </c>
      <c r="AE76" s="51">
        <f>-AE75*(SUM('Biofuel Volumes'!C4:C5)/1000000)</f>
        <v>-381.82983605021127</v>
      </c>
      <c r="AF76" s="51">
        <f>-AF75*(SUM('Biofuel Volumes'!D4:D5)/1000000)</f>
        <v>-2228.0400249827676</v>
      </c>
      <c r="AG76" s="51">
        <f>-AG75*(SUM('Biofuel Volumes'!E4:E5)/1000000)</f>
        <v>-3434.7192872979513</v>
      </c>
      <c r="AH76" s="51" t="e">
        <f>-AH75*(SUM('Biofuel Volumes'!F4:F5)/1000000)</f>
        <v>#REF!</v>
      </c>
      <c r="AI76" s="51" t="e">
        <f>-AI75*(SUM('Biofuel Volumes'!G4:G5)/1000000)</f>
        <v>#REF!</v>
      </c>
      <c r="AJ76" s="51" t="e">
        <f>-AJ75*(SUM('Biofuel Volumes'!H4:H5)/1000000)</f>
        <v>#REF!</v>
      </c>
      <c r="AK76" s="51" t="e">
        <f>-AK75*(SUM('Biofuel Volumes'!I4:I5)/1000000)</f>
        <v>#REF!</v>
      </c>
      <c r="AL76" s="51" t="e">
        <f>-AL75*(SUM('Biofuel Volumes'!J4:J5)/1000000)</f>
        <v>#REF!</v>
      </c>
      <c r="AM76" s="51" t="e">
        <f>-AM75*(SUM('Biofuel Volumes'!K4:K5)/1000000)</f>
        <v>#REF!</v>
      </c>
      <c r="AN76" s="51" t="e">
        <f>-AN75*(SUM('Biofuel Volumes'!L4:L5)/1000000)</f>
        <v>#REF!</v>
      </c>
      <c r="AO76" s="51" t="e">
        <f>-AO75*(SUM('Biofuel Volumes'!M4:M5)/1000000)</f>
        <v>#REF!</v>
      </c>
      <c r="AP76" s="51" t="e">
        <f>-AP75*(SUM('Biofuel Volumes'!N4:N5)/1000000)</f>
        <v>#REF!</v>
      </c>
    </row>
    <row r="77" spans="2:42" x14ac:dyDescent="0.2">
      <c r="B77" s="41" t="s">
        <v>109</v>
      </c>
      <c r="AE77" s="51" t="e">
        <f>(SUM('Veg Oils'!AE20,'Veg Oils'!#REF!)/SUM('Veg Oils'!AE20,'Veg Oils'!#REF!,'Fats and Grease'!AE36,'Fats and Grease'!#REF!))*AE76</f>
        <v>#REF!</v>
      </c>
      <c r="AF77" s="51" t="e">
        <f>(SUM('Veg Oils'!AF20,'Veg Oils'!#REF!)/SUM('Veg Oils'!AF20,'Veg Oils'!#REF!,'Fats and Grease'!AF36,'Fats and Grease'!#REF!))*AF76</f>
        <v>#REF!</v>
      </c>
      <c r="AG77" s="51" t="e">
        <f>(SUM('Veg Oils'!AG20,'Veg Oils'!#REF!)/SUM('Veg Oils'!AG20,'Veg Oils'!#REF!,'Fats and Grease'!AG36,'Fats and Grease'!#REF!))*AG76</f>
        <v>#REF!</v>
      </c>
      <c r="AH77" s="51" t="e">
        <f>(SUM('Veg Oils'!AH20,'Veg Oils'!#REF!)/SUM('Veg Oils'!AH20,'Veg Oils'!#REF!,'Fats and Grease'!AH36,'Fats and Grease'!#REF!))*AH76</f>
        <v>#REF!</v>
      </c>
      <c r="AI77" s="51" t="e">
        <f>(SUM('Veg Oils'!AI20,'Veg Oils'!#REF!)/SUM('Veg Oils'!AI20,'Veg Oils'!#REF!,'Fats and Grease'!AI36,'Fats and Grease'!#REF!))*AI76</f>
        <v>#REF!</v>
      </c>
      <c r="AJ77" s="51" t="e">
        <f>(SUM('Veg Oils'!AJ20,'Veg Oils'!#REF!)/SUM('Veg Oils'!AJ20,'Veg Oils'!#REF!,'Fats and Grease'!AJ36,'Fats and Grease'!#REF!))*AJ76</f>
        <v>#REF!</v>
      </c>
      <c r="AK77" s="51" t="e">
        <f>(SUM('Veg Oils'!AK20,'Veg Oils'!#REF!)/SUM('Veg Oils'!AK20,'Veg Oils'!#REF!,'Fats and Grease'!AK36,'Fats and Grease'!#REF!))*AK76</f>
        <v>#REF!</v>
      </c>
      <c r="AL77" s="51" t="e">
        <f>(SUM('Veg Oils'!AL20,'Veg Oils'!#REF!)/SUM('Veg Oils'!AL20,'Veg Oils'!#REF!,'Fats and Grease'!AL36,'Fats and Grease'!#REF!))*AL76</f>
        <v>#REF!</v>
      </c>
      <c r="AM77" s="51" t="e">
        <f>(SUM('Veg Oils'!AM20,'Veg Oils'!#REF!)/SUM('Veg Oils'!AM20,'Veg Oils'!#REF!,'Fats and Grease'!AM36,'Fats and Grease'!#REF!))*AM76</f>
        <v>#REF!</v>
      </c>
      <c r="AN77" s="51" t="e">
        <f>(SUM('Veg Oils'!AN20,'Veg Oils'!#REF!)/SUM('Veg Oils'!AN20,'Veg Oils'!#REF!,'Fats and Grease'!AN36,'Fats and Grease'!#REF!))*AN76</f>
        <v>#REF!</v>
      </c>
      <c r="AO77" s="51" t="e">
        <f>(SUM('Veg Oils'!AO20,'Veg Oils'!#REF!)/SUM('Veg Oils'!AO20,'Veg Oils'!#REF!,'Fats and Grease'!AO36,'Fats and Grease'!#REF!))*AO76</f>
        <v>#REF!</v>
      </c>
      <c r="AP77" s="51" t="e">
        <f>(SUM('Veg Oils'!AP20,'Veg Oils'!#REF!)/SUM('Veg Oils'!AP20,'Veg Oils'!#REF!,'Fats and Grease'!AP36,'Fats and Grease'!#REF!))*AP76</f>
        <v>#REF!</v>
      </c>
    </row>
    <row r="78" spans="2:42" x14ac:dyDescent="0.2">
      <c r="B78" s="41" t="s">
        <v>110</v>
      </c>
      <c r="AE78" s="51" t="e">
        <f>AE76-AE77</f>
        <v>#REF!</v>
      </c>
      <c r="AF78" s="51" t="e">
        <f t="shared" ref="AF78:AP78" si="35">AF76-AF77</f>
        <v>#REF!</v>
      </c>
      <c r="AG78" s="51" t="e">
        <f t="shared" si="35"/>
        <v>#REF!</v>
      </c>
      <c r="AH78" s="51" t="e">
        <f t="shared" si="35"/>
        <v>#REF!</v>
      </c>
      <c r="AI78" s="51" t="e">
        <f t="shared" si="35"/>
        <v>#REF!</v>
      </c>
      <c r="AJ78" s="51" t="e">
        <f t="shared" si="35"/>
        <v>#REF!</v>
      </c>
      <c r="AK78" s="51" t="e">
        <f t="shared" si="35"/>
        <v>#REF!</v>
      </c>
      <c r="AL78" s="51" t="e">
        <f t="shared" si="35"/>
        <v>#REF!</v>
      </c>
      <c r="AM78" s="51" t="e">
        <f t="shared" si="35"/>
        <v>#REF!</v>
      </c>
      <c r="AN78" s="51" t="e">
        <f t="shared" si="35"/>
        <v>#REF!</v>
      </c>
      <c r="AO78" s="51" t="e">
        <f t="shared" si="35"/>
        <v>#REF!</v>
      </c>
      <c r="AP78" s="51" t="e">
        <f t="shared" si="35"/>
        <v>#REF!</v>
      </c>
    </row>
  </sheetData>
  <pageMargins left="0.7" right="0.7" top="0.75" bottom="0.75" header="0.3" footer="0.3"/>
  <pageSetup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854D-8015-40C4-9B96-F12AEE3B7F98}">
  <dimension ref="A1:BW52"/>
  <sheetViews>
    <sheetView zoomScaleNormal="100" workbookViewId="0">
      <pane xSplit="2" ySplit="3" topLeftCell="AA4" activePane="bottomRight" state="frozen"/>
      <selection activeCell="M14" sqref="M14"/>
      <selection pane="topRight" activeCell="M14" sqref="M14"/>
      <selection pane="bottomLeft" activeCell="M14" sqref="M14"/>
      <selection pane="bottomRight" activeCell="M14" sqref="M14"/>
    </sheetView>
  </sheetViews>
  <sheetFormatPr defaultColWidth="9" defaultRowHeight="11.25" x14ac:dyDescent="0.2"/>
  <cols>
    <col min="1" max="1" width="4.1640625" style="41" customWidth="1"/>
    <col min="2" max="2" width="46.6640625" style="41" customWidth="1"/>
    <col min="3" max="26" width="9.33203125" style="41" hidden="1" customWidth="1"/>
    <col min="27" max="27" width="9.33203125" style="41" customWidth="1"/>
    <col min="28" max="29" width="9" style="41" customWidth="1"/>
    <col min="30" max="40" width="11.33203125" style="41" bestFit="1" customWidth="1"/>
    <col min="41" max="50" width="9" style="41" customWidth="1"/>
    <col min="51" max="64" width="9" style="41"/>
    <col min="65" max="75" width="9.1640625" style="41" bestFit="1" customWidth="1"/>
    <col min="76" max="16384" width="9" style="41"/>
  </cols>
  <sheetData>
    <row r="1" spans="1:63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</row>
    <row r="2" spans="1:63" ht="12" thickBot="1" x14ac:dyDescent="0.25">
      <c r="A2" s="40"/>
      <c r="B2" s="57" t="s">
        <v>116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 t="b">
        <f>AH13=SBO!AH7+'Canola Oil'!AH7</f>
        <v>0</v>
      </c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</row>
    <row r="3" spans="1:63" ht="12" thickBot="1" x14ac:dyDescent="0.25">
      <c r="A3" s="40"/>
      <c r="B3" s="58"/>
      <c r="C3" s="44">
        <f>SBO!C3</f>
        <v>1994</v>
      </c>
      <c r="D3" s="44">
        <f>SBO!D3</f>
        <v>1995</v>
      </c>
      <c r="E3" s="44">
        <f>SBO!E3</f>
        <v>1996</v>
      </c>
      <c r="F3" s="44">
        <f>SBO!F3</f>
        <v>1997</v>
      </c>
      <c r="G3" s="44">
        <f>SBO!G3</f>
        <v>1998</v>
      </c>
      <c r="H3" s="44">
        <f>SBO!H3</f>
        <v>1999</v>
      </c>
      <c r="I3" s="44">
        <f>SBO!I3</f>
        <v>2000</v>
      </c>
      <c r="J3" s="44">
        <f>SBO!J3</f>
        <v>2001</v>
      </c>
      <c r="K3" s="44">
        <f>SBO!K3</f>
        <v>2002</v>
      </c>
      <c r="L3" s="44">
        <f>SBO!L3</f>
        <v>2003</v>
      </c>
      <c r="M3" s="44">
        <f>SBO!M3</f>
        <v>2004</v>
      </c>
      <c r="N3" s="44">
        <f>SBO!N3</f>
        <v>2005</v>
      </c>
      <c r="O3" s="44">
        <f>SBO!O3</f>
        <v>2006</v>
      </c>
      <c r="P3" s="44">
        <f>SBO!P3</f>
        <v>2007</v>
      </c>
      <c r="Q3" s="44">
        <f>SBO!Q3</f>
        <v>2008</v>
      </c>
      <c r="R3" s="44">
        <f>SBO!R3</f>
        <v>2009</v>
      </c>
      <c r="S3" s="44">
        <f>SBO!S3</f>
        <v>2010</v>
      </c>
      <c r="T3" s="44">
        <f>SBO!T3</f>
        <v>2011</v>
      </c>
      <c r="U3" s="44">
        <f>SBO!U3</f>
        <v>2012</v>
      </c>
      <c r="V3" s="44">
        <f>SBO!V3</f>
        <v>2013</v>
      </c>
      <c r="W3" s="44">
        <f>SBO!W3</f>
        <v>2014</v>
      </c>
      <c r="X3" s="44">
        <f>SBO!X3</f>
        <v>2015</v>
      </c>
      <c r="Y3" s="44">
        <f>SBO!Y3</f>
        <v>2016</v>
      </c>
      <c r="Z3" s="44">
        <f>SBO!Z3</f>
        <v>2017</v>
      </c>
      <c r="AA3" s="44">
        <f>SBO!AA3</f>
        <v>2018</v>
      </c>
      <c r="AB3" s="44">
        <f>SBO!AB3</f>
        <v>2019</v>
      </c>
      <c r="AC3" s="44">
        <f>SBO!AC3</f>
        <v>2020</v>
      </c>
      <c r="AD3" s="44">
        <f>SBO!AD3</f>
        <v>2021</v>
      </c>
      <c r="AE3" s="44">
        <f>SBO!AE3</f>
        <v>2022</v>
      </c>
      <c r="AF3" s="44">
        <f>SBO!AF3</f>
        <v>2023</v>
      </c>
      <c r="AG3" s="44">
        <f>SBO!AG3</f>
        <v>2024</v>
      </c>
      <c r="AH3" s="44">
        <f>SBO!AH3</f>
        <v>2025</v>
      </c>
      <c r="AI3" s="44">
        <f>SBO!AI3</f>
        <v>2026</v>
      </c>
      <c r="AJ3" s="44">
        <f>SBO!AJ3</f>
        <v>2027</v>
      </c>
      <c r="AK3" s="44">
        <f>SBO!AK3</f>
        <v>2028</v>
      </c>
      <c r="AL3" s="44">
        <f>SBO!AL3</f>
        <v>2029</v>
      </c>
      <c r="AM3" s="44">
        <f>SBO!AM3</f>
        <v>2030</v>
      </c>
      <c r="AN3" s="44">
        <f>SBO!AN3</f>
        <v>2031</v>
      </c>
      <c r="AO3" s="44">
        <f>SBO!AO3</f>
        <v>2032</v>
      </c>
      <c r="AP3" s="44">
        <f>SBO!AP3</f>
        <v>2033</v>
      </c>
      <c r="AQ3" s="44">
        <f>SBO!AQ3</f>
        <v>2034</v>
      </c>
      <c r="AR3" s="44">
        <f>SBO!AR3</f>
        <v>2035</v>
      </c>
      <c r="AS3" s="44">
        <f>SBO!AS3</f>
        <v>2036</v>
      </c>
      <c r="AT3" s="44">
        <f>SBO!AT3</f>
        <v>2037</v>
      </c>
      <c r="AU3" s="44">
        <f>SBO!AU3</f>
        <v>2038</v>
      </c>
      <c r="AV3" s="44">
        <f>SBO!AV3</f>
        <v>2039</v>
      </c>
      <c r="AW3" s="44">
        <f>SBO!AW3</f>
        <v>2040</v>
      </c>
      <c r="AX3" s="44">
        <f>SBO!AX3</f>
        <v>2041</v>
      </c>
      <c r="AY3" s="44">
        <f>SBO!AY3</f>
        <v>2042</v>
      </c>
      <c r="AZ3" s="44">
        <f>SBO!AZ3</f>
        <v>2043</v>
      </c>
      <c r="BA3" s="44">
        <f>SBO!BA3</f>
        <v>2044</v>
      </c>
      <c r="BB3" s="44">
        <f>SBO!BB3</f>
        <v>2045</v>
      </c>
      <c r="BC3" s="44">
        <f>SBO!BC3</f>
        <v>2046</v>
      </c>
      <c r="BD3" s="44">
        <f>SBO!BD3</f>
        <v>2047</v>
      </c>
      <c r="BE3" s="44">
        <f>SBO!BE3</f>
        <v>2048</v>
      </c>
      <c r="BF3" s="44">
        <f>SBO!BF3</f>
        <v>2049</v>
      </c>
      <c r="BG3" s="44">
        <f>SBO!BG3</f>
        <v>2050</v>
      </c>
      <c r="BH3" s="59"/>
      <c r="BI3" s="59"/>
      <c r="BJ3" s="59"/>
      <c r="BK3" s="59"/>
    </row>
    <row r="4" spans="1:63" x14ac:dyDescent="0.2">
      <c r="A4" s="40"/>
      <c r="B4" s="57" t="s">
        <v>70</v>
      </c>
      <c r="C4" s="45">
        <f t="shared" ref="C4:AW4" si="0">SUM(C5:C6)</f>
        <v>78.20738337762333</v>
      </c>
      <c r="D4" s="45">
        <f t="shared" si="0"/>
        <v>1213.1119532264902</v>
      </c>
      <c r="E4" s="45">
        <f t="shared" si="0"/>
        <v>1603.0302670582737</v>
      </c>
      <c r="F4" s="45">
        <f t="shared" si="0"/>
        <v>2268.7280925529913</v>
      </c>
      <c r="G4" s="45">
        <f t="shared" si="0"/>
        <v>1882.7107880605108</v>
      </c>
      <c r="H4" s="45">
        <f t="shared" si="0"/>
        <v>1600.2184532137785</v>
      </c>
      <c r="I4" s="45">
        <f t="shared" si="0"/>
        <v>2134.0927192973968</v>
      </c>
      <c r="J4" s="45">
        <f t="shared" si="0"/>
        <v>2593.7896948713642</v>
      </c>
      <c r="K4" s="45">
        <f t="shared" si="0"/>
        <v>3039.8236765977285</v>
      </c>
      <c r="L4" s="45">
        <f t="shared" si="0"/>
        <v>2522.9986584840599</v>
      </c>
      <c r="M4" s="45">
        <f t="shared" si="0"/>
        <v>2070.7874184676821</v>
      </c>
      <c r="N4" s="45">
        <f t="shared" si="0"/>
        <v>1680.8949545824157</v>
      </c>
      <c r="O4" s="45">
        <f t="shared" si="0"/>
        <v>2597.3160890688009</v>
      </c>
      <c r="P4" s="45">
        <f t="shared" si="0"/>
        <v>3517.6798170009474</v>
      </c>
      <c r="Q4" s="45">
        <f t="shared" si="0"/>
        <v>3651.0827228813723</v>
      </c>
      <c r="R4" s="45">
        <f t="shared" si="0"/>
        <v>3163.604667619511</v>
      </c>
      <c r="S4" s="45">
        <f t="shared" si="0"/>
        <v>3428.6174130030035</v>
      </c>
      <c r="T4" s="45">
        <f t="shared" si="0"/>
        <v>3747.5677318802614</v>
      </c>
      <c r="U4" s="45">
        <f t="shared" si="0"/>
        <v>2863.4263439305969</v>
      </c>
      <c r="V4" s="45">
        <f t="shared" si="0"/>
        <v>3774.8642091737665</v>
      </c>
      <c r="W4" s="45">
        <f t="shared" si="0"/>
        <v>2550.2672383018562</v>
      </c>
      <c r="X4" s="45">
        <f t="shared" si="0"/>
        <v>1854.0989528949999</v>
      </c>
      <c r="Y4" s="45">
        <f t="shared" si="0"/>
        <v>2464.727535126086</v>
      </c>
      <c r="Z4" s="45">
        <f t="shared" si="0"/>
        <v>2635.824750239105</v>
      </c>
      <c r="AA4" s="45">
        <f t="shared" si="0"/>
        <v>2580.8664776022201</v>
      </c>
      <c r="AB4" s="45">
        <f t="shared" si="0"/>
        <v>2154.3789999999999</v>
      </c>
      <c r="AC4" s="45">
        <f t="shared" si="0"/>
        <v>2264.8129999999996</v>
      </c>
      <c r="AD4" s="45">
        <f t="shared" si="0"/>
        <v>2275.393</v>
      </c>
      <c r="AE4" s="45">
        <f>SUM(AE5:AE6)</f>
        <v>2605.0619999999999</v>
      </c>
      <c r="AF4" s="45">
        <f t="shared" si="0"/>
        <v>2496.79</v>
      </c>
      <c r="AG4" s="45">
        <f t="shared" si="0"/>
        <v>2013.558</v>
      </c>
      <c r="AH4" s="60">
        <f t="shared" si="0"/>
        <v>1816.809</v>
      </c>
      <c r="AI4" s="60">
        <f t="shared" si="0"/>
        <v>1356.0041447814299</v>
      </c>
      <c r="AJ4" s="60">
        <f t="shared" si="0"/>
        <v>1919.7792817679604</v>
      </c>
      <c r="AK4" s="60">
        <f t="shared" si="0"/>
        <v>1898.4139863656328</v>
      </c>
      <c r="AL4" s="60">
        <f t="shared" si="0"/>
        <v>1677.0001811761856</v>
      </c>
      <c r="AM4" s="60">
        <f t="shared" si="0"/>
        <v>1778.1660711596992</v>
      </c>
      <c r="AN4" s="60">
        <f t="shared" si="0"/>
        <v>1731.403931045382</v>
      </c>
      <c r="AO4" s="60">
        <f t="shared" si="0"/>
        <v>1795.7954980488264</v>
      </c>
      <c r="AP4" s="60">
        <f t="shared" si="0"/>
        <v>2067.9719467454356</v>
      </c>
      <c r="AQ4" s="60">
        <f t="shared" si="0"/>
        <v>2747.3256283557821</v>
      </c>
      <c r="AR4" s="60">
        <f t="shared" si="0"/>
        <v>2743.2584882125161</v>
      </c>
      <c r="AS4" s="60">
        <f t="shared" si="0"/>
        <v>2035.3852649489882</v>
      </c>
      <c r="AT4" s="60">
        <f t="shared" si="0"/>
        <v>1760.3111398568944</v>
      </c>
      <c r="AU4" s="60">
        <f t="shared" si="0"/>
        <v>1602.7610422195241</v>
      </c>
      <c r="AV4" s="60">
        <f t="shared" si="0"/>
        <v>588.34338334751851</v>
      </c>
      <c r="AW4" s="60">
        <f t="shared" si="0"/>
        <v>584.6800117309017</v>
      </c>
      <c r="AX4" s="60">
        <f t="shared" ref="AX4:BG4" si="1">SUM(AX5:AX6)</f>
        <v>1462.4840838842188</v>
      </c>
      <c r="AY4" s="60">
        <f t="shared" si="1"/>
        <v>1970.2216814003639</v>
      </c>
      <c r="AZ4" s="60">
        <f t="shared" si="1"/>
        <v>1720.901116189501</v>
      </c>
      <c r="BA4" s="60">
        <f t="shared" si="1"/>
        <v>1878.5243284670678</v>
      </c>
      <c r="BB4" s="60">
        <f t="shared" si="1"/>
        <v>2108.8932126895825</v>
      </c>
      <c r="BC4" s="60">
        <f t="shared" si="1"/>
        <v>1515.297704192832</v>
      </c>
      <c r="BD4" s="60">
        <f t="shared" si="1"/>
        <v>2374.1042076003409</v>
      </c>
      <c r="BE4" s="60">
        <f t="shared" si="1"/>
        <v>1211.4964203028437</v>
      </c>
      <c r="BF4" s="60">
        <f t="shared" si="1"/>
        <v>2734.5528117333383</v>
      </c>
      <c r="BG4" s="60">
        <f t="shared" si="1"/>
        <v>2460.0464976572594</v>
      </c>
      <c r="BH4" s="60"/>
      <c r="BI4" s="60"/>
      <c r="BJ4" s="60"/>
      <c r="BK4" s="60"/>
    </row>
    <row r="5" spans="1:63" x14ac:dyDescent="0.2">
      <c r="A5" s="40"/>
      <c r="B5" s="61" t="s">
        <v>117</v>
      </c>
      <c r="C5" s="62">
        <f>SBO!C4</f>
        <v>5.44</v>
      </c>
      <c r="D5" s="62">
        <f>SBO!D4</f>
        <v>1116.8</v>
      </c>
      <c r="E5" s="62">
        <f>SBO!E4</f>
        <v>1512.6000000000001</v>
      </c>
      <c r="F5" s="62">
        <f>SBO!F4</f>
        <v>2172.3000000000002</v>
      </c>
      <c r="G5" s="62">
        <f>SBO!G4</f>
        <v>1787.9</v>
      </c>
      <c r="H5" s="62">
        <f>SBO!H4</f>
        <v>1505.6</v>
      </c>
      <c r="I5" s="62">
        <f>SBO!I4</f>
        <v>1993.2</v>
      </c>
      <c r="J5" s="62">
        <f>SBO!J4</f>
        <v>2436.7999999999997</v>
      </c>
      <c r="K5" s="62">
        <f>SBO!K4</f>
        <v>2923.7</v>
      </c>
      <c r="L5" s="62">
        <f>SBO!L4</f>
        <v>2394.7999999999997</v>
      </c>
      <c r="M5" s="62">
        <f>SBO!M4</f>
        <v>1950.8</v>
      </c>
      <c r="N5" s="62">
        <f>SBO!N4</f>
        <v>1560</v>
      </c>
      <c r="O5" s="62">
        <f>SBO!O4</f>
        <v>2470.556</v>
      </c>
      <c r="P5" s="62">
        <f>SBO!P4</f>
        <v>3359.7</v>
      </c>
      <c r="Q5" s="62">
        <f>SBO!Q4</f>
        <v>3408</v>
      </c>
      <c r="R5" s="62">
        <f>SBO!R4</f>
        <v>2992.3</v>
      </c>
      <c r="S5" s="62">
        <f>SBO!S4</f>
        <v>3221.69</v>
      </c>
      <c r="T5" s="62">
        <f>SBO!T4</f>
        <v>3415.395</v>
      </c>
      <c r="U5" s="62">
        <f>SBO!U4</f>
        <v>2612.8404445890633</v>
      </c>
      <c r="V5" s="62">
        <f>SBO!V4</f>
        <v>3515.3513224728517</v>
      </c>
      <c r="W5" s="62">
        <f>SBO!W4</f>
        <v>2234.1364419474753</v>
      </c>
      <c r="X5" s="62">
        <f>SBO!X4</f>
        <v>1529.2622913757946</v>
      </c>
      <c r="Y5" s="62">
        <f>SBO!Y4</f>
        <v>2110.797</v>
      </c>
      <c r="Z5" s="62">
        <f>SBO!Z4</f>
        <v>2125.6970000000001</v>
      </c>
      <c r="AA5" s="62">
        <f>SBO!AA4</f>
        <v>2239.7840000000001</v>
      </c>
      <c r="AB5" s="62">
        <f>SBO!AB4</f>
        <v>1945.848</v>
      </c>
      <c r="AC5" s="62">
        <f>SBO!AC4</f>
        <v>2134.0639999999999</v>
      </c>
      <c r="AD5" s="62">
        <f>SBO!AD4</f>
        <v>2110.7860000000001</v>
      </c>
      <c r="AE5" s="62">
        <f>SBO!AE4</f>
        <v>2465.8910000000001</v>
      </c>
      <c r="AF5" s="62">
        <f>SBO!AF4</f>
        <v>2306.1469999999999</v>
      </c>
      <c r="AG5" s="62">
        <f>SBO!AG4</f>
        <v>1823.8340000000001</v>
      </c>
      <c r="AH5" s="62">
        <f>SBO!AH4</f>
        <v>1690.57</v>
      </c>
      <c r="AI5" s="62">
        <f>SBO!AI4</f>
        <v>1235.2194983444124</v>
      </c>
      <c r="AJ5" s="62">
        <f>SBO!AJ4</f>
        <v>1798.445198359168</v>
      </c>
      <c r="AK5" s="62">
        <f>SBO!AK4</f>
        <v>1789.8727482357099</v>
      </c>
      <c r="AL5" s="62">
        <f>SBO!AL4</f>
        <v>1553.7204330678724</v>
      </c>
      <c r="AM5" s="62">
        <f>SBO!AM4</f>
        <v>1637.6404157145039</v>
      </c>
      <c r="AN5" s="62">
        <f>SBO!AN4</f>
        <v>1605.9143661464532</v>
      </c>
      <c r="AO5" s="62">
        <f>SBO!AO4</f>
        <v>1647.9395710025319</v>
      </c>
      <c r="AP5" s="62">
        <f>SBO!AP4</f>
        <v>1918.3526594052482</v>
      </c>
      <c r="AQ5" s="62">
        <f>SBO!AQ4</f>
        <v>2573.7799468901617</v>
      </c>
      <c r="AR5" s="62">
        <f>SBO!AR4</f>
        <v>2561.1533650089655</v>
      </c>
      <c r="AS5" s="62">
        <f>SBO!AS4</f>
        <v>1878.3709125891228</v>
      </c>
      <c r="AT5" s="62">
        <f>SBO!AT4</f>
        <v>1568.685449068128</v>
      </c>
      <c r="AU5" s="62">
        <f>SBO!AU4</f>
        <v>1401.6507009346824</v>
      </c>
      <c r="AV5" s="62">
        <f>SBO!AV4</f>
        <v>396.99184369783325</v>
      </c>
      <c r="AW5" s="62">
        <f>SBO!AW4</f>
        <v>376.05017231920738</v>
      </c>
      <c r="AX5" s="62">
        <f>SBO!AX4</f>
        <v>1257.034424295568</v>
      </c>
      <c r="AY5" s="62">
        <f>SBO!AY4</f>
        <v>1793.1097202150577</v>
      </c>
      <c r="AZ5" s="62">
        <f>SBO!AZ4</f>
        <v>1536.6197894509273</v>
      </c>
      <c r="BA5" s="62">
        <f>SBO!BA4</f>
        <v>1695.2169147630962</v>
      </c>
      <c r="BB5" s="62">
        <f>SBO!BB4</f>
        <v>1901.1899310555482</v>
      </c>
      <c r="BC5" s="62">
        <f>SBO!BC4</f>
        <v>1294.8065411780535</v>
      </c>
      <c r="BD5" s="62">
        <f>SBO!BD4</f>
        <v>2146.6913985639994</v>
      </c>
      <c r="BE5" s="62">
        <f>SBO!BE4</f>
        <v>995.88801183756095</v>
      </c>
      <c r="BF5" s="62">
        <f>SBO!BF4</f>
        <v>2529.5517597215812</v>
      </c>
      <c r="BG5" s="62">
        <f>SBO!BG4</f>
        <v>2253.4324652758924</v>
      </c>
      <c r="BH5" s="45"/>
      <c r="BI5" s="45"/>
      <c r="BJ5" s="45"/>
      <c r="BK5" s="45"/>
    </row>
    <row r="6" spans="1:63" x14ac:dyDescent="0.2">
      <c r="A6" s="40"/>
      <c r="B6" s="40" t="s">
        <v>118</v>
      </c>
      <c r="C6" s="45">
        <f>'Canola Oil'!C4</f>
        <v>72.767383377623332</v>
      </c>
      <c r="D6" s="45">
        <f>'Canola Oil'!D4</f>
        <v>96.311953226490346</v>
      </c>
      <c r="E6" s="45">
        <f>'Canola Oil'!E4</f>
        <v>90.430267058273458</v>
      </c>
      <c r="F6" s="45">
        <f>'Canola Oil'!F4</f>
        <v>96.42809255299106</v>
      </c>
      <c r="G6" s="45">
        <f>'Canola Oil'!G4</f>
        <v>94.810788060510689</v>
      </c>
      <c r="H6" s="45">
        <f>'Canola Oil'!H4</f>
        <v>94.61845321377865</v>
      </c>
      <c r="I6" s="45">
        <f>'Canola Oil'!I4</f>
        <v>140.89271929739658</v>
      </c>
      <c r="J6" s="45">
        <f>'Canola Oil'!J4</f>
        <v>156.98969487136429</v>
      </c>
      <c r="K6" s="45">
        <f>'Canola Oil'!K4</f>
        <v>116.12367659772852</v>
      </c>
      <c r="L6" s="45">
        <f>'Canola Oil'!L4</f>
        <v>128.19865848406005</v>
      </c>
      <c r="M6" s="45">
        <f>'Canola Oil'!M4</f>
        <v>119.98741846768203</v>
      </c>
      <c r="N6" s="45">
        <f>'Canola Oil'!N4</f>
        <v>120.89495458241561</v>
      </c>
      <c r="O6" s="45">
        <f>'Canola Oil'!O4</f>
        <v>126.7600890688008</v>
      </c>
      <c r="P6" s="45">
        <f>'Canola Oil'!P4</f>
        <v>157.97981700094743</v>
      </c>
      <c r="Q6" s="45">
        <f>'Canola Oil'!Q4</f>
        <v>243.08272288137238</v>
      </c>
      <c r="R6" s="45">
        <f>'Canola Oil'!R4</f>
        <v>171.3046676195107</v>
      </c>
      <c r="S6" s="45">
        <f>'Canola Oil'!S4</f>
        <v>206.92741300300347</v>
      </c>
      <c r="T6" s="45">
        <f>'Canola Oil'!T4</f>
        <v>332.17273188026138</v>
      </c>
      <c r="U6" s="45">
        <f>'Canola Oil'!U4</f>
        <v>250.5858993415336</v>
      </c>
      <c r="V6" s="45">
        <f>'Canola Oil'!V4</f>
        <v>259.51288670091469</v>
      </c>
      <c r="W6" s="45">
        <f>'Canola Oil'!W4</f>
        <v>316.13079635438066</v>
      </c>
      <c r="X6" s="45">
        <f>'Canola Oil'!X4</f>
        <v>324.83666151920545</v>
      </c>
      <c r="Y6" s="45">
        <f>'Canola Oil'!Y4</f>
        <v>353.93053512608589</v>
      </c>
      <c r="Z6" s="45">
        <f>'Canola Oil'!Z4</f>
        <v>510.12775023910501</v>
      </c>
      <c r="AA6" s="45">
        <f>'Canola Oil'!AA4</f>
        <v>341.08247760222002</v>
      </c>
      <c r="AB6" s="45">
        <f>'Canola Oil'!AB4</f>
        <v>208.53100000000001</v>
      </c>
      <c r="AC6" s="45">
        <f>'Canola Oil'!AC4</f>
        <v>130.749</v>
      </c>
      <c r="AD6" s="45">
        <f>'Canola Oil'!AD4</f>
        <v>164.60700000000003</v>
      </c>
      <c r="AE6" s="45">
        <f>'Canola Oil'!AE4</f>
        <v>139.17099999999999</v>
      </c>
      <c r="AF6" s="45">
        <f>'Canola Oil'!AF4</f>
        <v>190.64299999999997</v>
      </c>
      <c r="AG6" s="45">
        <f>'Canola Oil'!AG4</f>
        <v>189.72399999999999</v>
      </c>
      <c r="AH6" s="45">
        <f>'Canola Oil'!AH4</f>
        <v>126.239</v>
      </c>
      <c r="AI6" s="45">
        <f>'Canola Oil'!AI4</f>
        <v>120.7846464370175</v>
      </c>
      <c r="AJ6" s="45">
        <f>'Canola Oil'!AJ4</f>
        <v>121.33408340879237</v>
      </c>
      <c r="AK6" s="45">
        <f>'Canola Oil'!AK4</f>
        <v>108.54123812992293</v>
      </c>
      <c r="AL6" s="45">
        <f>'Canola Oil'!AL4</f>
        <v>123.27974810831324</v>
      </c>
      <c r="AM6" s="45">
        <f>'Canola Oil'!AM4</f>
        <v>140.52565544519518</v>
      </c>
      <c r="AN6" s="45">
        <f>'Canola Oil'!AN4</f>
        <v>125.48956489892885</v>
      </c>
      <c r="AO6" s="45">
        <f>'Canola Oil'!AO4</f>
        <v>147.85592704629448</v>
      </c>
      <c r="AP6" s="45">
        <f>'Canola Oil'!AP4</f>
        <v>149.6192873401875</v>
      </c>
      <c r="AQ6" s="45">
        <f>'Canola Oil'!AQ4</f>
        <v>173.54568146562042</v>
      </c>
      <c r="AR6" s="45">
        <f>'Canola Oil'!AR4</f>
        <v>182.10512320355076</v>
      </c>
      <c r="AS6" s="45">
        <f>'Canola Oil'!AS4</f>
        <v>157.01435235986526</v>
      </c>
      <c r="AT6" s="45">
        <f>'Canola Oil'!AT4</f>
        <v>191.62569078876641</v>
      </c>
      <c r="AU6" s="45">
        <f>'Canola Oil'!AU4</f>
        <v>201.11034128484175</v>
      </c>
      <c r="AV6" s="45">
        <f>'Canola Oil'!AV4</f>
        <v>191.35153964968526</v>
      </c>
      <c r="AW6" s="45">
        <f>'Canola Oil'!AW4</f>
        <v>208.62983941169432</v>
      </c>
      <c r="AX6" s="45">
        <f>'Canola Oil'!AX4</f>
        <v>205.44965958865066</v>
      </c>
      <c r="AY6" s="45">
        <f>'Canola Oil'!AY4</f>
        <v>177.1119611853062</v>
      </c>
      <c r="AZ6" s="45">
        <f>'Canola Oil'!AZ4</f>
        <v>184.28132673857363</v>
      </c>
      <c r="BA6" s="45">
        <f>'Canola Oil'!BA4</f>
        <v>183.30741370397163</v>
      </c>
      <c r="BB6" s="45">
        <f>'Canola Oil'!BB4</f>
        <v>207.70328163403406</v>
      </c>
      <c r="BC6" s="45">
        <f>'Canola Oil'!BC4</f>
        <v>220.49116301477852</v>
      </c>
      <c r="BD6" s="45">
        <f>'Canola Oil'!BD4</f>
        <v>227.41280903634151</v>
      </c>
      <c r="BE6" s="45">
        <f>'Canola Oil'!BE4</f>
        <v>215.60840846528276</v>
      </c>
      <c r="BF6" s="45">
        <f>'Canola Oil'!BF4</f>
        <v>205.00105201175711</v>
      </c>
      <c r="BG6" s="45">
        <f>'Canola Oil'!BG4</f>
        <v>206.61403238136722</v>
      </c>
      <c r="BH6" s="45"/>
      <c r="BI6" s="45"/>
      <c r="BJ6" s="45"/>
      <c r="BK6" s="45"/>
    </row>
    <row r="7" spans="1:63" x14ac:dyDescent="0.2">
      <c r="A7" s="40"/>
      <c r="B7" s="57" t="s">
        <v>71</v>
      </c>
      <c r="C7" s="45">
        <f t="shared" ref="C7:AD7" si="2">SUM(C8:C9)</f>
        <v>4861.2223091488831</v>
      </c>
      <c r="D7" s="45">
        <f t="shared" si="2"/>
        <v>30562.47259207692</v>
      </c>
      <c r="E7" s="45">
        <f t="shared" si="2"/>
        <v>30099.905225548388</v>
      </c>
      <c r="F7" s="45">
        <f t="shared" si="2"/>
        <v>31500.630878186104</v>
      </c>
      <c r="G7" s="45">
        <f t="shared" si="2"/>
        <v>35575.690163349878</v>
      </c>
      <c r="H7" s="45">
        <f t="shared" si="2"/>
        <v>35828.228538069481</v>
      </c>
      <c r="I7" s="45">
        <f t="shared" si="2"/>
        <v>35349.787438126543</v>
      </c>
      <c r="J7" s="45">
        <f t="shared" si="2"/>
        <v>36803.51427814144</v>
      </c>
      <c r="K7" s="45">
        <f t="shared" si="2"/>
        <v>37205.510313620354</v>
      </c>
      <c r="L7" s="45">
        <f t="shared" si="2"/>
        <v>36104.620461223327</v>
      </c>
      <c r="M7" s="45">
        <f t="shared" si="2"/>
        <v>34012.34700433995</v>
      </c>
      <c r="N7" s="45">
        <f t="shared" si="2"/>
        <v>38755.825673791558</v>
      </c>
      <c r="O7" s="45">
        <f t="shared" si="2"/>
        <v>40716.551959873446</v>
      </c>
      <c r="P7" s="45">
        <f t="shared" si="2"/>
        <v>41228.171047034746</v>
      </c>
      <c r="Q7" s="45">
        <f t="shared" si="2"/>
        <v>40545.817769002482</v>
      </c>
      <c r="R7" s="45">
        <f t="shared" si="2"/>
        <v>38629.82879635485</v>
      </c>
      <c r="S7" s="45">
        <f t="shared" si="2"/>
        <v>39091.071357575696</v>
      </c>
      <c r="T7" s="45">
        <f t="shared" si="2"/>
        <v>37972.014603114825</v>
      </c>
      <c r="U7" s="45">
        <f t="shared" si="2"/>
        <v>40375.204804286361</v>
      </c>
      <c r="V7" s="45">
        <f t="shared" si="2"/>
        <v>40012.836953344799</v>
      </c>
      <c r="W7" s="45">
        <f t="shared" si="2"/>
        <v>41022.435612658184</v>
      </c>
      <c r="X7" s="45">
        <f t="shared" si="2"/>
        <v>43623.309024400492</v>
      </c>
      <c r="Y7" s="45">
        <f t="shared" si="2"/>
        <v>45339.222999999998</v>
      </c>
      <c r="Z7" s="45">
        <f t="shared" si="2"/>
        <v>45572.689000000006</v>
      </c>
      <c r="AA7" s="45">
        <f t="shared" si="2"/>
        <v>48995.152000000009</v>
      </c>
      <c r="AB7" s="45">
        <f t="shared" si="2"/>
        <v>27052.644000000008</v>
      </c>
      <c r="AC7" s="45">
        <f t="shared" si="2"/>
        <v>28932.629000000004</v>
      </c>
      <c r="AD7" s="45">
        <f t="shared" si="2"/>
        <v>28475.379000000001</v>
      </c>
      <c r="AE7" s="45">
        <f>SUM(AE8:AE9)</f>
        <v>28839.230323896038</v>
      </c>
      <c r="AF7" s="45">
        <f t="shared" ref="AF7:BG7" si="3">SUM(AF8:AF9)+AF46+AF48+AF51</f>
        <v>31968.545219497802</v>
      </c>
      <c r="AG7" s="60">
        <f t="shared" si="3"/>
        <v>32579.835508475146</v>
      </c>
      <c r="AH7" s="60">
        <f t="shared" si="3"/>
        <v>31474.497131918106</v>
      </c>
      <c r="AI7" s="60">
        <f t="shared" si="3"/>
        <v>38370.057798715985</v>
      </c>
      <c r="AJ7" s="60">
        <f t="shared" si="3"/>
        <v>38403.602286997244</v>
      </c>
      <c r="AK7" s="60">
        <f t="shared" si="3"/>
        <v>39314.772635440895</v>
      </c>
      <c r="AL7" s="60">
        <f t="shared" si="3"/>
        <v>40623.237022356203</v>
      </c>
      <c r="AM7" s="60">
        <f t="shared" si="3"/>
        <v>42948.060698602021</v>
      </c>
      <c r="AN7" s="60">
        <f t="shared" si="3"/>
        <v>43893.512827449325</v>
      </c>
      <c r="AO7" s="60">
        <f t="shared" si="3"/>
        <v>45784.646081780447</v>
      </c>
      <c r="AP7" s="60">
        <f t="shared" si="3"/>
        <v>46344.058254390744</v>
      </c>
      <c r="AQ7" s="60">
        <f t="shared" si="3"/>
        <v>40622.961329726655</v>
      </c>
      <c r="AR7" s="60">
        <f t="shared" si="3"/>
        <v>40355.474022128335</v>
      </c>
      <c r="AS7" s="60">
        <f t="shared" si="3"/>
        <v>39227.294187245076</v>
      </c>
      <c r="AT7" s="60">
        <f t="shared" si="3"/>
        <v>41159.842109845114</v>
      </c>
      <c r="AU7" s="60">
        <f t="shared" si="3"/>
        <v>41483.025049405755</v>
      </c>
      <c r="AV7" s="60">
        <f t="shared" si="3"/>
        <v>41588.749344078511</v>
      </c>
      <c r="AW7" s="60">
        <f t="shared" si="3"/>
        <v>41522.098458470784</v>
      </c>
      <c r="AX7" s="60">
        <f t="shared" si="3"/>
        <v>41514.571174768345</v>
      </c>
      <c r="AY7" s="60">
        <f t="shared" si="3"/>
        <v>41221.790430341476</v>
      </c>
      <c r="AZ7" s="60">
        <f t="shared" si="3"/>
        <v>41257.074185167599</v>
      </c>
      <c r="BA7" s="60">
        <f t="shared" si="3"/>
        <v>41124.49225999714</v>
      </c>
      <c r="BB7" s="60">
        <f t="shared" si="3"/>
        <v>41825.690535221183</v>
      </c>
      <c r="BC7" s="60">
        <f t="shared" si="3"/>
        <v>42999.944441968182</v>
      </c>
      <c r="BD7" s="60">
        <f t="shared" si="3"/>
        <v>44004.969199420142</v>
      </c>
      <c r="BE7" s="60">
        <f t="shared" si="3"/>
        <v>45101.373797888307</v>
      </c>
      <c r="BF7" s="60">
        <f t="shared" si="3"/>
        <v>44980.582152301096</v>
      </c>
      <c r="BG7" s="60">
        <f t="shared" si="3"/>
        <v>45053.082700601539</v>
      </c>
      <c r="BH7" s="60"/>
      <c r="BI7" s="60"/>
      <c r="BJ7" s="60"/>
      <c r="BK7" s="60"/>
    </row>
    <row r="8" spans="1:63" x14ac:dyDescent="0.2">
      <c r="A8" s="40"/>
      <c r="B8" s="61" t="s">
        <v>117</v>
      </c>
      <c r="C8" s="62">
        <f>SBO!C5</f>
        <v>4182.01</v>
      </c>
      <c r="D8" s="62">
        <f>SBO!D5</f>
        <v>29856.399999999998</v>
      </c>
      <c r="E8" s="62">
        <f>SBO!E5</f>
        <v>29400.400000000001</v>
      </c>
      <c r="F8" s="62">
        <f>SBO!F5</f>
        <v>30680</v>
      </c>
      <c r="G8" s="62">
        <f>SBO!G5</f>
        <v>34477.4</v>
      </c>
      <c r="H8" s="62">
        <f>SBO!H5</f>
        <v>34597.300000000003</v>
      </c>
      <c r="I8" s="62">
        <f>SBO!I5</f>
        <v>33998.799999999996</v>
      </c>
      <c r="J8" s="62">
        <f>SBO!J5</f>
        <v>35386.699999999997</v>
      </c>
      <c r="K8" s="62">
        <f>SBO!K5</f>
        <v>36024.700000000004</v>
      </c>
      <c r="L8" s="62">
        <f>SBO!L5</f>
        <v>35061</v>
      </c>
      <c r="M8" s="62">
        <f>SBO!M5</f>
        <v>32747.4</v>
      </c>
      <c r="N8" s="62">
        <f>SBO!N5</f>
        <v>37148.699999999997</v>
      </c>
      <c r="O8" s="62">
        <f>SBO!O5</f>
        <v>38950.203889999997</v>
      </c>
      <c r="P8" s="62">
        <f>SBO!P5</f>
        <v>39435.438630000004</v>
      </c>
      <c r="Q8" s="62">
        <f>SBO!Q5</f>
        <v>38595.881580000001</v>
      </c>
      <c r="R8" s="62">
        <f>SBO!R5</f>
        <v>36536.255740000008</v>
      </c>
      <c r="S8" s="62">
        <f>SBO!S5</f>
        <v>37034.090650000013</v>
      </c>
      <c r="T8" s="62">
        <f>SBO!T5</f>
        <v>35817.086861794727</v>
      </c>
      <c r="U8" s="62">
        <f>SBO!U5</f>
        <v>38242.194725603978</v>
      </c>
      <c r="V8" s="62">
        <f>SBO!V5</f>
        <v>37521.313214411799</v>
      </c>
      <c r="W8" s="62">
        <f>SBO!W5</f>
        <v>37991.835926131826</v>
      </c>
      <c r="X8" s="62">
        <f>SBO!X5</f>
        <v>40743.625871001888</v>
      </c>
      <c r="Y8" s="62">
        <f>SBO!Y5</f>
        <v>42136.082999999999</v>
      </c>
      <c r="Z8" s="62">
        <f>SBO!Z5</f>
        <v>42311.825000000004</v>
      </c>
      <c r="AA8" s="62">
        <f>SBO!AA5</f>
        <v>45851.850000000006</v>
      </c>
      <c r="AB8" s="62">
        <f>SBO!AB5</f>
        <v>24127.266000000007</v>
      </c>
      <c r="AC8" s="62">
        <f>SBO!AC5</f>
        <v>25373.321000000004</v>
      </c>
      <c r="AD8" s="62">
        <f>SBO!AD5</f>
        <v>25207.050999999999</v>
      </c>
      <c r="AE8" s="62">
        <f>SBO!AE5</f>
        <v>25967.512323896037</v>
      </c>
      <c r="AF8" s="62">
        <f>SBO!AF5</f>
        <v>26570.463</v>
      </c>
      <c r="AG8" s="62">
        <f>SBO!AG5</f>
        <v>27664.074825749522</v>
      </c>
      <c r="AH8" s="62">
        <f>SBO!AH5</f>
        <v>26398.00314666667</v>
      </c>
      <c r="AI8" s="62">
        <f>SBO!AI5</f>
        <v>28736.449999999997</v>
      </c>
      <c r="AJ8" s="62">
        <f>SBO!AJ5</f>
        <v>29014.77</v>
      </c>
      <c r="AK8" s="62">
        <f>SBO!AK5</f>
        <v>29731.489999999998</v>
      </c>
      <c r="AL8" s="62">
        <f>SBO!AL5</f>
        <v>30729.850000000006</v>
      </c>
      <c r="AM8" s="62">
        <f>SBO!AM5</f>
        <v>32663.9</v>
      </c>
      <c r="AN8" s="62">
        <f>SBO!AN5</f>
        <v>33343.300000000003</v>
      </c>
      <c r="AO8" s="62">
        <f>SBO!AO5</f>
        <v>34956.1</v>
      </c>
      <c r="AP8" s="62">
        <f>SBO!AP5</f>
        <v>34905.599999999999</v>
      </c>
      <c r="AQ8" s="62">
        <f>SBO!AQ5</f>
        <v>36377.85</v>
      </c>
      <c r="AR8" s="62">
        <f>SBO!AR5</f>
        <v>36066.050000000003</v>
      </c>
      <c r="AS8" s="62">
        <f>SBO!AS5</f>
        <v>34959.699999999997</v>
      </c>
      <c r="AT8" s="62">
        <f>SBO!AT5</f>
        <v>36843.5</v>
      </c>
      <c r="AU8" s="62">
        <f>SBO!AU5</f>
        <v>37089.600000000006</v>
      </c>
      <c r="AV8" s="62">
        <f>SBO!AV5</f>
        <v>37196.699999999997</v>
      </c>
      <c r="AW8" s="62">
        <f>SBO!AW5</f>
        <v>37055.800000000003</v>
      </c>
      <c r="AX8" s="62">
        <f>SBO!AX5</f>
        <v>36986.449999999997</v>
      </c>
      <c r="AY8" s="62">
        <f>SBO!AY5</f>
        <v>36679.300000000003</v>
      </c>
      <c r="AZ8" s="62">
        <f>SBO!AZ5</f>
        <v>36690</v>
      </c>
      <c r="BA8" s="62">
        <f>SBO!BA5</f>
        <v>36536.100000000006</v>
      </c>
      <c r="BB8" s="62">
        <f>SBO!BB5</f>
        <v>37125.300000000003</v>
      </c>
      <c r="BC8" s="62">
        <f>SBO!BC5</f>
        <v>38163.400000000009</v>
      </c>
      <c r="BD8" s="62">
        <f>SBO!BD5</f>
        <v>39167.65</v>
      </c>
      <c r="BE8" s="62">
        <f>SBO!BE5</f>
        <v>40255.75</v>
      </c>
      <c r="BF8" s="62">
        <f>SBO!BF5</f>
        <v>40125.200000000004</v>
      </c>
      <c r="BG8" s="62">
        <f>SBO!BG5</f>
        <v>40172.550000000003</v>
      </c>
      <c r="BH8" s="45"/>
      <c r="BI8" s="45"/>
      <c r="BJ8" s="45"/>
      <c r="BK8" s="45"/>
    </row>
    <row r="9" spans="1:63" x14ac:dyDescent="0.2">
      <c r="A9" s="40"/>
      <c r="B9" s="40" t="s">
        <v>118</v>
      </c>
      <c r="C9" s="45">
        <f>'Canola Oil'!C5</f>
        <v>679.21230914888338</v>
      </c>
      <c r="D9" s="45">
        <f>'Canola Oil'!D5</f>
        <v>706.07259207692312</v>
      </c>
      <c r="E9" s="45">
        <f>'Canola Oil'!E5</f>
        <v>699.50522554838722</v>
      </c>
      <c r="F9" s="45">
        <f>'Canola Oil'!F5</f>
        <v>820.63087818610427</v>
      </c>
      <c r="G9" s="45">
        <f>'Canola Oil'!G5</f>
        <v>1098.2901633498757</v>
      </c>
      <c r="H9" s="45">
        <f>'Canola Oil'!H5</f>
        <v>1230.9285380694785</v>
      </c>
      <c r="I9" s="45">
        <f>'Canola Oil'!I5</f>
        <v>1350.9874381265506</v>
      </c>
      <c r="J9" s="45">
        <f>'Canola Oil'!J5</f>
        <v>1416.8142781414392</v>
      </c>
      <c r="K9" s="45">
        <f>'Canola Oil'!K5</f>
        <v>1180.8103136203476</v>
      </c>
      <c r="L9" s="45">
        <f>'Canola Oil'!L5</f>
        <v>1043.6204612233253</v>
      </c>
      <c r="M9" s="45">
        <f>'Canola Oil'!M5</f>
        <v>1264.9470043399508</v>
      </c>
      <c r="N9" s="45">
        <f>'Canola Oil'!N5</f>
        <v>1607.1256737915637</v>
      </c>
      <c r="O9" s="45">
        <f>'Canola Oil'!O5</f>
        <v>1766.3480698734493</v>
      </c>
      <c r="P9" s="45">
        <f>'Canola Oil'!P5</f>
        <v>1792.732417034739</v>
      </c>
      <c r="Q9" s="45">
        <f>'Canola Oil'!Q5</f>
        <v>1949.9361890024818</v>
      </c>
      <c r="R9" s="45">
        <f>'Canola Oil'!R5</f>
        <v>2093.5730563548391</v>
      </c>
      <c r="S9" s="45">
        <f>'Canola Oil'!S5</f>
        <v>2056.9807075756826</v>
      </c>
      <c r="T9" s="45">
        <f>'Canola Oil'!T5</f>
        <v>2154.9277413200989</v>
      </c>
      <c r="U9" s="45">
        <f>'Canola Oil'!U5</f>
        <v>2133.0100786823823</v>
      </c>
      <c r="V9" s="45">
        <f>'Canola Oil'!V5</f>
        <v>2491.5237389330023</v>
      </c>
      <c r="W9" s="45">
        <f>'Canola Oil'!W5</f>
        <v>3030.5996865263555</v>
      </c>
      <c r="X9" s="45">
        <f>'Canola Oil'!X5</f>
        <v>2879.6831533986019</v>
      </c>
      <c r="Y9" s="45">
        <f>'Canola Oil'!Y5</f>
        <v>3203.1400000000003</v>
      </c>
      <c r="Z9" s="45">
        <f>'Canola Oil'!Z5</f>
        <v>3260.864</v>
      </c>
      <c r="AA9" s="45">
        <f>'Canola Oil'!AA5</f>
        <v>3143.3020000000006</v>
      </c>
      <c r="AB9" s="45">
        <f>'Canola Oil'!AB5</f>
        <v>2925.3779999999997</v>
      </c>
      <c r="AC9" s="45">
        <f>'Canola Oil'!AC5</f>
        <v>3559.308</v>
      </c>
      <c r="AD9" s="45">
        <f>'Canola Oil'!AD5</f>
        <v>3268.3280000000004</v>
      </c>
      <c r="AE9" s="45">
        <f>'Canola Oil'!AE5</f>
        <v>2871.7179999999998</v>
      </c>
      <c r="AF9" s="45">
        <f>'Canola Oil'!AF5</f>
        <v>3453.8929999999996</v>
      </c>
      <c r="AG9" s="45">
        <f>'Canola Oil'!AG5</f>
        <v>3677.7249999999999</v>
      </c>
      <c r="AH9" s="45">
        <f>'Canola Oil'!AH5</f>
        <v>3675.6397353721632</v>
      </c>
      <c r="AI9" s="45">
        <f>'Canola Oil'!AI5</f>
        <v>3835.8036384222701</v>
      </c>
      <c r="AJ9" s="45">
        <f>'Canola Oil'!AJ5</f>
        <v>3822.6991378220846</v>
      </c>
      <c r="AK9" s="45">
        <f>'Canola Oil'!AK5</f>
        <v>3968.7903438205312</v>
      </c>
      <c r="AL9" s="45">
        <f>'Canola Oil'!AL5</f>
        <v>4071.9975089441032</v>
      </c>
      <c r="AM9" s="45">
        <f>'Canola Oil'!AM5</f>
        <v>4114.9701310745695</v>
      </c>
      <c r="AN9" s="45">
        <f>'Canola Oil'!AN5</f>
        <v>4148.8935581458827</v>
      </c>
      <c r="AO9" s="45">
        <f>'Canola Oil'!AO5</f>
        <v>4195.5624335138937</v>
      </c>
      <c r="AP9" s="45">
        <f>'Canola Oil'!AP5</f>
        <v>4204.9934232854775</v>
      </c>
      <c r="AQ9" s="45">
        <f>'Canola Oil'!AQ5</f>
        <v>4245.1113297266556</v>
      </c>
      <c r="AR9" s="45">
        <f>'Canola Oil'!AR5</f>
        <v>4289.4240221283344</v>
      </c>
      <c r="AS9" s="45">
        <f>'Canola Oil'!AS5</f>
        <v>4267.5941872450767</v>
      </c>
      <c r="AT9" s="45">
        <f>'Canola Oil'!AT5</f>
        <v>4316.3421098451163</v>
      </c>
      <c r="AU9" s="45">
        <f>'Canola Oil'!AU5</f>
        <v>4393.4250494057478</v>
      </c>
      <c r="AV9" s="45">
        <f>'Canola Oil'!AV5</f>
        <v>4392.0493440785167</v>
      </c>
      <c r="AW9" s="45">
        <f>'Canola Oil'!AW5</f>
        <v>4466.2984584707829</v>
      </c>
      <c r="AX9" s="45">
        <f>'Canola Oil'!AX5</f>
        <v>4528.1211747683483</v>
      </c>
      <c r="AY9" s="45">
        <f>'Canola Oil'!AY5</f>
        <v>4542.4904303414705</v>
      </c>
      <c r="AZ9" s="45">
        <f>'Canola Oil'!AZ5</f>
        <v>4567.0741851676003</v>
      </c>
      <c r="BA9" s="45">
        <f>'Canola Oil'!BA5</f>
        <v>4588.3922599971365</v>
      </c>
      <c r="BB9" s="45">
        <f>'Canola Oil'!BB5</f>
        <v>4700.3905352211832</v>
      </c>
      <c r="BC9" s="45">
        <f>'Canola Oil'!BC5</f>
        <v>4836.5444419681762</v>
      </c>
      <c r="BD9" s="45">
        <f>'Canola Oil'!BD5</f>
        <v>4837.3191994201425</v>
      </c>
      <c r="BE9" s="45">
        <f>'Canola Oil'!BE5</f>
        <v>4845.6237978883091</v>
      </c>
      <c r="BF9" s="45">
        <f>'Canola Oil'!BF5</f>
        <v>4855.3821523010929</v>
      </c>
      <c r="BG9" s="45">
        <f>'Canola Oil'!BG5</f>
        <v>4880.532700601535</v>
      </c>
      <c r="BH9" s="45"/>
      <c r="BI9" s="45"/>
      <c r="BJ9" s="45"/>
      <c r="BK9" s="45"/>
    </row>
    <row r="10" spans="1:63" x14ac:dyDescent="0.2">
      <c r="A10" s="40"/>
      <c r="B10" s="57" t="s">
        <v>72</v>
      </c>
      <c r="C10" s="45">
        <f t="shared" ref="C10:AW10" si="4">SUM(C11:C12)</f>
        <v>1818.7217460777999</v>
      </c>
      <c r="D10" s="45">
        <f t="shared" si="4"/>
        <v>1863.9075906990004</v>
      </c>
      <c r="E10" s="45">
        <f t="shared" si="4"/>
        <v>2307.9771044442</v>
      </c>
      <c r="F10" s="45">
        <f t="shared" si="4"/>
        <v>2212.2424964052002</v>
      </c>
      <c r="G10" s="45">
        <f t="shared" si="4"/>
        <v>2247.1169708988004</v>
      </c>
      <c r="H10" s="45">
        <f t="shared" si="4"/>
        <v>2325.3973661016003</v>
      </c>
      <c r="I10" s="45">
        <f t="shared" si="4"/>
        <v>2384.2473253073999</v>
      </c>
      <c r="J10" s="45">
        <f t="shared" si="4"/>
        <v>2399.1302875050001</v>
      </c>
      <c r="K10" s="45">
        <f t="shared" si="4"/>
        <v>2160.4894358796</v>
      </c>
      <c r="L10" s="45">
        <f t="shared" si="4"/>
        <v>1961.6481715404202</v>
      </c>
      <c r="M10" s="45">
        <f t="shared" si="4"/>
        <v>2734.1758963176198</v>
      </c>
      <c r="N10" s="45">
        <f t="shared" si="4"/>
        <v>2058.6883990094198</v>
      </c>
      <c r="O10" s="45">
        <f t="shared" si="4"/>
        <v>2929.0160103861595</v>
      </c>
      <c r="P10" s="45">
        <f t="shared" si="4"/>
        <v>3200.2584128244202</v>
      </c>
      <c r="Q10" s="45">
        <f t="shared" si="4"/>
        <v>4316.4287124458597</v>
      </c>
      <c r="R10" s="45">
        <f t="shared" si="4"/>
        <v>4477.2843945489803</v>
      </c>
      <c r="S10" s="45">
        <f t="shared" si="4"/>
        <v>4799.8220907229797</v>
      </c>
      <c r="T10" s="45">
        <f t="shared" si="4"/>
        <v>6530.6019120056599</v>
      </c>
      <c r="U10" s="45">
        <f t="shared" si="4"/>
        <v>6367.8659160460593</v>
      </c>
      <c r="V10" s="45">
        <f t="shared" si="4"/>
        <v>5625.7619270665</v>
      </c>
      <c r="W10" s="45">
        <f t="shared" si="4"/>
        <v>6796.5487254736599</v>
      </c>
      <c r="X10" s="45">
        <f t="shared" si="4"/>
        <v>7518.5173747991794</v>
      </c>
      <c r="Y10" s="45">
        <f t="shared" si="4"/>
        <v>8413.4453031593821</v>
      </c>
      <c r="Z10" s="45">
        <f t="shared" si="4"/>
        <v>8997.1673125856196</v>
      </c>
      <c r="AA10" s="45">
        <f t="shared" si="4"/>
        <v>8238.8915172932193</v>
      </c>
      <c r="AB10" s="45">
        <f t="shared" si="4"/>
        <v>4406.7630179999996</v>
      </c>
      <c r="AC10" s="45">
        <f t="shared" si="4"/>
        <v>4192.83403</v>
      </c>
      <c r="AD10" s="45">
        <f t="shared" si="4"/>
        <v>4665.4151509020003</v>
      </c>
      <c r="AE10" s="45">
        <f>SUM(AE11:AE12)</f>
        <v>4921.6451495380006</v>
      </c>
      <c r="AF10" s="45">
        <f t="shared" si="4"/>
        <v>6810.6752470799993</v>
      </c>
      <c r="AG10" s="60">
        <f t="shared" si="4"/>
        <v>8078.1466339388198</v>
      </c>
      <c r="AH10" s="60">
        <f t="shared" si="4"/>
        <v>6679.6452394180596</v>
      </c>
      <c r="AI10" s="60">
        <f t="shared" si="4"/>
        <v>6616.4422117834129</v>
      </c>
      <c r="AJ10" s="60">
        <f t="shared" si="4"/>
        <v>7221.2527193521864</v>
      </c>
      <c r="AK10" s="60">
        <f t="shared" si="4"/>
        <v>7580.2991504647043</v>
      </c>
      <c r="AL10" s="60">
        <f t="shared" si="4"/>
        <v>8012.7674372163092</v>
      </c>
      <c r="AM10" s="60">
        <f t="shared" si="4"/>
        <v>8469.7722457561213</v>
      </c>
      <c r="AN10" s="60">
        <f t="shared" si="4"/>
        <v>8757.6656501546786</v>
      </c>
      <c r="AO10" s="60">
        <f t="shared" si="4"/>
        <v>9705.8342007779811</v>
      </c>
      <c r="AP10" s="60">
        <f t="shared" si="4"/>
        <v>9978.2322834002971</v>
      </c>
      <c r="AQ10" s="60">
        <f t="shared" si="4"/>
        <v>10153.486775442829</v>
      </c>
      <c r="AR10" s="60">
        <f t="shared" si="4"/>
        <v>10194.255491067825</v>
      </c>
      <c r="AS10" s="60">
        <f t="shared" si="4"/>
        <v>9659.5801366174037</v>
      </c>
      <c r="AT10" s="60">
        <f t="shared" si="4"/>
        <v>9852.4628190122221</v>
      </c>
      <c r="AU10" s="60">
        <f t="shared" si="4"/>
        <v>10421.828126474666</v>
      </c>
      <c r="AV10" s="60">
        <f t="shared" si="4"/>
        <v>10596.576706487192</v>
      </c>
      <c r="AW10" s="60">
        <f t="shared" si="4"/>
        <v>10414.049324089348</v>
      </c>
      <c r="AX10" s="60">
        <f t="shared" ref="AX10:BG10" si="5">SUM(AX11:AX12)</f>
        <v>10633.581676680134</v>
      </c>
      <c r="AY10" s="60">
        <f t="shared" si="5"/>
        <v>11064.137715466914</v>
      </c>
      <c r="AZ10" s="60">
        <f t="shared" si="5"/>
        <v>11463.692187010167</v>
      </c>
      <c r="BA10" s="60">
        <f t="shared" si="5"/>
        <v>11695.931303069397</v>
      </c>
      <c r="BB10" s="60">
        <f t="shared" si="5"/>
        <v>11837.267449159444</v>
      </c>
      <c r="BC10" s="60">
        <f t="shared" si="5"/>
        <v>11940.354212286669</v>
      </c>
      <c r="BD10" s="60">
        <f t="shared" si="5"/>
        <v>12202.726404940529</v>
      </c>
      <c r="BE10" s="60">
        <f t="shared" si="5"/>
        <v>12472.479141171432</v>
      </c>
      <c r="BF10" s="60">
        <f t="shared" si="5"/>
        <v>12719.37509009005</v>
      </c>
      <c r="BG10" s="60">
        <f t="shared" si="5"/>
        <v>12992.321656314172</v>
      </c>
      <c r="BH10" s="60"/>
      <c r="BI10" s="60"/>
      <c r="BJ10" s="60"/>
      <c r="BK10" s="60"/>
    </row>
    <row r="11" spans="1:63" x14ac:dyDescent="0.2">
      <c r="A11" s="40"/>
      <c r="B11" s="61" t="s">
        <v>117</v>
      </c>
      <c r="C11" s="62">
        <f>SBO!C6</f>
        <v>42.827515787199999</v>
      </c>
      <c r="D11" s="62">
        <f>SBO!D6</f>
        <v>54.4038980184</v>
      </c>
      <c r="E11" s="62">
        <f>SBO!E6</f>
        <v>177.01615517039997</v>
      </c>
      <c r="F11" s="62">
        <f>SBO!F6</f>
        <v>107.22157050780001</v>
      </c>
      <c r="G11" s="62">
        <f>SBO!G6</f>
        <v>113.5704409434</v>
      </c>
      <c r="H11" s="62">
        <f>SBO!H6</f>
        <v>162.8530020558</v>
      </c>
      <c r="I11" s="62">
        <f>SBO!I6</f>
        <v>153.09578600819998</v>
      </c>
      <c r="J11" s="62">
        <f>SBO!J6</f>
        <v>132.615729477</v>
      </c>
      <c r="K11" s="62">
        <f>SBO!K6</f>
        <v>87.49196730540001</v>
      </c>
      <c r="L11" s="62">
        <f>SBO!L6</f>
        <v>87.17648589720001</v>
      </c>
      <c r="M11" s="62">
        <f>SBO!M6</f>
        <v>664.81522813440017</v>
      </c>
      <c r="N11" s="62">
        <f>SBO!N6</f>
        <v>47.456693171999987</v>
      </c>
      <c r="O11" s="62">
        <f>SBO!O6</f>
        <v>63.025733735999999</v>
      </c>
      <c r="P11" s="62">
        <f>SBO!P6</f>
        <v>81.213865235999975</v>
      </c>
      <c r="Q11" s="62">
        <f>SBO!Q6</f>
        <v>133.78087220399999</v>
      </c>
      <c r="R11" s="62">
        <f>SBO!R6</f>
        <v>184.43647189799998</v>
      </c>
      <c r="S11" s="62">
        <f>SBO!S6</f>
        <v>213.62346255599999</v>
      </c>
      <c r="T11" s="62">
        <f>SBO!T6</f>
        <v>312.59996724599995</v>
      </c>
      <c r="U11" s="62">
        <f>SBO!U6</f>
        <v>278.87586451199996</v>
      </c>
      <c r="V11" s="62">
        <f>SBO!V6</f>
        <v>353.08123640999997</v>
      </c>
      <c r="W11" s="62">
        <f>SBO!W6</f>
        <v>323.77890935599999</v>
      </c>
      <c r="X11" s="62">
        <f>SBO!X6</f>
        <v>516.29859463399998</v>
      </c>
      <c r="Y11" s="62">
        <f>SBO!Y6</f>
        <v>582.16724499999998</v>
      </c>
      <c r="Z11" s="62">
        <f>SBO!Z6</f>
        <v>590.98972100000003</v>
      </c>
      <c r="AA11" s="62">
        <f>SBO!AA6</f>
        <v>673.792284</v>
      </c>
      <c r="AB11" s="62">
        <f>SBO!AB6</f>
        <v>374.04684400000002</v>
      </c>
      <c r="AC11" s="62">
        <f>SBO!AC6</f>
        <v>296.97121200000004</v>
      </c>
      <c r="AD11" s="62">
        <f>SBO!AD6</f>
        <v>336.51018800000003</v>
      </c>
      <c r="AE11" s="62">
        <f>SBO!AE6</f>
        <v>280.30074999999999</v>
      </c>
      <c r="AF11" s="62">
        <f>SBO!AF6</f>
        <v>427.92187099999995</v>
      </c>
      <c r="AG11" s="62">
        <f>SBO!AG6</f>
        <v>614.24422761761991</v>
      </c>
      <c r="AH11" s="62">
        <f>SBO!AH6</f>
        <v>562.93573083128001</v>
      </c>
      <c r="AI11" s="62">
        <f>SBO!AI6</f>
        <v>500</v>
      </c>
      <c r="AJ11" s="62">
        <f>SBO!AJ6</f>
        <v>500</v>
      </c>
      <c r="AK11" s="62">
        <f>SBO!AK6</f>
        <v>482.40000000000003</v>
      </c>
      <c r="AL11" s="62">
        <f>SBO!AL6</f>
        <v>505.35</v>
      </c>
      <c r="AM11" s="62">
        <f>SBO!AM6</f>
        <v>503.59999999999991</v>
      </c>
      <c r="AN11" s="62">
        <f>SBO!AN6</f>
        <v>502.65</v>
      </c>
      <c r="AO11" s="62">
        <f>SBO!AO6</f>
        <v>498.30000000000007</v>
      </c>
      <c r="AP11" s="62">
        <f>SBO!AP6</f>
        <v>498.80000000000007</v>
      </c>
      <c r="AQ11" s="62">
        <f>SBO!AQ6</f>
        <v>498.45000000000005</v>
      </c>
      <c r="AR11" s="62">
        <f>SBO!AR6</f>
        <v>501.75</v>
      </c>
      <c r="AS11" s="62">
        <f>SBO!AS6</f>
        <v>500.34999999999997</v>
      </c>
      <c r="AT11" s="62">
        <f>SBO!AT6</f>
        <v>499.95</v>
      </c>
      <c r="AU11" s="62">
        <f>SBO!AU6</f>
        <v>499.60000000000008</v>
      </c>
      <c r="AV11" s="62">
        <f>SBO!AV6</f>
        <v>499.85</v>
      </c>
      <c r="AW11" s="62">
        <f>SBO!AW6</f>
        <v>500.0499999999999</v>
      </c>
      <c r="AX11" s="62">
        <f>SBO!AX6</f>
        <v>500.24999999999994</v>
      </c>
      <c r="AY11" s="62">
        <f>SBO!AY6</f>
        <v>499.9500000000001</v>
      </c>
      <c r="AZ11" s="62">
        <f>SBO!AZ6</f>
        <v>499.95</v>
      </c>
      <c r="BA11" s="62">
        <f>SBO!BA6</f>
        <v>499.95000000000005</v>
      </c>
      <c r="BB11" s="62">
        <f>SBO!BB6</f>
        <v>500</v>
      </c>
      <c r="BC11" s="62">
        <f>SBO!BC6</f>
        <v>500.05</v>
      </c>
      <c r="BD11" s="62">
        <f>SBO!BD6</f>
        <v>500.00000000000006</v>
      </c>
      <c r="BE11" s="62">
        <f>SBO!BE6</f>
        <v>500.00000000000006</v>
      </c>
      <c r="BF11" s="62">
        <f>SBO!BF6</f>
        <v>500.00000000000006</v>
      </c>
      <c r="BG11" s="62">
        <f>SBO!BG6</f>
        <v>500</v>
      </c>
      <c r="BH11" s="45"/>
      <c r="BI11" s="45"/>
      <c r="BJ11" s="45"/>
      <c r="BK11" s="45"/>
    </row>
    <row r="12" spans="1:63" ht="12" thickBot="1" x14ac:dyDescent="0.25">
      <c r="A12" s="40"/>
      <c r="B12" s="40" t="s">
        <v>118</v>
      </c>
      <c r="C12" s="45">
        <f>'Canola Oil'!C6</f>
        <v>1775.8942302906</v>
      </c>
      <c r="D12" s="45">
        <f>'Canola Oil'!D6</f>
        <v>1809.5036926806004</v>
      </c>
      <c r="E12" s="45">
        <f>'Canola Oil'!E6</f>
        <v>2130.9609492738</v>
      </c>
      <c r="F12" s="45">
        <f>'Canola Oil'!F6</f>
        <v>2105.0209258974</v>
      </c>
      <c r="G12" s="45">
        <f>'Canola Oil'!G6</f>
        <v>2133.5465299554003</v>
      </c>
      <c r="H12" s="45">
        <f>'Canola Oil'!H6</f>
        <v>2162.5443640458002</v>
      </c>
      <c r="I12" s="45">
        <f>'Canola Oil'!I6</f>
        <v>2231.1515392992001</v>
      </c>
      <c r="J12" s="45">
        <f>'Canola Oil'!J6</f>
        <v>2266.514558028</v>
      </c>
      <c r="K12" s="45">
        <f>'Canola Oil'!K6</f>
        <v>2072.9974685742</v>
      </c>
      <c r="L12" s="45">
        <f>'Canola Oil'!L6</f>
        <v>1874.4716856432201</v>
      </c>
      <c r="M12" s="45">
        <f>'Canola Oil'!M6</f>
        <v>2069.3606681832198</v>
      </c>
      <c r="N12" s="45">
        <f>'Canola Oil'!N6</f>
        <v>2011.2317058374197</v>
      </c>
      <c r="O12" s="45">
        <f>'Canola Oil'!O6</f>
        <v>2865.9902766501596</v>
      </c>
      <c r="P12" s="45">
        <f>'Canola Oil'!P6</f>
        <v>3119.0445475884203</v>
      </c>
      <c r="Q12" s="45">
        <f>'Canola Oil'!Q6</f>
        <v>4182.6478402418597</v>
      </c>
      <c r="R12" s="45">
        <f>'Canola Oil'!R6</f>
        <v>4292.8479226509808</v>
      </c>
      <c r="S12" s="45">
        <f>'Canola Oil'!S6</f>
        <v>4586.1986281669797</v>
      </c>
      <c r="T12" s="45">
        <f>'Canola Oil'!T6</f>
        <v>6218.0019447596596</v>
      </c>
      <c r="U12" s="45">
        <f>'Canola Oil'!U6</f>
        <v>6088.9900515340596</v>
      </c>
      <c r="V12" s="45">
        <f>'Canola Oil'!V6</f>
        <v>5272.6806906564998</v>
      </c>
      <c r="W12" s="45">
        <f>'Canola Oil'!W6</f>
        <v>6472.7698161176595</v>
      </c>
      <c r="X12" s="45">
        <f>'Canola Oil'!X6</f>
        <v>7002.2187801651799</v>
      </c>
      <c r="Y12" s="45">
        <f>'Canola Oil'!Y6</f>
        <v>7831.2780581593815</v>
      </c>
      <c r="Z12" s="45">
        <f>'Canola Oil'!Z6</f>
        <v>8406.1775915856197</v>
      </c>
      <c r="AA12" s="45">
        <f>'Canola Oil'!AA6</f>
        <v>7565.0992332932192</v>
      </c>
      <c r="AB12" s="45">
        <f>'Canola Oil'!AB6</f>
        <v>4032.7161739999997</v>
      </c>
      <c r="AC12" s="45">
        <f>'Canola Oil'!AC6</f>
        <v>3895.8628179999996</v>
      </c>
      <c r="AD12" s="45">
        <f>'Canola Oil'!AD6</f>
        <v>4328.9049629020001</v>
      </c>
      <c r="AE12" s="45">
        <f>'Canola Oil'!AE6</f>
        <v>4641.3443995380003</v>
      </c>
      <c r="AF12" s="45">
        <f>'Canola Oil'!AF6</f>
        <v>6382.7533760799997</v>
      </c>
      <c r="AG12" s="45">
        <f>'Canola Oil'!AG6</f>
        <v>7463.9024063212</v>
      </c>
      <c r="AH12" s="45">
        <f>'Canola Oil'!AH6</f>
        <v>6116.7095085867795</v>
      </c>
      <c r="AI12" s="45">
        <f>'Canola Oil'!AI6</f>
        <v>6116.4422117834129</v>
      </c>
      <c r="AJ12" s="45">
        <f>'Canola Oil'!AJ6</f>
        <v>6721.2527193521864</v>
      </c>
      <c r="AK12" s="45">
        <f>'Canola Oil'!AK6</f>
        <v>7097.8991504647047</v>
      </c>
      <c r="AL12" s="45">
        <f>'Canola Oil'!AL6</f>
        <v>7507.4174372163088</v>
      </c>
      <c r="AM12" s="45">
        <f>'Canola Oil'!AM6</f>
        <v>7966.1722457561209</v>
      </c>
      <c r="AN12" s="45">
        <f>'Canola Oil'!AN6</f>
        <v>8255.015650154679</v>
      </c>
      <c r="AO12" s="45">
        <f>'Canola Oil'!AO6</f>
        <v>9207.5342007779818</v>
      </c>
      <c r="AP12" s="45">
        <f>'Canola Oil'!AP6</f>
        <v>9479.4322834002978</v>
      </c>
      <c r="AQ12" s="45">
        <f>'Canola Oil'!AQ6</f>
        <v>9655.036775442828</v>
      </c>
      <c r="AR12" s="45">
        <f>'Canola Oil'!AR6</f>
        <v>9692.5054910678246</v>
      </c>
      <c r="AS12" s="45">
        <f>'Canola Oil'!AS6</f>
        <v>9159.2301366174033</v>
      </c>
      <c r="AT12" s="45">
        <f>'Canola Oil'!AT6</f>
        <v>9352.5128190122214</v>
      </c>
      <c r="AU12" s="45">
        <f>'Canola Oil'!AU6</f>
        <v>9922.2281264746653</v>
      </c>
      <c r="AV12" s="45">
        <f>'Canola Oil'!AV6</f>
        <v>10096.726706487192</v>
      </c>
      <c r="AW12" s="45">
        <f>'Canola Oil'!AW6</f>
        <v>9913.9993240893491</v>
      </c>
      <c r="AX12" s="45">
        <f>'Canola Oil'!AX6</f>
        <v>10133.331676680134</v>
      </c>
      <c r="AY12" s="45">
        <f>'Canola Oil'!AY6</f>
        <v>10564.187715466913</v>
      </c>
      <c r="AZ12" s="45">
        <f>'Canola Oil'!AZ6</f>
        <v>10963.742187010166</v>
      </c>
      <c r="BA12" s="45">
        <f>'Canola Oil'!BA6</f>
        <v>11195.981303069397</v>
      </c>
      <c r="BB12" s="45">
        <f>'Canola Oil'!BB6</f>
        <v>11337.267449159444</v>
      </c>
      <c r="BC12" s="45">
        <f>'Canola Oil'!BC6</f>
        <v>11440.30421228667</v>
      </c>
      <c r="BD12" s="45">
        <f>'Canola Oil'!BD6</f>
        <v>11702.726404940529</v>
      </c>
      <c r="BE12" s="45">
        <f>'Canola Oil'!BE6</f>
        <v>11972.479141171432</v>
      </c>
      <c r="BF12" s="45">
        <f>'Canola Oil'!BF6</f>
        <v>12219.37509009005</v>
      </c>
      <c r="BG12" s="45">
        <f>'Canola Oil'!BG6</f>
        <v>12492.321656314172</v>
      </c>
      <c r="BH12" s="45"/>
      <c r="BI12" s="45"/>
      <c r="BJ12" s="45"/>
      <c r="BK12" s="45"/>
    </row>
    <row r="13" spans="1:63" x14ac:dyDescent="0.2">
      <c r="A13" s="40"/>
      <c r="B13" s="63" t="s">
        <v>73</v>
      </c>
      <c r="C13" s="64">
        <f t="shared" ref="C13:BG13" si="6">C10+C7+C4</f>
        <v>6758.1514386043063</v>
      </c>
      <c r="D13" s="64">
        <f t="shared" si="6"/>
        <v>33639.492136002409</v>
      </c>
      <c r="E13" s="64">
        <f t="shared" si="6"/>
        <v>34010.912597050861</v>
      </c>
      <c r="F13" s="64">
        <f t="shared" si="6"/>
        <v>35981.601467144297</v>
      </c>
      <c r="G13" s="64">
        <f t="shared" si="6"/>
        <v>39705.517922309191</v>
      </c>
      <c r="H13" s="64">
        <f t="shared" si="6"/>
        <v>39753.844357384856</v>
      </c>
      <c r="I13" s="64">
        <f t="shared" si="6"/>
        <v>39868.127482731339</v>
      </c>
      <c r="J13" s="64">
        <f t="shared" si="6"/>
        <v>41796.43426051781</v>
      </c>
      <c r="K13" s="64">
        <f t="shared" si="6"/>
        <v>42405.823426097682</v>
      </c>
      <c r="L13" s="64">
        <f t="shared" si="6"/>
        <v>40589.267291247808</v>
      </c>
      <c r="M13" s="64">
        <f t="shared" si="6"/>
        <v>38817.310319125252</v>
      </c>
      <c r="N13" s="64">
        <f t="shared" si="6"/>
        <v>42495.409027383394</v>
      </c>
      <c r="O13" s="64">
        <f t="shared" si="6"/>
        <v>46242.884059328404</v>
      </c>
      <c r="P13" s="64">
        <f t="shared" si="6"/>
        <v>47946.109276860116</v>
      </c>
      <c r="Q13" s="64">
        <f t="shared" si="6"/>
        <v>48513.329204329712</v>
      </c>
      <c r="R13" s="64">
        <f t="shared" si="6"/>
        <v>46270.717858523341</v>
      </c>
      <c r="S13" s="64">
        <f t="shared" si="6"/>
        <v>47319.510861301678</v>
      </c>
      <c r="T13" s="64">
        <f t="shared" si="6"/>
        <v>48250.184247000747</v>
      </c>
      <c r="U13" s="64">
        <f t="shared" si="6"/>
        <v>49606.497064263014</v>
      </c>
      <c r="V13" s="64">
        <f t="shared" si="6"/>
        <v>49413.463089585064</v>
      </c>
      <c r="W13" s="64">
        <f t="shared" si="6"/>
        <v>50369.2515764337</v>
      </c>
      <c r="X13" s="64">
        <f t="shared" si="6"/>
        <v>52995.925352094673</v>
      </c>
      <c r="Y13" s="64">
        <f t="shared" si="6"/>
        <v>56217.395838285462</v>
      </c>
      <c r="Z13" s="64">
        <f t="shared" si="6"/>
        <v>57205.681062824726</v>
      </c>
      <c r="AA13" s="64">
        <f t="shared" si="6"/>
        <v>59814.909994895446</v>
      </c>
      <c r="AB13" s="64">
        <f t="shared" si="6"/>
        <v>33613.786018000006</v>
      </c>
      <c r="AC13" s="64">
        <f t="shared" si="6"/>
        <v>35390.276030000008</v>
      </c>
      <c r="AD13" s="64">
        <f t="shared" si="6"/>
        <v>35416.187150901998</v>
      </c>
      <c r="AE13" s="64">
        <f>AE10+AE7+AE4</f>
        <v>36365.937473434038</v>
      </c>
      <c r="AF13" s="64">
        <f t="shared" si="6"/>
        <v>41276.010466577805</v>
      </c>
      <c r="AG13" s="65">
        <f t="shared" si="6"/>
        <v>42671.540142413964</v>
      </c>
      <c r="AH13" s="65">
        <f t="shared" si="6"/>
        <v>39970.951371336167</v>
      </c>
      <c r="AI13" s="65">
        <f t="shared" si="6"/>
        <v>46342.504155280825</v>
      </c>
      <c r="AJ13" s="65">
        <f t="shared" si="6"/>
        <v>47544.634288117391</v>
      </c>
      <c r="AK13" s="65">
        <f t="shared" si="6"/>
        <v>48793.485772271233</v>
      </c>
      <c r="AL13" s="65">
        <f t="shared" si="6"/>
        <v>50313.004640748695</v>
      </c>
      <c r="AM13" s="65">
        <f t="shared" si="6"/>
        <v>53195.999015517846</v>
      </c>
      <c r="AN13" s="65">
        <f t="shared" si="6"/>
        <v>54382.582408649381</v>
      </c>
      <c r="AO13" s="65">
        <f t="shared" si="6"/>
        <v>57286.275780607255</v>
      </c>
      <c r="AP13" s="65">
        <f t="shared" si="6"/>
        <v>58390.262484536477</v>
      </c>
      <c r="AQ13" s="65">
        <f t="shared" si="6"/>
        <v>53523.77373352526</v>
      </c>
      <c r="AR13" s="65">
        <f t="shared" si="6"/>
        <v>53292.988001408674</v>
      </c>
      <c r="AS13" s="65">
        <f t="shared" si="6"/>
        <v>50922.259588811467</v>
      </c>
      <c r="AT13" s="65">
        <f t="shared" si="6"/>
        <v>52772.616068714233</v>
      </c>
      <c r="AU13" s="65">
        <f t="shared" si="6"/>
        <v>53507.614218099938</v>
      </c>
      <c r="AV13" s="65">
        <f t="shared" si="6"/>
        <v>52773.669433913223</v>
      </c>
      <c r="AW13" s="65">
        <f t="shared" si="6"/>
        <v>52520.827794291035</v>
      </c>
      <c r="AX13" s="65">
        <f t="shared" si="6"/>
        <v>53610.636935332703</v>
      </c>
      <c r="AY13" s="65">
        <f t="shared" si="6"/>
        <v>54256.149827208748</v>
      </c>
      <c r="AZ13" s="65">
        <f t="shared" si="6"/>
        <v>54441.667488367268</v>
      </c>
      <c r="BA13" s="65">
        <f t="shared" si="6"/>
        <v>54698.9478915336</v>
      </c>
      <c r="BB13" s="65">
        <f t="shared" si="6"/>
        <v>55771.851197070209</v>
      </c>
      <c r="BC13" s="65">
        <f t="shared" si="6"/>
        <v>56455.596358447685</v>
      </c>
      <c r="BD13" s="65">
        <f t="shared" si="6"/>
        <v>58581.799811961013</v>
      </c>
      <c r="BE13" s="65">
        <f t="shared" si="6"/>
        <v>58785.349359362583</v>
      </c>
      <c r="BF13" s="65">
        <f t="shared" si="6"/>
        <v>60434.510054124483</v>
      </c>
      <c r="BG13" s="65">
        <f t="shared" si="6"/>
        <v>60505.45085457297</v>
      </c>
      <c r="BH13" s="60"/>
      <c r="BI13" s="60"/>
      <c r="BJ13" s="60"/>
      <c r="BK13" s="60"/>
    </row>
    <row r="14" spans="1:63" x14ac:dyDescent="0.2">
      <c r="A14" s="40"/>
      <c r="B14" s="40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</row>
    <row r="15" spans="1:63" x14ac:dyDescent="0.2">
      <c r="A15" s="40"/>
      <c r="B15" s="57" t="s">
        <v>74</v>
      </c>
      <c r="C15" s="45" t="e">
        <f t="shared" ref="C15:BG15" si="7">C16+C23</f>
        <v>#REF!</v>
      </c>
      <c r="D15" s="45" t="e">
        <f t="shared" si="7"/>
        <v>#REF!</v>
      </c>
      <c r="E15" s="45" t="e">
        <f t="shared" si="7"/>
        <v>#REF!</v>
      </c>
      <c r="F15" s="45" t="e">
        <f t="shared" si="7"/>
        <v>#REF!</v>
      </c>
      <c r="G15" s="45" t="e">
        <f t="shared" si="7"/>
        <v>#REF!</v>
      </c>
      <c r="H15" s="45" t="e">
        <f t="shared" si="7"/>
        <v>#REF!</v>
      </c>
      <c r="I15" s="45" t="e">
        <f t="shared" si="7"/>
        <v>#REF!</v>
      </c>
      <c r="J15" s="45" t="e">
        <f t="shared" si="7"/>
        <v>#REF!</v>
      </c>
      <c r="K15" s="45" t="e">
        <f t="shared" si="7"/>
        <v>#REF!</v>
      </c>
      <c r="L15" s="45" t="e">
        <f t="shared" si="7"/>
        <v>#REF!</v>
      </c>
      <c r="M15" s="45" t="e">
        <f t="shared" si="7"/>
        <v>#REF!</v>
      </c>
      <c r="N15" s="45" t="e">
        <f t="shared" si="7"/>
        <v>#REF!</v>
      </c>
      <c r="O15" s="45" t="e">
        <f t="shared" si="7"/>
        <v>#REF!</v>
      </c>
      <c r="P15" s="45" t="e">
        <f t="shared" si="7"/>
        <v>#REF!</v>
      </c>
      <c r="Q15" s="45" t="e">
        <f t="shared" si="7"/>
        <v>#REF!</v>
      </c>
      <c r="R15" s="45" t="e">
        <f t="shared" si="7"/>
        <v>#REF!</v>
      </c>
      <c r="S15" s="45" t="e">
        <f t="shared" si="7"/>
        <v>#REF!</v>
      </c>
      <c r="T15" s="45" t="e">
        <f t="shared" si="7"/>
        <v>#REF!</v>
      </c>
      <c r="U15" s="45" t="e">
        <f t="shared" si="7"/>
        <v>#REF!</v>
      </c>
      <c r="V15" s="45" t="e">
        <f t="shared" si="7"/>
        <v>#REF!</v>
      </c>
      <c r="W15" s="45" t="e">
        <f t="shared" si="7"/>
        <v>#REF!</v>
      </c>
      <c r="X15" s="45" t="e">
        <f t="shared" si="7"/>
        <v>#REF!</v>
      </c>
      <c r="Y15" s="45" t="e">
        <f t="shared" si="7"/>
        <v>#REF!</v>
      </c>
      <c r="Z15" s="45" t="e">
        <f t="shared" si="7"/>
        <v>#REF!</v>
      </c>
      <c r="AA15" s="45">
        <f t="shared" si="7"/>
        <v>44832.495059880814</v>
      </c>
      <c r="AB15" s="45">
        <f t="shared" si="7"/>
        <v>27244.429439000014</v>
      </c>
      <c r="AC15" s="45">
        <f t="shared" si="7"/>
        <v>27036.824294000005</v>
      </c>
      <c r="AD15" s="45">
        <f t="shared" si="7"/>
        <v>28921.983950449994</v>
      </c>
      <c r="AE15" s="45">
        <f t="shared" si="7"/>
        <v>30569.626276292031</v>
      </c>
      <c r="AF15" s="45">
        <f t="shared" si="7"/>
        <v>38193.969888437801</v>
      </c>
      <c r="AG15" s="60">
        <f t="shared" si="7"/>
        <v>38501.473945363985</v>
      </c>
      <c r="AH15" s="60">
        <f t="shared" si="7"/>
        <v>34709.620434698387</v>
      </c>
      <c r="AI15" s="60">
        <f t="shared" si="7"/>
        <v>40438.652309459598</v>
      </c>
      <c r="AJ15" s="60">
        <f t="shared" si="7"/>
        <v>42931.752619653307</v>
      </c>
      <c r="AK15" s="60">
        <f t="shared" si="7"/>
        <v>43957.964179174873</v>
      </c>
      <c r="AL15" s="60">
        <f t="shared" si="7"/>
        <v>45100.156538539988</v>
      </c>
      <c r="AM15" s="60">
        <f t="shared" si="7"/>
        <v>46953.042558287532</v>
      </c>
      <c r="AN15" s="60">
        <f t="shared" si="7"/>
        <v>49051.512242228389</v>
      </c>
      <c r="AO15" s="60">
        <f t="shared" si="7"/>
        <v>51946.644590800657</v>
      </c>
      <c r="AP15" s="60">
        <f t="shared" si="7"/>
        <v>52417.037192255739</v>
      </c>
      <c r="AQ15" s="60">
        <f t="shared" si="7"/>
        <v>49565.177269195265</v>
      </c>
      <c r="AR15" s="60">
        <f t="shared" si="7"/>
        <v>49526.789109941237</v>
      </c>
      <c r="AS15" s="60">
        <f t="shared" si="7"/>
        <v>45186.003633422428</v>
      </c>
      <c r="AT15" s="60">
        <f t="shared" si="7"/>
        <v>48169.057990895861</v>
      </c>
      <c r="AU15" s="60">
        <f t="shared" si="7"/>
        <v>50723.339769721584</v>
      </c>
      <c r="AV15" s="60">
        <f t="shared" si="7"/>
        <v>49663.230798643948</v>
      </c>
      <c r="AW15" s="60">
        <f t="shared" si="7"/>
        <v>46902.578806647274</v>
      </c>
      <c r="AX15" s="60">
        <f t="shared" si="7"/>
        <v>47489.287147808296</v>
      </c>
      <c r="AY15" s="60">
        <f t="shared" si="7"/>
        <v>48382.243385799564</v>
      </c>
      <c r="AZ15" s="60">
        <f t="shared" si="7"/>
        <v>48408.270641570547</v>
      </c>
      <c r="BA15" s="60">
        <f t="shared" si="7"/>
        <v>48433.286941574959</v>
      </c>
      <c r="BB15" s="60">
        <f t="shared" si="7"/>
        <v>50097.9219746819</v>
      </c>
      <c r="BC15" s="60">
        <f t="shared" si="7"/>
        <v>49920.959651566285</v>
      </c>
      <c r="BD15" s="60">
        <f t="shared" si="7"/>
        <v>53207.87583729397</v>
      </c>
      <c r="BE15" s="60">
        <f t="shared" si="7"/>
        <v>51886.488295023533</v>
      </c>
      <c r="BF15" s="60">
        <f t="shared" si="7"/>
        <v>53808.270923820965</v>
      </c>
      <c r="BG15" s="60">
        <f t="shared" si="7"/>
        <v>53608.514182285449</v>
      </c>
      <c r="BH15" s="60"/>
      <c r="BI15" s="60"/>
      <c r="BJ15" s="60"/>
      <c r="BK15" s="60"/>
    </row>
    <row r="16" spans="1:63" x14ac:dyDescent="0.2">
      <c r="A16" s="40"/>
      <c r="B16" s="66" t="s">
        <v>75</v>
      </c>
      <c r="C16" s="62" t="e">
        <f>C17+C20+#REF!</f>
        <v>#REF!</v>
      </c>
      <c r="D16" s="62" t="e">
        <f>D17+D20+#REF!</f>
        <v>#REF!</v>
      </c>
      <c r="E16" s="62" t="e">
        <f>E17+E20+#REF!</f>
        <v>#REF!</v>
      </c>
      <c r="F16" s="62" t="e">
        <f>F17+F20+#REF!</f>
        <v>#REF!</v>
      </c>
      <c r="G16" s="62" t="e">
        <f>G17+G20+#REF!</f>
        <v>#REF!</v>
      </c>
      <c r="H16" s="62" t="e">
        <f>H17+H20+#REF!</f>
        <v>#REF!</v>
      </c>
      <c r="I16" s="62" t="e">
        <f>I17+I20+#REF!</f>
        <v>#REF!</v>
      </c>
      <c r="J16" s="62" t="e">
        <f>J17+J20+#REF!</f>
        <v>#REF!</v>
      </c>
      <c r="K16" s="62" t="e">
        <f>K17+K20+#REF!</f>
        <v>#REF!</v>
      </c>
      <c r="L16" s="62" t="e">
        <f>L17+L20+#REF!</f>
        <v>#REF!</v>
      </c>
      <c r="M16" s="62" t="e">
        <f>M17+M20+#REF!</f>
        <v>#REF!</v>
      </c>
      <c r="N16" s="62" t="e">
        <f>N17+N20+#REF!</f>
        <v>#REF!</v>
      </c>
      <c r="O16" s="62" t="e">
        <f>O17+O20+#REF!</f>
        <v>#REF!</v>
      </c>
      <c r="P16" s="62" t="e">
        <f>P17+P20+#REF!</f>
        <v>#REF!</v>
      </c>
      <c r="Q16" s="62" t="e">
        <f>Q17+Q20+#REF!</f>
        <v>#REF!</v>
      </c>
      <c r="R16" s="62" t="e">
        <f>R17+R20+#REF!</f>
        <v>#REF!</v>
      </c>
      <c r="S16" s="62" t="e">
        <f>S17+S20+#REF!</f>
        <v>#REF!</v>
      </c>
      <c r="T16" s="62" t="e">
        <f>T17+T20+#REF!</f>
        <v>#REF!</v>
      </c>
      <c r="U16" s="62" t="e">
        <f>U17+U20+#REF!</f>
        <v>#REF!</v>
      </c>
      <c r="V16" s="62" t="e">
        <f>V17+V20+#REF!</f>
        <v>#REF!</v>
      </c>
      <c r="W16" s="62" t="e">
        <f>W17+W20+#REF!</f>
        <v>#REF!</v>
      </c>
      <c r="X16" s="62" t="e">
        <f>X17+X20+#REF!</f>
        <v>#REF!</v>
      </c>
      <c r="Y16" s="62" t="e">
        <f>Y17+Y20+#REF!</f>
        <v>#REF!</v>
      </c>
      <c r="Z16" s="62" t="e">
        <f>Z17+Z20+#REF!</f>
        <v>#REF!</v>
      </c>
      <c r="AA16" s="62">
        <f>AA17+AA20</f>
        <v>19179.296637378538</v>
      </c>
      <c r="AB16" s="62">
        <f>AB17+AB20</f>
        <v>10634.126509108979</v>
      </c>
      <c r="AC16" s="62">
        <f t="shared" ref="AC16:BG16" si="8">AC17+AC20</f>
        <v>11964.175962594571</v>
      </c>
      <c r="AD16" s="62">
        <f t="shared" si="8"/>
        <v>11027.114897750424</v>
      </c>
      <c r="AE16" s="62">
        <f t="shared" si="8"/>
        <v>11915.34428278998</v>
      </c>
      <c r="AF16" s="62">
        <f t="shared" si="8"/>
        <v>18347.195290559102</v>
      </c>
      <c r="AG16" s="62">
        <f t="shared" si="8"/>
        <v>19278.713819771721</v>
      </c>
      <c r="AH16" s="62">
        <f t="shared" si="8"/>
        <v>16479.83715164668</v>
      </c>
      <c r="AI16" s="62">
        <f t="shared" si="8"/>
        <v>21590.129975531319</v>
      </c>
      <c r="AJ16" s="62">
        <f t="shared" si="8"/>
        <v>25031.874654955463</v>
      </c>
      <c r="AK16" s="62">
        <f t="shared" si="8"/>
        <v>24921.792402929728</v>
      </c>
      <c r="AL16" s="62">
        <f t="shared" si="8"/>
        <v>25550.361830249043</v>
      </c>
      <c r="AM16" s="62">
        <f t="shared" si="8"/>
        <v>28248.20180493419</v>
      </c>
      <c r="AN16" s="62">
        <f t="shared" si="8"/>
        <v>30144.519962159044</v>
      </c>
      <c r="AO16" s="62">
        <f t="shared" si="8"/>
        <v>34167.394532844257</v>
      </c>
      <c r="AP16" s="62">
        <f t="shared" si="8"/>
        <v>34872.661192708838</v>
      </c>
      <c r="AQ16" s="62">
        <f t="shared" si="8"/>
        <v>29753.770109789333</v>
      </c>
      <c r="AR16" s="62">
        <f t="shared" si="8"/>
        <v>30529.055571143872</v>
      </c>
      <c r="AS16" s="62">
        <f t="shared" si="8"/>
        <v>26066.841764282108</v>
      </c>
      <c r="AT16" s="62">
        <f t="shared" si="8"/>
        <v>28412.416214197678</v>
      </c>
      <c r="AU16" s="62">
        <f t="shared" si="8"/>
        <v>31177.218277261145</v>
      </c>
      <c r="AV16" s="62">
        <f t="shared" si="8"/>
        <v>29823.58569204318</v>
      </c>
      <c r="AW16" s="62">
        <f t="shared" si="8"/>
        <v>27340.863574702529</v>
      </c>
      <c r="AX16" s="62">
        <f t="shared" si="8"/>
        <v>27928.294280280123</v>
      </c>
      <c r="AY16" s="62">
        <f t="shared" si="8"/>
        <v>28559.526922304209</v>
      </c>
      <c r="AZ16" s="62">
        <f t="shared" si="8"/>
        <v>28500.70475417122</v>
      </c>
      <c r="BA16" s="62">
        <f t="shared" si="8"/>
        <v>28403.208905425949</v>
      </c>
      <c r="BB16" s="62">
        <f t="shared" si="8"/>
        <v>29739.224850712388</v>
      </c>
      <c r="BC16" s="62">
        <f t="shared" si="8"/>
        <v>29231.229337901597</v>
      </c>
      <c r="BD16" s="62">
        <f t="shared" si="8"/>
        <v>32460.497411579119</v>
      </c>
      <c r="BE16" s="62">
        <f t="shared" si="8"/>
        <v>30911.537883168941</v>
      </c>
      <c r="BF16" s="62">
        <f t="shared" si="8"/>
        <v>32650.066676920578</v>
      </c>
      <c r="BG16" s="62">
        <f t="shared" si="8"/>
        <v>32351.091443325964</v>
      </c>
      <c r="BH16" s="60"/>
      <c r="BI16" s="60"/>
      <c r="BJ16" s="60"/>
      <c r="BK16" s="60"/>
    </row>
    <row r="17" spans="1:75" x14ac:dyDescent="0.2">
      <c r="A17" s="40"/>
      <c r="B17" s="66" t="s">
        <v>76</v>
      </c>
      <c r="C17" s="62">
        <f t="shared" ref="C17:AD17" si="9">SUM(C18:C19)</f>
        <v>48.75</v>
      </c>
      <c r="D17" s="62">
        <f t="shared" si="9"/>
        <v>0</v>
      </c>
      <c r="E17" s="62">
        <f t="shared" si="9"/>
        <v>0</v>
      </c>
      <c r="F17" s="62">
        <f t="shared" si="9"/>
        <v>0</v>
      </c>
      <c r="G17" s="62">
        <f t="shared" si="9"/>
        <v>0.60284059390127487</v>
      </c>
      <c r="H17" s="62">
        <f t="shared" si="9"/>
        <v>8.1185747921126818</v>
      </c>
      <c r="I17" s="62">
        <f t="shared" si="9"/>
        <v>26.769923067130943</v>
      </c>
      <c r="J17" s="62">
        <f t="shared" si="9"/>
        <v>142.74434430029586</v>
      </c>
      <c r="K17" s="62">
        <f t="shared" si="9"/>
        <v>190.8700466997883</v>
      </c>
      <c r="L17" s="62">
        <f t="shared" si="9"/>
        <v>234.98744993145723</v>
      </c>
      <c r="M17" s="62">
        <f t="shared" si="9"/>
        <v>343.49825668138232</v>
      </c>
      <c r="N17" s="62">
        <f t="shared" si="9"/>
        <v>1241.3455839904022</v>
      </c>
      <c r="O17" s="62">
        <f t="shared" si="9"/>
        <v>3477.0142922493901</v>
      </c>
      <c r="P17" s="62">
        <f t="shared" si="9"/>
        <v>6132.4000000000005</v>
      </c>
      <c r="Q17" s="62">
        <f t="shared" si="9"/>
        <v>7814.9</v>
      </c>
      <c r="R17" s="62">
        <f t="shared" si="9"/>
        <v>4476.8999999999996</v>
      </c>
      <c r="S17" s="62">
        <f t="shared" si="9"/>
        <v>3511</v>
      </c>
      <c r="T17" s="62">
        <f t="shared" si="9"/>
        <v>8534</v>
      </c>
      <c r="U17" s="62">
        <f t="shared" si="9"/>
        <v>10605</v>
      </c>
      <c r="V17" s="62">
        <f t="shared" si="9"/>
        <v>11138</v>
      </c>
      <c r="W17" s="62">
        <f t="shared" si="9"/>
        <v>11796.82</v>
      </c>
      <c r="X17" s="62">
        <f t="shared" si="9"/>
        <v>11646.26</v>
      </c>
      <c r="Y17" s="62">
        <f t="shared" si="9"/>
        <v>13805.45</v>
      </c>
      <c r="Z17" s="62">
        <f t="shared" si="9"/>
        <v>15179.44</v>
      </c>
      <c r="AA17" s="62">
        <f t="shared" si="9"/>
        <v>17318.194671223959</v>
      </c>
      <c r="AB17" s="62">
        <f t="shared" si="9"/>
        <v>8548.2268991032142</v>
      </c>
      <c r="AC17" s="62">
        <f t="shared" si="9"/>
        <v>9600.1762033160066</v>
      </c>
      <c r="AD17" s="62">
        <f t="shared" si="9"/>
        <v>8244.5982379236812</v>
      </c>
      <c r="AE17" s="62">
        <f>SUM(AE18:AE19)</f>
        <v>8438.8580882127462</v>
      </c>
      <c r="AF17" s="62">
        <f>SUM(AF18:AF19)+SUM('[5]US EIA'!$O$294:$O$305,'[5]US EIA'!$G$294:$G$305,'[5]US EIA'!$D$294:$E$305,'[5]US EIA'!$N$294:$N$305)+AF48</f>
        <v>9611.4974651807024</v>
      </c>
      <c r="AG17" s="67">
        <f>SUM(AG18:AG19)+SUM('[5]US EIA'!$O$306:$O$317,'[5]US EIA'!$G$306:$G$317,'[5]US EIA'!$D$306:$E$317,'[5]US EIA'!$N$306:$N$317)+AG48</f>
        <v>8726.1920551468338</v>
      </c>
      <c r="AH17" s="67">
        <f>SUM(AH18:AH19)+SUM('[5]US EIA'!$O$318:$O$329,'[5]US EIA'!$G$318:$G$329,'[5]US EIA'!$D$318:$E$329,'[5]US EIA'!$N$318:$N$329)+AH48</f>
        <v>8477.6448342002222</v>
      </c>
      <c r="AI17" s="67">
        <f>SUM(AI18:AI19)+SUM('[5]US EIA'!$O$330:$O$341,'[5]US EIA'!$G$330:$G$341,'[5]US EIA'!$D$330:$E$341,'[5]US EIA'!$N$330:$N$341)+AI48</f>
        <v>7993.5446374897138</v>
      </c>
      <c r="AJ17" s="67">
        <f>SUM(AJ18:AJ19)+SUM('[5]US EIA'!$O$342:$O$353,'[5]US EIA'!$G$342:$G$353,'[5]US EIA'!$D$342:$E$353,'[5]US EIA'!$N$342:$N$353)+AJ48</f>
        <v>7909.8809885019537</v>
      </c>
      <c r="AK17" s="67">
        <f>SUM(AK18:AK19)+SUM('[5]US EIA'!$O$354:$O$365,'[5]US EIA'!$N$353:$N$365,'[5]US EIA'!$G$354:$G$365,'[5]US EIA'!$D$354:$E$365)+AK48</f>
        <v>6288.2968211723319</v>
      </c>
      <c r="AL17" s="67">
        <f>SUM(AL18:AL19)+SUM('[5]US EIA'!$O$366:$O$377,'[5]US EIA'!$N$366:$N$377,'[5]US EIA'!$G$366:$G$377,'[5]US EIA'!$D$366:$E$377)+AL48</f>
        <v>7013.3244759831232</v>
      </c>
      <c r="AM17" s="67">
        <f>SUM(AM18:AM19)+SUM('[5]US EIA'!$O$378:$O$389,'[5]US EIA'!$N$378:$N$389,'[5]US EIA'!$G$378:$G$389,'[5]US EIA'!$D$378:$E$389)+AM48</f>
        <v>7058.766039331008</v>
      </c>
      <c r="AN17" s="67">
        <f>SUM(AN18:AN19)+SUM('[5]US EIA'!$N$390:$O$401,'[5]US EIA'!$G$390:$G$401,'[5]US EIA'!$D$390:$E$401)+AN48</f>
        <v>6952.1821333443859</v>
      </c>
      <c r="AO17" s="67">
        <f>SUM(AO18:AO19)+SUM('[5]US EIA'!$N$402:$O$413,'[5]US EIA'!$G$402:$G$413,'[5]US EIA'!$D$402:$E$413)+AO48</f>
        <v>7215.7958899620999</v>
      </c>
      <c r="AP17" s="67">
        <f>SUM(AP18:AP19)+SUM('[5]US EIA'!$N$414:$O$425,'[5]US EIA'!$G$414:$G$425,'[5]US EIA'!$D$414:$E$425)+AP48</f>
        <v>5704.5663908091683</v>
      </c>
      <c r="AQ17" s="67">
        <f t="shared" ref="AQ17:BG17" si="10">SUM(AQ18:AQ19)</f>
        <v>6039.0916570991949</v>
      </c>
      <c r="AR17" s="67">
        <f t="shared" si="10"/>
        <v>6024.3030174459509</v>
      </c>
      <c r="AS17" s="67">
        <f t="shared" si="10"/>
        <v>5256.6084540131997</v>
      </c>
      <c r="AT17" s="67">
        <f t="shared" si="10"/>
        <v>4312.0118976294634</v>
      </c>
      <c r="AU17" s="67">
        <f t="shared" si="10"/>
        <v>4241.8630025573539</v>
      </c>
      <c r="AV17" s="67">
        <f t="shared" si="10"/>
        <v>4068.0432616112485</v>
      </c>
      <c r="AW17" s="67">
        <f t="shared" si="10"/>
        <v>2310.5277114474602</v>
      </c>
      <c r="AX17" s="67">
        <f t="shared" si="10"/>
        <v>2425.5708711714119</v>
      </c>
      <c r="AY17" s="67">
        <f t="shared" si="10"/>
        <v>2267.9477618603719</v>
      </c>
      <c r="AZ17" s="67">
        <f t="shared" si="10"/>
        <v>1763.4387514569376</v>
      </c>
      <c r="BA17" s="67">
        <f t="shared" si="10"/>
        <v>1662.6935384665994</v>
      </c>
      <c r="BB17" s="67">
        <f t="shared" si="10"/>
        <v>1548.6226910536998</v>
      </c>
      <c r="BC17" s="67">
        <f t="shared" si="10"/>
        <v>1418.3015364499165</v>
      </c>
      <c r="BD17" s="67">
        <f t="shared" si="10"/>
        <v>1292.4978392043886</v>
      </c>
      <c r="BE17" s="67">
        <f t="shared" si="10"/>
        <v>1256.4844349441692</v>
      </c>
      <c r="BF17" s="67">
        <f t="shared" si="10"/>
        <v>1174.7638884792823</v>
      </c>
      <c r="BG17" s="67">
        <f t="shared" si="10"/>
        <v>1243.5977254515506</v>
      </c>
      <c r="BH17" s="60"/>
      <c r="BI17" s="60"/>
      <c r="BJ17" s="60"/>
      <c r="BK17" s="60"/>
      <c r="BM17" s="41">
        <v>11998</v>
      </c>
      <c r="BN17" s="41">
        <v>10054</v>
      </c>
      <c r="BO17" s="41">
        <v>11181</v>
      </c>
      <c r="BP17" s="41">
        <v>9024</v>
      </c>
      <c r="BQ17" s="41">
        <v>7945</v>
      </c>
      <c r="BR17" s="41">
        <v>7592</v>
      </c>
      <c r="BS17" s="41">
        <v>5998</v>
      </c>
      <c r="BT17" s="41">
        <v>5829</v>
      </c>
      <c r="BU17" s="41">
        <v>4783</v>
      </c>
      <c r="BV17" s="41">
        <v>4480</v>
      </c>
      <c r="BW17" s="41">
        <v>4493</v>
      </c>
    </row>
    <row r="18" spans="1:75" x14ac:dyDescent="0.2">
      <c r="A18" s="40"/>
      <c r="B18" s="61" t="s">
        <v>119</v>
      </c>
      <c r="C18" s="62">
        <f>SBO!C10</f>
        <v>48.75</v>
      </c>
      <c r="D18" s="62">
        <f>SBO!D10</f>
        <v>0</v>
      </c>
      <c r="E18" s="62">
        <f>SBO!E10</f>
        <v>0</v>
      </c>
      <c r="F18" s="62">
        <f>SBO!F10</f>
        <v>0</v>
      </c>
      <c r="G18" s="62">
        <f>SBO!G10</f>
        <v>0.60284059390127487</v>
      </c>
      <c r="H18" s="62">
        <f>SBO!H10</f>
        <v>8.1185747921126818</v>
      </c>
      <c r="I18" s="62">
        <f>SBO!I10</f>
        <v>26.769923067130943</v>
      </c>
      <c r="J18" s="62">
        <f>SBO!J10</f>
        <v>142.74434430029586</v>
      </c>
      <c r="K18" s="62">
        <f>SBO!K10</f>
        <v>190.8700466997883</v>
      </c>
      <c r="L18" s="62">
        <f>SBO!L10</f>
        <v>234.98744993145723</v>
      </c>
      <c r="M18" s="62">
        <f>SBO!M10</f>
        <v>343.49825668138232</v>
      </c>
      <c r="N18" s="62">
        <f>SBO!N10</f>
        <v>1239.8209651559234</v>
      </c>
      <c r="O18" s="62">
        <f>SBO!O10</f>
        <v>3471.9833984130473</v>
      </c>
      <c r="P18" s="62">
        <f>SBO!P10</f>
        <v>5802.5000000000009</v>
      </c>
      <c r="Q18" s="62">
        <f>SBO!Q10</f>
        <v>6423.3</v>
      </c>
      <c r="R18" s="62">
        <f>SBO!R10</f>
        <v>3924.7</v>
      </c>
      <c r="S18" s="62">
        <f>SBO!S10</f>
        <v>2823</v>
      </c>
      <c r="T18" s="62">
        <f>SBO!T10</f>
        <v>7046</v>
      </c>
      <c r="U18" s="62">
        <f>SBO!U10</f>
        <v>8924</v>
      </c>
      <c r="V18" s="62">
        <f>SBO!V10</f>
        <v>10125</v>
      </c>
      <c r="W18" s="62">
        <f>SBO!W10</f>
        <v>9877.76</v>
      </c>
      <c r="X18" s="62">
        <f>SBO!X10</f>
        <v>10029.91</v>
      </c>
      <c r="Y18" s="62">
        <f>SBO!Y10</f>
        <v>11807</v>
      </c>
      <c r="Z18" s="62">
        <f>SBO!Z10</f>
        <v>12502.57</v>
      </c>
      <c r="AA18" s="62">
        <f>SBO!AA10</f>
        <v>14836.279999999999</v>
      </c>
      <c r="AB18" s="62">
        <f>SBO!AB10</f>
        <v>7317.9700000000012</v>
      </c>
      <c r="AC18" s="62">
        <f>SBO!AC10</f>
        <v>8382.7199999999993</v>
      </c>
      <c r="AD18" s="62">
        <f>SBO!AD10</f>
        <v>6400.5502016380979</v>
      </c>
      <c r="AE18" s="62">
        <f>SBO!AE10</f>
        <v>7100.4959999999992</v>
      </c>
      <c r="AF18" s="62">
        <f>SBO!AF10</f>
        <v>7332.1859999999997</v>
      </c>
      <c r="AG18" s="62">
        <f>SBO!AG10</f>
        <v>6629.639144025</v>
      </c>
      <c r="AH18" s="62">
        <f>SBO!AH10</f>
        <v>6283.9101585168355</v>
      </c>
      <c r="AI18" s="62">
        <f>SBO!AI10</f>
        <v>5808.9324119875573</v>
      </c>
      <c r="AJ18" s="62">
        <f>SBO!AJ10</f>
        <v>5965.2146097605128</v>
      </c>
      <c r="AK18" s="62">
        <f>SBO!AK10</f>
        <v>4699.4925590042239</v>
      </c>
      <c r="AL18" s="62">
        <f>SBO!AL10</f>
        <v>5173.4858700599034</v>
      </c>
      <c r="AM18" s="62">
        <f>SBO!AM10</f>
        <v>5065.6927418231116</v>
      </c>
      <c r="AN18" s="62">
        <f>SBO!AN10</f>
        <v>4936.7882060058346</v>
      </c>
      <c r="AO18" s="62">
        <f>SBO!AO10</f>
        <v>5086.4129413643632</v>
      </c>
      <c r="AP18" s="62">
        <f>SBO!AP10</f>
        <v>3392.4688692156246</v>
      </c>
      <c r="AQ18" s="62">
        <f>SBO!AQ10</f>
        <v>4472.9288586760813</v>
      </c>
      <c r="AR18" s="62">
        <f>SBO!AR10</f>
        <v>4570.2371486333232</v>
      </c>
      <c r="AS18" s="62">
        <f>SBO!AS10</f>
        <v>4252.667439307098</v>
      </c>
      <c r="AT18" s="62">
        <f>SBO!AT10</f>
        <v>3535.0519617474711</v>
      </c>
      <c r="AU18" s="62">
        <f>SBO!AU10</f>
        <v>3518.6347183578878</v>
      </c>
      <c r="AV18" s="62">
        <f>SBO!AV10</f>
        <v>3344.8149774117819</v>
      </c>
      <c r="AW18" s="62">
        <f>SBO!AW10</f>
        <v>1517.9215477769137</v>
      </c>
      <c r="AX18" s="62">
        <f>SBO!AX10</f>
        <v>1632.9647075008654</v>
      </c>
      <c r="AY18" s="62">
        <f>SBO!AY10</f>
        <v>1475.3415981898256</v>
      </c>
      <c r="AZ18" s="62">
        <f>SBO!AZ10</f>
        <v>970.83258778639129</v>
      </c>
      <c r="BA18" s="62">
        <f>SBO!BA10</f>
        <v>870.08737479605293</v>
      </c>
      <c r="BB18" s="62">
        <f>SBO!BB10</f>
        <v>756.01652738315329</v>
      </c>
      <c r="BC18" s="62">
        <f>SBO!BC10</f>
        <v>625.69537277937013</v>
      </c>
      <c r="BD18" s="62">
        <f>SBO!BD10</f>
        <v>499.89167553384215</v>
      </c>
      <c r="BE18" s="62">
        <f>SBO!BE10</f>
        <v>463.87827127362277</v>
      </c>
      <c r="BF18" s="62">
        <f>SBO!BF10</f>
        <v>382.15772480873602</v>
      </c>
      <c r="BG18" s="62">
        <f>SBO!BG10</f>
        <v>450.99156178100424</v>
      </c>
      <c r="BH18" s="45"/>
      <c r="BI18" s="45"/>
      <c r="BJ18" s="45"/>
      <c r="BK18" s="45"/>
    </row>
    <row r="19" spans="1:75" x14ac:dyDescent="0.2">
      <c r="A19" s="40"/>
      <c r="B19" s="40" t="s">
        <v>120</v>
      </c>
      <c r="C19" s="45">
        <f>'Canola Oil'!C10</f>
        <v>0</v>
      </c>
      <c r="D19" s="45">
        <f>'Canola Oil'!D10</f>
        <v>0</v>
      </c>
      <c r="E19" s="45">
        <f>'Canola Oil'!E10</f>
        <v>0</v>
      </c>
      <c r="F19" s="45">
        <f>'Canola Oil'!F10</f>
        <v>0</v>
      </c>
      <c r="G19" s="45">
        <f>'Canola Oil'!G10</f>
        <v>0</v>
      </c>
      <c r="H19" s="45">
        <f>'Canola Oil'!H10</f>
        <v>0</v>
      </c>
      <c r="I19" s="45">
        <f>'Canola Oil'!I10</f>
        <v>0</v>
      </c>
      <c r="J19" s="45">
        <f>'Canola Oil'!J10</f>
        <v>0</v>
      </c>
      <c r="K19" s="45">
        <f>'Canola Oil'!K10</f>
        <v>0</v>
      </c>
      <c r="L19" s="45">
        <f>'Canola Oil'!L10</f>
        <v>0</v>
      </c>
      <c r="M19" s="45">
        <f>'Canola Oil'!M10</f>
        <v>0</v>
      </c>
      <c r="N19" s="45">
        <f>'Canola Oil'!N10</f>
        <v>1.5246188344787306</v>
      </c>
      <c r="O19" s="45">
        <f>'Canola Oil'!O10</f>
        <v>5.0308938363426927</v>
      </c>
      <c r="P19" s="45">
        <f>'Canola Oil'!P10</f>
        <v>329.9</v>
      </c>
      <c r="Q19" s="45">
        <f>'Canola Oil'!Q10</f>
        <v>1391.6</v>
      </c>
      <c r="R19" s="45">
        <f>'Canola Oil'!R10</f>
        <v>552.20000000000005</v>
      </c>
      <c r="S19" s="45">
        <f>'Canola Oil'!S10</f>
        <v>688</v>
      </c>
      <c r="T19" s="45">
        <f>'Canola Oil'!T10</f>
        <v>1488</v>
      </c>
      <c r="U19" s="45">
        <f>'Canola Oil'!U10</f>
        <v>1681</v>
      </c>
      <c r="V19" s="45">
        <f>'Canola Oil'!V10</f>
        <v>1013</v>
      </c>
      <c r="W19" s="45">
        <f>'Canola Oil'!W10</f>
        <v>1919.06</v>
      </c>
      <c r="X19" s="45">
        <f>'Canola Oil'!X10</f>
        <v>1616.35</v>
      </c>
      <c r="Y19" s="45">
        <f>'Canola Oil'!Y10</f>
        <v>1998.45</v>
      </c>
      <c r="Z19" s="45">
        <f>'Canola Oil'!Z10</f>
        <v>2676.8700000000003</v>
      </c>
      <c r="AA19" s="45">
        <f>'Canola Oil'!AA10</f>
        <v>2481.9146712239585</v>
      </c>
      <c r="AB19" s="45">
        <f>'Canola Oil'!AB10</f>
        <v>1230.2568991032126</v>
      </c>
      <c r="AC19" s="45">
        <f>'Canola Oil'!AC10</f>
        <v>1217.4562033160075</v>
      </c>
      <c r="AD19" s="45">
        <f>'Canola Oil'!AD10</f>
        <v>1844.0480362855842</v>
      </c>
      <c r="AE19" s="45">
        <f>'Canola Oil'!AE10</f>
        <v>1338.362088212747</v>
      </c>
      <c r="AF19" s="45">
        <f>'Canola Oil'!AF10</f>
        <v>1827.869608445995</v>
      </c>
      <c r="AG19" s="45">
        <f>'Canola Oil'!AG10</f>
        <v>1746.5288880000001</v>
      </c>
      <c r="AH19" s="45">
        <f>'Canola Oil'!AH10</f>
        <v>1872.9248955648723</v>
      </c>
      <c r="AI19" s="45">
        <f>'Canola Oil'!AI10</f>
        <v>1909.2334765183202</v>
      </c>
      <c r="AJ19" s="45">
        <f>'Canola Oil'!AJ10</f>
        <v>1768.6439677452265</v>
      </c>
      <c r="AK19" s="45">
        <f>'Canola Oil'!AK10</f>
        <v>1436.9424879332039</v>
      </c>
      <c r="AL19" s="45">
        <f>'Canola Oil'!AL10</f>
        <v>1659.883154917105</v>
      </c>
      <c r="AM19" s="45">
        <f>'Canola Oil'!AM10</f>
        <v>1696.9055744707614</v>
      </c>
      <c r="AN19" s="45">
        <f>'Canola Oil'!AN10</f>
        <v>1642.1171094781316</v>
      </c>
      <c r="AO19" s="45">
        <f>'Canola Oil'!AO10</f>
        <v>1711.170568446124</v>
      </c>
      <c r="AP19" s="45">
        <f>'Canola Oil'!AP10</f>
        <v>1606.2844024399535</v>
      </c>
      <c r="AQ19" s="45">
        <f>'Canola Oil'!AQ10</f>
        <v>1566.1627984231136</v>
      </c>
      <c r="AR19" s="45">
        <f>'Canola Oil'!AR10</f>
        <v>1454.065868812628</v>
      </c>
      <c r="AS19" s="45">
        <f>'Canola Oil'!AS10</f>
        <v>1003.9410147061013</v>
      </c>
      <c r="AT19" s="45">
        <f>'Canola Oil'!AT10</f>
        <v>776.9599358819919</v>
      </c>
      <c r="AU19" s="45">
        <f>'Canola Oil'!AU10</f>
        <v>723.22828419946632</v>
      </c>
      <c r="AV19" s="45">
        <f>'Canola Oil'!AV10</f>
        <v>723.22828419946632</v>
      </c>
      <c r="AW19" s="45">
        <f>'Canola Oil'!AW10</f>
        <v>792.60616367054638</v>
      </c>
      <c r="AX19" s="45">
        <f>'Canola Oil'!AX10</f>
        <v>792.60616367054638</v>
      </c>
      <c r="AY19" s="45">
        <f>'Canola Oil'!AY10</f>
        <v>792.60616367054638</v>
      </c>
      <c r="AZ19" s="45">
        <f>'Canola Oil'!AZ10</f>
        <v>792.60616367054638</v>
      </c>
      <c r="BA19" s="45">
        <f>'Canola Oil'!BA10</f>
        <v>792.60616367054638</v>
      </c>
      <c r="BB19" s="45">
        <f>'Canola Oil'!BB10</f>
        <v>792.60616367054638</v>
      </c>
      <c r="BC19" s="45">
        <f>'Canola Oil'!BC10</f>
        <v>792.60616367054638</v>
      </c>
      <c r="BD19" s="45">
        <f>'Canola Oil'!BD10</f>
        <v>792.60616367054638</v>
      </c>
      <c r="BE19" s="45">
        <f>'Canola Oil'!BE10</f>
        <v>792.60616367054638</v>
      </c>
      <c r="BF19" s="45">
        <f>'Canola Oil'!BF10</f>
        <v>792.60616367054638</v>
      </c>
      <c r="BG19" s="45">
        <f>'Canola Oil'!BG10</f>
        <v>792.60616367054638</v>
      </c>
      <c r="BH19" s="45"/>
      <c r="BI19" s="45"/>
      <c r="BJ19" s="45"/>
      <c r="BK19" s="45"/>
    </row>
    <row r="20" spans="1:75" x14ac:dyDescent="0.2">
      <c r="A20" s="40"/>
      <c r="B20" s="57" t="s">
        <v>77</v>
      </c>
      <c r="C20" s="45">
        <f t="shared" ref="C20:AD20" si="11">SUM(C21:C22)</f>
        <v>103.77000000000001</v>
      </c>
      <c r="D20" s="45">
        <f t="shared" si="11"/>
        <v>0</v>
      </c>
      <c r="E20" s="45">
        <f t="shared" si="11"/>
        <v>0</v>
      </c>
      <c r="F20" s="45">
        <f t="shared" si="11"/>
        <v>0</v>
      </c>
      <c r="G20" s="45">
        <f t="shared" si="11"/>
        <v>0</v>
      </c>
      <c r="H20" s="45">
        <f t="shared" si="11"/>
        <v>0</v>
      </c>
      <c r="I20" s="45">
        <f t="shared" si="11"/>
        <v>0</v>
      </c>
      <c r="J20" s="45">
        <f t="shared" si="11"/>
        <v>0</v>
      </c>
      <c r="K20" s="45">
        <f t="shared" si="11"/>
        <v>0</v>
      </c>
      <c r="L20" s="45">
        <f t="shared" si="11"/>
        <v>0</v>
      </c>
      <c r="M20" s="45">
        <f t="shared" si="11"/>
        <v>0</v>
      </c>
      <c r="N20" s="45">
        <f t="shared" si="11"/>
        <v>0</v>
      </c>
      <c r="O20" s="45">
        <f t="shared" si="11"/>
        <v>0</v>
      </c>
      <c r="P20" s="45">
        <f t="shared" si="11"/>
        <v>0</v>
      </c>
      <c r="Q20" s="45">
        <f t="shared" si="11"/>
        <v>0</v>
      </c>
      <c r="R20" s="45">
        <f t="shared" si="11"/>
        <v>0</v>
      </c>
      <c r="S20" s="45">
        <f t="shared" si="11"/>
        <v>0</v>
      </c>
      <c r="T20" s="45">
        <f t="shared" si="11"/>
        <v>50</v>
      </c>
      <c r="U20" s="45">
        <f t="shared" si="11"/>
        <v>335</v>
      </c>
      <c r="V20" s="45">
        <f t="shared" si="11"/>
        <v>732</v>
      </c>
      <c r="W20" s="45">
        <f t="shared" si="11"/>
        <v>729</v>
      </c>
      <c r="X20" s="45">
        <f t="shared" si="11"/>
        <v>709.6</v>
      </c>
      <c r="Y20" s="45">
        <f t="shared" si="11"/>
        <v>1012.7043255733813</v>
      </c>
      <c r="Z20" s="45">
        <f t="shared" si="11"/>
        <v>1278.7688658531242</v>
      </c>
      <c r="AA20" s="45">
        <f t="shared" si="11"/>
        <v>1861.1019661545806</v>
      </c>
      <c r="AB20" s="45">
        <f t="shared" si="11"/>
        <v>2085.8996100057643</v>
      </c>
      <c r="AC20" s="45">
        <f t="shared" si="11"/>
        <v>2363.9997592785644</v>
      </c>
      <c r="AD20" s="45">
        <f t="shared" si="11"/>
        <v>2782.5166598267433</v>
      </c>
      <c r="AE20" s="45">
        <f>SUM(AE21:AE22)</f>
        <v>3476.4861945772336</v>
      </c>
      <c r="AF20" s="45">
        <f t="shared" ref="AF20:BG20" si="12">SUM(AF21:AF22)+AF51</f>
        <v>8735.6978253784</v>
      </c>
      <c r="AG20" s="60">
        <f t="shared" si="12"/>
        <v>10552.521764624889</v>
      </c>
      <c r="AH20" s="60">
        <f t="shared" si="12"/>
        <v>8002.1923174464555</v>
      </c>
      <c r="AI20" s="60">
        <f t="shared" si="12"/>
        <v>13596.585338041607</v>
      </c>
      <c r="AJ20" s="60">
        <f t="shared" si="12"/>
        <v>17121.993666453509</v>
      </c>
      <c r="AK20" s="60">
        <f t="shared" si="12"/>
        <v>18633.495581757397</v>
      </c>
      <c r="AL20" s="60">
        <f t="shared" si="12"/>
        <v>18537.037354265922</v>
      </c>
      <c r="AM20" s="60">
        <f t="shared" si="12"/>
        <v>21189.435765603183</v>
      </c>
      <c r="AN20" s="60">
        <f t="shared" si="12"/>
        <v>23192.337828814656</v>
      </c>
      <c r="AO20" s="60">
        <f t="shared" si="12"/>
        <v>26951.598642882156</v>
      </c>
      <c r="AP20" s="60">
        <f t="shared" si="12"/>
        <v>29168.094801899671</v>
      </c>
      <c r="AQ20" s="60">
        <f t="shared" si="12"/>
        <v>23714.678452690139</v>
      </c>
      <c r="AR20" s="60">
        <f t="shared" si="12"/>
        <v>24504.752553697923</v>
      </c>
      <c r="AS20" s="60">
        <f t="shared" si="12"/>
        <v>20810.233310268908</v>
      </c>
      <c r="AT20" s="60">
        <f t="shared" si="12"/>
        <v>24100.404316568216</v>
      </c>
      <c r="AU20" s="60">
        <f t="shared" si="12"/>
        <v>26935.35527470379</v>
      </c>
      <c r="AV20" s="60">
        <f t="shared" si="12"/>
        <v>25755.542430431931</v>
      </c>
      <c r="AW20" s="60">
        <f t="shared" si="12"/>
        <v>25030.33586325507</v>
      </c>
      <c r="AX20" s="60">
        <f t="shared" si="12"/>
        <v>25502.723409108712</v>
      </c>
      <c r="AY20" s="60">
        <f t="shared" si="12"/>
        <v>26291.579160443838</v>
      </c>
      <c r="AZ20" s="60">
        <f t="shared" si="12"/>
        <v>26737.266002714281</v>
      </c>
      <c r="BA20" s="60">
        <f t="shared" si="12"/>
        <v>26740.515366959349</v>
      </c>
      <c r="BB20" s="60">
        <f t="shared" si="12"/>
        <v>28190.602159658687</v>
      </c>
      <c r="BC20" s="60">
        <f t="shared" si="12"/>
        <v>27812.927801451682</v>
      </c>
      <c r="BD20" s="60">
        <f t="shared" si="12"/>
        <v>31167.999572374731</v>
      </c>
      <c r="BE20" s="60">
        <f t="shared" si="12"/>
        <v>29655.053448224771</v>
      </c>
      <c r="BF20" s="60">
        <f t="shared" si="12"/>
        <v>31475.302788441295</v>
      </c>
      <c r="BG20" s="60">
        <f t="shared" si="12"/>
        <v>31107.493717874415</v>
      </c>
      <c r="BH20" s="60"/>
      <c r="BI20" s="60"/>
      <c r="BJ20" s="60"/>
      <c r="BK20" s="60"/>
      <c r="BL20" s="41" t="s">
        <v>11</v>
      </c>
      <c r="BM20" s="41">
        <v>5133</v>
      </c>
      <c r="BN20" s="41">
        <v>10341</v>
      </c>
      <c r="BO20" s="41">
        <v>10160</v>
      </c>
      <c r="BP20" s="41">
        <v>10924</v>
      </c>
      <c r="BQ20" s="41">
        <v>12304</v>
      </c>
      <c r="BR20" s="41">
        <v>13341</v>
      </c>
      <c r="BS20" s="41">
        <v>14205</v>
      </c>
      <c r="BT20" s="41">
        <v>12521</v>
      </c>
      <c r="BU20" s="41">
        <v>11031</v>
      </c>
      <c r="BV20" s="41">
        <v>10886</v>
      </c>
      <c r="BW20" s="41">
        <v>10431</v>
      </c>
    </row>
    <row r="21" spans="1:75" x14ac:dyDescent="0.2">
      <c r="A21" s="40"/>
      <c r="B21" s="61" t="s">
        <v>119</v>
      </c>
      <c r="C21" s="62">
        <f>SBO!C11</f>
        <v>103.77000000000001</v>
      </c>
      <c r="D21" s="62">
        <f>SBO!D11</f>
        <v>0</v>
      </c>
      <c r="E21" s="62">
        <f>SBO!E11</f>
        <v>0</v>
      </c>
      <c r="F21" s="62">
        <f>SBO!F11</f>
        <v>0</v>
      </c>
      <c r="G21" s="62">
        <f>SBO!G11</f>
        <v>0</v>
      </c>
      <c r="H21" s="62">
        <f>SBO!H11</f>
        <v>0</v>
      </c>
      <c r="I21" s="62">
        <f>SBO!I11</f>
        <v>0</v>
      </c>
      <c r="J21" s="62">
        <f>SBO!J11</f>
        <v>0</v>
      </c>
      <c r="K21" s="62">
        <f>SBO!K11</f>
        <v>0</v>
      </c>
      <c r="L21" s="62">
        <f>SBO!L11</f>
        <v>0</v>
      </c>
      <c r="M21" s="62">
        <f>SBO!M11</f>
        <v>0</v>
      </c>
      <c r="N21" s="62">
        <f>SBO!N11</f>
        <v>0</v>
      </c>
      <c r="O21" s="62">
        <f>SBO!O11</f>
        <v>0</v>
      </c>
      <c r="P21" s="62">
        <f>SBO!P11</f>
        <v>0</v>
      </c>
      <c r="Q21" s="62">
        <f>SBO!Q11</f>
        <v>0</v>
      </c>
      <c r="R21" s="62">
        <f>SBO!R11</f>
        <v>0</v>
      </c>
      <c r="S21" s="62">
        <f>SBO!S11</f>
        <v>0</v>
      </c>
      <c r="T21" s="62">
        <f>SBO!T11</f>
        <v>50</v>
      </c>
      <c r="U21" s="62">
        <f>SBO!U11</f>
        <v>335</v>
      </c>
      <c r="V21" s="62">
        <f>SBO!V11</f>
        <v>732</v>
      </c>
      <c r="W21" s="62">
        <f>SBO!W11</f>
        <v>729</v>
      </c>
      <c r="X21" s="62">
        <f>SBO!X11</f>
        <v>709.6</v>
      </c>
      <c r="Y21" s="62">
        <f>SBO!Y11</f>
        <v>1012.7043255733813</v>
      </c>
      <c r="Z21" s="62">
        <f>SBO!Z11</f>
        <v>1278.7688658531242</v>
      </c>
      <c r="AA21" s="62">
        <f>SBO!AA11</f>
        <v>1861.1019661545806</v>
      </c>
      <c r="AB21" s="62">
        <f>SBO!AB11</f>
        <v>2085.8996100057643</v>
      </c>
      <c r="AC21" s="62">
        <f>SBO!AC11</f>
        <v>2363.9997592785644</v>
      </c>
      <c r="AD21" s="62">
        <f>SBO!AD11</f>
        <v>2782.5166598267433</v>
      </c>
      <c r="AE21" s="62">
        <f>SBO!AE11</f>
        <v>3424.8869999999997</v>
      </c>
      <c r="AF21" s="62">
        <f>SBO!AF11</f>
        <v>5688.5511944193004</v>
      </c>
      <c r="AG21" s="62">
        <f>SBO!AG11</f>
        <v>6605.9082783222993</v>
      </c>
      <c r="AH21" s="62">
        <f>SBO!AH11</f>
        <v>5183.7434898054189</v>
      </c>
      <c r="AI21" s="62">
        <f>SBO!AI11</f>
        <v>6275.4918879976876</v>
      </c>
      <c r="AJ21" s="62">
        <f>SBO!AJ11</f>
        <v>8683.0278403629436</v>
      </c>
      <c r="AK21" s="62">
        <f>SBO!AK11</f>
        <v>9718.0497561636148</v>
      </c>
      <c r="AL21" s="62">
        <f>SBO!AL11</f>
        <v>9348.444147293465</v>
      </c>
      <c r="AM21" s="62">
        <f>SBO!AM11</f>
        <v>11114.033307744938</v>
      </c>
      <c r="AN21" s="62">
        <f>SBO!AN11</f>
        <v>12293.036589138088</v>
      </c>
      <c r="AO21" s="62">
        <f>SBO!AO11</f>
        <v>14825.923970232921</v>
      </c>
      <c r="AP21" s="62">
        <f>SBO!AP11</f>
        <v>16685.953843299467</v>
      </c>
      <c r="AQ21" s="62">
        <f>SBO!AQ11</f>
        <v>17525.447723205114</v>
      </c>
      <c r="AR21" s="62">
        <f>SBO!AR11</f>
        <v>17970.395303786518</v>
      </c>
      <c r="AS21" s="62">
        <f>SBO!AS11</f>
        <v>14899.668024213892</v>
      </c>
      <c r="AT21" s="62">
        <f>SBO!AT11</f>
        <v>17523.83278638597</v>
      </c>
      <c r="AU21" s="62">
        <f>SBO!AU11</f>
        <v>19608.624138878964</v>
      </c>
      <c r="AV21" s="62">
        <f>SBO!AV11</f>
        <v>18422.676693966841</v>
      </c>
      <c r="AW21" s="62">
        <f>SBO!AW11</f>
        <v>18190.344200246727</v>
      </c>
      <c r="AX21" s="62">
        <f>SBO!AX11</f>
        <v>18318.959996579641</v>
      </c>
      <c r="AY21" s="62">
        <f>SBO!AY11</f>
        <v>18784.498332574309</v>
      </c>
      <c r="AZ21" s="62">
        <f>SBO!AZ11</f>
        <v>18816.170286901444</v>
      </c>
      <c r="BA21" s="62">
        <f>SBO!BA11</f>
        <v>18694.839608911494</v>
      </c>
      <c r="BB21" s="62">
        <f>SBO!BB11</f>
        <v>20054.566862494336</v>
      </c>
      <c r="BC21" s="62">
        <f>SBO!BC11</f>
        <v>19656.469769834683</v>
      </c>
      <c r="BD21" s="62">
        <f>SBO!BD11</f>
        <v>22697.461711192598</v>
      </c>
      <c r="BE21" s="62">
        <f>SBO!BE11</f>
        <v>21030.907980842359</v>
      </c>
      <c r="BF21" s="62">
        <f>SBO!BF11</f>
        <v>22703.011569636954</v>
      </c>
      <c r="BG21" s="62">
        <f>SBO!BG11</f>
        <v>22041.149943593027</v>
      </c>
      <c r="BH21" s="45"/>
      <c r="BI21" s="45"/>
      <c r="BJ21" s="45"/>
      <c r="BK21" s="45"/>
    </row>
    <row r="22" spans="1:75" x14ac:dyDescent="0.2">
      <c r="A22" s="40"/>
      <c r="B22" s="40" t="s">
        <v>120</v>
      </c>
      <c r="C22" s="45">
        <f>'Canola Oil'!C11</f>
        <v>0</v>
      </c>
      <c r="D22" s="45">
        <f>'Canola Oil'!D11</f>
        <v>0</v>
      </c>
      <c r="E22" s="45">
        <f>'Canola Oil'!E11</f>
        <v>0</v>
      </c>
      <c r="F22" s="45">
        <f>'Canola Oil'!F11</f>
        <v>0</v>
      </c>
      <c r="G22" s="45">
        <f>'Canola Oil'!G11</f>
        <v>0</v>
      </c>
      <c r="H22" s="45">
        <f>'Canola Oil'!H11</f>
        <v>0</v>
      </c>
      <c r="I22" s="45">
        <f>'Canola Oil'!I11</f>
        <v>0</v>
      </c>
      <c r="J22" s="45">
        <f>'Canola Oil'!J11</f>
        <v>0</v>
      </c>
      <c r="K22" s="45">
        <f>'Canola Oil'!K11</f>
        <v>0</v>
      </c>
      <c r="L22" s="45">
        <f>'Canola Oil'!L11</f>
        <v>0</v>
      </c>
      <c r="M22" s="45">
        <f>'Canola Oil'!M11</f>
        <v>0</v>
      </c>
      <c r="N22" s="45">
        <f>'Canola Oil'!N11</f>
        <v>0</v>
      </c>
      <c r="O22" s="45">
        <f>'Canola Oil'!O11</f>
        <v>0</v>
      </c>
      <c r="P22" s="45">
        <f>'Canola Oil'!P11</f>
        <v>0</v>
      </c>
      <c r="Q22" s="45">
        <f>'Canola Oil'!Q11</f>
        <v>0</v>
      </c>
      <c r="R22" s="45">
        <f>'Canola Oil'!R11</f>
        <v>0</v>
      </c>
      <c r="S22" s="45">
        <f>'Canola Oil'!S11</f>
        <v>0</v>
      </c>
      <c r="T22" s="45">
        <f>'Canola Oil'!T11</f>
        <v>0</v>
      </c>
      <c r="U22" s="45">
        <f>'Canola Oil'!U11</f>
        <v>0</v>
      </c>
      <c r="V22" s="45">
        <f>'Canola Oil'!V11</f>
        <v>0</v>
      </c>
      <c r="W22" s="45">
        <f>'Canola Oil'!W11</f>
        <v>0</v>
      </c>
      <c r="X22" s="45">
        <f>'Canola Oil'!X11</f>
        <v>0</v>
      </c>
      <c r="Y22" s="45">
        <f>'Canola Oil'!Y11</f>
        <v>0</v>
      </c>
      <c r="Z22" s="45">
        <f>'Canola Oil'!Z11</f>
        <v>0</v>
      </c>
      <c r="AA22" s="45">
        <f>'Canola Oil'!AA11</f>
        <v>0</v>
      </c>
      <c r="AB22" s="45">
        <f>'Canola Oil'!AB11</f>
        <v>0</v>
      </c>
      <c r="AC22" s="45">
        <f>'Canola Oil'!AC11</f>
        <v>0</v>
      </c>
      <c r="AD22" s="45">
        <f>'Canola Oil'!AD11</f>
        <v>0</v>
      </c>
      <c r="AE22" s="45">
        <f>'Canola Oil'!AE11</f>
        <v>51.599194577234002</v>
      </c>
      <c r="AF22" s="45">
        <f>'Canola Oil'!AF11</f>
        <v>1554.3992681960049</v>
      </c>
      <c r="AG22" s="45">
        <f>'Canola Oil'!AG11</f>
        <v>3058.6018266987994</v>
      </c>
      <c r="AH22" s="45">
        <f>'Canola Oil'!AH11</f>
        <v>1738.4043578802771</v>
      </c>
      <c r="AI22" s="45">
        <f>'Canola Oil'!AI11</f>
        <v>1798.6680387340409</v>
      </c>
      <c r="AJ22" s="45">
        <f>'Canola Oil'!AJ11</f>
        <v>3048.8550879116256</v>
      </c>
      <c r="AK22" s="45">
        <f>'Canola Oil'!AK11</f>
        <v>3452.8153082083163</v>
      </c>
      <c r="AL22" s="45">
        <f>'Canola Oil'!AL11</f>
        <v>3547.1591445664735</v>
      </c>
      <c r="AM22" s="45">
        <f>'Canola Oil'!AM11</f>
        <v>4202.379613367927</v>
      </c>
      <c r="AN22" s="45">
        <f>'Canola Oil'!AN11</f>
        <v>4871.258788233552</v>
      </c>
      <c r="AO22" s="45">
        <f>'Canola Oil'!AO11</f>
        <v>5910.9034045342951</v>
      </c>
      <c r="AP22" s="45">
        <f>'Canola Oil'!AP11</f>
        <v>5954.4892466485362</v>
      </c>
      <c r="AQ22" s="45">
        <f>'Canola Oil'!AQ11</f>
        <v>6189.2307294850234</v>
      </c>
      <c r="AR22" s="45">
        <f>'Canola Oil'!AR11</f>
        <v>6534.3572499114071</v>
      </c>
      <c r="AS22" s="45">
        <f>'Canola Oil'!AS11</f>
        <v>5910.5652860550172</v>
      </c>
      <c r="AT22" s="45">
        <f>'Canola Oil'!AT11</f>
        <v>6576.5715301822447</v>
      </c>
      <c r="AU22" s="45">
        <f>'Canola Oil'!AU11</f>
        <v>7326.7311358248271</v>
      </c>
      <c r="AV22" s="45">
        <f>'Canola Oil'!AV11</f>
        <v>7332.8657364650917</v>
      </c>
      <c r="AW22" s="45">
        <f>'Canola Oil'!AW11</f>
        <v>6839.9916630083426</v>
      </c>
      <c r="AX22" s="45">
        <f>'Canola Oil'!AX11</f>
        <v>7183.7634125290706</v>
      </c>
      <c r="AY22" s="45">
        <f>'Canola Oil'!AY11</f>
        <v>7507.0808278695285</v>
      </c>
      <c r="AZ22" s="45">
        <f>'Canola Oil'!AZ11</f>
        <v>7921.0957158128367</v>
      </c>
      <c r="BA22" s="45">
        <f>'Canola Oil'!BA11</f>
        <v>8045.675758047857</v>
      </c>
      <c r="BB22" s="45">
        <f>'Canola Oil'!BB11</f>
        <v>8136.0352971643524</v>
      </c>
      <c r="BC22" s="45">
        <f>'Canola Oil'!BC11</f>
        <v>8156.4580316169995</v>
      </c>
      <c r="BD22" s="45">
        <f>'Canola Oil'!BD11</f>
        <v>8470.5378611821325</v>
      </c>
      <c r="BE22" s="45">
        <f>'Canola Oil'!BE11</f>
        <v>8624.1454673824119</v>
      </c>
      <c r="BF22" s="45">
        <f>'Canola Oil'!BF11</f>
        <v>8772.2912188043429</v>
      </c>
      <c r="BG22" s="45">
        <f>'Canola Oil'!BG11</f>
        <v>9066.3437742813858</v>
      </c>
      <c r="BH22" s="45"/>
      <c r="BI22" s="45"/>
      <c r="BJ22" s="45"/>
      <c r="BK22" s="45"/>
    </row>
    <row r="23" spans="1:75" x14ac:dyDescent="0.2">
      <c r="A23" s="40"/>
      <c r="B23" s="57" t="s">
        <v>78</v>
      </c>
      <c r="C23" s="45">
        <f t="shared" ref="C23:AW23" si="13">SUM(C24:C25)</f>
        <v>3298.7785149390002</v>
      </c>
      <c r="D23" s="45">
        <f t="shared" si="13"/>
        <v>23583.133652264605</v>
      </c>
      <c r="E23" s="45">
        <f t="shared" si="13"/>
        <v>25884.958855645607</v>
      </c>
      <c r="F23" s="45">
        <f t="shared" si="13"/>
        <v>27359.230305501402</v>
      </c>
      <c r="G23" s="45">
        <f t="shared" si="13"/>
        <v>29132.843935981593</v>
      </c>
      <c r="H23" s="45">
        <f t="shared" si="13"/>
        <v>30342.549079158278</v>
      </c>
      <c r="I23" s="45">
        <f t="shared" si="13"/>
        <v>30603.941204559575</v>
      </c>
      <c r="J23" s="45">
        <f t="shared" si="13"/>
        <v>31156.349086011061</v>
      </c>
      <c r="K23" s="45">
        <f t="shared" si="13"/>
        <v>31851.686252804757</v>
      </c>
      <c r="L23" s="45">
        <f t="shared" si="13"/>
        <v>32107.253844212999</v>
      </c>
      <c r="M23" s="45">
        <f t="shared" si="13"/>
        <v>32187.878961895523</v>
      </c>
      <c r="N23" s="45">
        <f t="shared" si="13"/>
        <v>32275.591320810297</v>
      </c>
      <c r="O23" s="45">
        <f t="shared" si="13"/>
        <v>30910.759192287751</v>
      </c>
      <c r="P23" s="45">
        <f t="shared" si="13"/>
        <v>30352.360310678199</v>
      </c>
      <c r="Q23" s="45">
        <f t="shared" si="13"/>
        <v>28261.024341296605</v>
      </c>
      <c r="R23" s="45">
        <f t="shared" si="13"/>
        <v>27308.295608635999</v>
      </c>
      <c r="S23" s="45">
        <f t="shared" si="13"/>
        <v>27137.058695803393</v>
      </c>
      <c r="T23" s="45">
        <f t="shared" si="13"/>
        <v>26245.5107005561</v>
      </c>
      <c r="U23" s="45">
        <f t="shared" si="13"/>
        <v>25163.024119614463</v>
      </c>
      <c r="V23" s="45">
        <f t="shared" si="13"/>
        <v>25536.734581157245</v>
      </c>
      <c r="W23" s="45">
        <f t="shared" si="13"/>
        <v>25663.319188056466</v>
      </c>
      <c r="X23" s="45">
        <f t="shared" si="13"/>
        <v>25858.722108007158</v>
      </c>
      <c r="Y23" s="45">
        <f t="shared" si="13"/>
        <v>26372.227254363508</v>
      </c>
      <c r="Z23" s="45">
        <f t="shared" si="13"/>
        <v>24824.492511475495</v>
      </c>
      <c r="AA23" s="45">
        <f t="shared" si="13"/>
        <v>25653.198422502275</v>
      </c>
      <c r="AB23" s="45">
        <f t="shared" si="13"/>
        <v>16610.302929891033</v>
      </c>
      <c r="AC23" s="45">
        <f t="shared" si="13"/>
        <v>15072.648331405433</v>
      </c>
      <c r="AD23" s="45">
        <f t="shared" si="13"/>
        <v>17894.869052699571</v>
      </c>
      <c r="AE23" s="45">
        <f>SUM(AE24:AE25)</f>
        <v>18654.281993502053</v>
      </c>
      <c r="AF23" s="45">
        <f t="shared" si="13"/>
        <v>19846.774597878699</v>
      </c>
      <c r="AG23" s="60">
        <f t="shared" si="13"/>
        <v>19222.760125592264</v>
      </c>
      <c r="AH23" s="60">
        <f t="shared" si="13"/>
        <v>18229.783283051711</v>
      </c>
      <c r="AI23" s="60">
        <f t="shared" si="13"/>
        <v>18848.522333928278</v>
      </c>
      <c r="AJ23" s="60">
        <f t="shared" si="13"/>
        <v>17899.877964697844</v>
      </c>
      <c r="AK23" s="60">
        <f t="shared" si="13"/>
        <v>19036.171776245144</v>
      </c>
      <c r="AL23" s="60">
        <f t="shared" si="13"/>
        <v>19549.794708290945</v>
      </c>
      <c r="AM23" s="60">
        <f t="shared" si="13"/>
        <v>18704.840753353339</v>
      </c>
      <c r="AN23" s="60">
        <f t="shared" si="13"/>
        <v>18906.992280069349</v>
      </c>
      <c r="AO23" s="60">
        <f t="shared" si="13"/>
        <v>17779.250057956404</v>
      </c>
      <c r="AP23" s="60">
        <f t="shared" si="13"/>
        <v>17544.375999546901</v>
      </c>
      <c r="AQ23" s="60">
        <f t="shared" si="13"/>
        <v>19811.407159405928</v>
      </c>
      <c r="AR23" s="60">
        <f t="shared" si="13"/>
        <v>18997.733538797365</v>
      </c>
      <c r="AS23" s="60">
        <f t="shared" si="13"/>
        <v>19119.161869140324</v>
      </c>
      <c r="AT23" s="60">
        <f t="shared" si="13"/>
        <v>19756.641776698183</v>
      </c>
      <c r="AU23" s="60">
        <f t="shared" si="13"/>
        <v>19546.121492460443</v>
      </c>
      <c r="AV23" s="60">
        <f t="shared" si="13"/>
        <v>19839.645106600768</v>
      </c>
      <c r="AW23" s="60">
        <f t="shared" si="13"/>
        <v>19561.715231944741</v>
      </c>
      <c r="AX23" s="60">
        <f t="shared" ref="AX23:BG23" si="14">SUM(AX24:AX25)</f>
        <v>19560.99286752817</v>
      </c>
      <c r="AY23" s="60">
        <f t="shared" si="14"/>
        <v>19822.716463495351</v>
      </c>
      <c r="AZ23" s="60">
        <f t="shared" si="14"/>
        <v>19907.565887399331</v>
      </c>
      <c r="BA23" s="60">
        <f t="shared" si="14"/>
        <v>20030.078036149011</v>
      </c>
      <c r="BB23" s="60">
        <f t="shared" si="14"/>
        <v>20358.697123969516</v>
      </c>
      <c r="BC23" s="60">
        <f t="shared" si="14"/>
        <v>20689.730313664691</v>
      </c>
      <c r="BD23" s="60">
        <f t="shared" si="14"/>
        <v>20747.378425714851</v>
      </c>
      <c r="BE23" s="60">
        <f t="shared" si="14"/>
        <v>20974.950411854588</v>
      </c>
      <c r="BF23" s="60">
        <f t="shared" si="14"/>
        <v>21158.204246900383</v>
      </c>
      <c r="BG23" s="60">
        <f t="shared" si="14"/>
        <v>21257.422738959485</v>
      </c>
      <c r="BH23" s="60"/>
      <c r="BI23" s="60"/>
      <c r="BJ23" s="60"/>
      <c r="BK23" s="60"/>
      <c r="BL23" s="41" t="s">
        <v>121</v>
      </c>
    </row>
    <row r="24" spans="1:75" x14ac:dyDescent="0.2">
      <c r="A24" s="40"/>
      <c r="B24" s="61" t="s">
        <v>122</v>
      </c>
      <c r="C24" s="62">
        <f>SBO!C12</f>
        <v>3298.7785149390002</v>
      </c>
      <c r="D24" s="62">
        <f>SBO!D12</f>
        <v>23583.133652264605</v>
      </c>
      <c r="E24" s="62">
        <f>SBO!E12</f>
        <v>25884.958855645607</v>
      </c>
      <c r="F24" s="62">
        <f>SBO!F12</f>
        <v>27359.230305501402</v>
      </c>
      <c r="G24" s="62">
        <f>SBO!G12</f>
        <v>29132.843935981593</v>
      </c>
      <c r="H24" s="62">
        <f>SBO!H12</f>
        <v>30342.549079158278</v>
      </c>
      <c r="I24" s="62">
        <f>SBO!I12</f>
        <v>30603.941204559575</v>
      </c>
      <c r="J24" s="62">
        <f>SBO!J12</f>
        <v>31156.349086011061</v>
      </c>
      <c r="K24" s="62">
        <f>SBO!K12</f>
        <v>31851.686252804757</v>
      </c>
      <c r="L24" s="62">
        <f>SBO!L12</f>
        <v>32107.253844212999</v>
      </c>
      <c r="M24" s="62">
        <f>SBO!M12</f>
        <v>32187.878961895523</v>
      </c>
      <c r="N24" s="62">
        <f>SBO!N12</f>
        <v>32275.591320810297</v>
      </c>
      <c r="O24" s="62">
        <f>SBO!O12</f>
        <v>30910.759192287751</v>
      </c>
      <c r="P24" s="62">
        <f>SBO!P12</f>
        <v>30352.360310678199</v>
      </c>
      <c r="Q24" s="62">
        <f>SBO!Q12</f>
        <v>28261.024341296605</v>
      </c>
      <c r="R24" s="62">
        <f>SBO!R12</f>
        <v>27308.295608635999</v>
      </c>
      <c r="S24" s="62">
        <f>SBO!S12</f>
        <v>27137.058695803393</v>
      </c>
      <c r="T24" s="62">
        <f>SBO!T12</f>
        <v>26245.5107005561</v>
      </c>
      <c r="U24" s="62">
        <f>SBO!U12</f>
        <v>25163.024119614463</v>
      </c>
      <c r="V24" s="62">
        <f>SBO!V12</f>
        <v>25536.734581157245</v>
      </c>
      <c r="W24" s="62">
        <f>SBO!W12</f>
        <v>25663.319188056466</v>
      </c>
      <c r="X24" s="62">
        <f>SBO!X12</f>
        <v>25858.722108007158</v>
      </c>
      <c r="Y24" s="62">
        <f>SBO!Y12</f>
        <v>26372.227254363508</v>
      </c>
      <c r="Z24" s="62">
        <f>SBO!Z12</f>
        <v>24824.492511475495</v>
      </c>
      <c r="AA24" s="62">
        <f>SBO!AA12</f>
        <v>25653.198422502275</v>
      </c>
      <c r="AB24" s="62">
        <f>SBO!AB12</f>
        <v>11215.883496994245</v>
      </c>
      <c r="AC24" s="62">
        <f>SBO!AC12</f>
        <v>9369.2474017214408</v>
      </c>
      <c r="AD24" s="62">
        <f>SBO!AD12</f>
        <v>12789.910008535157</v>
      </c>
      <c r="AE24" s="62">
        <f>SBO!AE12</f>
        <v>13007.501391896036</v>
      </c>
      <c r="AF24" s="62">
        <f>SBO!AF12</f>
        <v>13769.2841705807</v>
      </c>
      <c r="AG24" s="62">
        <f>SBO!AG12</f>
        <v>13120.633051136261</v>
      </c>
      <c r="AH24" s="62">
        <f>SBO!AH12</f>
        <v>12272.938591714861</v>
      </c>
      <c r="AI24" s="62">
        <f>SBO!AI12</f>
        <v>12843.799999999997</v>
      </c>
      <c r="AJ24" s="62">
        <f>SBO!AJ12</f>
        <v>12400.100000000002</v>
      </c>
      <c r="AK24" s="62">
        <f>SBO!AK12</f>
        <v>13107.499999999998</v>
      </c>
      <c r="AL24" s="62">
        <f>SBO!AL12</f>
        <v>13429.350000000004</v>
      </c>
      <c r="AM24" s="62">
        <f>SBO!AM12</f>
        <v>12744.499999999996</v>
      </c>
      <c r="AN24" s="62">
        <f>SBO!AN12</f>
        <v>13274.100000000002</v>
      </c>
      <c r="AO24" s="62">
        <f>SBO!AO12</f>
        <v>12236.650000000005</v>
      </c>
      <c r="AP24" s="62">
        <f>SBO!AP12</f>
        <v>11680.549999999992</v>
      </c>
      <c r="AQ24" s="62">
        <f>SBO!AQ12</f>
        <v>13910.550000000003</v>
      </c>
      <c r="AR24" s="62">
        <f>SBO!AR12</f>
        <v>13214.949999999997</v>
      </c>
      <c r="AS24" s="62">
        <f>SBO!AS12</f>
        <v>12877.400000000001</v>
      </c>
      <c r="AT24" s="62">
        <f>SBO!AT12</f>
        <v>13686.600000000002</v>
      </c>
      <c r="AU24" s="62">
        <f>SBO!AU12</f>
        <v>13506.600000000002</v>
      </c>
      <c r="AV24" s="62">
        <f>SBO!AV12</f>
        <v>13660</v>
      </c>
      <c r="AW24" s="62">
        <f>SBO!AW12</f>
        <v>13046.600000000002</v>
      </c>
      <c r="AX24" s="62">
        <f>SBO!AX12</f>
        <v>13083.700000000004</v>
      </c>
      <c r="AY24" s="62">
        <f>SBO!AY12</f>
        <v>13260.899999999998</v>
      </c>
      <c r="AZ24" s="62">
        <f>SBO!AZ12</f>
        <v>13329.349999999988</v>
      </c>
      <c r="BA24" s="62">
        <f>SBO!BA12</f>
        <v>13350.150000000009</v>
      </c>
      <c r="BB24" s="62">
        <f>SBO!BB12</f>
        <v>13506.100000000006</v>
      </c>
      <c r="BC24" s="62">
        <f>SBO!BC12</f>
        <v>13614.400000000016</v>
      </c>
      <c r="BD24" s="62">
        <f>SBO!BD12</f>
        <v>13706.099999999999</v>
      </c>
      <c r="BE24" s="62">
        <f>SBO!BE12</f>
        <v>13812.3</v>
      </c>
      <c r="BF24" s="62">
        <f>SBO!BF12</f>
        <v>13901.150000000001</v>
      </c>
      <c r="BG24" s="62">
        <f>SBO!BG12</f>
        <v>13997.650000000012</v>
      </c>
      <c r="BH24" s="45"/>
      <c r="BI24" s="45"/>
      <c r="BJ24" s="45"/>
      <c r="BK24" s="45"/>
    </row>
    <row r="25" spans="1:75" x14ac:dyDescent="0.2">
      <c r="A25" s="40"/>
      <c r="B25" s="40" t="s">
        <v>123</v>
      </c>
      <c r="C25" s="45">
        <f>'Canola Oil'!C12</f>
        <v>0</v>
      </c>
      <c r="D25" s="45">
        <f>'Canola Oil'!D12</f>
        <v>0</v>
      </c>
      <c r="E25" s="45">
        <f>'Canola Oil'!E12</f>
        <v>0</v>
      </c>
      <c r="F25" s="45">
        <f>'Canola Oil'!F12</f>
        <v>0</v>
      </c>
      <c r="G25" s="45">
        <f>'Canola Oil'!G12</f>
        <v>0</v>
      </c>
      <c r="H25" s="45">
        <f>'Canola Oil'!H12</f>
        <v>0</v>
      </c>
      <c r="I25" s="45">
        <f>'Canola Oil'!I12</f>
        <v>0</v>
      </c>
      <c r="J25" s="45">
        <f>'Canola Oil'!J12</f>
        <v>0</v>
      </c>
      <c r="K25" s="45">
        <f>'Canola Oil'!K12</f>
        <v>0</v>
      </c>
      <c r="L25" s="45">
        <f>'Canola Oil'!L12</f>
        <v>0</v>
      </c>
      <c r="M25" s="45">
        <f>'Canola Oil'!M12</f>
        <v>0</v>
      </c>
      <c r="N25" s="45">
        <f>'Canola Oil'!N12</f>
        <v>0</v>
      </c>
      <c r="O25" s="45">
        <f>'Canola Oil'!O12</f>
        <v>0</v>
      </c>
      <c r="P25" s="45">
        <f>'Canola Oil'!P12</f>
        <v>0</v>
      </c>
      <c r="Q25" s="45">
        <f>'Canola Oil'!Q12</f>
        <v>0</v>
      </c>
      <c r="R25" s="45">
        <f>'Canola Oil'!R12</f>
        <v>0</v>
      </c>
      <c r="S25" s="45">
        <f>'Canola Oil'!S12</f>
        <v>0</v>
      </c>
      <c r="T25" s="45">
        <f>'Canola Oil'!T12</f>
        <v>0</v>
      </c>
      <c r="U25" s="45">
        <f>'Canola Oil'!U12</f>
        <v>0</v>
      </c>
      <c r="V25" s="45">
        <f>'Canola Oil'!V12</f>
        <v>0</v>
      </c>
      <c r="W25" s="45">
        <f>'Canola Oil'!W12</f>
        <v>0</v>
      </c>
      <c r="X25" s="45">
        <f>'Canola Oil'!X12</f>
        <v>0</v>
      </c>
      <c r="Y25" s="45">
        <f>'Canola Oil'!Y12</f>
        <v>0</v>
      </c>
      <c r="Z25" s="45">
        <f>'Canola Oil'!Z12</f>
        <v>0</v>
      </c>
      <c r="AA25" s="45">
        <f>'Canola Oil'!AA12</f>
        <v>0</v>
      </c>
      <c r="AB25" s="45">
        <f>'Canola Oil'!AB12</f>
        <v>5394.419432896786</v>
      </c>
      <c r="AC25" s="45">
        <f>'Canola Oil'!AC12</f>
        <v>5703.4009296839922</v>
      </c>
      <c r="AD25" s="45">
        <f>'Canola Oil'!AD12</f>
        <v>5104.9590441644159</v>
      </c>
      <c r="AE25" s="45">
        <f>'Canola Oil'!AE12</f>
        <v>5646.7806016060185</v>
      </c>
      <c r="AF25" s="45">
        <f>'Canola Oil'!AF12</f>
        <v>6077.4904272980002</v>
      </c>
      <c r="AG25" s="45">
        <f>'Canola Oil'!AG12</f>
        <v>6102.1270744560015</v>
      </c>
      <c r="AH25" s="45">
        <f>'Canola Oil'!AH12</f>
        <v>5956.8446913368489</v>
      </c>
      <c r="AI25" s="45">
        <f>'Canola Oil'!AI12</f>
        <v>6004.7223339282809</v>
      </c>
      <c r="AJ25" s="45">
        <f>'Canola Oil'!AJ12</f>
        <v>5499.7779646978415</v>
      </c>
      <c r="AK25" s="45">
        <f>'Canola Oil'!AK12</f>
        <v>5928.6717762451472</v>
      </c>
      <c r="AL25" s="45">
        <f>'Canola Oil'!AL12</f>
        <v>6120.4447082909392</v>
      </c>
      <c r="AM25" s="45">
        <f>'Canola Oil'!AM12</f>
        <v>5960.3407533533427</v>
      </c>
      <c r="AN25" s="45">
        <f>'Canola Oil'!AN12</f>
        <v>5632.8922800693472</v>
      </c>
      <c r="AO25" s="45">
        <f>'Canola Oil'!AO12</f>
        <v>5542.6000579563988</v>
      </c>
      <c r="AP25" s="45">
        <f>'Canola Oil'!AP12</f>
        <v>5863.825999546908</v>
      </c>
      <c r="AQ25" s="45">
        <f>'Canola Oil'!AQ12</f>
        <v>5900.8571594059258</v>
      </c>
      <c r="AR25" s="45">
        <f>'Canola Oil'!AR12</f>
        <v>5782.7835387973664</v>
      </c>
      <c r="AS25" s="45">
        <f>'Canola Oil'!AS12</f>
        <v>6241.7618691403222</v>
      </c>
      <c r="AT25" s="45">
        <f>'Canola Oil'!AT12</f>
        <v>6070.0417766981827</v>
      </c>
      <c r="AU25" s="45">
        <f>'Canola Oil'!AU12</f>
        <v>6039.5214924604388</v>
      </c>
      <c r="AV25" s="45">
        <f>'Canola Oil'!AV12</f>
        <v>6179.6451066007694</v>
      </c>
      <c r="AW25" s="45">
        <f>'Canola Oil'!AW12</f>
        <v>6515.1152319447383</v>
      </c>
      <c r="AX25" s="45">
        <f>'Canola Oil'!AX12</f>
        <v>6477.2928675281637</v>
      </c>
      <c r="AY25" s="45">
        <f>'Canola Oil'!AY12</f>
        <v>6561.8164634953537</v>
      </c>
      <c r="AZ25" s="45">
        <f>'Canola Oil'!AZ12</f>
        <v>6578.2158873993412</v>
      </c>
      <c r="BA25" s="45">
        <f>'Canola Oil'!BA12</f>
        <v>6679.9280361490019</v>
      </c>
      <c r="BB25" s="45">
        <f>'Canola Oil'!BB12</f>
        <v>6852.59712396951</v>
      </c>
      <c r="BC25" s="45">
        <f>'Canola Oil'!BC12</f>
        <v>7075.3303136646755</v>
      </c>
      <c r="BD25" s="45">
        <f>'Canola Oil'!BD12</f>
        <v>7041.2784257148542</v>
      </c>
      <c r="BE25" s="45">
        <f>'Canola Oil'!BE12</f>
        <v>7162.6504118545909</v>
      </c>
      <c r="BF25" s="45">
        <f>'Canola Oil'!BF12</f>
        <v>7257.0542469003813</v>
      </c>
      <c r="BG25" s="45">
        <f>'Canola Oil'!BG12</f>
        <v>7259.7727389594729</v>
      </c>
      <c r="BH25" s="45"/>
      <c r="BI25" s="45"/>
      <c r="BJ25" s="45"/>
      <c r="BK25" s="45"/>
    </row>
    <row r="26" spans="1:75" x14ac:dyDescent="0.2">
      <c r="A26" s="40"/>
      <c r="B26" s="57" t="s">
        <v>79</v>
      </c>
      <c r="C26" s="45">
        <f t="shared" ref="C26:BG26" si="15">SUM(C27:C28)</f>
        <v>1065.0876684588</v>
      </c>
      <c r="D26" s="45">
        <f t="shared" si="15"/>
        <v>5154.7201741727995</v>
      </c>
      <c r="E26" s="45">
        <f t="shared" si="15"/>
        <v>2426.7301707851998</v>
      </c>
      <c r="F26" s="45">
        <f t="shared" si="15"/>
        <v>4871.9363967036006</v>
      </c>
      <c r="G26" s="45">
        <f t="shared" si="15"/>
        <v>6542.2971355518002</v>
      </c>
      <c r="H26" s="45">
        <f t="shared" si="15"/>
        <v>4347.6841194317994</v>
      </c>
      <c r="I26" s="45">
        <f t="shared" si="15"/>
        <v>3212.8672908150002</v>
      </c>
      <c r="J26" s="45">
        <f t="shared" si="15"/>
        <v>3202.0683908724</v>
      </c>
      <c r="K26" s="45">
        <f t="shared" si="15"/>
        <v>5340.1760632836003</v>
      </c>
      <c r="L26" s="45">
        <f t="shared" si="15"/>
        <v>4360.9544006364004</v>
      </c>
      <c r="M26" s="45">
        <f t="shared" si="15"/>
        <v>2458.3171129523998</v>
      </c>
      <c r="N26" s="45">
        <f t="shared" si="15"/>
        <v>2972.0495954267999</v>
      </c>
      <c r="O26" s="45">
        <f t="shared" si="15"/>
        <v>3527.8407541062006</v>
      </c>
      <c r="P26" s="45">
        <f t="shared" si="15"/>
        <v>4814.2703670323999</v>
      </c>
      <c r="Q26" s="45">
        <f t="shared" si="15"/>
        <v>5985.0632722356004</v>
      </c>
      <c r="R26" s="45">
        <f t="shared" si="15"/>
        <v>6130.0105548696001</v>
      </c>
      <c r="S26" s="45">
        <f t="shared" si="15"/>
        <v>7734.1664950578006</v>
      </c>
      <c r="T26" s="45">
        <f t="shared" si="15"/>
        <v>5894.3880512243995</v>
      </c>
      <c r="U26" s="45">
        <f t="shared" si="15"/>
        <v>4757.6875935708003</v>
      </c>
      <c r="V26" s="45">
        <f t="shared" si="15"/>
        <v>4618.8645303906005</v>
      </c>
      <c r="W26" s="45">
        <f t="shared" si="15"/>
        <v>4159.9638367833995</v>
      </c>
      <c r="X26" s="45">
        <f t="shared" si="15"/>
        <v>4341.8428763645798</v>
      </c>
      <c r="Y26" s="45">
        <f t="shared" si="15"/>
        <v>4812.4718326271804</v>
      </c>
      <c r="Z26" s="45">
        <f t="shared" si="15"/>
        <v>5099.3111430314211</v>
      </c>
      <c r="AA26" s="45">
        <f t="shared" si="15"/>
        <v>5215.4327732977599</v>
      </c>
      <c r="AB26" s="45">
        <f t="shared" si="15"/>
        <v>4104.5435790000001</v>
      </c>
      <c r="AC26" s="45">
        <f t="shared" si="15"/>
        <v>6078.058735999999</v>
      </c>
      <c r="AD26" s="45">
        <f t="shared" si="15"/>
        <v>3889.1412004519998</v>
      </c>
      <c r="AE26" s="45">
        <f>SUM(AE27:AE28)</f>
        <v>3299.5211971419999</v>
      </c>
      <c r="AF26" s="45">
        <f t="shared" si="15"/>
        <v>1068.48257814</v>
      </c>
      <c r="AG26" s="60">
        <f t="shared" si="15"/>
        <v>2353.2571970499803</v>
      </c>
      <c r="AH26" s="60">
        <f t="shared" si="15"/>
        <v>3905.3267918563461</v>
      </c>
      <c r="AI26" s="60">
        <f t="shared" si="15"/>
        <v>3984.0725640532651</v>
      </c>
      <c r="AJ26" s="60">
        <f t="shared" si="15"/>
        <v>2714.4676820984473</v>
      </c>
      <c r="AK26" s="60">
        <f t="shared" si="15"/>
        <v>3158.5214119201796</v>
      </c>
      <c r="AL26" s="60">
        <f t="shared" si="15"/>
        <v>3434.6820310490111</v>
      </c>
      <c r="AM26" s="60">
        <f t="shared" si="15"/>
        <v>4511.5525261849252</v>
      </c>
      <c r="AN26" s="60">
        <f t="shared" si="15"/>
        <v>3535.2746683721662</v>
      </c>
      <c r="AO26" s="60">
        <f t="shared" si="15"/>
        <v>3271.6592430611659</v>
      </c>
      <c r="AP26" s="60">
        <f t="shared" si="15"/>
        <v>3225.8996639249458</v>
      </c>
      <c r="AQ26" s="60">
        <f t="shared" si="15"/>
        <v>1215.3379761174897</v>
      </c>
      <c r="AR26" s="60">
        <f t="shared" si="15"/>
        <v>1730.813626518443</v>
      </c>
      <c r="AS26" s="60">
        <f t="shared" si="15"/>
        <v>3975.9448155321384</v>
      </c>
      <c r="AT26" s="60">
        <f t="shared" si="15"/>
        <v>3000.7970355988423</v>
      </c>
      <c r="AU26" s="60">
        <f t="shared" si="15"/>
        <v>2195.9310650308366</v>
      </c>
      <c r="AV26" s="60">
        <f t="shared" si="15"/>
        <v>2525.7586235383719</v>
      </c>
      <c r="AW26" s="60">
        <f t="shared" si="15"/>
        <v>4155.7649037595502</v>
      </c>
      <c r="AX26" s="60">
        <f t="shared" si="15"/>
        <v>4151.1281061240461</v>
      </c>
      <c r="AY26" s="60">
        <f t="shared" si="15"/>
        <v>4153.0053252196876</v>
      </c>
      <c r="AZ26" s="60">
        <f t="shared" si="15"/>
        <v>4154.8725183296428</v>
      </c>
      <c r="BA26" s="60">
        <f t="shared" si="15"/>
        <v>4156.7677372690659</v>
      </c>
      <c r="BB26" s="60">
        <f t="shared" si="15"/>
        <v>4158.6315181954751</v>
      </c>
      <c r="BC26" s="60">
        <f t="shared" si="15"/>
        <v>4160.532499281062</v>
      </c>
      <c r="BD26" s="60">
        <f t="shared" si="15"/>
        <v>4162.4275543641961</v>
      </c>
      <c r="BE26" s="60">
        <f t="shared" si="15"/>
        <v>4164.3082526057133</v>
      </c>
      <c r="BF26" s="60">
        <f t="shared" si="15"/>
        <v>4166.192632646259</v>
      </c>
      <c r="BG26" s="60">
        <f t="shared" si="15"/>
        <v>4168.0797976306621</v>
      </c>
      <c r="BH26" s="60"/>
      <c r="BI26" s="60"/>
      <c r="BJ26" s="60"/>
      <c r="BK26" s="60"/>
      <c r="BM26" s="51">
        <f t="shared" ref="BM26:BW29" si="16">AD17-BM17</f>
        <v>-3753.4017620763188</v>
      </c>
      <c r="BN26" s="51">
        <f t="shared" si="16"/>
        <v>-1615.1419117872538</v>
      </c>
      <c r="BO26" s="51">
        <f t="shared" si="16"/>
        <v>-1569.5025348192976</v>
      </c>
      <c r="BP26" s="51">
        <f t="shared" si="16"/>
        <v>-297.80794485316619</v>
      </c>
      <c r="BQ26" s="51">
        <f t="shared" si="16"/>
        <v>532.64483420022225</v>
      </c>
      <c r="BR26" s="51">
        <f t="shared" si="16"/>
        <v>401.54463748971375</v>
      </c>
      <c r="BS26" s="51">
        <f t="shared" si="16"/>
        <v>1911.8809885019537</v>
      </c>
      <c r="BT26" s="51">
        <f t="shared" si="16"/>
        <v>459.29682117233187</v>
      </c>
      <c r="BU26" s="51">
        <f t="shared" si="16"/>
        <v>2230.3244759831232</v>
      </c>
      <c r="BV26" s="51">
        <f t="shared" si="16"/>
        <v>2578.766039331008</v>
      </c>
      <c r="BW26" s="51">
        <f t="shared" si="16"/>
        <v>2459.1821333443859</v>
      </c>
    </row>
    <row r="27" spans="1:75" x14ac:dyDescent="0.2">
      <c r="A27" s="40"/>
      <c r="B27" s="61" t="s">
        <v>117</v>
      </c>
      <c r="C27" s="62">
        <f>SBO!C13</f>
        <v>876.3890008482</v>
      </c>
      <c r="D27" s="62">
        <f>SBO!D13</f>
        <v>4859.9302457537997</v>
      </c>
      <c r="E27" s="62">
        <f>SBO!E13</f>
        <v>2131.5572995247999</v>
      </c>
      <c r="F27" s="62">
        <f>SBO!F13</f>
        <v>4313.1912650064005</v>
      </c>
      <c r="G27" s="62">
        <f>SBO!G13</f>
        <v>5911.9721162963997</v>
      </c>
      <c r="H27" s="62">
        <f>SBO!H13</f>
        <v>3882.2791558193994</v>
      </c>
      <c r="I27" s="62">
        <f>SBO!I13</f>
        <v>2670.9906038886002</v>
      </c>
      <c r="J27" s="62">
        <f>SBO!J13</f>
        <v>2804.1676301267998</v>
      </c>
      <c r="K27" s="62">
        <f>SBO!K13</f>
        <v>4934.0630855879999</v>
      </c>
      <c r="L27" s="62">
        <f>SBO!L13</f>
        <v>4046.2031632428002</v>
      </c>
      <c r="M27" s="62">
        <f>SBO!M13</f>
        <v>1904.8692469967998</v>
      </c>
      <c r="N27" s="62">
        <f>SBO!N13</f>
        <v>2419.5162066767998</v>
      </c>
      <c r="O27" s="62">
        <f>SBO!O13</f>
        <v>2470.5470330352005</v>
      </c>
      <c r="P27" s="62">
        <f>SBO!P13</f>
        <v>3759.7901845577999</v>
      </c>
      <c r="Q27" s="62">
        <f>SBO!Q13</f>
        <v>5260.8381109073998</v>
      </c>
      <c r="R27" s="62">
        <f>SBO!R13</f>
        <v>5075.306603262</v>
      </c>
      <c r="S27" s="62">
        <f>SBO!S13</f>
        <v>6532.8534167526004</v>
      </c>
      <c r="T27" s="62">
        <f>SBO!T13</f>
        <v>4991.2295954346</v>
      </c>
      <c r="U27" s="62">
        <f>SBO!U13</f>
        <v>3483.6557199822005</v>
      </c>
      <c r="V27" s="62">
        <f>SBO!V13</f>
        <v>3904.9627320396003</v>
      </c>
      <c r="W27" s="62">
        <f>SBO!W13</f>
        <v>3682.7068252989998</v>
      </c>
      <c r="X27" s="62">
        <f>SBO!X13</f>
        <v>3848.80341690658</v>
      </c>
      <c r="Y27" s="62">
        <f>SBO!Y13</f>
        <v>4304.5916908827803</v>
      </c>
      <c r="Z27" s="62">
        <f>SBO!Z13</f>
        <v>4616.1657235894208</v>
      </c>
      <c r="AA27" s="62">
        <f>SBO!AA13</f>
        <v>4768.0968655848801</v>
      </c>
      <c r="AB27" s="62">
        <f>SBO!AB13</f>
        <v>3693.3437370000001</v>
      </c>
      <c r="AC27" s="62">
        <f>SBO!AC13</f>
        <v>5577.6030509999991</v>
      </c>
      <c r="AD27" s="62">
        <f>SBO!AD13</f>
        <v>3215.4793179999997</v>
      </c>
      <c r="AE27" s="62">
        <f>SBO!AE13</f>
        <v>2874.6726819999999</v>
      </c>
      <c r="AF27" s="62">
        <f>SBO!AF13</f>
        <v>690.67650600000013</v>
      </c>
      <c r="AG27" s="62">
        <f>SBO!AG13</f>
        <v>2055.4025798835801</v>
      </c>
      <c r="AH27" s="62">
        <f>SBO!AH13</f>
        <v>3675.6971391164197</v>
      </c>
      <c r="AI27" s="62">
        <f>SBO!AI13</f>
        <v>3745</v>
      </c>
      <c r="AJ27" s="62">
        <f>SBO!AJ13</f>
        <v>2475</v>
      </c>
      <c r="AK27" s="62">
        <f>SBO!AK13</f>
        <v>2925</v>
      </c>
      <c r="AL27" s="62">
        <f>SBO!AL13</f>
        <v>3200</v>
      </c>
      <c r="AM27" s="62">
        <f>SBO!AM13</f>
        <v>4275</v>
      </c>
      <c r="AN27" s="62">
        <f>SBO!AN13</f>
        <v>3300</v>
      </c>
      <c r="AO27" s="62">
        <f>SBO!AO13</f>
        <v>3035</v>
      </c>
      <c r="AP27" s="62">
        <f>SBO!AP13</f>
        <v>2990</v>
      </c>
      <c r="AQ27" s="62">
        <f>SBO!AQ13</f>
        <v>980</v>
      </c>
      <c r="AR27" s="62">
        <f>SBO!AR13</f>
        <v>1495</v>
      </c>
      <c r="AS27" s="62">
        <f>SBO!AS13</f>
        <v>3740</v>
      </c>
      <c r="AT27" s="62">
        <f>SBO!AT13</f>
        <v>2765</v>
      </c>
      <c r="AU27" s="62">
        <f>SBO!AU13</f>
        <v>1960</v>
      </c>
      <c r="AV27" s="62">
        <f>SBO!AV13</f>
        <v>2290</v>
      </c>
      <c r="AW27" s="62">
        <f>SBO!AW13</f>
        <v>3920</v>
      </c>
      <c r="AX27" s="62">
        <f>SBO!AX13</f>
        <v>3915</v>
      </c>
      <c r="AY27" s="62">
        <f>SBO!AY13</f>
        <v>3915</v>
      </c>
      <c r="AZ27" s="62">
        <f>SBO!AZ13</f>
        <v>3915</v>
      </c>
      <c r="BA27" s="62">
        <f>SBO!BA13</f>
        <v>3915</v>
      </c>
      <c r="BB27" s="62">
        <f>SBO!BB13</f>
        <v>3915</v>
      </c>
      <c r="BC27" s="62">
        <f>SBO!BC13</f>
        <v>3915</v>
      </c>
      <c r="BD27" s="62">
        <f>SBO!BD13</f>
        <v>3915</v>
      </c>
      <c r="BE27" s="62">
        <f>SBO!BE13</f>
        <v>3915</v>
      </c>
      <c r="BF27" s="62">
        <f>SBO!BF13</f>
        <v>3915</v>
      </c>
      <c r="BG27" s="62">
        <f>SBO!BG13</f>
        <v>3915</v>
      </c>
      <c r="BH27" s="45"/>
      <c r="BI27" s="45"/>
      <c r="BJ27" s="45"/>
      <c r="BK27" s="45"/>
      <c r="BM27" s="51">
        <f t="shared" si="16"/>
        <v>6400.5502016380979</v>
      </c>
      <c r="BN27" s="51">
        <f t="shared" si="16"/>
        <v>7100.4959999999992</v>
      </c>
      <c r="BO27" s="51">
        <f t="shared" si="16"/>
        <v>7332.1859999999997</v>
      </c>
      <c r="BP27" s="51">
        <f t="shared" si="16"/>
        <v>6629.639144025</v>
      </c>
      <c r="BQ27" s="51">
        <f t="shared" si="16"/>
        <v>6283.9101585168355</v>
      </c>
      <c r="BR27" s="51">
        <f t="shared" si="16"/>
        <v>5808.9324119875573</v>
      </c>
      <c r="BS27" s="51">
        <f t="shared" si="16"/>
        <v>5965.2146097605128</v>
      </c>
      <c r="BT27" s="51">
        <f t="shared" si="16"/>
        <v>4699.4925590042239</v>
      </c>
      <c r="BU27" s="51">
        <f t="shared" si="16"/>
        <v>5173.4858700599034</v>
      </c>
      <c r="BV27" s="51">
        <f t="shared" si="16"/>
        <v>5065.6927418231116</v>
      </c>
      <c r="BW27" s="51">
        <f t="shared" si="16"/>
        <v>4936.7882060058346</v>
      </c>
    </row>
    <row r="28" spans="1:75" ht="12" thickBot="1" x14ac:dyDescent="0.25">
      <c r="A28" s="40"/>
      <c r="B28" s="40" t="s">
        <v>118</v>
      </c>
      <c r="C28" s="45">
        <f>'Canola Oil'!C13</f>
        <v>188.69866761059998</v>
      </c>
      <c r="D28" s="45">
        <f>'Canola Oil'!D13</f>
        <v>294.78992841900003</v>
      </c>
      <c r="E28" s="45">
        <f>'Canola Oil'!E13</f>
        <v>295.17287126040009</v>
      </c>
      <c r="F28" s="45">
        <f>'Canola Oil'!F13</f>
        <v>558.74513169720001</v>
      </c>
      <c r="G28" s="45">
        <f>'Canola Oil'!G13</f>
        <v>630.32501925540009</v>
      </c>
      <c r="H28" s="45">
        <f>'Canola Oil'!H13</f>
        <v>465.40496361239997</v>
      </c>
      <c r="I28" s="45">
        <f>'Canola Oil'!I13</f>
        <v>541.8766869264</v>
      </c>
      <c r="J28" s="45">
        <f>'Canola Oil'!J13</f>
        <v>397.9007607456</v>
      </c>
      <c r="K28" s="45">
        <f>'Canola Oil'!K13</f>
        <v>406.11297769560002</v>
      </c>
      <c r="L28" s="45">
        <f>'Canola Oil'!L13</f>
        <v>314.75123739359998</v>
      </c>
      <c r="M28" s="45">
        <f>'Canola Oil'!M13</f>
        <v>553.44786595559992</v>
      </c>
      <c r="N28" s="45">
        <f>'Canola Oil'!N13</f>
        <v>552.53338874999997</v>
      </c>
      <c r="O28" s="45">
        <f>'Canola Oil'!O13</f>
        <v>1057.2937210709999</v>
      </c>
      <c r="P28" s="45">
        <f>'Canola Oil'!P13</f>
        <v>1054.4801824746</v>
      </c>
      <c r="Q28" s="45">
        <f>'Canola Oil'!Q13</f>
        <v>724.2251613282001</v>
      </c>
      <c r="R28" s="45">
        <f>'Canola Oil'!R13</f>
        <v>1054.7039516076002</v>
      </c>
      <c r="S28" s="45">
        <f>'Canola Oil'!S13</f>
        <v>1201.3130783052</v>
      </c>
      <c r="T28" s="45">
        <f>'Canola Oil'!T13</f>
        <v>903.15845578979997</v>
      </c>
      <c r="U28" s="45">
        <f>'Canola Oil'!U13</f>
        <v>1274.0318735885999</v>
      </c>
      <c r="V28" s="45">
        <f>'Canola Oil'!V13</f>
        <v>713.90179835099991</v>
      </c>
      <c r="W28" s="45">
        <f>'Canola Oil'!W13</f>
        <v>477.25701148440004</v>
      </c>
      <c r="X28" s="45">
        <f>'Canola Oil'!X13</f>
        <v>493.03945945800007</v>
      </c>
      <c r="Y28" s="45">
        <f>'Canola Oil'!Y13</f>
        <v>507.88014174440002</v>
      </c>
      <c r="Z28" s="45">
        <f>'Canola Oil'!Z13</f>
        <v>483.14541944199999</v>
      </c>
      <c r="AA28" s="45">
        <f>'Canola Oil'!AA13</f>
        <v>447.33590771287999</v>
      </c>
      <c r="AB28" s="45">
        <f>'Canola Oil'!AB13</f>
        <v>411.19984199999993</v>
      </c>
      <c r="AC28" s="45">
        <f>'Canola Oil'!AC13</f>
        <v>500.45568500000002</v>
      </c>
      <c r="AD28" s="45">
        <f>'Canola Oil'!AD13</f>
        <v>673.66188245199987</v>
      </c>
      <c r="AE28" s="45">
        <f>'Canola Oil'!AE13</f>
        <v>424.848515142</v>
      </c>
      <c r="AF28" s="45">
        <f>'Canola Oil'!AF13</f>
        <v>377.80607213999997</v>
      </c>
      <c r="AG28" s="45">
        <f>'Canola Oil'!AG13</f>
        <v>297.85461716639998</v>
      </c>
      <c r="AH28" s="45">
        <f>'Canola Oil'!AH13</f>
        <v>229.62965273992648</v>
      </c>
      <c r="AI28" s="45">
        <f>'Canola Oil'!AI13</f>
        <v>239.07256405326501</v>
      </c>
      <c r="AJ28" s="45">
        <f>'Canola Oil'!AJ13</f>
        <v>239.46768209844711</v>
      </c>
      <c r="AK28" s="45">
        <f>'Canola Oil'!AK13</f>
        <v>233.52141192017976</v>
      </c>
      <c r="AL28" s="45">
        <f>'Canola Oil'!AL13</f>
        <v>234.68203104901136</v>
      </c>
      <c r="AM28" s="45">
        <f>'Canola Oil'!AM13</f>
        <v>236.55252618492563</v>
      </c>
      <c r="AN28" s="45">
        <f>'Canola Oil'!AN13</f>
        <v>235.27466837216596</v>
      </c>
      <c r="AO28" s="45">
        <f>'Canola Oil'!AO13</f>
        <v>236.6592430611658</v>
      </c>
      <c r="AP28" s="45">
        <f>'Canola Oil'!AP13</f>
        <v>235.899663924946</v>
      </c>
      <c r="AQ28" s="45">
        <f>'Canola Oil'!AQ13</f>
        <v>235.33797611748969</v>
      </c>
      <c r="AR28" s="45">
        <f>'Canola Oil'!AR13</f>
        <v>235.81362651844296</v>
      </c>
      <c r="AS28" s="45">
        <f>'Canola Oil'!AS13</f>
        <v>235.94481553213856</v>
      </c>
      <c r="AT28" s="45">
        <f>'Canola Oil'!AT13</f>
        <v>235.79703559884209</v>
      </c>
      <c r="AU28" s="45">
        <f>'Canola Oil'!AU13</f>
        <v>235.93106503083658</v>
      </c>
      <c r="AV28" s="45">
        <f>'Canola Oil'!AV13</f>
        <v>235.75862353837186</v>
      </c>
      <c r="AW28" s="45">
        <f>'Canola Oil'!AW13</f>
        <v>235.76490375954995</v>
      </c>
      <c r="AX28" s="45">
        <f>'Canola Oil'!AX13</f>
        <v>236.12810612404638</v>
      </c>
      <c r="AY28" s="45">
        <f>'Canola Oil'!AY13</f>
        <v>238.00532521968728</v>
      </c>
      <c r="AZ28" s="45">
        <f>'Canola Oil'!AZ13</f>
        <v>239.87251832964293</v>
      </c>
      <c r="BA28" s="45">
        <f>'Canola Oil'!BA13</f>
        <v>241.76773726906563</v>
      </c>
      <c r="BB28" s="45">
        <f>'Canola Oil'!BB13</f>
        <v>243.63151819547508</v>
      </c>
      <c r="BC28" s="45">
        <f>'Canola Oil'!BC13</f>
        <v>245.53249928106152</v>
      </c>
      <c r="BD28" s="45">
        <f>'Canola Oil'!BD13</f>
        <v>247.42755436419617</v>
      </c>
      <c r="BE28" s="45">
        <f>'Canola Oil'!BE13</f>
        <v>249.30825260571351</v>
      </c>
      <c r="BF28" s="45">
        <f>'Canola Oil'!BF13</f>
        <v>251.19263264625877</v>
      </c>
      <c r="BG28" s="45">
        <f>'Canola Oil'!BG13</f>
        <v>253.07979763066251</v>
      </c>
      <c r="BH28" s="45"/>
      <c r="BI28" s="45"/>
      <c r="BJ28" s="45"/>
      <c r="BK28" s="45"/>
      <c r="BM28" s="51">
        <f t="shared" si="16"/>
        <v>1844.0480362855842</v>
      </c>
      <c r="BN28" s="51">
        <f t="shared" si="16"/>
        <v>1338.362088212747</v>
      </c>
      <c r="BO28" s="51">
        <f t="shared" si="16"/>
        <v>1827.869608445995</v>
      </c>
      <c r="BP28" s="51">
        <f t="shared" si="16"/>
        <v>1746.5288880000001</v>
      </c>
      <c r="BQ28" s="51">
        <f t="shared" si="16"/>
        <v>1872.9248955648723</v>
      </c>
      <c r="BR28" s="51">
        <f t="shared" si="16"/>
        <v>1909.2334765183202</v>
      </c>
      <c r="BS28" s="51">
        <f t="shared" si="16"/>
        <v>1768.6439677452265</v>
      </c>
      <c r="BT28" s="51">
        <f t="shared" si="16"/>
        <v>1436.9424879332039</v>
      </c>
      <c r="BU28" s="51">
        <f t="shared" si="16"/>
        <v>1659.883154917105</v>
      </c>
      <c r="BV28" s="51">
        <f t="shared" si="16"/>
        <v>1696.9055744707614</v>
      </c>
      <c r="BW28" s="51">
        <f t="shared" si="16"/>
        <v>1642.1171094781316</v>
      </c>
    </row>
    <row r="29" spans="1:75" x14ac:dyDescent="0.2">
      <c r="A29" s="40"/>
      <c r="B29" s="63" t="s">
        <v>80</v>
      </c>
      <c r="C29" s="64" t="e">
        <f t="shared" ref="C29:BG29" si="17">C26+C15</f>
        <v>#REF!</v>
      </c>
      <c r="D29" s="64" t="e">
        <f t="shared" si="17"/>
        <v>#REF!</v>
      </c>
      <c r="E29" s="64" t="e">
        <f t="shared" si="17"/>
        <v>#REF!</v>
      </c>
      <c r="F29" s="64" t="e">
        <f t="shared" si="17"/>
        <v>#REF!</v>
      </c>
      <c r="G29" s="64" t="e">
        <f t="shared" si="17"/>
        <v>#REF!</v>
      </c>
      <c r="H29" s="64" t="e">
        <f t="shared" si="17"/>
        <v>#REF!</v>
      </c>
      <c r="I29" s="64" t="e">
        <f t="shared" si="17"/>
        <v>#REF!</v>
      </c>
      <c r="J29" s="64" t="e">
        <f t="shared" si="17"/>
        <v>#REF!</v>
      </c>
      <c r="K29" s="64" t="e">
        <f t="shared" si="17"/>
        <v>#REF!</v>
      </c>
      <c r="L29" s="64" t="e">
        <f t="shared" si="17"/>
        <v>#REF!</v>
      </c>
      <c r="M29" s="64" t="e">
        <f t="shared" si="17"/>
        <v>#REF!</v>
      </c>
      <c r="N29" s="64" t="e">
        <f t="shared" si="17"/>
        <v>#REF!</v>
      </c>
      <c r="O29" s="64" t="e">
        <f t="shared" si="17"/>
        <v>#REF!</v>
      </c>
      <c r="P29" s="64" t="e">
        <f t="shared" si="17"/>
        <v>#REF!</v>
      </c>
      <c r="Q29" s="64" t="e">
        <f t="shared" si="17"/>
        <v>#REF!</v>
      </c>
      <c r="R29" s="64" t="e">
        <f t="shared" si="17"/>
        <v>#REF!</v>
      </c>
      <c r="S29" s="64" t="e">
        <f t="shared" si="17"/>
        <v>#REF!</v>
      </c>
      <c r="T29" s="64" t="e">
        <f t="shared" si="17"/>
        <v>#REF!</v>
      </c>
      <c r="U29" s="64" t="e">
        <f t="shared" si="17"/>
        <v>#REF!</v>
      </c>
      <c r="V29" s="64" t="e">
        <f t="shared" si="17"/>
        <v>#REF!</v>
      </c>
      <c r="W29" s="64" t="e">
        <f t="shared" si="17"/>
        <v>#REF!</v>
      </c>
      <c r="X29" s="64" t="e">
        <f t="shared" si="17"/>
        <v>#REF!</v>
      </c>
      <c r="Y29" s="64" t="e">
        <f t="shared" si="17"/>
        <v>#REF!</v>
      </c>
      <c r="Z29" s="64" t="e">
        <f t="shared" si="17"/>
        <v>#REF!</v>
      </c>
      <c r="AA29" s="64">
        <f t="shared" si="17"/>
        <v>50047.927833178575</v>
      </c>
      <c r="AB29" s="64">
        <f t="shared" si="17"/>
        <v>31348.973018000015</v>
      </c>
      <c r="AC29" s="64">
        <f t="shared" si="17"/>
        <v>33114.883030000005</v>
      </c>
      <c r="AD29" s="64">
        <f t="shared" si="17"/>
        <v>32811.125150901993</v>
      </c>
      <c r="AE29" s="64">
        <f t="shared" si="17"/>
        <v>33869.14747343403</v>
      </c>
      <c r="AF29" s="64">
        <f t="shared" si="17"/>
        <v>39262.452466577801</v>
      </c>
      <c r="AG29" s="65">
        <f t="shared" si="17"/>
        <v>40854.731142413963</v>
      </c>
      <c r="AH29" s="65">
        <f t="shared" si="17"/>
        <v>38614.94722655473</v>
      </c>
      <c r="AI29" s="65">
        <f t="shared" si="17"/>
        <v>44422.72487351286</v>
      </c>
      <c r="AJ29" s="65">
        <f t="shared" si="17"/>
        <v>45646.220301751753</v>
      </c>
      <c r="AK29" s="65">
        <f t="shared" si="17"/>
        <v>47116.48559109505</v>
      </c>
      <c r="AL29" s="65">
        <f t="shared" si="17"/>
        <v>48534.838569589003</v>
      </c>
      <c r="AM29" s="65">
        <f t="shared" si="17"/>
        <v>51464.595084472458</v>
      </c>
      <c r="AN29" s="65">
        <f t="shared" si="17"/>
        <v>52586.786910600553</v>
      </c>
      <c r="AO29" s="65">
        <f t="shared" si="17"/>
        <v>55218.303833861821</v>
      </c>
      <c r="AP29" s="65">
        <f t="shared" si="17"/>
        <v>55642.936856180684</v>
      </c>
      <c r="AQ29" s="65">
        <f t="shared" si="17"/>
        <v>50780.515245312752</v>
      </c>
      <c r="AR29" s="65">
        <f t="shared" si="17"/>
        <v>51257.602736459681</v>
      </c>
      <c r="AS29" s="65">
        <f t="shared" si="17"/>
        <v>49161.948448954565</v>
      </c>
      <c r="AT29" s="65">
        <f t="shared" si="17"/>
        <v>51169.855026494704</v>
      </c>
      <c r="AU29" s="65">
        <f t="shared" si="17"/>
        <v>52919.270834752424</v>
      </c>
      <c r="AV29" s="65">
        <f t="shared" si="17"/>
        <v>52188.98942218232</v>
      </c>
      <c r="AW29" s="65">
        <f t="shared" si="17"/>
        <v>51058.343710406822</v>
      </c>
      <c r="AX29" s="65">
        <f t="shared" si="17"/>
        <v>51640.41525393234</v>
      </c>
      <c r="AY29" s="65">
        <f t="shared" si="17"/>
        <v>52535.248711019252</v>
      </c>
      <c r="AZ29" s="65">
        <f t="shared" si="17"/>
        <v>52563.143159900188</v>
      </c>
      <c r="BA29" s="65">
        <f t="shared" si="17"/>
        <v>52590.054678844026</v>
      </c>
      <c r="BB29" s="65">
        <f t="shared" si="17"/>
        <v>54256.553492877378</v>
      </c>
      <c r="BC29" s="65">
        <f t="shared" si="17"/>
        <v>54081.492150847349</v>
      </c>
      <c r="BD29" s="65">
        <f t="shared" si="17"/>
        <v>57370.303391658163</v>
      </c>
      <c r="BE29" s="65">
        <f t="shared" si="17"/>
        <v>56050.796547629245</v>
      </c>
      <c r="BF29" s="65">
        <f t="shared" si="17"/>
        <v>57974.463556467221</v>
      </c>
      <c r="BG29" s="65">
        <f t="shared" si="17"/>
        <v>57776.593979916113</v>
      </c>
      <c r="BH29" s="60"/>
      <c r="BI29" s="60"/>
      <c r="BJ29" s="60"/>
      <c r="BK29" s="60"/>
      <c r="BM29" s="51">
        <f t="shared" si="16"/>
        <v>-2350.4833401732567</v>
      </c>
      <c r="BN29" s="51">
        <f t="shared" si="16"/>
        <v>-6864.5138054227664</v>
      </c>
      <c r="BO29" s="51">
        <f t="shared" si="16"/>
        <v>-1424.3021746216</v>
      </c>
      <c r="BP29" s="51">
        <f t="shared" si="16"/>
        <v>-371.47823537511067</v>
      </c>
      <c r="BQ29" s="51">
        <f t="shared" si="16"/>
        <v>-4301.8076825535445</v>
      </c>
      <c r="BR29" s="51">
        <f t="shared" si="16"/>
        <v>255.58533804160652</v>
      </c>
      <c r="BS29" s="51">
        <f t="shared" si="16"/>
        <v>2916.9936664535089</v>
      </c>
      <c r="BT29" s="51">
        <f t="shared" si="16"/>
        <v>6112.4955817573973</v>
      </c>
      <c r="BU29" s="51">
        <f t="shared" si="16"/>
        <v>7506.0373542659217</v>
      </c>
      <c r="BV29" s="51">
        <f t="shared" si="16"/>
        <v>10303.435765603183</v>
      </c>
      <c r="BW29" s="51">
        <f t="shared" si="16"/>
        <v>12761.337828814656</v>
      </c>
    </row>
    <row r="30" spans="1:75" x14ac:dyDescent="0.2">
      <c r="A30" s="40"/>
      <c r="B30" s="57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M30" s="51" t="e">
        <f>#REF!-#REF!</f>
        <v>#REF!</v>
      </c>
      <c r="BN30" s="51" t="e">
        <f>#REF!-#REF!</f>
        <v>#REF!</v>
      </c>
      <c r="BO30" s="51" t="e">
        <f>#REF!-#REF!</f>
        <v>#REF!</v>
      </c>
      <c r="BP30" s="51" t="e">
        <f>#REF!-#REF!</f>
        <v>#REF!</v>
      </c>
      <c r="BQ30" s="51" t="e">
        <f>#REF!-#REF!</f>
        <v>#REF!</v>
      </c>
      <c r="BR30" s="51" t="e">
        <f>#REF!-#REF!</f>
        <v>#REF!</v>
      </c>
      <c r="BS30" s="51" t="e">
        <f>#REF!-#REF!</f>
        <v>#REF!</v>
      </c>
      <c r="BT30" s="51" t="e">
        <f>#REF!-#REF!</f>
        <v>#REF!</v>
      </c>
      <c r="BU30" s="51" t="e">
        <f>#REF!-#REF!</f>
        <v>#REF!</v>
      </c>
      <c r="BV30" s="51" t="e">
        <f>#REF!-#REF!</f>
        <v>#REF!</v>
      </c>
      <c r="BW30" s="51" t="e">
        <f>#REF!-#REF!</f>
        <v>#REF!</v>
      </c>
    </row>
    <row r="31" spans="1:75" x14ac:dyDescent="0.2">
      <c r="A31" s="40"/>
      <c r="B31" s="57" t="s">
        <v>81</v>
      </c>
      <c r="C31" s="45">
        <f t="shared" ref="C31:BG31" si="18">SUM(C32:C33)</f>
        <v>1213.1119532264902</v>
      </c>
      <c r="D31" s="45">
        <f t="shared" si="18"/>
        <v>1603.0302670582737</v>
      </c>
      <c r="E31" s="45">
        <f t="shared" si="18"/>
        <v>2268.7280925529913</v>
      </c>
      <c r="F31" s="45">
        <f t="shared" si="18"/>
        <v>1882.7107880605108</v>
      </c>
      <c r="G31" s="45">
        <f t="shared" si="18"/>
        <v>1600.2184532137785</v>
      </c>
      <c r="H31" s="45">
        <f t="shared" si="18"/>
        <v>2134.0927192973968</v>
      </c>
      <c r="I31" s="45">
        <f t="shared" si="18"/>
        <v>2593.7896948713642</v>
      </c>
      <c r="J31" s="45">
        <f t="shared" si="18"/>
        <v>3039.8236765977285</v>
      </c>
      <c r="K31" s="45">
        <f t="shared" si="18"/>
        <v>2522.9986584840599</v>
      </c>
      <c r="L31" s="45">
        <f t="shared" si="18"/>
        <v>2070.7874184676821</v>
      </c>
      <c r="M31" s="45">
        <f t="shared" si="18"/>
        <v>1680.8949545824157</v>
      </c>
      <c r="N31" s="45">
        <f t="shared" si="18"/>
        <v>2597.3160890688009</v>
      </c>
      <c r="O31" s="45">
        <f t="shared" si="18"/>
        <v>3517.6798170009474</v>
      </c>
      <c r="P31" s="45">
        <f t="shared" si="18"/>
        <v>3651.0827228813723</v>
      </c>
      <c r="Q31" s="45">
        <f t="shared" si="18"/>
        <v>3163.604667619511</v>
      </c>
      <c r="R31" s="45">
        <f t="shared" si="18"/>
        <v>3428.6174130030035</v>
      </c>
      <c r="S31" s="45">
        <f t="shared" si="18"/>
        <v>3747.5677318802614</v>
      </c>
      <c r="T31" s="45">
        <f t="shared" si="18"/>
        <v>2863.4263439305969</v>
      </c>
      <c r="U31" s="45">
        <f t="shared" si="18"/>
        <v>3774.8642091737665</v>
      </c>
      <c r="V31" s="45">
        <f t="shared" si="18"/>
        <v>2550.2672383018562</v>
      </c>
      <c r="W31" s="45">
        <f t="shared" si="18"/>
        <v>1854.0989528949999</v>
      </c>
      <c r="X31" s="45">
        <f t="shared" si="18"/>
        <v>2464.727535126086</v>
      </c>
      <c r="Y31" s="45">
        <f t="shared" si="18"/>
        <v>2635.824750239105</v>
      </c>
      <c r="Z31" s="45">
        <f t="shared" si="18"/>
        <v>2580.8664776022201</v>
      </c>
      <c r="AA31" s="45">
        <f t="shared" si="18"/>
        <v>2368.6794326666668</v>
      </c>
      <c r="AB31" s="45">
        <f t="shared" si="18"/>
        <v>2264.8129999999996</v>
      </c>
      <c r="AC31" s="45">
        <f t="shared" si="18"/>
        <v>2275.393</v>
      </c>
      <c r="AD31" s="45">
        <f t="shared" si="18"/>
        <v>2605.0619999999999</v>
      </c>
      <c r="AE31" s="45">
        <f>SUM(AE32:AE33)</f>
        <v>2496.79</v>
      </c>
      <c r="AF31" s="45">
        <f t="shared" si="18"/>
        <v>2013.558</v>
      </c>
      <c r="AG31" s="60">
        <f t="shared" si="18"/>
        <v>1816.809</v>
      </c>
      <c r="AH31" s="60">
        <f t="shared" si="18"/>
        <v>1356.0041447814299</v>
      </c>
      <c r="AI31" s="60">
        <f t="shared" si="18"/>
        <v>1919.7792817679604</v>
      </c>
      <c r="AJ31" s="60">
        <f t="shared" si="18"/>
        <v>1898.4139863656328</v>
      </c>
      <c r="AK31" s="60">
        <f t="shared" si="18"/>
        <v>1677.0001811761856</v>
      </c>
      <c r="AL31" s="60">
        <f t="shared" si="18"/>
        <v>1778.1660711596992</v>
      </c>
      <c r="AM31" s="60">
        <f t="shared" si="18"/>
        <v>1731.403931045382</v>
      </c>
      <c r="AN31" s="60">
        <f t="shared" si="18"/>
        <v>1795.7954980488264</v>
      </c>
      <c r="AO31" s="60">
        <f t="shared" si="18"/>
        <v>2067.9719467454356</v>
      </c>
      <c r="AP31" s="60">
        <f t="shared" si="18"/>
        <v>2747.3256283557821</v>
      </c>
      <c r="AQ31" s="60">
        <f t="shared" si="18"/>
        <v>2743.2584882125161</v>
      </c>
      <c r="AR31" s="60">
        <f t="shared" si="18"/>
        <v>2035.3852649489882</v>
      </c>
      <c r="AS31" s="60">
        <f t="shared" si="18"/>
        <v>1760.3111398568944</v>
      </c>
      <c r="AT31" s="60">
        <f t="shared" si="18"/>
        <v>1602.7610422195241</v>
      </c>
      <c r="AU31" s="60">
        <f t="shared" si="18"/>
        <v>588.34338334751851</v>
      </c>
      <c r="AV31" s="60">
        <f t="shared" si="18"/>
        <v>584.6800117309017</v>
      </c>
      <c r="AW31" s="60">
        <f t="shared" si="18"/>
        <v>1462.4840838842188</v>
      </c>
      <c r="AX31" s="60">
        <f t="shared" si="18"/>
        <v>1970.2216814003639</v>
      </c>
      <c r="AY31" s="60">
        <f t="shared" si="18"/>
        <v>1720.901116189501</v>
      </c>
      <c r="AZ31" s="60">
        <f t="shared" si="18"/>
        <v>1878.5243284670678</v>
      </c>
      <c r="BA31" s="60">
        <f t="shared" si="18"/>
        <v>2108.8932126895825</v>
      </c>
      <c r="BB31" s="60">
        <f t="shared" si="18"/>
        <v>1515.297704192832</v>
      </c>
      <c r="BC31" s="60">
        <f t="shared" si="18"/>
        <v>2374.1042076003409</v>
      </c>
      <c r="BD31" s="60">
        <f t="shared" si="18"/>
        <v>1211.4964203028437</v>
      </c>
      <c r="BE31" s="60">
        <f t="shared" si="18"/>
        <v>2734.5528117333383</v>
      </c>
      <c r="BF31" s="60">
        <f t="shared" si="18"/>
        <v>2460.0464976572594</v>
      </c>
      <c r="BG31" s="60">
        <f t="shared" si="18"/>
        <v>2728.8568746568585</v>
      </c>
      <c r="BH31" s="60"/>
      <c r="BI31" s="60"/>
      <c r="BJ31" s="60"/>
      <c r="BK31" s="60"/>
      <c r="BL31" s="41" t="s">
        <v>124</v>
      </c>
    </row>
    <row r="32" spans="1:75" x14ac:dyDescent="0.2">
      <c r="A32" s="40"/>
      <c r="B32" s="61" t="s">
        <v>117</v>
      </c>
      <c r="C32" s="62">
        <f>SBO!C15</f>
        <v>1116.8</v>
      </c>
      <c r="D32" s="62">
        <f>SBO!D15</f>
        <v>1512.6000000000001</v>
      </c>
      <c r="E32" s="62">
        <f>SBO!E15</f>
        <v>2172.3000000000002</v>
      </c>
      <c r="F32" s="62">
        <f>SBO!F15</f>
        <v>1787.9</v>
      </c>
      <c r="G32" s="62">
        <f>SBO!G15</f>
        <v>1505.6</v>
      </c>
      <c r="H32" s="62">
        <f>SBO!H15</f>
        <v>1993.2</v>
      </c>
      <c r="I32" s="62">
        <f>SBO!I15</f>
        <v>2436.7999999999997</v>
      </c>
      <c r="J32" s="62">
        <f>SBO!J15</f>
        <v>2923.7</v>
      </c>
      <c r="K32" s="62">
        <f>SBO!K15</f>
        <v>2394.7999999999997</v>
      </c>
      <c r="L32" s="62">
        <f>SBO!L15</f>
        <v>1950.8</v>
      </c>
      <c r="M32" s="62">
        <f>SBO!M15</f>
        <v>1560</v>
      </c>
      <c r="N32" s="62">
        <f>SBO!N15</f>
        <v>2470.556</v>
      </c>
      <c r="O32" s="62">
        <f>SBO!O15</f>
        <v>3359.7</v>
      </c>
      <c r="P32" s="62">
        <f>SBO!P15</f>
        <v>3408</v>
      </c>
      <c r="Q32" s="62">
        <f>SBO!Q15</f>
        <v>2992.3</v>
      </c>
      <c r="R32" s="62">
        <f>SBO!R15</f>
        <v>3221.69</v>
      </c>
      <c r="S32" s="62">
        <f>SBO!S15</f>
        <v>3415.395</v>
      </c>
      <c r="T32" s="62">
        <f>SBO!T15</f>
        <v>2612.8404445890633</v>
      </c>
      <c r="U32" s="62">
        <f>SBO!U15</f>
        <v>3515.3513224728517</v>
      </c>
      <c r="V32" s="62">
        <f>SBO!V15</f>
        <v>2234.1364419474753</v>
      </c>
      <c r="W32" s="62">
        <f>SBO!W15</f>
        <v>1529.2622913757946</v>
      </c>
      <c r="X32" s="62">
        <f>SBO!X15</f>
        <v>2110.797</v>
      </c>
      <c r="Y32" s="62">
        <f>SBO!Y15</f>
        <v>2125.6970000000001</v>
      </c>
      <c r="Z32" s="62">
        <f>SBO!Z15</f>
        <v>2239.7840000000001</v>
      </c>
      <c r="AA32" s="62">
        <f>SBO!AA15</f>
        <v>2004.7280000000001</v>
      </c>
      <c r="AB32" s="62">
        <f>SBO!AB15</f>
        <v>2134.0639999999999</v>
      </c>
      <c r="AC32" s="62">
        <f>SBO!AC15</f>
        <v>2110.7860000000001</v>
      </c>
      <c r="AD32" s="62">
        <f>SBO!AD15</f>
        <v>2465.8910000000001</v>
      </c>
      <c r="AE32" s="62">
        <f>SBO!AE15</f>
        <v>2306.1469999999999</v>
      </c>
      <c r="AF32" s="62">
        <f>SBO!AF15</f>
        <v>1823.8340000000001</v>
      </c>
      <c r="AG32" s="62">
        <f>SBO!AG15</f>
        <v>1690.57</v>
      </c>
      <c r="AH32" s="62">
        <f>SBO!AH15</f>
        <v>1235.2194983444124</v>
      </c>
      <c r="AI32" s="62">
        <f>SBO!AI15</f>
        <v>1798.445198359168</v>
      </c>
      <c r="AJ32" s="62">
        <f>SBO!AJ15</f>
        <v>1789.8727482357099</v>
      </c>
      <c r="AK32" s="62">
        <f>SBO!AK15</f>
        <v>1553.7204330678724</v>
      </c>
      <c r="AL32" s="62">
        <f>SBO!AL15</f>
        <v>1637.6404157145039</v>
      </c>
      <c r="AM32" s="62">
        <f>SBO!AM15</f>
        <v>1605.9143661464532</v>
      </c>
      <c r="AN32" s="62">
        <f>SBO!AN15</f>
        <v>1647.9395710025319</v>
      </c>
      <c r="AO32" s="62">
        <f>SBO!AO15</f>
        <v>1918.3526594052482</v>
      </c>
      <c r="AP32" s="62">
        <f>SBO!AP15</f>
        <v>2573.7799468901617</v>
      </c>
      <c r="AQ32" s="62">
        <f>SBO!AQ15</f>
        <v>2561.1533650089655</v>
      </c>
      <c r="AR32" s="62">
        <f>SBO!AR15</f>
        <v>1878.3709125891228</v>
      </c>
      <c r="AS32" s="62">
        <f>SBO!AS15</f>
        <v>1568.685449068128</v>
      </c>
      <c r="AT32" s="62">
        <f>SBO!AT15</f>
        <v>1401.6507009346824</v>
      </c>
      <c r="AU32" s="62">
        <f>SBO!AU15</f>
        <v>396.99184369783325</v>
      </c>
      <c r="AV32" s="62">
        <f>SBO!AV15</f>
        <v>376.05017231920738</v>
      </c>
      <c r="AW32" s="62">
        <f>SBO!AW15</f>
        <v>1257.034424295568</v>
      </c>
      <c r="AX32" s="62">
        <f>SBO!AX15</f>
        <v>1793.1097202150577</v>
      </c>
      <c r="AY32" s="62">
        <f>SBO!AY15</f>
        <v>1536.6197894509273</v>
      </c>
      <c r="AZ32" s="62">
        <f>SBO!AZ15</f>
        <v>1695.2169147630962</v>
      </c>
      <c r="BA32" s="62">
        <f>SBO!BA15</f>
        <v>1901.1899310555482</v>
      </c>
      <c r="BB32" s="62">
        <f>SBO!BB15</f>
        <v>1294.8065411780535</v>
      </c>
      <c r="BC32" s="62">
        <f>SBO!BC15</f>
        <v>2146.6913985639994</v>
      </c>
      <c r="BD32" s="62">
        <f>SBO!BD15</f>
        <v>995.88801183756095</v>
      </c>
      <c r="BE32" s="62">
        <f>SBO!BE15</f>
        <v>2529.5517597215812</v>
      </c>
      <c r="BF32" s="62">
        <f>SBO!BF15</f>
        <v>2253.4324652758924</v>
      </c>
      <c r="BG32" s="62">
        <f>SBO!BG15</f>
        <v>2521.1909599018527</v>
      </c>
      <c r="BH32" s="40"/>
      <c r="BI32" s="40"/>
      <c r="BJ32" s="40"/>
      <c r="BK32" s="40"/>
    </row>
    <row r="33" spans="1:75" ht="12" thickBot="1" x14ac:dyDescent="0.25">
      <c r="A33" s="40"/>
      <c r="B33" s="40" t="s">
        <v>118</v>
      </c>
      <c r="C33" s="45">
        <f>'Canola Oil'!C15</f>
        <v>96.311953226490346</v>
      </c>
      <c r="D33" s="45">
        <f>'Canola Oil'!D15</f>
        <v>90.430267058273458</v>
      </c>
      <c r="E33" s="45">
        <f>'Canola Oil'!E15</f>
        <v>96.42809255299106</v>
      </c>
      <c r="F33" s="45">
        <f>'Canola Oil'!F15</f>
        <v>94.810788060510689</v>
      </c>
      <c r="G33" s="45">
        <f>'Canola Oil'!G15</f>
        <v>94.61845321377865</v>
      </c>
      <c r="H33" s="45">
        <f>'Canola Oil'!H15</f>
        <v>140.89271929739658</v>
      </c>
      <c r="I33" s="45">
        <f>'Canola Oil'!I15</f>
        <v>156.98969487136429</v>
      </c>
      <c r="J33" s="45">
        <f>'Canola Oil'!J15</f>
        <v>116.12367659772852</v>
      </c>
      <c r="K33" s="45">
        <f>'Canola Oil'!K15</f>
        <v>128.19865848406005</v>
      </c>
      <c r="L33" s="45">
        <f>'Canola Oil'!L15</f>
        <v>119.98741846768203</v>
      </c>
      <c r="M33" s="45">
        <f>'Canola Oil'!M15</f>
        <v>120.89495458241561</v>
      </c>
      <c r="N33" s="45">
        <f>'Canola Oil'!N15</f>
        <v>126.7600890688008</v>
      </c>
      <c r="O33" s="45">
        <f>'Canola Oil'!O15</f>
        <v>157.97981700094743</v>
      </c>
      <c r="P33" s="45">
        <f>'Canola Oil'!P15</f>
        <v>243.08272288137238</v>
      </c>
      <c r="Q33" s="45">
        <f>'Canola Oil'!Q15</f>
        <v>171.3046676195107</v>
      </c>
      <c r="R33" s="45">
        <f>'Canola Oil'!R15</f>
        <v>206.92741300300347</v>
      </c>
      <c r="S33" s="45">
        <f>'Canola Oil'!S15</f>
        <v>332.17273188026138</v>
      </c>
      <c r="T33" s="45">
        <f>'Canola Oil'!T15</f>
        <v>250.5858993415336</v>
      </c>
      <c r="U33" s="45">
        <f>'Canola Oil'!U15</f>
        <v>259.51288670091469</v>
      </c>
      <c r="V33" s="45">
        <f>'Canola Oil'!V15</f>
        <v>316.13079635438066</v>
      </c>
      <c r="W33" s="45">
        <f>'Canola Oil'!W15</f>
        <v>324.83666151920545</v>
      </c>
      <c r="X33" s="45">
        <f>'Canola Oil'!X15</f>
        <v>353.93053512608589</v>
      </c>
      <c r="Y33" s="45">
        <f>'Canola Oil'!Y15</f>
        <v>510.12775023910501</v>
      </c>
      <c r="Z33" s="45">
        <f>'Canola Oil'!Z15</f>
        <v>341.08247760222002</v>
      </c>
      <c r="AA33" s="45">
        <f>'Canola Oil'!AA15</f>
        <v>363.95143266666662</v>
      </c>
      <c r="AB33" s="45">
        <f>'Canola Oil'!AB15</f>
        <v>130.749</v>
      </c>
      <c r="AC33" s="45">
        <f>'Canola Oil'!AC15</f>
        <v>164.60700000000003</v>
      </c>
      <c r="AD33" s="45">
        <f>'Canola Oil'!AD15</f>
        <v>139.17099999999999</v>
      </c>
      <c r="AE33" s="45">
        <f>'Canola Oil'!AE15</f>
        <v>190.64299999999997</v>
      </c>
      <c r="AF33" s="45">
        <f>'Canola Oil'!AF15</f>
        <v>189.72399999999999</v>
      </c>
      <c r="AG33" s="45">
        <f>'Canola Oil'!AG15</f>
        <v>126.239</v>
      </c>
      <c r="AH33" s="45">
        <f>'Canola Oil'!AH15</f>
        <v>120.7846464370175</v>
      </c>
      <c r="AI33" s="45">
        <f>'Canola Oil'!AI15</f>
        <v>121.33408340879237</v>
      </c>
      <c r="AJ33" s="45">
        <f>'Canola Oil'!AJ15</f>
        <v>108.54123812992293</v>
      </c>
      <c r="AK33" s="45">
        <f>'Canola Oil'!AK15</f>
        <v>123.27974810831324</v>
      </c>
      <c r="AL33" s="45">
        <f>'Canola Oil'!AL15</f>
        <v>140.52565544519518</v>
      </c>
      <c r="AM33" s="45">
        <f>'Canola Oil'!AM15</f>
        <v>125.48956489892885</v>
      </c>
      <c r="AN33" s="45">
        <f>'Canola Oil'!AN15</f>
        <v>147.85592704629448</v>
      </c>
      <c r="AO33" s="45">
        <f>'Canola Oil'!AO15</f>
        <v>149.6192873401875</v>
      </c>
      <c r="AP33" s="45">
        <f>'Canola Oil'!AP15</f>
        <v>173.54568146562042</v>
      </c>
      <c r="AQ33" s="45">
        <f>'Canola Oil'!AQ15</f>
        <v>182.10512320355076</v>
      </c>
      <c r="AR33" s="45">
        <f>'Canola Oil'!AR15</f>
        <v>157.01435235986526</v>
      </c>
      <c r="AS33" s="45">
        <f>'Canola Oil'!AS15</f>
        <v>191.62569078876641</v>
      </c>
      <c r="AT33" s="45">
        <f>'Canola Oil'!AT15</f>
        <v>201.11034128484175</v>
      </c>
      <c r="AU33" s="45">
        <f>'Canola Oil'!AU15</f>
        <v>191.35153964968526</v>
      </c>
      <c r="AV33" s="45">
        <f>'Canola Oil'!AV15</f>
        <v>208.62983941169432</v>
      </c>
      <c r="AW33" s="45">
        <f>'Canola Oil'!AW15</f>
        <v>205.44965958865066</v>
      </c>
      <c r="AX33" s="45">
        <f>'Canola Oil'!AX15</f>
        <v>177.1119611853062</v>
      </c>
      <c r="AY33" s="45">
        <f>'Canola Oil'!AY15</f>
        <v>184.28132673857363</v>
      </c>
      <c r="AZ33" s="45">
        <f>'Canola Oil'!AZ15</f>
        <v>183.30741370397163</v>
      </c>
      <c r="BA33" s="45">
        <f>'Canola Oil'!BA15</f>
        <v>207.70328163403406</v>
      </c>
      <c r="BB33" s="45">
        <f>'Canola Oil'!BB15</f>
        <v>220.49116301477852</v>
      </c>
      <c r="BC33" s="45">
        <f>'Canola Oil'!BC15</f>
        <v>227.41280903634151</v>
      </c>
      <c r="BD33" s="45">
        <f>'Canola Oil'!BD15</f>
        <v>215.60840846528276</v>
      </c>
      <c r="BE33" s="45">
        <f>'Canola Oil'!BE15</f>
        <v>205.00105201175711</v>
      </c>
      <c r="BF33" s="45">
        <f>'Canola Oil'!BF15</f>
        <v>206.61403238136722</v>
      </c>
      <c r="BG33" s="45">
        <f>'Canola Oil'!BG15</f>
        <v>207.66591475500582</v>
      </c>
      <c r="BH33" s="40"/>
      <c r="BI33" s="40"/>
      <c r="BJ33" s="40"/>
      <c r="BK33" s="40"/>
    </row>
    <row r="34" spans="1:75" x14ac:dyDescent="0.2">
      <c r="A34" s="4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0"/>
      <c r="BI34" s="40"/>
      <c r="BJ34" s="40"/>
      <c r="BK34" s="40"/>
      <c r="BM34" s="41">
        <v>16933</v>
      </c>
      <c r="BN34" s="41">
        <v>15832</v>
      </c>
      <c r="BO34" s="41">
        <v>16479</v>
      </c>
      <c r="BP34" s="41">
        <v>15938</v>
      </c>
      <c r="BQ34" s="41">
        <v>16000</v>
      </c>
      <c r="BR34" s="41">
        <v>16039</v>
      </c>
      <c r="BS34" s="41">
        <v>15984</v>
      </c>
      <c r="BT34" s="41">
        <v>15914</v>
      </c>
      <c r="BU34" s="41">
        <v>15645</v>
      </c>
      <c r="BV34" s="41">
        <v>15814</v>
      </c>
      <c r="BW34" s="41">
        <v>16922</v>
      </c>
    </row>
    <row r="35" spans="1:75" x14ac:dyDescent="0.2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M35" s="51">
        <f t="shared" ref="BM35:BW35" si="19">AD23-BM34</f>
        <v>961.8690526995706</v>
      </c>
      <c r="BN35" s="51">
        <f t="shared" si="19"/>
        <v>2822.2819935020525</v>
      </c>
      <c r="BO35" s="51">
        <f t="shared" si="19"/>
        <v>3367.7745978786988</v>
      </c>
      <c r="BP35" s="51">
        <f t="shared" si="19"/>
        <v>3284.7601255922636</v>
      </c>
      <c r="BQ35" s="51">
        <f t="shared" si="19"/>
        <v>2229.7832830517109</v>
      </c>
      <c r="BR35" s="51">
        <f t="shared" si="19"/>
        <v>2809.5223339282784</v>
      </c>
      <c r="BS35" s="51">
        <f t="shared" si="19"/>
        <v>1915.8779646978437</v>
      </c>
      <c r="BT35" s="51">
        <f t="shared" si="19"/>
        <v>3122.1717762451444</v>
      </c>
      <c r="BU35" s="51">
        <f t="shared" si="19"/>
        <v>3904.794708290945</v>
      </c>
      <c r="BV35" s="51">
        <f t="shared" si="19"/>
        <v>2890.8407533533391</v>
      </c>
      <c r="BW35" s="51">
        <f t="shared" si="19"/>
        <v>1984.9922800693494</v>
      </c>
    </row>
    <row r="36" spans="1:75" x14ac:dyDescent="0.2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</row>
    <row r="37" spans="1:75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M37" s="68">
        <f t="shared" ref="BM37:BW37" si="20">AD3</f>
        <v>2021</v>
      </c>
      <c r="BN37" s="68">
        <f t="shared" si="20"/>
        <v>2022</v>
      </c>
      <c r="BO37" s="68">
        <f t="shared" si="20"/>
        <v>2023</v>
      </c>
      <c r="BP37" s="68">
        <f t="shared" si="20"/>
        <v>2024</v>
      </c>
      <c r="BQ37" s="68">
        <f t="shared" si="20"/>
        <v>2025</v>
      </c>
      <c r="BR37" s="68">
        <f t="shared" si="20"/>
        <v>2026</v>
      </c>
      <c r="BS37" s="68">
        <f t="shared" si="20"/>
        <v>2027</v>
      </c>
      <c r="BT37" s="68">
        <f t="shared" si="20"/>
        <v>2028</v>
      </c>
      <c r="BU37" s="68">
        <f t="shared" si="20"/>
        <v>2029</v>
      </c>
      <c r="BV37" s="68">
        <f t="shared" si="20"/>
        <v>2030</v>
      </c>
      <c r="BW37" s="68">
        <f t="shared" si="20"/>
        <v>2031</v>
      </c>
    </row>
    <row r="38" spans="1:75" x14ac:dyDescent="0.2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M38" s="41">
        <v>2003</v>
      </c>
      <c r="BN38" s="41">
        <v>2077</v>
      </c>
      <c r="BO38" s="41">
        <v>1398</v>
      </c>
      <c r="BP38" s="41">
        <v>2238</v>
      </c>
      <c r="BQ38" s="41">
        <v>2220</v>
      </c>
      <c r="BR38" s="41">
        <v>1777</v>
      </c>
      <c r="BS38" s="41">
        <v>1213</v>
      </c>
      <c r="BT38" s="41">
        <v>1115</v>
      </c>
      <c r="BU38" s="41">
        <v>1408</v>
      </c>
      <c r="BV38" s="41">
        <v>1498</v>
      </c>
      <c r="BW38" s="41">
        <v>1573</v>
      </c>
    </row>
    <row r="39" spans="1:75" x14ac:dyDescent="0.2">
      <c r="BM39" s="51">
        <f t="shared" ref="BM39:BW39" si="21">AD31-BM38</f>
        <v>602.0619999999999</v>
      </c>
      <c r="BN39" s="51">
        <f t="shared" si="21"/>
        <v>419.78999999999996</v>
      </c>
      <c r="BO39" s="51">
        <f t="shared" si="21"/>
        <v>615.55799999999999</v>
      </c>
      <c r="BP39" s="51">
        <f t="shared" si="21"/>
        <v>-421.19100000000003</v>
      </c>
      <c r="BQ39" s="51">
        <f t="shared" si="21"/>
        <v>-863.99585521857011</v>
      </c>
      <c r="BR39" s="51">
        <f t="shared" si="21"/>
        <v>142.77928176796036</v>
      </c>
      <c r="BS39" s="51">
        <f t="shared" si="21"/>
        <v>685.41398636563281</v>
      </c>
      <c r="BT39" s="51">
        <f t="shared" si="21"/>
        <v>562.00018117618561</v>
      </c>
      <c r="BU39" s="51">
        <f t="shared" si="21"/>
        <v>370.16607115969919</v>
      </c>
      <c r="BV39" s="51">
        <f t="shared" si="21"/>
        <v>233.40393104538202</v>
      </c>
      <c r="BW39" s="51">
        <f t="shared" si="21"/>
        <v>222.7954980488264</v>
      </c>
    </row>
    <row r="40" spans="1:75" x14ac:dyDescent="0.2">
      <c r="B40" s="41" t="s">
        <v>83</v>
      </c>
      <c r="C40" s="51">
        <f t="shared" ref="C40:AP40" si="22">C13</f>
        <v>6758.1514386043063</v>
      </c>
      <c r="D40" s="51">
        <f t="shared" si="22"/>
        <v>33639.492136002409</v>
      </c>
      <c r="E40" s="51">
        <f t="shared" si="22"/>
        <v>34010.912597050861</v>
      </c>
      <c r="F40" s="51">
        <f t="shared" si="22"/>
        <v>35981.601467144297</v>
      </c>
      <c r="G40" s="51">
        <f t="shared" si="22"/>
        <v>39705.517922309191</v>
      </c>
      <c r="H40" s="51">
        <f t="shared" si="22"/>
        <v>39753.844357384856</v>
      </c>
      <c r="I40" s="51">
        <f t="shared" si="22"/>
        <v>39868.127482731339</v>
      </c>
      <c r="J40" s="51">
        <f t="shared" si="22"/>
        <v>41796.43426051781</v>
      </c>
      <c r="K40" s="51">
        <f t="shared" si="22"/>
        <v>42405.823426097682</v>
      </c>
      <c r="L40" s="51">
        <f t="shared" si="22"/>
        <v>40589.267291247808</v>
      </c>
      <c r="M40" s="51">
        <f t="shared" si="22"/>
        <v>38817.310319125252</v>
      </c>
      <c r="N40" s="51">
        <f t="shared" si="22"/>
        <v>42495.409027383394</v>
      </c>
      <c r="O40" s="51">
        <f t="shared" si="22"/>
        <v>46242.884059328404</v>
      </c>
      <c r="P40" s="51">
        <f t="shared" si="22"/>
        <v>47946.109276860116</v>
      </c>
      <c r="Q40" s="51">
        <f t="shared" si="22"/>
        <v>48513.329204329712</v>
      </c>
      <c r="R40" s="51">
        <f t="shared" si="22"/>
        <v>46270.717858523341</v>
      </c>
      <c r="S40" s="51">
        <f t="shared" si="22"/>
        <v>47319.510861301678</v>
      </c>
      <c r="T40" s="51">
        <f t="shared" si="22"/>
        <v>48250.184247000747</v>
      </c>
      <c r="U40" s="51">
        <f t="shared" si="22"/>
        <v>49606.497064263014</v>
      </c>
      <c r="V40" s="51">
        <f t="shared" si="22"/>
        <v>49413.463089585064</v>
      </c>
      <c r="W40" s="51">
        <f t="shared" si="22"/>
        <v>50369.2515764337</v>
      </c>
      <c r="X40" s="51">
        <f t="shared" si="22"/>
        <v>52995.925352094673</v>
      </c>
      <c r="Y40" s="51">
        <f t="shared" si="22"/>
        <v>56217.395838285462</v>
      </c>
      <c r="Z40" s="51">
        <f t="shared" si="22"/>
        <v>57205.681062824726</v>
      </c>
      <c r="AA40" s="51">
        <f t="shared" si="22"/>
        <v>59814.909994895446</v>
      </c>
      <c r="AB40" s="51">
        <f t="shared" si="22"/>
        <v>33613.786018000006</v>
      </c>
      <c r="AC40" s="51">
        <f t="shared" si="22"/>
        <v>35390.276030000008</v>
      </c>
      <c r="AD40" s="51">
        <f t="shared" si="22"/>
        <v>35416.187150901998</v>
      </c>
      <c r="AE40" s="51">
        <f t="shared" si="22"/>
        <v>36365.937473434038</v>
      </c>
      <c r="AF40" s="51">
        <f t="shared" si="22"/>
        <v>41276.010466577805</v>
      </c>
      <c r="AG40" s="51">
        <f t="shared" si="22"/>
        <v>42671.540142413964</v>
      </c>
      <c r="AH40" s="51">
        <f t="shared" si="22"/>
        <v>39970.951371336167</v>
      </c>
      <c r="AI40" s="51">
        <f t="shared" si="22"/>
        <v>46342.504155280825</v>
      </c>
      <c r="AJ40" s="51">
        <f t="shared" si="22"/>
        <v>47544.634288117391</v>
      </c>
      <c r="AK40" s="51">
        <f t="shared" si="22"/>
        <v>48793.485772271233</v>
      </c>
      <c r="AL40" s="51">
        <f t="shared" si="22"/>
        <v>50313.004640748695</v>
      </c>
      <c r="AM40" s="51">
        <f t="shared" si="22"/>
        <v>53195.999015517846</v>
      </c>
      <c r="AN40" s="51">
        <f t="shared" si="22"/>
        <v>54382.582408649381</v>
      </c>
      <c r="AO40" s="51">
        <f t="shared" si="22"/>
        <v>57286.275780607255</v>
      </c>
      <c r="AP40" s="51">
        <f t="shared" si="22"/>
        <v>58390.262484536477</v>
      </c>
    </row>
    <row r="41" spans="1:75" x14ac:dyDescent="0.2">
      <c r="B41" s="41" t="s">
        <v>84</v>
      </c>
      <c r="C41" s="51">
        <f t="shared" ref="C41:AP41" si="23">C31</f>
        <v>1213.1119532264902</v>
      </c>
      <c r="D41" s="51">
        <f t="shared" si="23"/>
        <v>1603.0302670582737</v>
      </c>
      <c r="E41" s="51">
        <f t="shared" si="23"/>
        <v>2268.7280925529913</v>
      </c>
      <c r="F41" s="51">
        <f t="shared" si="23"/>
        <v>1882.7107880605108</v>
      </c>
      <c r="G41" s="51">
        <f t="shared" si="23"/>
        <v>1600.2184532137785</v>
      </c>
      <c r="H41" s="51">
        <f t="shared" si="23"/>
        <v>2134.0927192973968</v>
      </c>
      <c r="I41" s="51">
        <f t="shared" si="23"/>
        <v>2593.7896948713642</v>
      </c>
      <c r="J41" s="51">
        <f t="shared" si="23"/>
        <v>3039.8236765977285</v>
      </c>
      <c r="K41" s="51">
        <f t="shared" si="23"/>
        <v>2522.9986584840599</v>
      </c>
      <c r="L41" s="51">
        <f t="shared" si="23"/>
        <v>2070.7874184676821</v>
      </c>
      <c r="M41" s="51">
        <f t="shared" si="23"/>
        <v>1680.8949545824157</v>
      </c>
      <c r="N41" s="51">
        <f t="shared" si="23"/>
        <v>2597.3160890688009</v>
      </c>
      <c r="O41" s="51">
        <f t="shared" si="23"/>
        <v>3517.6798170009474</v>
      </c>
      <c r="P41" s="51">
        <f t="shared" si="23"/>
        <v>3651.0827228813723</v>
      </c>
      <c r="Q41" s="51">
        <f t="shared" si="23"/>
        <v>3163.604667619511</v>
      </c>
      <c r="R41" s="51">
        <f t="shared" si="23"/>
        <v>3428.6174130030035</v>
      </c>
      <c r="S41" s="51">
        <f t="shared" si="23"/>
        <v>3747.5677318802614</v>
      </c>
      <c r="T41" s="51">
        <f t="shared" si="23"/>
        <v>2863.4263439305969</v>
      </c>
      <c r="U41" s="51">
        <f t="shared" si="23"/>
        <v>3774.8642091737665</v>
      </c>
      <c r="V41" s="51">
        <f t="shared" si="23"/>
        <v>2550.2672383018562</v>
      </c>
      <c r="W41" s="51">
        <f t="shared" si="23"/>
        <v>1854.0989528949999</v>
      </c>
      <c r="X41" s="51">
        <f t="shared" si="23"/>
        <v>2464.727535126086</v>
      </c>
      <c r="Y41" s="51">
        <f t="shared" si="23"/>
        <v>2635.824750239105</v>
      </c>
      <c r="Z41" s="51">
        <f t="shared" si="23"/>
        <v>2580.8664776022201</v>
      </c>
      <c r="AA41" s="51">
        <f t="shared" si="23"/>
        <v>2368.6794326666668</v>
      </c>
      <c r="AB41" s="51">
        <f t="shared" si="23"/>
        <v>2264.8129999999996</v>
      </c>
      <c r="AC41" s="51">
        <f t="shared" si="23"/>
        <v>2275.393</v>
      </c>
      <c r="AD41" s="51">
        <f t="shared" si="23"/>
        <v>2605.0619999999999</v>
      </c>
      <c r="AE41" s="51">
        <f t="shared" si="23"/>
        <v>2496.79</v>
      </c>
      <c r="AF41" s="51">
        <f t="shared" si="23"/>
        <v>2013.558</v>
      </c>
      <c r="AG41" s="51">
        <f t="shared" si="23"/>
        <v>1816.809</v>
      </c>
      <c r="AH41" s="51">
        <f t="shared" si="23"/>
        <v>1356.0041447814299</v>
      </c>
      <c r="AI41" s="51">
        <f t="shared" si="23"/>
        <v>1919.7792817679604</v>
      </c>
      <c r="AJ41" s="51">
        <f t="shared" si="23"/>
        <v>1898.4139863656328</v>
      </c>
      <c r="AK41" s="51">
        <f t="shared" si="23"/>
        <v>1677.0001811761856</v>
      </c>
      <c r="AL41" s="51">
        <f t="shared" si="23"/>
        <v>1778.1660711596992</v>
      </c>
      <c r="AM41" s="51">
        <f t="shared" si="23"/>
        <v>1731.403931045382</v>
      </c>
      <c r="AN41" s="51">
        <f t="shared" si="23"/>
        <v>1795.7954980488264</v>
      </c>
      <c r="AO41" s="51">
        <f t="shared" si="23"/>
        <v>2067.9719467454356</v>
      </c>
      <c r="AP41" s="51">
        <f t="shared" si="23"/>
        <v>2747.3256283557821</v>
      </c>
    </row>
    <row r="42" spans="1:75" x14ac:dyDescent="0.2">
      <c r="B42" s="41" t="s">
        <v>85</v>
      </c>
      <c r="C42" s="51">
        <f>C40-C41</f>
        <v>5545.0394853778162</v>
      </c>
      <c r="D42" s="51">
        <f t="shared" ref="D42:AB42" si="24">D40-D41</f>
        <v>32036.461868944134</v>
      </c>
      <c r="E42" s="51">
        <f t="shared" si="24"/>
        <v>31742.184504497869</v>
      </c>
      <c r="F42" s="51">
        <f t="shared" si="24"/>
        <v>34098.890679083786</v>
      </c>
      <c r="G42" s="51">
        <f t="shared" si="24"/>
        <v>38105.299469095415</v>
      </c>
      <c r="H42" s="51">
        <f t="shared" si="24"/>
        <v>37619.751638087459</v>
      </c>
      <c r="I42" s="51">
        <f t="shared" si="24"/>
        <v>37274.337787859971</v>
      </c>
      <c r="J42" s="51">
        <f t="shared" si="24"/>
        <v>38756.610583920083</v>
      </c>
      <c r="K42" s="51">
        <f t="shared" si="24"/>
        <v>39882.824767613623</v>
      </c>
      <c r="L42" s="51">
        <f t="shared" si="24"/>
        <v>38518.479872780124</v>
      </c>
      <c r="M42" s="51">
        <f t="shared" si="24"/>
        <v>37136.415364542838</v>
      </c>
      <c r="N42" s="51">
        <f t="shared" si="24"/>
        <v>39898.092938314592</v>
      </c>
      <c r="O42" s="51">
        <f t="shared" si="24"/>
        <v>42725.204242327454</v>
      </c>
      <c r="P42" s="51">
        <f t="shared" si="24"/>
        <v>44295.026553978743</v>
      </c>
      <c r="Q42" s="51">
        <f t="shared" si="24"/>
        <v>45349.7245367102</v>
      </c>
      <c r="R42" s="51">
        <f t="shared" si="24"/>
        <v>42842.100445520337</v>
      </c>
      <c r="S42" s="51">
        <f t="shared" si="24"/>
        <v>43571.943129421416</v>
      </c>
      <c r="T42" s="51">
        <f t="shared" si="24"/>
        <v>45386.757903070153</v>
      </c>
      <c r="U42" s="51">
        <f t="shared" si="24"/>
        <v>45831.63285508925</v>
      </c>
      <c r="V42" s="51">
        <f t="shared" si="24"/>
        <v>46863.195851283206</v>
      </c>
      <c r="W42" s="51">
        <f t="shared" si="24"/>
        <v>48515.152623538699</v>
      </c>
      <c r="X42" s="51">
        <f t="shared" si="24"/>
        <v>50531.19781696859</v>
      </c>
      <c r="Y42" s="51">
        <f t="shared" si="24"/>
        <v>53581.571088046359</v>
      </c>
      <c r="Z42" s="51">
        <f t="shared" si="24"/>
        <v>54624.814585222506</v>
      </c>
      <c r="AA42" s="51">
        <f t="shared" si="24"/>
        <v>57446.230562228782</v>
      </c>
      <c r="AB42" s="51">
        <f t="shared" si="24"/>
        <v>31348.973018000008</v>
      </c>
      <c r="AC42" s="51">
        <f>AC40-AC41</f>
        <v>33114.883030000012</v>
      </c>
      <c r="AD42" s="51">
        <f>AD40-AD41</f>
        <v>32811.125150902</v>
      </c>
      <c r="AE42" s="51">
        <f>AE40-AE41</f>
        <v>33869.147473434037</v>
      </c>
      <c r="AF42" s="51">
        <f t="shared" ref="AF42:AN42" si="25">AF40-AF41</f>
        <v>39262.452466577808</v>
      </c>
      <c r="AG42" s="51">
        <f t="shared" si="25"/>
        <v>40854.731142413963</v>
      </c>
      <c r="AH42" s="51">
        <f t="shared" si="25"/>
        <v>38614.947226554737</v>
      </c>
      <c r="AI42" s="51">
        <f t="shared" si="25"/>
        <v>44422.724873512867</v>
      </c>
      <c r="AJ42" s="51">
        <f t="shared" si="25"/>
        <v>45646.22030175176</v>
      </c>
      <c r="AK42" s="51">
        <f t="shared" si="25"/>
        <v>47116.48559109505</v>
      </c>
      <c r="AL42" s="51">
        <f t="shared" si="25"/>
        <v>48534.838569588996</v>
      </c>
      <c r="AM42" s="51">
        <f t="shared" si="25"/>
        <v>51464.595084472465</v>
      </c>
      <c r="AN42" s="51">
        <f t="shared" si="25"/>
        <v>52586.786910600553</v>
      </c>
      <c r="AO42" s="51">
        <f>AO40-AO41</f>
        <v>55218.303833861821</v>
      </c>
      <c r="AP42" s="51">
        <f>AP40-AP41</f>
        <v>55642.936856180691</v>
      </c>
    </row>
    <row r="43" spans="1:75" x14ac:dyDescent="0.2">
      <c r="B43" s="41" t="s">
        <v>86</v>
      </c>
      <c r="C43" s="52" t="e">
        <f t="shared" ref="C43:AP43" si="26">C42-C29</f>
        <v>#REF!</v>
      </c>
      <c r="D43" s="52" t="e">
        <f t="shared" si="26"/>
        <v>#REF!</v>
      </c>
      <c r="E43" s="52" t="e">
        <f t="shared" si="26"/>
        <v>#REF!</v>
      </c>
      <c r="F43" s="52" t="e">
        <f t="shared" si="26"/>
        <v>#REF!</v>
      </c>
      <c r="G43" s="52" t="e">
        <f t="shared" si="26"/>
        <v>#REF!</v>
      </c>
      <c r="H43" s="52" t="e">
        <f t="shared" si="26"/>
        <v>#REF!</v>
      </c>
      <c r="I43" s="52" t="e">
        <f t="shared" si="26"/>
        <v>#REF!</v>
      </c>
      <c r="J43" s="52" t="e">
        <f t="shared" si="26"/>
        <v>#REF!</v>
      </c>
      <c r="K43" s="52" t="e">
        <f t="shared" si="26"/>
        <v>#REF!</v>
      </c>
      <c r="L43" s="52" t="e">
        <f t="shared" si="26"/>
        <v>#REF!</v>
      </c>
      <c r="M43" s="52" t="e">
        <f t="shared" si="26"/>
        <v>#REF!</v>
      </c>
      <c r="N43" s="52" t="e">
        <f t="shared" si="26"/>
        <v>#REF!</v>
      </c>
      <c r="O43" s="52" t="e">
        <f t="shared" si="26"/>
        <v>#REF!</v>
      </c>
      <c r="P43" s="52" t="e">
        <f t="shared" si="26"/>
        <v>#REF!</v>
      </c>
      <c r="Q43" s="52" t="e">
        <f t="shared" si="26"/>
        <v>#REF!</v>
      </c>
      <c r="R43" s="52" t="e">
        <f t="shared" si="26"/>
        <v>#REF!</v>
      </c>
      <c r="S43" s="52" t="e">
        <f t="shared" si="26"/>
        <v>#REF!</v>
      </c>
      <c r="T43" s="52" t="e">
        <f t="shared" si="26"/>
        <v>#REF!</v>
      </c>
      <c r="U43" s="52" t="e">
        <f t="shared" si="26"/>
        <v>#REF!</v>
      </c>
      <c r="V43" s="52" t="e">
        <f t="shared" si="26"/>
        <v>#REF!</v>
      </c>
      <c r="W43" s="52" t="e">
        <f t="shared" si="26"/>
        <v>#REF!</v>
      </c>
      <c r="X43" s="52" t="e">
        <f t="shared" si="26"/>
        <v>#REF!</v>
      </c>
      <c r="Y43" s="52" t="e">
        <f t="shared" si="26"/>
        <v>#REF!</v>
      </c>
      <c r="Z43" s="52" t="e">
        <f t="shared" si="26"/>
        <v>#REF!</v>
      </c>
      <c r="AA43" s="52">
        <f t="shared" si="26"/>
        <v>7398.3027290502068</v>
      </c>
      <c r="AB43" s="52">
        <f t="shared" si="26"/>
        <v>0</v>
      </c>
      <c r="AC43" s="52">
        <f t="shared" si="26"/>
        <v>0</v>
      </c>
      <c r="AD43" s="52">
        <f t="shared" si="26"/>
        <v>0</v>
      </c>
      <c r="AE43" s="52">
        <f t="shared" si="26"/>
        <v>0</v>
      </c>
      <c r="AF43" s="52">
        <f t="shared" si="26"/>
        <v>0</v>
      </c>
      <c r="AG43" s="52">
        <f t="shared" si="26"/>
        <v>0</v>
      </c>
      <c r="AH43" s="52">
        <f t="shared" si="26"/>
        <v>0</v>
      </c>
      <c r="AI43" s="52">
        <f t="shared" si="26"/>
        <v>0</v>
      </c>
      <c r="AJ43" s="52">
        <f t="shared" si="26"/>
        <v>0</v>
      </c>
      <c r="AK43" s="52">
        <f t="shared" si="26"/>
        <v>0</v>
      </c>
      <c r="AL43" s="52">
        <f t="shared" si="26"/>
        <v>0</v>
      </c>
      <c r="AM43" s="52">
        <f t="shared" si="26"/>
        <v>0</v>
      </c>
      <c r="AN43" s="52">
        <f t="shared" si="26"/>
        <v>0</v>
      </c>
      <c r="AO43" s="52">
        <f t="shared" si="26"/>
        <v>0</v>
      </c>
      <c r="AP43" s="52">
        <f t="shared" si="26"/>
        <v>0</v>
      </c>
    </row>
    <row r="45" spans="1:75" x14ac:dyDescent="0.2">
      <c r="A45" s="41" t="s">
        <v>125</v>
      </c>
    </row>
    <row r="46" spans="1:75" x14ac:dyDescent="0.2">
      <c r="B46" s="41" t="s">
        <v>126</v>
      </c>
      <c r="AE46" s="51">
        <f>SUM('[5]US EIA'!$N$282:$O$293,'[5]US EIA'!$G$282:$G$293,'[5]US EIA'!$D$282:$E$293)</f>
        <v>111</v>
      </c>
      <c r="AF46" s="51">
        <f>SUM('[5]US EIA'!$N$294:$O$305,'[5]US EIA'!$G$294:$G$305,'[5]US EIA'!$D$294:$E$305)</f>
        <v>341.46800000000002</v>
      </c>
      <c r="AG46" s="51">
        <f>SUM('[5]US EIA'!$N$306:$O$317,'[5]US EIA'!$G$306:$G$317,'[5]US EIA'!$D$306:$E$317)</f>
        <v>277.69799999999998</v>
      </c>
      <c r="AH46" s="51">
        <f>SUM('[5]US EIA'!$N$318:$O$329,'[5]US EIA'!$G$318:$G$329,'[5]US EIA'!$D$318:$E$329)</f>
        <v>268.47446645989174</v>
      </c>
      <c r="AI46" s="51">
        <f>SUM('[5]US EIA'!$N$330:$O$341,'[5]US EIA'!$G$330:$G$341,'[5]US EIA'!$D$330:$E$341)</f>
        <v>219.79219828623948</v>
      </c>
      <c r="AJ46" s="51">
        <f>SUM('[5]US EIA'!$N$342:$O$353,'[5]US EIA'!$G$342:$G$353,'[5]US EIA'!$D$342:$E$353)</f>
        <v>136.91812306480452</v>
      </c>
      <c r="AK46" s="51">
        <f>SUM('[5]US EIA'!$N$354:$O$365,'[5]US EIA'!$G$354:$G$365,'[5]US EIA'!$D$354:$E$365)</f>
        <v>115.26557475266873</v>
      </c>
      <c r="AL46" s="51">
        <f>SUM('[5]US EIA'!$N$366:$O$377,'[5]US EIA'!$G$366:$G$377,'[5]US EIA'!$D$366:$E$377)</f>
        <v>123.28207875446317</v>
      </c>
      <c r="AM46" s="51">
        <f>SUM('[5]US EIA'!$N$378:$O$389,'[5]US EIA'!$G$378:$G$389,'[5]US EIA'!$D$378:$E$389)</f>
        <v>198.10877177620756</v>
      </c>
      <c r="AN46" s="51">
        <f>SUM('[5]US EIA'!$N$390:$O$401,'[5]US EIA'!$G$390:$G$401,'[5]US EIA'!$D$390:$E$401)</f>
        <v>257.26803724907637</v>
      </c>
      <c r="AO46" s="51">
        <f>SUM('[5]US EIA'!$N$402:$O$413,'[5]US EIA'!$G$402:$G$413,'[5]US EIA'!$D$402:$E$413)</f>
        <v>306.49272801964742</v>
      </c>
      <c r="AP46" s="51">
        <f>SUM('[5]US EIA'!$N$414:$O$425,'[5]US EIA'!$G$414:$G$425,'[5]US EIA'!$D$414:$E$425)</f>
        <v>295.73687659138176</v>
      </c>
    </row>
    <row r="47" spans="1:75" x14ac:dyDescent="0.2">
      <c r="B47" s="41" t="s">
        <v>127</v>
      </c>
      <c r="AE47" s="51">
        <f t="shared" ref="AE47:AP47" si="27">SUM(AE18:AE19)-AE17+AE46</f>
        <v>111</v>
      </c>
      <c r="AF47" s="51">
        <f t="shared" si="27"/>
        <v>-109.97385673470745</v>
      </c>
      <c r="AG47" s="51">
        <f t="shared" si="27"/>
        <v>-72.326023121834055</v>
      </c>
      <c r="AH47" s="51">
        <f t="shared" si="27"/>
        <v>-52.335313658622283</v>
      </c>
      <c r="AI47" s="51">
        <f t="shared" si="27"/>
        <v>-55.586550697596493</v>
      </c>
      <c r="AJ47" s="51">
        <f t="shared" si="27"/>
        <v>-39.104287931410084</v>
      </c>
      <c r="AK47" s="51">
        <f t="shared" si="27"/>
        <v>-36.596199482235534</v>
      </c>
      <c r="AL47" s="51">
        <f t="shared" si="27"/>
        <v>-56.673372251652083</v>
      </c>
      <c r="AM47" s="51">
        <f t="shared" si="27"/>
        <v>-98.058951260927586</v>
      </c>
      <c r="AN47" s="51">
        <f t="shared" si="27"/>
        <v>-116.00878061134375</v>
      </c>
      <c r="AO47" s="51">
        <f t="shared" si="27"/>
        <v>-111.71965213196529</v>
      </c>
      <c r="AP47" s="51">
        <f t="shared" si="27"/>
        <v>-410.07624256220862</v>
      </c>
    </row>
    <row r="48" spans="1:75" x14ac:dyDescent="0.2">
      <c r="B48" s="41" t="s">
        <v>128</v>
      </c>
      <c r="AE48" s="51">
        <v>41.701169736642115</v>
      </c>
      <c r="AF48" s="51">
        <v>109.97385673470703</v>
      </c>
      <c r="AG48" s="51">
        <v>72.326023121833941</v>
      </c>
      <c r="AH48" s="51">
        <v>52.335313658623804</v>
      </c>
      <c r="AI48" s="51">
        <v>55.586550697595897</v>
      </c>
      <c r="AJ48" s="51">
        <v>39.104287931409765</v>
      </c>
      <c r="AK48" s="51">
        <v>36.596199482235882</v>
      </c>
      <c r="AL48" s="51">
        <v>56.673372251651564</v>
      </c>
      <c r="AM48" s="51">
        <v>98.058951260928026</v>
      </c>
      <c r="AN48" s="51">
        <v>116.00878061134333</v>
      </c>
      <c r="AO48" s="51">
        <v>111.71965213196562</v>
      </c>
      <c r="AP48" s="51">
        <v>410.07624256220913</v>
      </c>
    </row>
    <row r="50" spans="1:42" x14ac:dyDescent="0.2">
      <c r="A50" s="41" t="s">
        <v>129</v>
      </c>
    </row>
    <row r="51" spans="1:42" x14ac:dyDescent="0.2">
      <c r="B51" s="41" t="s">
        <v>130</v>
      </c>
      <c r="AE51" s="51">
        <v>1125.3014241981728</v>
      </c>
      <c r="AF51" s="51">
        <v>1492.7473627630943</v>
      </c>
      <c r="AG51" s="51">
        <v>888.01165960379103</v>
      </c>
      <c r="AH51" s="51">
        <v>1080.0444697607604</v>
      </c>
      <c r="AI51" s="51">
        <v>5522.4254113098777</v>
      </c>
      <c r="AJ51" s="51">
        <v>5390.1107381789407</v>
      </c>
      <c r="AK51" s="51">
        <v>5462.6305173854662</v>
      </c>
      <c r="AL51" s="51">
        <v>5641.434062405986</v>
      </c>
      <c r="AM51" s="51">
        <v>5873.0228444903178</v>
      </c>
      <c r="AN51" s="51">
        <v>6028.0424514430179</v>
      </c>
      <c r="AO51" s="51">
        <v>6214.7712681149387</v>
      </c>
      <c r="AP51" s="51">
        <v>6527.6517119516693</v>
      </c>
    </row>
    <row r="52" spans="1:42" x14ac:dyDescent="0.2">
      <c r="B52" s="41" t="s">
        <v>127</v>
      </c>
      <c r="AE52" s="51">
        <f t="shared" ref="AE52:AP52" si="28">SUM(AE21:AE22)-AE20+(AE7-SUM(AE8:AE9))-AE48-AE46</f>
        <v>-152.7011697366421</v>
      </c>
      <c r="AF52" s="51">
        <f t="shared" si="28"/>
        <v>0</v>
      </c>
      <c r="AG52" s="51">
        <f t="shared" si="28"/>
        <v>0</v>
      </c>
      <c r="AH52" s="51">
        <f t="shared" si="28"/>
        <v>-1.5347723092418164E-12</v>
      </c>
      <c r="AI52" s="51">
        <f t="shared" si="28"/>
        <v>6.0538241086760536E-12</v>
      </c>
      <c r="AJ52" s="51">
        <f t="shared" si="28"/>
        <v>3.1263880373444408E-13</v>
      </c>
      <c r="AK52" s="51">
        <f t="shared" si="28"/>
        <v>-6.7075234255753458E-12</v>
      </c>
      <c r="AL52" s="51">
        <f t="shared" si="28"/>
        <v>-1.2931877790833823E-12</v>
      </c>
      <c r="AM52" s="51">
        <f t="shared" si="28"/>
        <v>-4.5474735088646412E-13</v>
      </c>
      <c r="AN52" s="51">
        <f t="shared" si="28"/>
        <v>7.673861546209082E-12</v>
      </c>
      <c r="AO52" s="51">
        <f t="shared" si="28"/>
        <v>4.2064129956997931E-12</v>
      </c>
      <c r="AP52" s="51">
        <f t="shared" si="28"/>
        <v>6.7643668444361538E-12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102C-719B-4BD3-9848-A33207ADDC2E}">
  <dimension ref="A1:BG83"/>
  <sheetViews>
    <sheetView zoomScaleNormal="100" workbookViewId="0">
      <pane xSplit="2" ySplit="3" topLeftCell="AB4" activePane="bottomRight" state="frozen"/>
      <selection activeCell="M14" sqref="M14"/>
      <selection pane="topRight" activeCell="M14" sqref="M14"/>
      <selection pane="bottomLeft" activeCell="M14" sqref="M14"/>
      <selection pane="bottomRight" activeCell="M14" sqref="M14"/>
    </sheetView>
  </sheetViews>
  <sheetFormatPr defaultColWidth="9" defaultRowHeight="11.25" x14ac:dyDescent="0.2"/>
  <cols>
    <col min="1" max="1" width="4.1640625" style="41" customWidth="1"/>
    <col min="2" max="2" width="46.6640625" style="41" customWidth="1"/>
    <col min="3" max="22" width="9.33203125" style="41" hidden="1" customWidth="1"/>
    <col min="23" max="27" width="9" style="41" hidden="1" customWidth="1"/>
    <col min="28" max="28" width="9" style="41" customWidth="1"/>
    <col min="29" max="40" width="11.33203125" style="41" bestFit="1" customWidth="1"/>
    <col min="41" max="50" width="9" style="41" customWidth="1"/>
    <col min="51" max="16384" width="9" style="41"/>
  </cols>
  <sheetData>
    <row r="1" spans="1:59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59" ht="12" thickBot="1" x14ac:dyDescent="0.25">
      <c r="A2" s="40"/>
      <c r="B2" s="40" t="s">
        <v>131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 spans="1:59" ht="12" thickBot="1" x14ac:dyDescent="0.25">
      <c r="A3" s="40"/>
      <c r="B3" s="58"/>
      <c r="C3" s="44">
        <f>SBO!C3</f>
        <v>1994</v>
      </c>
      <c r="D3" s="44">
        <f>SBO!D3</f>
        <v>1995</v>
      </c>
      <c r="E3" s="44">
        <f>SBO!E3</f>
        <v>1996</v>
      </c>
      <c r="F3" s="44">
        <f>SBO!F3</f>
        <v>1997</v>
      </c>
      <c r="G3" s="44">
        <f>SBO!G3</f>
        <v>1998</v>
      </c>
      <c r="H3" s="44">
        <f>SBO!H3</f>
        <v>1999</v>
      </c>
      <c r="I3" s="44">
        <f>SBO!I3</f>
        <v>2000</v>
      </c>
      <c r="J3" s="44">
        <f>SBO!J3</f>
        <v>2001</v>
      </c>
      <c r="K3" s="44">
        <f>SBO!K3</f>
        <v>2002</v>
      </c>
      <c r="L3" s="44">
        <f>SBO!L3</f>
        <v>2003</v>
      </c>
      <c r="M3" s="44">
        <f>SBO!M3</f>
        <v>2004</v>
      </c>
      <c r="N3" s="44">
        <f>SBO!N3</f>
        <v>2005</v>
      </c>
      <c r="O3" s="44">
        <f>SBO!O3</f>
        <v>2006</v>
      </c>
      <c r="P3" s="44">
        <f>SBO!P3</f>
        <v>2007</v>
      </c>
      <c r="Q3" s="44">
        <f>SBO!Q3</f>
        <v>2008</v>
      </c>
      <c r="R3" s="44">
        <f>SBO!R3</f>
        <v>2009</v>
      </c>
      <c r="S3" s="44">
        <f>SBO!S3</f>
        <v>2010</v>
      </c>
      <c r="T3" s="44">
        <f>SBO!T3</f>
        <v>2011</v>
      </c>
      <c r="U3" s="44">
        <f>SBO!U3</f>
        <v>2012</v>
      </c>
      <c r="V3" s="44">
        <f>SBO!V3</f>
        <v>2013</v>
      </c>
      <c r="W3" s="44">
        <f>SBO!W3</f>
        <v>2014</v>
      </c>
      <c r="X3" s="44">
        <f>SBO!X3</f>
        <v>2015</v>
      </c>
      <c r="Y3" s="44">
        <f>SBO!Y3</f>
        <v>2016</v>
      </c>
      <c r="Z3" s="44">
        <f>SBO!Z3</f>
        <v>2017</v>
      </c>
      <c r="AA3" s="44">
        <f>SBO!AA3</f>
        <v>2018</v>
      </c>
      <c r="AB3" s="44">
        <f>SBO!AB3</f>
        <v>2019</v>
      </c>
      <c r="AC3" s="44">
        <f>SBO!AC3</f>
        <v>2020</v>
      </c>
      <c r="AD3" s="44">
        <f>SBO!AD3</f>
        <v>2021</v>
      </c>
      <c r="AE3" s="44">
        <f>SBO!AE3</f>
        <v>2022</v>
      </c>
      <c r="AF3" s="44">
        <f>SBO!AF3</f>
        <v>2023</v>
      </c>
      <c r="AG3" s="44">
        <f>SBO!AG3</f>
        <v>2024</v>
      </c>
      <c r="AH3" s="44">
        <f>SBO!AH3</f>
        <v>2025</v>
      </c>
      <c r="AI3" s="44">
        <f>SBO!AI3</f>
        <v>2026</v>
      </c>
      <c r="AJ3" s="44">
        <f>SBO!AJ3</f>
        <v>2027</v>
      </c>
      <c r="AK3" s="44">
        <f>SBO!AK3</f>
        <v>2028</v>
      </c>
      <c r="AL3" s="44">
        <f>SBO!AL3</f>
        <v>2029</v>
      </c>
      <c r="AM3" s="44">
        <f>SBO!AM3</f>
        <v>2030</v>
      </c>
      <c r="AN3" s="44">
        <f>SBO!AN3</f>
        <v>2031</v>
      </c>
      <c r="AO3" s="44">
        <f>SBO!AO3</f>
        <v>2032</v>
      </c>
      <c r="AP3" s="44">
        <f>SBO!AP3</f>
        <v>2033</v>
      </c>
      <c r="AQ3" s="44">
        <f>SBO!AQ3</f>
        <v>2034</v>
      </c>
      <c r="AR3" s="44">
        <f>SBO!AR3</f>
        <v>2035</v>
      </c>
      <c r="AS3" s="44">
        <f>SBO!AS3</f>
        <v>2036</v>
      </c>
      <c r="AT3" s="44">
        <f>SBO!AT3</f>
        <v>2037</v>
      </c>
      <c r="AU3" s="44">
        <f>SBO!AU3</f>
        <v>2038</v>
      </c>
      <c r="AV3" s="44">
        <f>SBO!AV3</f>
        <v>2039</v>
      </c>
      <c r="AW3" s="44">
        <f>SBO!AW3</f>
        <v>2040</v>
      </c>
      <c r="AX3" s="44">
        <f>SBO!AX3</f>
        <v>2041</v>
      </c>
      <c r="AY3" s="44">
        <f>SBO!AY3</f>
        <v>2042</v>
      </c>
      <c r="AZ3" s="44">
        <f>SBO!AZ3</f>
        <v>2043</v>
      </c>
      <c r="BA3" s="44">
        <f>SBO!BA3</f>
        <v>2044</v>
      </c>
      <c r="BB3" s="44">
        <f>SBO!BB3</f>
        <v>2045</v>
      </c>
      <c r="BC3" s="44">
        <f>SBO!BC3</f>
        <v>2046</v>
      </c>
      <c r="BD3" s="44">
        <f>SBO!BD3</f>
        <v>2047</v>
      </c>
      <c r="BE3" s="44">
        <f>SBO!BE3</f>
        <v>2048</v>
      </c>
      <c r="BF3" s="44">
        <f>SBO!BF3</f>
        <v>2049</v>
      </c>
      <c r="BG3" s="44">
        <f>SBO!BG3</f>
        <v>2050</v>
      </c>
    </row>
    <row r="4" spans="1:59" x14ac:dyDescent="0.2">
      <c r="A4" s="40"/>
      <c r="B4" s="57" t="s">
        <v>70</v>
      </c>
      <c r="C4" s="45" t="e">
        <f>SUM(C5:C10)</f>
        <v>#REF!</v>
      </c>
      <c r="D4" s="45" t="e">
        <f t="shared" ref="D4:BG4" si="0">SUM(D5:D10)</f>
        <v>#REF!</v>
      </c>
      <c r="E4" s="45" t="e">
        <f t="shared" si="0"/>
        <v>#REF!</v>
      </c>
      <c r="F4" s="45" t="e">
        <f t="shared" si="0"/>
        <v>#REF!</v>
      </c>
      <c r="G4" s="45" t="e">
        <f t="shared" si="0"/>
        <v>#REF!</v>
      </c>
      <c r="H4" s="45" t="e">
        <f t="shared" si="0"/>
        <v>#REF!</v>
      </c>
      <c r="I4" s="45" t="e">
        <f t="shared" si="0"/>
        <v>#REF!</v>
      </c>
      <c r="J4" s="45" t="e">
        <f t="shared" si="0"/>
        <v>#REF!</v>
      </c>
      <c r="K4" s="45" t="e">
        <f t="shared" si="0"/>
        <v>#REF!</v>
      </c>
      <c r="L4" s="45" t="e">
        <f t="shared" si="0"/>
        <v>#REF!</v>
      </c>
      <c r="M4" s="45" t="e">
        <f t="shared" si="0"/>
        <v>#REF!</v>
      </c>
      <c r="N4" s="45" t="e">
        <f t="shared" si="0"/>
        <v>#REF!</v>
      </c>
      <c r="O4" s="45" t="e">
        <f t="shared" si="0"/>
        <v>#REF!</v>
      </c>
      <c r="P4" s="45" t="e">
        <f t="shared" si="0"/>
        <v>#REF!</v>
      </c>
      <c r="Q4" s="45" t="e">
        <f t="shared" si="0"/>
        <v>#REF!</v>
      </c>
      <c r="R4" s="45" t="e">
        <f t="shared" si="0"/>
        <v>#REF!</v>
      </c>
      <c r="S4" s="45" t="e">
        <f t="shared" si="0"/>
        <v>#REF!</v>
      </c>
      <c r="T4" s="45" t="e">
        <f t="shared" si="0"/>
        <v>#REF!</v>
      </c>
      <c r="U4" s="45" t="e">
        <f t="shared" si="0"/>
        <v>#REF!</v>
      </c>
      <c r="V4" s="45" t="e">
        <f t="shared" si="0"/>
        <v>#REF!</v>
      </c>
      <c r="W4" s="45" t="e">
        <f t="shared" si="0"/>
        <v>#REF!</v>
      </c>
      <c r="X4" s="45" t="e">
        <f t="shared" si="0"/>
        <v>#REF!</v>
      </c>
      <c r="Y4" s="45" t="e">
        <f t="shared" si="0"/>
        <v>#REF!</v>
      </c>
      <c r="Z4" s="45" t="e">
        <f t="shared" si="0"/>
        <v>#REF!</v>
      </c>
      <c r="AA4" s="45" t="e">
        <f t="shared" si="0"/>
        <v>#REF!</v>
      </c>
      <c r="AB4" s="45">
        <f t="shared" si="0"/>
        <v>344.01737299438275</v>
      </c>
      <c r="AC4" s="45">
        <f t="shared" si="0"/>
        <v>352.37255216141568</v>
      </c>
      <c r="AD4" s="45">
        <f t="shared" si="0"/>
        <v>337.45590519573432</v>
      </c>
      <c r="AE4" s="45">
        <f t="shared" si="0"/>
        <v>341.54413521914501</v>
      </c>
      <c r="AF4" s="45">
        <f t="shared" si="0"/>
        <v>380.43265700338674</v>
      </c>
      <c r="AG4" s="45">
        <f t="shared" si="0"/>
        <v>324.45982661333051</v>
      </c>
      <c r="AH4" s="60">
        <f t="shared" si="0"/>
        <v>289.31510051178464</v>
      </c>
      <c r="AI4" s="60">
        <f t="shared" si="0"/>
        <v>1281.7201089718312</v>
      </c>
      <c r="AJ4" s="60">
        <f t="shared" si="0"/>
        <v>2191.4781750206153</v>
      </c>
      <c r="AK4" s="60">
        <f t="shared" si="0"/>
        <v>3946.6677618093731</v>
      </c>
      <c r="AL4" s="60">
        <f t="shared" si="0"/>
        <v>7368.8350093150011</v>
      </c>
      <c r="AM4" s="60">
        <f t="shared" si="0"/>
        <v>9996.2670381031639</v>
      </c>
      <c r="AN4" s="60">
        <f t="shared" si="0"/>
        <v>12912.586638436544</v>
      </c>
      <c r="AO4" s="60">
        <f t="shared" si="0"/>
        <v>16078.180098856266</v>
      </c>
      <c r="AP4" s="60">
        <f t="shared" si="0"/>
        <v>20043.681211863797</v>
      </c>
      <c r="AQ4" s="60">
        <f t="shared" si="0"/>
        <v>25640.84734836833</v>
      </c>
      <c r="AR4" s="60">
        <f t="shared" si="0"/>
        <v>31586.238872715581</v>
      </c>
      <c r="AS4" s="60">
        <f t="shared" si="0"/>
        <v>37477.058594570328</v>
      </c>
      <c r="AT4" s="60">
        <f t="shared" si="0"/>
        <v>41852.200685554257</v>
      </c>
      <c r="AU4" s="60">
        <f t="shared" si="0"/>
        <v>47667.029341711364</v>
      </c>
      <c r="AV4" s="60">
        <f t="shared" si="0"/>
        <v>53944.435667623278</v>
      </c>
      <c r="AW4" s="60">
        <f t="shared" si="0"/>
        <v>58786.429865478662</v>
      </c>
      <c r="AX4" s="60">
        <f t="shared" si="0"/>
        <v>64260.574671783455</v>
      </c>
      <c r="AY4" s="60">
        <f t="shared" si="0"/>
        <v>69132.977312256422</v>
      </c>
      <c r="AZ4" s="60">
        <f t="shared" si="0"/>
        <v>73931.625135148322</v>
      </c>
      <c r="BA4" s="60">
        <f t="shared" si="0"/>
        <v>78135.923982198146</v>
      </c>
      <c r="BB4" s="60">
        <f t="shared" si="0"/>
        <v>81902.790576746018</v>
      </c>
      <c r="BC4" s="60">
        <f t="shared" si="0"/>
        <v>86934.203119439378</v>
      </c>
      <c r="BD4" s="60">
        <f t="shared" si="0"/>
        <v>91410.633704849941</v>
      </c>
      <c r="BE4" s="60">
        <f t="shared" si="0"/>
        <v>98394.609768768394</v>
      </c>
      <c r="BF4" s="60">
        <f t="shared" si="0"/>
        <v>103507.98513747922</v>
      </c>
      <c r="BG4" s="60">
        <f t="shared" si="0"/>
        <v>110022.34957202448</v>
      </c>
    </row>
    <row r="5" spans="1:59" x14ac:dyDescent="0.2">
      <c r="A5" s="40"/>
      <c r="B5" s="61" t="s">
        <v>132</v>
      </c>
      <c r="C5" s="62" t="e">
        <f>'Inedible Tallow'!C4</f>
        <v>#REF!</v>
      </c>
      <c r="D5" s="62" t="e">
        <f>'Inedible Tallow'!D4</f>
        <v>#REF!</v>
      </c>
      <c r="E5" s="62" t="e">
        <f>'Inedible Tallow'!E4</f>
        <v>#REF!</v>
      </c>
      <c r="F5" s="62" t="e">
        <f>'Inedible Tallow'!F4</f>
        <v>#REF!</v>
      </c>
      <c r="G5" s="62" t="e">
        <f>'Inedible Tallow'!G4</f>
        <v>#REF!</v>
      </c>
      <c r="H5" s="62" t="e">
        <f>'Inedible Tallow'!H4</f>
        <v>#REF!</v>
      </c>
      <c r="I5" s="62" t="e">
        <f>'Inedible Tallow'!I4</f>
        <v>#REF!</v>
      </c>
      <c r="J5" s="62" t="e">
        <f>'Inedible Tallow'!J4</f>
        <v>#REF!</v>
      </c>
      <c r="K5" s="62" t="e">
        <f>'Inedible Tallow'!K4</f>
        <v>#REF!</v>
      </c>
      <c r="L5" s="62" t="e">
        <f>'Inedible Tallow'!L4</f>
        <v>#REF!</v>
      </c>
      <c r="M5" s="62" t="e">
        <f>'Inedible Tallow'!M4</f>
        <v>#REF!</v>
      </c>
      <c r="N5" s="62" t="e">
        <f>'Inedible Tallow'!N4</f>
        <v>#REF!</v>
      </c>
      <c r="O5" s="62" t="e">
        <f>'Inedible Tallow'!O4</f>
        <v>#REF!</v>
      </c>
      <c r="P5" s="62" t="e">
        <f>'Inedible Tallow'!P4</f>
        <v>#REF!</v>
      </c>
      <c r="Q5" s="62" t="e">
        <f>'Inedible Tallow'!Q4</f>
        <v>#REF!</v>
      </c>
      <c r="R5" s="62" t="e">
        <f>'Inedible Tallow'!R4</f>
        <v>#REF!</v>
      </c>
      <c r="S5" s="62" t="e">
        <f>'Inedible Tallow'!S4</f>
        <v>#REF!</v>
      </c>
      <c r="T5" s="62" t="e">
        <f>'Inedible Tallow'!T4</f>
        <v>#REF!</v>
      </c>
      <c r="U5" s="62" t="e">
        <f>'Inedible Tallow'!U4</f>
        <v>#REF!</v>
      </c>
      <c r="V5" s="62" t="e">
        <f>'Inedible Tallow'!V4</f>
        <v>#REF!</v>
      </c>
      <c r="W5" s="62" t="e">
        <f>'Inedible Tallow'!W4</f>
        <v>#REF!</v>
      </c>
      <c r="X5" s="62" t="e">
        <f>'Inedible Tallow'!X4</f>
        <v>#REF!</v>
      </c>
      <c r="Y5" s="62" t="e">
        <f>'Inedible Tallow'!Y4</f>
        <v>#REF!</v>
      </c>
      <c r="Z5" s="62" t="e">
        <f>'Inedible Tallow'!Z4</f>
        <v>#REF!</v>
      </c>
      <c r="AA5" s="62" t="e">
        <f>'Inedible Tallow'!AA4</f>
        <v>#REF!</v>
      </c>
      <c r="AB5" s="62">
        <f>'Inedible Tallow'!AB4</f>
        <v>106.214</v>
      </c>
      <c r="AC5" s="62">
        <f>'Inedible Tallow'!AC4</f>
        <v>100.782</v>
      </c>
      <c r="AD5" s="62">
        <f>'Inedible Tallow'!AD4</f>
        <v>90.846999999999994</v>
      </c>
      <c r="AE5" s="62">
        <f>'Inedible Tallow'!AE4</f>
        <v>93</v>
      </c>
      <c r="AF5" s="62">
        <f>'Inedible Tallow'!AF4</f>
        <v>119.997</v>
      </c>
      <c r="AG5" s="62">
        <f>'Inedible Tallow'!AG4</f>
        <v>82.706000000000003</v>
      </c>
      <c r="AH5" s="62">
        <f>'Inedible Tallow'!AH4</f>
        <v>65.438000000000002</v>
      </c>
      <c r="AI5" s="62">
        <f>'Inedible Tallow'!AI4</f>
        <v>318.30876476377648</v>
      </c>
      <c r="AJ5" s="62">
        <f>'Inedible Tallow'!AJ4</f>
        <v>1137.5848194295436</v>
      </c>
      <c r="AK5" s="62">
        <f>'Inedible Tallow'!AK4</f>
        <v>1509.5153628843632</v>
      </c>
      <c r="AL5" s="62">
        <f>'Inedible Tallow'!AL4</f>
        <v>1957.4838145320998</v>
      </c>
      <c r="AM5" s="62">
        <f>'Inedible Tallow'!AM4</f>
        <v>2539.2011296632963</v>
      </c>
      <c r="AN5" s="62">
        <f>'Inedible Tallow'!AN4</f>
        <v>3250.4879001720374</v>
      </c>
      <c r="AO5" s="62">
        <f>'Inedible Tallow'!AO4</f>
        <v>3873.4219795480635</v>
      </c>
      <c r="AP5" s="62">
        <f>'Inedible Tallow'!AP4</f>
        <v>4671.8618922537353</v>
      </c>
      <c r="AQ5" s="62">
        <f>'Inedible Tallow'!AQ4</f>
        <v>5551.1238465478191</v>
      </c>
      <c r="AR5" s="62">
        <f>'Inedible Tallow'!AR4</f>
        <v>6456.308424220274</v>
      </c>
      <c r="AS5" s="62">
        <f>'Inedible Tallow'!AS4</f>
        <v>7355.276974557326</v>
      </c>
      <c r="AT5" s="62">
        <f>'Inedible Tallow'!AT4</f>
        <v>8296.763610752836</v>
      </c>
      <c r="AU5" s="62">
        <f>'Inedible Tallow'!AU4</f>
        <v>9199.5514133122742</v>
      </c>
      <c r="AV5" s="62">
        <f>'Inedible Tallow'!AV4</f>
        <v>10185.957010738237</v>
      </c>
      <c r="AW5" s="62">
        <f>'Inedible Tallow'!AW4</f>
        <v>11251.90275631763</v>
      </c>
      <c r="AX5" s="62">
        <f>'Inedible Tallow'!AX4</f>
        <v>12231.583653136775</v>
      </c>
      <c r="AY5" s="62">
        <f>'Inedible Tallow'!AY4</f>
        <v>13239.57071627219</v>
      </c>
      <c r="AZ5" s="62">
        <f>'Inedible Tallow'!AZ4</f>
        <v>14294.20639939477</v>
      </c>
      <c r="BA5" s="62">
        <f>'Inedible Tallow'!BA4</f>
        <v>15418.901323154272</v>
      </c>
      <c r="BB5" s="62">
        <f>'Inedible Tallow'!BB4</f>
        <v>16559.280080934979</v>
      </c>
      <c r="BC5" s="62">
        <f>'Inedible Tallow'!BC4</f>
        <v>17707.257216459042</v>
      </c>
      <c r="BD5" s="62">
        <f>'Inedible Tallow'!BD4</f>
        <v>18847.954144082549</v>
      </c>
      <c r="BE5" s="62">
        <f>'Inedible Tallow'!BE4</f>
        <v>20021.375982833408</v>
      </c>
      <c r="BF5" s="62">
        <f>'Inedible Tallow'!BF4</f>
        <v>21243.386237809493</v>
      </c>
      <c r="BG5" s="62">
        <f>'Inedible Tallow'!BG4</f>
        <v>22460.037592923971</v>
      </c>
    </row>
    <row r="6" spans="1:59" x14ac:dyDescent="0.2">
      <c r="A6" s="40"/>
      <c r="B6" s="40" t="s">
        <v>133</v>
      </c>
      <c r="C6" s="45">
        <f>'Yellow Grease'!C4</f>
        <v>101.80031020907023</v>
      </c>
      <c r="D6" s="45">
        <f>'Yellow Grease'!D4</f>
        <v>104.02239198119223</v>
      </c>
      <c r="E6" s="45">
        <f>'Yellow Grease'!E4</f>
        <v>84.869557839917633</v>
      </c>
      <c r="F6" s="45">
        <f>'Yellow Grease'!F4</f>
        <v>82.701599340746085</v>
      </c>
      <c r="G6" s="45">
        <f>'Yellow Grease'!G4</f>
        <v>95.382232490888455</v>
      </c>
      <c r="H6" s="45">
        <f>'Yellow Grease'!H4</f>
        <v>99.102131963525238</v>
      </c>
      <c r="I6" s="45">
        <f>'Yellow Grease'!I4</f>
        <v>89.267075026034973</v>
      </c>
      <c r="J6" s="45">
        <f>'Yellow Grease'!J4</f>
        <v>71.197399136576919</v>
      </c>
      <c r="K6" s="45">
        <f>'Yellow Grease'!K4</f>
        <v>82.486256682034281</v>
      </c>
      <c r="L6" s="45">
        <f>'Yellow Grease'!L4</f>
        <v>61.786998894083453</v>
      </c>
      <c r="M6" s="45">
        <f>'Yellow Grease'!M4</f>
        <v>62.365952199999988</v>
      </c>
      <c r="N6" s="45">
        <f>'Yellow Grease'!N4</f>
        <v>74.212704000000002</v>
      </c>
      <c r="O6" s="45">
        <f>'Yellow Grease'!O4</f>
        <v>68.352831171199995</v>
      </c>
      <c r="P6" s="45">
        <f>'Yellow Grease'!P4</f>
        <v>74.105648118600001</v>
      </c>
      <c r="Q6" s="45">
        <f>'Yellow Grease'!Q4</f>
        <v>62.688645799999996</v>
      </c>
      <c r="R6" s="45">
        <f>'Yellow Grease'!R4</f>
        <v>108.08640440760001</v>
      </c>
      <c r="S6" s="45">
        <f>'Yellow Grease'!S4</f>
        <v>34.79694039999999</v>
      </c>
      <c r="T6" s="45">
        <f>'Yellow Grease'!T4</f>
        <v>20.483886500000004</v>
      </c>
      <c r="U6" s="45">
        <f>'Yellow Grease'!U4</f>
        <v>47.542315290778681</v>
      </c>
      <c r="V6" s="45">
        <f>'Yellow Grease'!V4</f>
        <v>78.797356417204327</v>
      </c>
      <c r="W6" s="45">
        <f>'Yellow Grease'!W4</f>
        <v>47.866547642397805</v>
      </c>
      <c r="X6" s="45">
        <f>'Yellow Grease'!X4</f>
        <v>48.083573577697464</v>
      </c>
      <c r="Y6" s="45">
        <f>'Yellow Grease'!Y4</f>
        <v>98.060416623635049</v>
      </c>
      <c r="Z6" s="45">
        <f>'Yellow Grease'!Z4</f>
        <v>69.915189524505621</v>
      </c>
      <c r="AA6" s="45">
        <f>'Yellow Grease'!AA4</f>
        <v>78.714340522118704</v>
      </c>
      <c r="AB6" s="45">
        <f>'Yellow Grease'!AB4</f>
        <v>9.3368000000000002</v>
      </c>
      <c r="AC6" s="45">
        <f>'Yellow Grease'!AC4</f>
        <v>9.0620000000000012</v>
      </c>
      <c r="AD6" s="45">
        <f>'Yellow Grease'!AD4</f>
        <v>8.8033000000000001</v>
      </c>
      <c r="AE6" s="45">
        <f>'Yellow Grease'!AE4</f>
        <v>9.0984999999999996</v>
      </c>
      <c r="AF6" s="45">
        <f>'Yellow Grease'!AF4</f>
        <v>9.8977000000000004</v>
      </c>
      <c r="AG6" s="45">
        <f>'Yellow Grease'!AG4</f>
        <v>10.350000000000001</v>
      </c>
      <c r="AH6" s="45">
        <f>'Yellow Grease'!AH4</f>
        <v>9.6600000000000019</v>
      </c>
      <c r="AI6" s="45">
        <f>'Yellow Grease'!AI4</f>
        <v>8.0027494845708702</v>
      </c>
      <c r="AJ6" s="45">
        <f>'Yellow Grease'!AJ4</f>
        <v>9.7261176830159286</v>
      </c>
      <c r="AK6" s="45">
        <f>'Yellow Grease'!AK4</f>
        <v>9.5826344638105354</v>
      </c>
      <c r="AL6" s="45">
        <f>'Yellow Grease'!AL4</f>
        <v>11.600927601980857</v>
      </c>
      <c r="AM6" s="45">
        <f>'Yellow Grease'!AM4</f>
        <v>7.6628932353370942</v>
      </c>
      <c r="AN6" s="45">
        <f>'Yellow Grease'!AN4</f>
        <v>7.3199355901694219</v>
      </c>
      <c r="AO6" s="45">
        <f>'Yellow Grease'!AO4</f>
        <v>9.401506631164068</v>
      </c>
      <c r="AP6" s="45">
        <f>'Yellow Grease'!AP4</f>
        <v>11.507594799071313</v>
      </c>
      <c r="AQ6" s="45">
        <f>'Yellow Grease'!AQ4</f>
        <v>11.074545822530183</v>
      </c>
      <c r="AR6" s="45">
        <f>'Yellow Grease'!AR4</f>
        <v>7.3160914386795355</v>
      </c>
      <c r="AS6" s="45">
        <f>'Yellow Grease'!AS4</f>
        <v>7.6343908503040439</v>
      </c>
      <c r="AT6" s="45">
        <f>'Yellow Grease'!AT4</f>
        <v>13.397442340893917</v>
      </c>
      <c r="AU6" s="45">
        <f>'Yellow Grease'!AU4</f>
        <v>5.3179015938720227</v>
      </c>
      <c r="AV6" s="45">
        <f>'Yellow Grease'!AV4</f>
        <v>-26.734256761286701</v>
      </c>
      <c r="AW6" s="45">
        <f>'Yellow Grease'!AW4</f>
        <v>10.084019808379594</v>
      </c>
      <c r="AX6" s="45">
        <f>'Yellow Grease'!AX4</f>
        <v>7.9697290622860635</v>
      </c>
      <c r="AY6" s="45">
        <f>'Yellow Grease'!AY4</f>
        <v>10.523825864032517</v>
      </c>
      <c r="AZ6" s="45">
        <f>'Yellow Grease'!AZ4</f>
        <v>14.662412692676298</v>
      </c>
      <c r="BA6" s="45">
        <f>'Yellow Grease'!BA4</f>
        <v>10.194771633725793</v>
      </c>
      <c r="BB6" s="45">
        <f>'Yellow Grease'!BB4</f>
        <v>11.730476321729725</v>
      </c>
      <c r="BC6" s="45">
        <f>'Yellow Grease'!BC4</f>
        <v>8.7853111808796598</v>
      </c>
      <c r="BD6" s="45">
        <f>'Yellow Grease'!BD4</f>
        <v>5.7469131188518929</v>
      </c>
      <c r="BE6" s="45">
        <f>'Yellow Grease'!BE4</f>
        <v>7.3868024194737245</v>
      </c>
      <c r="BF6" s="45">
        <f>'Yellow Grease'!BF4</f>
        <v>5.1167935471509622</v>
      </c>
      <c r="BG6" s="45">
        <f>'Yellow Grease'!BG4</f>
        <v>6.0040375027771802</v>
      </c>
    </row>
    <row r="7" spans="1:59" x14ac:dyDescent="0.2">
      <c r="A7" s="40"/>
      <c r="B7" s="40" t="s">
        <v>134</v>
      </c>
      <c r="C7" s="45">
        <f>UCO!C4</f>
        <v>124.23748842289046</v>
      </c>
      <c r="D7" s="45">
        <f>UCO!D4</f>
        <v>132.29077300781483</v>
      </c>
      <c r="E7" s="45">
        <f>UCO!E4</f>
        <v>112.16838568412425</v>
      </c>
      <c r="F7" s="45">
        <f>UCO!F4</f>
        <v>109.4644614663614</v>
      </c>
      <c r="G7" s="45">
        <f>UCO!G4</f>
        <v>114.19007378621234</v>
      </c>
      <c r="H7" s="45">
        <f>UCO!H4</f>
        <v>124.05378341094512</v>
      </c>
      <c r="I7" s="45">
        <f>UCO!I4</f>
        <v>103.72409947288517</v>
      </c>
      <c r="J7" s="45">
        <f>UCO!J4</f>
        <v>106.92040168671249</v>
      </c>
      <c r="K7" s="45">
        <f>UCO!K4</f>
        <v>121.38104282050747</v>
      </c>
      <c r="L7" s="45">
        <f>UCO!L4</f>
        <v>110.02974175675085</v>
      </c>
      <c r="M7" s="45">
        <f>UCO!M4</f>
        <v>117.86445624792935</v>
      </c>
      <c r="N7" s="45">
        <f>UCO!N4</f>
        <v>124.49629613624634</v>
      </c>
      <c r="O7" s="45">
        <f>UCO!O4</f>
        <v>122.10238781863592</v>
      </c>
      <c r="P7" s="45">
        <f>UCO!P4</f>
        <v>108.03673056373489</v>
      </c>
      <c r="Q7" s="45">
        <f>UCO!Q4</f>
        <v>102.98652142607303</v>
      </c>
      <c r="R7" s="45">
        <f>UCO!R4</f>
        <v>144.09598939997537</v>
      </c>
      <c r="S7" s="45">
        <f>UCO!S4</f>
        <v>100.2511680090069</v>
      </c>
      <c r="T7" s="45">
        <f>UCO!T4</f>
        <v>92.984013182629397</v>
      </c>
      <c r="U7" s="45">
        <f>UCO!U4</f>
        <v>87.96707570462236</v>
      </c>
      <c r="V7" s="45">
        <f>UCO!V4</f>
        <v>104.78900083338131</v>
      </c>
      <c r="W7" s="45">
        <f>UCO!W4</f>
        <v>51.353261903573127</v>
      </c>
      <c r="X7" s="45">
        <f>UCO!X4</f>
        <v>53.768066141284208</v>
      </c>
      <c r="Y7" s="45">
        <f>UCO!Y4</f>
        <v>59.060658429072987</v>
      </c>
      <c r="Z7" s="45">
        <f>UCO!Z4</f>
        <v>47.433002706579401</v>
      </c>
      <c r="AA7" s="45">
        <f>UCO!AA4</f>
        <v>41.351869935892395</v>
      </c>
      <c r="AB7" s="45">
        <f>UCO!AB4</f>
        <v>84.031199999999998</v>
      </c>
      <c r="AC7" s="45">
        <f>UCO!AC4</f>
        <v>81.558000000000007</v>
      </c>
      <c r="AD7" s="45">
        <f>UCO!AD4</f>
        <v>79.229700000000008</v>
      </c>
      <c r="AE7" s="45">
        <f>UCO!AE4</f>
        <v>81.886499999999998</v>
      </c>
      <c r="AF7" s="45">
        <f>UCO!AF4</f>
        <v>89.079300000000003</v>
      </c>
      <c r="AG7" s="45">
        <f>UCO!AG4</f>
        <v>93.15</v>
      </c>
      <c r="AH7" s="45">
        <f>UCO!AH4</f>
        <v>86.940000000000012</v>
      </c>
      <c r="AI7" s="45">
        <f>UCO!AI4</f>
        <v>718.23893285134227</v>
      </c>
      <c r="AJ7" s="45">
        <f>UCO!AJ4</f>
        <v>638.89966329445349</v>
      </c>
      <c r="AK7" s="45">
        <f>UCO!AK4</f>
        <v>1994.2349358564047</v>
      </c>
      <c r="AL7" s="45">
        <f>UCO!AL4</f>
        <v>4893.6287303635572</v>
      </c>
      <c r="AM7" s="45">
        <f>UCO!AM4</f>
        <v>6853.4629526445178</v>
      </c>
      <c r="AN7" s="45">
        <f>UCO!AN4</f>
        <v>8950.6710912594917</v>
      </c>
      <c r="AO7" s="45">
        <f>UCO!AO4</f>
        <v>11391.919971614097</v>
      </c>
      <c r="AP7" s="45">
        <f>UCO!AP4</f>
        <v>14449.75416231304</v>
      </c>
      <c r="AQ7" s="45">
        <f>UCO!AQ4</f>
        <v>19063.361374732449</v>
      </c>
      <c r="AR7" s="45">
        <f>UCO!AR4</f>
        <v>23993.167724399522</v>
      </c>
      <c r="AS7" s="45">
        <f>UCO!AS4</f>
        <v>28870.95415094179</v>
      </c>
      <c r="AT7" s="45">
        <f>UCO!AT4</f>
        <v>32180.090024205085</v>
      </c>
      <c r="AU7" s="45">
        <f>UCO!AU4</f>
        <v>36964.552117023071</v>
      </c>
      <c r="AV7" s="45">
        <f>UCO!AV4</f>
        <v>42166.225884778833</v>
      </c>
      <c r="AW7" s="45">
        <f>UCO!AW4</f>
        <v>45713.43272184016</v>
      </c>
      <c r="AX7" s="45">
        <f>UCO!AX4</f>
        <v>49972.940892458864</v>
      </c>
      <c r="AY7" s="45">
        <f>UCO!AY4</f>
        <v>53685.673848947852</v>
      </c>
      <c r="AZ7" s="45">
        <f>UCO!AZ4</f>
        <v>57263.030226743387</v>
      </c>
      <c r="BA7" s="45">
        <f>UCO!BA4</f>
        <v>60115.116021051668</v>
      </c>
      <c r="BB7" s="45">
        <f>UCO!BB4</f>
        <v>62597.296769190798</v>
      </c>
      <c r="BC7" s="45">
        <f>UCO!BC4</f>
        <v>66310.659053992946</v>
      </c>
      <c r="BD7" s="45">
        <f>UCO!BD4</f>
        <v>69549.901232365068</v>
      </c>
      <c r="BE7" s="45">
        <f>UCO!BE4</f>
        <v>75244.143415726998</v>
      </c>
      <c r="BF7" s="45">
        <f>UCO!BF4</f>
        <v>79050.909844716574</v>
      </c>
      <c r="BG7" s="45">
        <f>UCO!BG4</f>
        <v>84240.221009444722</v>
      </c>
    </row>
    <row r="8" spans="1:59" x14ac:dyDescent="0.2">
      <c r="A8" s="40"/>
      <c r="B8" s="40" t="s">
        <v>135</v>
      </c>
      <c r="C8" s="45">
        <f>CWG!C4</f>
        <v>0</v>
      </c>
      <c r="D8" s="45">
        <f>CWG!D4</f>
        <v>0</v>
      </c>
      <c r="E8" s="45">
        <f>CWG!E4</f>
        <v>0</v>
      </c>
      <c r="F8" s="45">
        <f>CWG!F4</f>
        <v>0</v>
      </c>
      <c r="G8" s="45">
        <f>CWG!G4</f>
        <v>0</v>
      </c>
      <c r="H8" s="45">
        <f>CWG!H4</f>
        <v>0</v>
      </c>
      <c r="I8" s="45">
        <f>CWG!I4</f>
        <v>0</v>
      </c>
      <c r="J8" s="45">
        <f>CWG!J4</f>
        <v>0</v>
      </c>
      <c r="K8" s="45">
        <f>CWG!K4</f>
        <v>0</v>
      </c>
      <c r="L8" s="45">
        <f>CWG!L4</f>
        <v>0</v>
      </c>
      <c r="M8" s="45">
        <f>CWG!M4</f>
        <v>10.390979017560001</v>
      </c>
      <c r="N8" s="45">
        <f>CWG!N4</f>
        <v>8.5963705306200016</v>
      </c>
      <c r="O8" s="45">
        <f>CWG!O4</f>
        <v>9.6175691834200023</v>
      </c>
      <c r="P8" s="45">
        <f>CWG!P4</f>
        <v>9.3183105979800001</v>
      </c>
      <c r="Q8" s="45">
        <f>CWG!Q4</f>
        <v>9.970618948080002</v>
      </c>
      <c r="R8" s="45">
        <f>CWG!R4</f>
        <v>10.156368106080002</v>
      </c>
      <c r="S8" s="45">
        <f>CWG!S4</f>
        <v>11.336998462580002</v>
      </c>
      <c r="T8" s="45">
        <f>CWG!T4</f>
        <v>14.250009242919999</v>
      </c>
      <c r="U8" s="45">
        <f>CWG!U4</f>
        <v>11.257745020879575</v>
      </c>
      <c r="V8" s="45">
        <f>CWG!V4</f>
        <v>10.66030118216711</v>
      </c>
      <c r="W8" s="45">
        <f>CWG!W4</f>
        <v>11.017527753700884</v>
      </c>
      <c r="X8" s="45">
        <f>CWG!X4</f>
        <v>10.93137871471963</v>
      </c>
      <c r="Y8" s="45">
        <f>CWG!Y4</f>
        <v>12.529860800000002</v>
      </c>
      <c r="Z8" s="45">
        <f>CWG!Z4</f>
        <v>13.109335300000001</v>
      </c>
      <c r="AA8" s="45">
        <f>CWG!AA4</f>
        <v>10.607712900000001</v>
      </c>
      <c r="AB8" s="45">
        <f>CWG!AB4</f>
        <v>9.7379999999999995</v>
      </c>
      <c r="AC8" s="45">
        <f>CWG!AC4</f>
        <v>9.577</v>
      </c>
      <c r="AD8" s="45">
        <f>CWG!AD4</f>
        <v>6.3150000000000004</v>
      </c>
      <c r="AE8" s="45">
        <f>CWG!AE4</f>
        <v>6.6539999999999999</v>
      </c>
      <c r="AF8" s="45">
        <f>CWG!AF4</f>
        <v>7.2759999999999998</v>
      </c>
      <c r="AG8" s="45">
        <f>CWG!AG4</f>
        <v>9.84</v>
      </c>
      <c r="AH8" s="45">
        <f>CWG!AH4</f>
        <v>9.6080105754946032</v>
      </c>
      <c r="AI8" s="45">
        <f>CWG!AI4</f>
        <v>10.727931434621837</v>
      </c>
      <c r="AJ8" s="45">
        <f>CWG!AJ4</f>
        <v>12.512487554254392</v>
      </c>
      <c r="AK8" s="45">
        <f>CWG!AK4</f>
        <v>11.226730201486788</v>
      </c>
      <c r="AL8" s="45">
        <f>CWG!AL4</f>
        <v>11.581530888928199</v>
      </c>
      <c r="AM8" s="45">
        <f>CWG!AM4</f>
        <v>13.611611498794588</v>
      </c>
      <c r="AN8" s="45">
        <f>CWG!AN4</f>
        <v>10.339362825015598</v>
      </c>
      <c r="AO8" s="45">
        <f>CWG!AO4</f>
        <v>11.72581678410458</v>
      </c>
      <c r="AP8" s="45">
        <f>CWG!AP4</f>
        <v>11.895358352381209</v>
      </c>
      <c r="AQ8" s="45">
        <f>CWG!AQ4</f>
        <v>12.181703222591096</v>
      </c>
      <c r="AR8" s="45">
        <f>CWG!AR4</f>
        <v>13.721114146732532</v>
      </c>
      <c r="AS8" s="45">
        <f>CWG!AS4</f>
        <v>14.552785889565456</v>
      </c>
      <c r="AT8" s="45">
        <f>CWG!AT4</f>
        <v>11.288010259967621</v>
      </c>
      <c r="AU8" s="45">
        <f>CWG!AU4</f>
        <v>10.136479229576622</v>
      </c>
      <c r="AV8" s="45">
        <f>CWG!AV4</f>
        <v>10.251426255539769</v>
      </c>
      <c r="AW8" s="45">
        <f>CWG!AW4</f>
        <v>12.920536367676675</v>
      </c>
      <c r="AX8" s="45">
        <f>CWG!AX4</f>
        <v>13.510918692794633</v>
      </c>
      <c r="AY8" s="45">
        <f>CWG!AY4</f>
        <v>11.134964104676754</v>
      </c>
      <c r="AZ8" s="45">
        <f>CWG!AZ4</f>
        <v>12.105053626827441</v>
      </c>
      <c r="BA8" s="45">
        <f>CWG!BA4</f>
        <v>16.532555408453703</v>
      </c>
      <c r="BB8" s="45">
        <f>CWG!BB4</f>
        <v>14.03018781405234</v>
      </c>
      <c r="BC8" s="45">
        <f>CWG!BC4</f>
        <v>13.110200808570823</v>
      </c>
      <c r="BD8" s="45">
        <f>CWG!BD4</f>
        <v>12.367362885797576</v>
      </c>
      <c r="BE8" s="45">
        <f>CWG!BE4</f>
        <v>10.755579959791504</v>
      </c>
      <c r="BF8" s="45">
        <f>CWG!BF4</f>
        <v>11.966728807854395</v>
      </c>
      <c r="BG8" s="45">
        <f>CWG!BG4</f>
        <v>10.919325545678078</v>
      </c>
    </row>
    <row r="9" spans="1:59" x14ac:dyDescent="0.2">
      <c r="A9" s="40"/>
      <c r="B9" s="40" t="s">
        <v>136</v>
      </c>
      <c r="C9" s="45">
        <f>'Poultry Fat'!C4</f>
        <v>30.444204991110038</v>
      </c>
      <c r="D9" s="45">
        <f>'Poultry Fat'!D4</f>
        <v>32.862166959604906</v>
      </c>
      <c r="E9" s="45">
        <f>'Poultry Fat'!E4</f>
        <v>36.972448918234093</v>
      </c>
      <c r="F9" s="45">
        <f>'Poultry Fat'!F4</f>
        <v>37.554420814512994</v>
      </c>
      <c r="G9" s="45">
        <f>'Poultry Fat'!G4</f>
        <v>48.462913885055443</v>
      </c>
      <c r="H9" s="45">
        <f>'Poultry Fat'!H4</f>
        <v>52.48109090608817</v>
      </c>
      <c r="I9" s="45">
        <f>'Poultry Fat'!I4</f>
        <v>59.89988911249462</v>
      </c>
      <c r="J9" s="45">
        <f>'Poultry Fat'!J4</f>
        <v>59.782507146331781</v>
      </c>
      <c r="K9" s="45">
        <f>'Poultry Fat'!K4</f>
        <v>64.365496620735257</v>
      </c>
      <c r="L9" s="45">
        <f>'Poultry Fat'!L4</f>
        <v>66.924167689000001</v>
      </c>
      <c r="M9" s="45">
        <f>'Poultry Fat'!M4</f>
        <v>65.26307954939999</v>
      </c>
      <c r="N9" s="45">
        <f>'Poultry Fat'!N4</f>
        <v>83.742062340800004</v>
      </c>
      <c r="O9" s="45">
        <f>'Poultry Fat'!O4</f>
        <v>94.301439972200001</v>
      </c>
      <c r="P9" s="45">
        <f>'Poultry Fat'!P4</f>
        <v>107.28537506839999</v>
      </c>
      <c r="Q9" s="45">
        <f>'Poultry Fat'!Q4</f>
        <v>106.68831212300003</v>
      </c>
      <c r="R9" s="45">
        <f>'Poultry Fat'!R4</f>
        <v>94.368619377800002</v>
      </c>
      <c r="S9" s="45">
        <f>'Poultry Fat'!S4</f>
        <v>97.140359431600004</v>
      </c>
      <c r="T9" s="45">
        <f>'Poultry Fat'!T4</f>
        <v>100.24229317199999</v>
      </c>
      <c r="U9" s="45">
        <f>'Poultry Fat'!U4</f>
        <v>85.040546715374191</v>
      </c>
      <c r="V9" s="45">
        <f>'Poultry Fat'!V4</f>
        <v>104.84780666384802</v>
      </c>
      <c r="W9" s="45">
        <f>'Poultry Fat'!W4</f>
        <v>102.71241224109467</v>
      </c>
      <c r="X9" s="45">
        <f>'Poultry Fat'!X4</f>
        <v>106.20153592981494</v>
      </c>
      <c r="Y9" s="45">
        <f>'Poultry Fat'!Y4</f>
        <v>176.79080552019997</v>
      </c>
      <c r="Z9" s="45">
        <f>'Poultry Fat'!Z4</f>
        <v>178.22217758919999</v>
      </c>
      <c r="AA9" s="45">
        <f>'Poultry Fat'!AA4</f>
        <v>192.97435249219998</v>
      </c>
      <c r="AB9" s="45">
        <f>'Poultry Fat'!AB4</f>
        <v>23.350999999999999</v>
      </c>
      <c r="AC9" s="45">
        <f>'Poultry Fat'!AC4</f>
        <v>31.498999999999999</v>
      </c>
      <c r="AD9" s="45">
        <f>'Poultry Fat'!AD4</f>
        <v>32.604999999999997</v>
      </c>
      <c r="AE9" s="45">
        <f>'Poultry Fat'!AE4</f>
        <v>29.689</v>
      </c>
      <c r="AF9" s="45">
        <f>'Poultry Fat'!AF4</f>
        <v>31.9</v>
      </c>
      <c r="AG9" s="45">
        <f>'Poultry Fat'!AG4</f>
        <v>35.591000000000001</v>
      </c>
      <c r="AH9" s="45">
        <f>'Poultry Fat'!AH4</f>
        <v>29.704000000000001</v>
      </c>
      <c r="AI9" s="45">
        <f>'Poultry Fat'!AI4</f>
        <v>46.296051502485767</v>
      </c>
      <c r="AJ9" s="45">
        <f>'Poultry Fat'!AJ4</f>
        <v>68.151475190734629</v>
      </c>
      <c r="AK9" s="45">
        <f>'Poultry Fat'!AK4</f>
        <v>49.510603148958836</v>
      </c>
      <c r="AL9" s="45">
        <f>'Poultry Fat'!AL4</f>
        <v>43.878862538840622</v>
      </c>
      <c r="AM9" s="45">
        <f>'Poultry Fat'!AM4</f>
        <v>31.800680380182769</v>
      </c>
      <c r="AN9" s="45">
        <f>'Poultry Fat'!AN4</f>
        <v>37.839016346039699</v>
      </c>
      <c r="AO9" s="45">
        <f>'Poultry Fat'!AO4</f>
        <v>39.34949559519427</v>
      </c>
      <c r="AP9" s="45">
        <f>'Poultry Fat'!AP4</f>
        <v>39.148148420582572</v>
      </c>
      <c r="AQ9" s="45">
        <f>'Poultry Fat'!AQ4</f>
        <v>39.023784975691058</v>
      </c>
      <c r="AR9" s="45">
        <f>'Poultry Fat'!AR4</f>
        <v>32.949394353166014</v>
      </c>
      <c r="AS9" s="45">
        <f>'Poultry Fat'!AS4</f>
        <v>29.818018676756878</v>
      </c>
      <c r="AT9" s="45">
        <f>'Poultry Fat'!AT4</f>
        <v>37.953176063396086</v>
      </c>
      <c r="AU9" s="45">
        <f>'Poultry Fat'!AU4</f>
        <v>36.174573416206641</v>
      </c>
      <c r="AV9" s="45">
        <f>'Poultry Fat'!AV4</f>
        <v>39.409643383860868</v>
      </c>
      <c r="AW9" s="45">
        <f>'Poultry Fat'!AW4</f>
        <v>41.276451238384055</v>
      </c>
      <c r="AX9" s="45">
        <f>'Poultry Fat'!AX4</f>
        <v>41.139192957021294</v>
      </c>
      <c r="AY9" s="45">
        <f>'Poultry Fat'!AY4</f>
        <v>36.181645029743777</v>
      </c>
      <c r="AZ9" s="45">
        <f>'Poultry Fat'!AZ4</f>
        <v>44.069159972834825</v>
      </c>
      <c r="BA9" s="45">
        <f>'Poultry Fat'!BA4</f>
        <v>44.35060562290559</v>
      </c>
      <c r="BB9" s="45">
        <f>'Poultry Fat'!BB4</f>
        <v>50.280993236044225</v>
      </c>
      <c r="BC9" s="45">
        <f>'Poultry Fat'!BC4</f>
        <v>48.379335146202436</v>
      </c>
      <c r="BD9" s="45">
        <f>'Poultry Fat'!BD4</f>
        <v>47.580292224572247</v>
      </c>
      <c r="BE9" s="45">
        <f>'Poultry Fat'!BE4</f>
        <v>45.86686854594069</v>
      </c>
      <c r="BF9" s="45">
        <f>'Poultry Fat'!BF4</f>
        <v>40.708969272863669</v>
      </c>
      <c r="BG9" s="45">
        <f>'Poultry Fat'!BG4</f>
        <v>42.403450595039942</v>
      </c>
    </row>
    <row r="10" spans="1:59" x14ac:dyDescent="0.2">
      <c r="A10" s="40"/>
      <c r="B10" s="40" t="s">
        <v>137</v>
      </c>
      <c r="C10" s="45">
        <f>DCO!C4</f>
        <v>0</v>
      </c>
      <c r="D10" s="45">
        <f>DCO!D4</f>
        <v>0</v>
      </c>
      <c r="E10" s="45">
        <f>DCO!E4</f>
        <v>0</v>
      </c>
      <c r="F10" s="45">
        <f>DCO!F4</f>
        <v>0</v>
      </c>
      <c r="G10" s="45">
        <f>DCO!G4</f>
        <v>0</v>
      </c>
      <c r="H10" s="45">
        <f>DCO!H4</f>
        <v>0</v>
      </c>
      <c r="I10" s="45">
        <f>DCO!I4</f>
        <v>0</v>
      </c>
      <c r="J10" s="45">
        <f>DCO!J4</f>
        <v>0</v>
      </c>
      <c r="K10" s="45">
        <f>DCO!K4</f>
        <v>0</v>
      </c>
      <c r="L10" s="45">
        <f>DCO!L4</f>
        <v>0</v>
      </c>
      <c r="M10" s="45">
        <f>DCO!M4</f>
        <v>0</v>
      </c>
      <c r="N10" s="45">
        <f>DCO!N4</f>
        <v>0</v>
      </c>
      <c r="O10" s="45">
        <f>DCO!O4</f>
        <v>0</v>
      </c>
      <c r="P10" s="45">
        <f>DCO!P4</f>
        <v>0</v>
      </c>
      <c r="Q10" s="45">
        <f>DCO!Q4</f>
        <v>0</v>
      </c>
      <c r="R10" s="45">
        <f>DCO!R4</f>
        <v>0</v>
      </c>
      <c r="S10" s="45">
        <f>DCO!S4</f>
        <v>47.357756737744459</v>
      </c>
      <c r="T10" s="45">
        <f>DCO!T4</f>
        <v>50.252367590350275</v>
      </c>
      <c r="U10" s="45">
        <f>DCO!U4</f>
        <v>70.775048212999451</v>
      </c>
      <c r="V10" s="45">
        <f>DCO!V4</f>
        <v>13.915571993042072</v>
      </c>
      <c r="W10" s="45">
        <f>DCO!W4</f>
        <v>12.892923647014385</v>
      </c>
      <c r="X10" s="45">
        <f>DCO!X4</f>
        <v>90.570316123213928</v>
      </c>
      <c r="Y10" s="45">
        <f>DCO!Y4</f>
        <v>50.125158192538947</v>
      </c>
      <c r="Z10" s="45">
        <f>DCO!Z4</f>
        <v>42.51722441112156</v>
      </c>
      <c r="AA10" s="45">
        <f>DCO!AA4</f>
        <v>139.37484423482545</v>
      </c>
      <c r="AB10" s="45">
        <f>DCO!AB4</f>
        <v>111.34637299438275</v>
      </c>
      <c r="AC10" s="45">
        <f>DCO!AC4</f>
        <v>119.89455216141573</v>
      </c>
      <c r="AD10" s="45">
        <f>DCO!AD4</f>
        <v>119.65590519573431</v>
      </c>
      <c r="AE10" s="45">
        <f>DCO!AE4</f>
        <v>121.216135219145</v>
      </c>
      <c r="AF10" s="45">
        <f>DCO!AF4</f>
        <v>122.28265700338677</v>
      </c>
      <c r="AG10" s="45">
        <f>DCO!AG4</f>
        <v>92.822826613330491</v>
      </c>
      <c r="AH10" s="45">
        <f>DCO!AH4</f>
        <v>87.965089936290028</v>
      </c>
      <c r="AI10" s="45">
        <f>DCO!AI4</f>
        <v>180.14567893503414</v>
      </c>
      <c r="AJ10" s="45">
        <f>DCO!AJ4</f>
        <v>324.60361186861326</v>
      </c>
      <c r="AK10" s="45">
        <f>DCO!AK4</f>
        <v>372.59749525434893</v>
      </c>
      <c r="AL10" s="45">
        <f>DCO!AL4</f>
        <v>450.66114338959528</v>
      </c>
      <c r="AM10" s="45">
        <f>DCO!AM4</f>
        <v>550.52777068103592</v>
      </c>
      <c r="AN10" s="45">
        <f>DCO!AN4</f>
        <v>655.9293322437893</v>
      </c>
      <c r="AO10" s="45">
        <f>DCO!AO4</f>
        <v>752.36132868364325</v>
      </c>
      <c r="AP10" s="45">
        <f>DCO!AP4</f>
        <v>859.51405572498618</v>
      </c>
      <c r="AQ10" s="45">
        <f>DCO!AQ4</f>
        <v>964.08209306724871</v>
      </c>
      <c r="AR10" s="45">
        <f>DCO!AR4</f>
        <v>1082.7761241572052</v>
      </c>
      <c r="AS10" s="45">
        <f>DCO!AS4</f>
        <v>1198.8222736545854</v>
      </c>
      <c r="AT10" s="45">
        <f>DCO!AT4</f>
        <v>1312.7084219320773</v>
      </c>
      <c r="AU10" s="45">
        <f>DCO!AU4</f>
        <v>1451.2968571363676</v>
      </c>
      <c r="AV10" s="45">
        <f>DCO!AV4</f>
        <v>1569.3259592280851</v>
      </c>
      <c r="AW10" s="45">
        <f>DCO!AW4</f>
        <v>1756.8133799064326</v>
      </c>
      <c r="AX10" s="45">
        <f>DCO!AX4</f>
        <v>1993.4302854757102</v>
      </c>
      <c r="AY10" s="45">
        <f>DCO!AY4</f>
        <v>2149.8923120379204</v>
      </c>
      <c r="AZ10" s="45">
        <f>DCO!AZ4</f>
        <v>2303.5518827178239</v>
      </c>
      <c r="BA10" s="45">
        <f>DCO!BA4</f>
        <v>2530.8287053271165</v>
      </c>
      <c r="BB10" s="45">
        <f>DCO!BB4</f>
        <v>2670.1720692484273</v>
      </c>
      <c r="BC10" s="45">
        <f>DCO!BC4</f>
        <v>2846.0120018517368</v>
      </c>
      <c r="BD10" s="45">
        <f>DCO!BD4</f>
        <v>2947.0837601731</v>
      </c>
      <c r="BE10" s="45">
        <f>DCO!BE4</f>
        <v>3065.0811192827791</v>
      </c>
      <c r="BF10" s="45">
        <f>DCO!BF4</f>
        <v>3155.8965633252951</v>
      </c>
      <c r="BG10" s="45">
        <f>DCO!BG4</f>
        <v>3262.764156012287</v>
      </c>
    </row>
    <row r="11" spans="1:59" x14ac:dyDescent="0.2">
      <c r="A11" s="40"/>
      <c r="B11" s="57" t="s">
        <v>71</v>
      </c>
      <c r="C11" s="45">
        <f>SUM(C12:C17)</f>
        <v>7730.1547645758938</v>
      </c>
      <c r="D11" s="45">
        <f t="shared" ref="D11:AD11" si="1">SUM(D12:D17)</f>
        <v>7818.5183530089835</v>
      </c>
      <c r="E11" s="45">
        <f t="shared" si="1"/>
        <v>7480.3300112976085</v>
      </c>
      <c r="F11" s="45">
        <f t="shared" si="1"/>
        <v>7399.0658819313003</v>
      </c>
      <c r="G11" s="45">
        <f t="shared" si="1"/>
        <v>7819.5867320628031</v>
      </c>
      <c r="H11" s="45">
        <f t="shared" si="1"/>
        <v>8449.6699887439445</v>
      </c>
      <c r="I11" s="45">
        <f t="shared" si="1"/>
        <v>7648.0411344840759</v>
      </c>
      <c r="J11" s="45">
        <f t="shared" si="1"/>
        <v>7291.1587297314445</v>
      </c>
      <c r="K11" s="45">
        <f t="shared" si="1"/>
        <v>7936.1795119983371</v>
      </c>
      <c r="L11" s="45">
        <f t="shared" si="1"/>
        <v>7986.5310256698749</v>
      </c>
      <c r="M11" s="45">
        <f t="shared" si="1"/>
        <v>8300.7240103123149</v>
      </c>
      <c r="N11" s="45">
        <f t="shared" si="1"/>
        <v>8662.848786891931</v>
      </c>
      <c r="O11" s="45">
        <f t="shared" si="1"/>
        <v>8771.8396754293171</v>
      </c>
      <c r="P11" s="45">
        <f t="shared" si="1"/>
        <v>8971.3917854986848</v>
      </c>
      <c r="Q11" s="45">
        <f t="shared" si="1"/>
        <v>8753.6190924710045</v>
      </c>
      <c r="R11" s="45">
        <f t="shared" si="1"/>
        <v>8514.8484078893689</v>
      </c>
      <c r="S11" s="45">
        <f t="shared" si="1"/>
        <v>9401.4783976183808</v>
      </c>
      <c r="T11" s="45">
        <f t="shared" si="1"/>
        <v>9899.7590756606933</v>
      </c>
      <c r="U11" s="45">
        <f t="shared" si="1"/>
        <v>10155.991358603444</v>
      </c>
      <c r="V11" s="45">
        <f t="shared" si="1"/>
        <v>10523.484921654346</v>
      </c>
      <c r="W11" s="45">
        <f t="shared" si="1"/>
        <v>10797.998869534635</v>
      </c>
      <c r="X11" s="45">
        <f t="shared" si="1"/>
        <v>12250.022449301305</v>
      </c>
      <c r="Y11" s="45">
        <f t="shared" si="1"/>
        <v>13841.21142450062</v>
      </c>
      <c r="Z11" s="45">
        <f t="shared" si="1"/>
        <v>14676.804142355319</v>
      </c>
      <c r="AA11" s="45">
        <f t="shared" si="1"/>
        <v>15195.1132472439</v>
      </c>
      <c r="AB11" s="45">
        <f t="shared" si="1"/>
        <v>15540.442824849371</v>
      </c>
      <c r="AC11" s="45">
        <f t="shared" si="1"/>
        <v>14510.507248704282</v>
      </c>
      <c r="AD11" s="45">
        <f t="shared" si="1"/>
        <v>15379.461672883568</v>
      </c>
      <c r="AE11" s="45">
        <f t="shared" ref="AE11:BG11" si="2">SUM(AE12:AE17)+AE78+AE80+AE83</f>
        <v>18911.689730804734</v>
      </c>
      <c r="AF11" s="45">
        <f t="shared" si="2"/>
        <v>20027.287059329912</v>
      </c>
      <c r="AG11" s="60">
        <f t="shared" si="2"/>
        <v>19705.928474441851</v>
      </c>
      <c r="AH11" s="60">
        <f t="shared" si="2"/>
        <v>19743.736848383058</v>
      </c>
      <c r="AI11" s="60">
        <f t="shared" si="2"/>
        <v>21221.322338877279</v>
      </c>
      <c r="AJ11" s="60">
        <f t="shared" si="2"/>
        <v>22031.728086390052</v>
      </c>
      <c r="AK11" s="60">
        <f t="shared" si="2"/>
        <v>22613.054359950616</v>
      </c>
      <c r="AL11" s="60">
        <f t="shared" si="2"/>
        <v>22917.797737401277</v>
      </c>
      <c r="AM11" s="60">
        <f t="shared" si="2"/>
        <v>24236.12267162052</v>
      </c>
      <c r="AN11" s="60">
        <f t="shared" si="2"/>
        <v>25209.910896217301</v>
      </c>
      <c r="AO11" s="60">
        <f t="shared" si="2"/>
        <v>26515.671317291202</v>
      </c>
      <c r="AP11" s="60">
        <f t="shared" si="2"/>
        <v>27283.968403055118</v>
      </c>
      <c r="AQ11" s="60">
        <f t="shared" si="2"/>
        <v>27741.35973531914</v>
      </c>
      <c r="AR11" s="60">
        <f t="shared" si="2"/>
        <v>28007.066324725354</v>
      </c>
      <c r="AS11" s="60">
        <f t="shared" si="2"/>
        <v>28897.38052947478</v>
      </c>
      <c r="AT11" s="60">
        <f t="shared" si="2"/>
        <v>29927.0726969811</v>
      </c>
      <c r="AU11" s="60">
        <f t="shared" si="2"/>
        <v>31171.10288591744</v>
      </c>
      <c r="AV11" s="60">
        <f t="shared" si="2"/>
        <v>32275.827492509707</v>
      </c>
      <c r="AW11" s="60">
        <f t="shared" si="2"/>
        <v>33516.137009410588</v>
      </c>
      <c r="AX11" s="60">
        <f t="shared" si="2"/>
        <v>34846.697727828556</v>
      </c>
      <c r="AY11" s="60">
        <f t="shared" si="2"/>
        <v>36576.125775096487</v>
      </c>
      <c r="AZ11" s="60">
        <f t="shared" si="2"/>
        <v>37875.673754533251</v>
      </c>
      <c r="BA11" s="60">
        <f t="shared" si="2"/>
        <v>39494.091903353423</v>
      </c>
      <c r="BB11" s="60">
        <f t="shared" si="2"/>
        <v>41266.887319792942</v>
      </c>
      <c r="BC11" s="60">
        <f t="shared" si="2"/>
        <v>43215.39838211763</v>
      </c>
      <c r="BD11" s="60">
        <f t="shared" si="2"/>
        <v>45186.26044709795</v>
      </c>
      <c r="BE11" s="60">
        <f t="shared" si="2"/>
        <v>47265.025354895683</v>
      </c>
      <c r="BF11" s="60">
        <f t="shared" si="2"/>
        <v>49495.681906775804</v>
      </c>
      <c r="BG11" s="60">
        <f t="shared" si="2"/>
        <v>51833.401852928379</v>
      </c>
    </row>
    <row r="12" spans="1:59" x14ac:dyDescent="0.2">
      <c r="A12" s="40"/>
      <c r="B12" s="61" t="s">
        <v>132</v>
      </c>
      <c r="C12" s="62">
        <f>'Inedible Tallow'!C5</f>
        <v>3711.2999999999997</v>
      </c>
      <c r="D12" s="62">
        <f>'Inedible Tallow'!D5</f>
        <v>3754.2999999999993</v>
      </c>
      <c r="E12" s="62">
        <f>'Inedible Tallow'!E5</f>
        <v>3566.3</v>
      </c>
      <c r="F12" s="62">
        <f>'Inedible Tallow'!F5</f>
        <v>3504.4</v>
      </c>
      <c r="G12" s="62">
        <f>'Inedible Tallow'!G5</f>
        <v>3611.6</v>
      </c>
      <c r="H12" s="62">
        <f>'Inedible Tallow'!H5</f>
        <v>3859.1</v>
      </c>
      <c r="I12" s="62">
        <f>'Inedible Tallow'!I5</f>
        <v>3673.3999999999996</v>
      </c>
      <c r="J12" s="62">
        <f>'Inedible Tallow'!J5</f>
        <v>3448.6000000000004</v>
      </c>
      <c r="K12" s="62">
        <f>'Inedible Tallow'!K5</f>
        <v>3689.6</v>
      </c>
      <c r="L12" s="62">
        <f>'Inedible Tallow'!L5</f>
        <v>3703.7</v>
      </c>
      <c r="M12" s="62">
        <f>'Inedible Tallow'!M5</f>
        <v>3703.5999999999995</v>
      </c>
      <c r="N12" s="62">
        <f>'Inedible Tallow'!N5</f>
        <v>3877.6000000000004</v>
      </c>
      <c r="O12" s="62">
        <f>'Inedible Tallow'!O5</f>
        <v>3831.1</v>
      </c>
      <c r="P12" s="62">
        <f>'Inedible Tallow'!P5</f>
        <v>3808.6000000000004</v>
      </c>
      <c r="Q12" s="62">
        <f>'Inedible Tallow'!Q5</f>
        <v>3550.9</v>
      </c>
      <c r="R12" s="62">
        <f>'Inedible Tallow'!R5</f>
        <v>3375.6</v>
      </c>
      <c r="S12" s="62">
        <f>'Inedible Tallow'!S5</f>
        <v>3298.9792800000005</v>
      </c>
      <c r="T12" s="62">
        <f>'Inedible Tallow'!T5</f>
        <v>3383.3253631155903</v>
      </c>
      <c r="U12" s="62">
        <f>'Inedible Tallow'!U5</f>
        <v>3389.4792444531699</v>
      </c>
      <c r="V12" s="62">
        <f>'Inedible Tallow'!V5</f>
        <v>3282.283605216564</v>
      </c>
      <c r="W12" s="62">
        <f>'Inedible Tallow'!W5</f>
        <v>2910.8566249261885</v>
      </c>
      <c r="X12" s="62">
        <f>'Inedible Tallow'!X5</f>
        <v>3145.671859276848</v>
      </c>
      <c r="Y12" s="62">
        <f>'Inedible Tallow'!Y5</f>
        <v>3499.5639999999999</v>
      </c>
      <c r="Z12" s="62">
        <f>'Inedible Tallow'!Z5</f>
        <v>3668.0400000000004</v>
      </c>
      <c r="AA12" s="62">
        <f>'Inedible Tallow'!AA5</f>
        <v>3875.1430000000005</v>
      </c>
      <c r="AB12" s="62">
        <f>'Inedible Tallow'!AB5</f>
        <v>3849.07</v>
      </c>
      <c r="AC12" s="62">
        <f>'Inedible Tallow'!AC5</f>
        <v>3533.9079999999999</v>
      </c>
      <c r="AD12" s="62">
        <f>'Inedible Tallow'!AD5</f>
        <v>3941.5820000000003</v>
      </c>
      <c r="AE12" s="62">
        <f>'Inedible Tallow'!AE5</f>
        <v>3956.1569999999997</v>
      </c>
      <c r="AF12" s="62">
        <f>'Inedible Tallow'!AF5</f>
        <v>3834.4410000000003</v>
      </c>
      <c r="AG12" s="62">
        <f>'Inedible Tallow'!AG5</f>
        <v>3868.1689999999994</v>
      </c>
      <c r="AH12" s="62">
        <f>'Inedible Tallow'!AH5</f>
        <v>3672.2102363051767</v>
      </c>
      <c r="AI12" s="62">
        <f>'Inedible Tallow'!AI5</f>
        <v>3800.2059054833517</v>
      </c>
      <c r="AJ12" s="62">
        <f>'Inedible Tallow'!AJ5</f>
        <v>3816.7812851756762</v>
      </c>
      <c r="AK12" s="62">
        <f>'Inedible Tallow'!AK5</f>
        <v>3842.6536210441036</v>
      </c>
      <c r="AL12" s="62">
        <f>'Inedible Tallow'!AL5</f>
        <v>3814.1209959381122</v>
      </c>
      <c r="AM12" s="62">
        <f>'Inedible Tallow'!AM5</f>
        <v>3792.3219390741287</v>
      </c>
      <c r="AN12" s="62">
        <f>'Inedible Tallow'!AN5</f>
        <v>3800.3809119683879</v>
      </c>
      <c r="AO12" s="62">
        <f>'Inedible Tallow'!AO5</f>
        <v>3864.7427727357135</v>
      </c>
      <c r="AP12" s="62">
        <f>'Inedible Tallow'!AP5</f>
        <v>3841.1174161669974</v>
      </c>
      <c r="AQ12" s="62">
        <f>'Inedible Tallow'!AQ5</f>
        <v>3817.2951220271016</v>
      </c>
      <c r="AR12" s="62">
        <f>'Inedible Tallow'!AR5</f>
        <v>3792.8255483414</v>
      </c>
      <c r="AS12" s="62">
        <f>'Inedible Tallow'!AS5</f>
        <v>3800.3462634742623</v>
      </c>
      <c r="AT12" s="62">
        <f>'Inedible Tallow'!AT5</f>
        <v>3868.1617704186883</v>
      </c>
      <c r="AU12" s="62">
        <f>'Inedible Tallow'!AU5</f>
        <v>3844.2546129927296</v>
      </c>
      <c r="AV12" s="62">
        <f>'Inedible Tallow'!AV5</f>
        <v>3820.1231011749428</v>
      </c>
      <c r="AW12" s="62">
        <f>'Inedible Tallow'!AW5</f>
        <v>3796.628068812729</v>
      </c>
      <c r="AX12" s="62">
        <f>'Inedible Tallow'!AX5</f>
        <v>3773.1456351755514</v>
      </c>
      <c r="AY12" s="62">
        <f>'Inedible Tallow'!AY5</f>
        <v>3750.4831861054513</v>
      </c>
      <c r="AZ12" s="62">
        <f>'Inedible Tallow'!AZ5</f>
        <v>3729.153794630553</v>
      </c>
      <c r="BA12" s="62">
        <f>'Inedible Tallow'!BA5</f>
        <v>3705.4234374887228</v>
      </c>
      <c r="BB12" s="62">
        <f>'Inedible Tallow'!BB5</f>
        <v>3681.8314300923239</v>
      </c>
      <c r="BC12" s="62">
        <f>'Inedible Tallow'!BC5</f>
        <v>3658.3380477131568</v>
      </c>
      <c r="BD12" s="62">
        <f>'Inedible Tallow'!BD5</f>
        <v>3634.7864970853775</v>
      </c>
      <c r="BE12" s="62">
        <f>'Inedible Tallow'!BE5</f>
        <v>3611.9652219627937</v>
      </c>
      <c r="BF12" s="62">
        <f>'Inedible Tallow'!BF5</f>
        <v>3590.5908128056872</v>
      </c>
      <c r="BG12" s="62">
        <f>'Inedible Tallow'!BG5</f>
        <v>3567.0078684381788</v>
      </c>
    </row>
    <row r="13" spans="1:59" x14ac:dyDescent="0.2">
      <c r="A13" s="40"/>
      <c r="B13" s="40" t="s">
        <v>133</v>
      </c>
      <c r="C13" s="45">
        <f>'Yellow Grease'!C5</f>
        <v>1257.4229668412102</v>
      </c>
      <c r="D13" s="45">
        <f>'Yellow Grease'!D5</f>
        <v>1253.9755367909429</v>
      </c>
      <c r="E13" s="45">
        <f>'Yellow Grease'!E5</f>
        <v>1178.045600314932</v>
      </c>
      <c r="F13" s="45">
        <f>'Yellow Grease'!F5</f>
        <v>1150.2665335371312</v>
      </c>
      <c r="G13" s="45">
        <f>'Yellow Grease'!G5</f>
        <v>1241.9592766146191</v>
      </c>
      <c r="H13" s="45">
        <f>'Yellow Grease'!H5</f>
        <v>1348.622728811785</v>
      </c>
      <c r="I13" s="45">
        <f>'Yellow Grease'!I5</f>
        <v>1111.6880977848818</v>
      </c>
      <c r="J13" s="45">
        <f>'Yellow Grease'!J5</f>
        <v>1039.7776594450404</v>
      </c>
      <c r="K13" s="45">
        <f>'Yellow Grease'!K5</f>
        <v>1162.8520310385975</v>
      </c>
      <c r="L13" s="45">
        <f>'Yellow Grease'!L5</f>
        <v>968.4000000000002</v>
      </c>
      <c r="M13" s="45">
        <f>'Yellow Grease'!M5</f>
        <v>1142.3250000000003</v>
      </c>
      <c r="N13" s="45">
        <f>'Yellow Grease'!N5</f>
        <v>1103.625</v>
      </c>
      <c r="O13" s="45">
        <f>'Yellow Grease'!O5</f>
        <v>1110.1500000000001</v>
      </c>
      <c r="P13" s="45">
        <f>'Yellow Grease'!P5</f>
        <v>1157.4749999999999</v>
      </c>
      <c r="Q13" s="45">
        <f>'Yellow Grease'!Q5</f>
        <v>1271.7000000000003</v>
      </c>
      <c r="R13" s="45">
        <f>'Yellow Grease'!R5</f>
        <v>1224.1500000000001</v>
      </c>
      <c r="S13" s="45">
        <f>'Yellow Grease'!S5</f>
        <v>1052.6720324999999</v>
      </c>
      <c r="T13" s="45">
        <f>'Yellow Grease'!T5</f>
        <v>1125.0398289922696</v>
      </c>
      <c r="U13" s="45">
        <f>'Yellow Grease'!U5</f>
        <v>1185.6704362974685</v>
      </c>
      <c r="V13" s="45">
        <f>'Yellow Grease'!V5</f>
        <v>1258.0145108096508</v>
      </c>
      <c r="W13" s="45">
        <f>'Yellow Grease'!W5</f>
        <v>1330.6697216521045</v>
      </c>
      <c r="X13" s="45">
        <f>'Yellow Grease'!X5</f>
        <v>1410.9061880204736</v>
      </c>
      <c r="Y13" s="45">
        <f>'Yellow Grease'!Y5</f>
        <v>1515.1874999999998</v>
      </c>
      <c r="Z13" s="45">
        <f>'Yellow Grease'!Z5</f>
        <v>1509.633</v>
      </c>
      <c r="AA13" s="45">
        <f>'Yellow Grease'!AA5</f>
        <v>1640.6054999999997</v>
      </c>
      <c r="AB13" s="45">
        <f>'Yellow Grease'!AB5</f>
        <v>1666.1917500000002</v>
      </c>
      <c r="AC13" s="45">
        <f>'Yellow Grease'!AC5</f>
        <v>1565.2837499999998</v>
      </c>
      <c r="AD13" s="45">
        <f>'Yellow Grease'!AD5</f>
        <v>1653.135</v>
      </c>
      <c r="AE13" s="45">
        <f>'Yellow Grease'!AE5</f>
        <v>1709.5342499999999</v>
      </c>
      <c r="AF13" s="45">
        <f>'Yellow Grease'!AF5</f>
        <v>2023.5839999999998</v>
      </c>
      <c r="AG13" s="45">
        <f>'Yellow Grease'!AG5</f>
        <v>2427.0750000000007</v>
      </c>
      <c r="AH13" s="45">
        <f>'Yellow Grease'!AH5</f>
        <v>2446.3497536740574</v>
      </c>
      <c r="AI13" s="45">
        <f>'Yellow Grease'!AI5</f>
        <v>2580.6790665163999</v>
      </c>
      <c r="AJ13" s="45">
        <f>'Yellow Grease'!AJ5</f>
        <v>2904.0413700618428</v>
      </c>
      <c r="AK13" s="45">
        <f>'Yellow Grease'!AK5</f>
        <v>2993.8814748024829</v>
      </c>
      <c r="AL13" s="45">
        <f>'Yellow Grease'!AL5</f>
        <v>2862.206040750074</v>
      </c>
      <c r="AM13" s="45">
        <f>'Yellow Grease'!AM5</f>
        <v>3333.4196581373944</v>
      </c>
      <c r="AN13" s="45">
        <f>'Yellow Grease'!AN5</f>
        <v>3729.6504012487248</v>
      </c>
      <c r="AO13" s="45">
        <f>'Yellow Grease'!AO5</f>
        <v>4272.1154052396123</v>
      </c>
      <c r="AP13" s="45">
        <f>'Yellow Grease'!AP5</f>
        <v>4505.4778726037002</v>
      </c>
      <c r="AQ13" s="45">
        <f>'Yellow Grease'!AQ5</f>
        <v>4613.181996473586</v>
      </c>
      <c r="AR13" s="45">
        <f>'Yellow Grease'!AR5</f>
        <v>4668.8009842662077</v>
      </c>
      <c r="AS13" s="45">
        <f>'Yellow Grease'!AS5</f>
        <v>4724.0874659184556</v>
      </c>
      <c r="AT13" s="45">
        <f>'Yellow Grease'!AT5</f>
        <v>4777.793336191331</v>
      </c>
      <c r="AU13" s="45">
        <f>'Yellow Grease'!AU5</f>
        <v>4833.7502090823846</v>
      </c>
      <c r="AV13" s="45">
        <f>'Yellow Grease'!AV5</f>
        <v>4889.6546177743076</v>
      </c>
      <c r="AW13" s="45">
        <f>'Yellow Grease'!AW5</f>
        <v>4949.7513956142739</v>
      </c>
      <c r="AX13" s="45">
        <f>'Yellow Grease'!AX5</f>
        <v>5009.802756323641</v>
      </c>
      <c r="AY13" s="45">
        <f>'Yellow Grease'!AY5</f>
        <v>5069.7445960648065</v>
      </c>
      <c r="AZ13" s="45">
        <f>'Yellow Grease'!AZ5</f>
        <v>5129.6371198109773</v>
      </c>
      <c r="BA13" s="45">
        <f>'Yellow Grease'!BA5</f>
        <v>5191.0166301313475</v>
      </c>
      <c r="BB13" s="45">
        <f>'Yellow Grease'!BB5</f>
        <v>5255.9451334138539</v>
      </c>
      <c r="BC13" s="45">
        <f>'Yellow Grease'!BC5</f>
        <v>5320.9733010193204</v>
      </c>
      <c r="BD13" s="45">
        <f>'Yellow Grease'!BD5</f>
        <v>5385.9661517964969</v>
      </c>
      <c r="BE13" s="45">
        <f>'Yellow Grease'!BE5</f>
        <v>5450.9541322550212</v>
      </c>
      <c r="BF13" s="45">
        <f>'Yellow Grease'!BF5</f>
        <v>5515.9528263464936</v>
      </c>
      <c r="BG13" s="45">
        <f>'Yellow Grease'!BG5</f>
        <v>5582.1993444254958</v>
      </c>
    </row>
    <row r="14" spans="1:59" x14ac:dyDescent="0.2">
      <c r="A14" s="40"/>
      <c r="B14" s="40" t="s">
        <v>134</v>
      </c>
      <c r="C14" s="45">
        <f>UCO!C5</f>
        <v>1236.0880169098862</v>
      </c>
      <c r="D14" s="45">
        <f>UCO!D5</f>
        <v>1231.0172796377258</v>
      </c>
      <c r="E14" s="45">
        <f>UCO!E5</f>
        <v>1157.0678755599968</v>
      </c>
      <c r="F14" s="45">
        <f>UCO!F5</f>
        <v>1130.954910703472</v>
      </c>
      <c r="G14" s="45">
        <f>UCO!G5</f>
        <v>1221.0508233519868</v>
      </c>
      <c r="H14" s="45">
        <f>UCO!H5</f>
        <v>1324.8019206598883</v>
      </c>
      <c r="I14" s="45">
        <f>UCO!I5</f>
        <v>1091.7846959608669</v>
      </c>
      <c r="J14" s="45">
        <f>UCO!J5</f>
        <v>1024.5451411619244</v>
      </c>
      <c r="K14" s="45">
        <f>UCO!K5</f>
        <v>1140.8890793542005</v>
      </c>
      <c r="L14" s="45">
        <f>UCO!L5</f>
        <v>1175.1310256698753</v>
      </c>
      <c r="M14" s="45">
        <f>UCO!M5</f>
        <v>1274.8990103123156</v>
      </c>
      <c r="N14" s="45">
        <f>UCO!N5</f>
        <v>1291.8237868919307</v>
      </c>
      <c r="O14" s="45">
        <f>UCO!O5</f>
        <v>1322.4896754293177</v>
      </c>
      <c r="P14" s="45">
        <f>UCO!P5</f>
        <v>1351.3167854986846</v>
      </c>
      <c r="Q14" s="45">
        <f>UCO!Q5</f>
        <v>1372.8190924710041</v>
      </c>
      <c r="R14" s="45">
        <f>UCO!R5</f>
        <v>1323.3984078893691</v>
      </c>
      <c r="S14" s="45">
        <f>UCO!S5</f>
        <v>1284.8277185989994</v>
      </c>
      <c r="T14" s="45">
        <f>UCO!T5</f>
        <v>1303.922568879037</v>
      </c>
      <c r="U14" s="45">
        <f>UCO!U5</f>
        <v>1360.0005701963889</v>
      </c>
      <c r="V14" s="45">
        <f>UCO!V5</f>
        <v>1413.0499172073</v>
      </c>
      <c r="W14" s="45">
        <f>UCO!W5</f>
        <v>1467.1910446665815</v>
      </c>
      <c r="X14" s="45">
        <f>UCO!X5</f>
        <v>1544.3385005786058</v>
      </c>
      <c r="Y14" s="45">
        <f>UCO!Y5</f>
        <v>1685.7572180145914</v>
      </c>
      <c r="Z14" s="45">
        <f>UCO!Z5</f>
        <v>1911.9783702886486</v>
      </c>
      <c r="AA14" s="45">
        <f>UCO!AA5</f>
        <v>2019.8349574593144</v>
      </c>
      <c r="AB14" s="45">
        <f>UCO!AB5</f>
        <v>2053.6593478423506</v>
      </c>
      <c r="AC14" s="45">
        <f>UCO!AC5</f>
        <v>1758.9907533554049</v>
      </c>
      <c r="AD14" s="45">
        <f>UCO!AD5</f>
        <v>2330.1389352941178</v>
      </c>
      <c r="AE14" s="45">
        <f>UCO!AE5</f>
        <v>3703.4203205882354</v>
      </c>
      <c r="AF14" s="45">
        <f>UCO!AF5</f>
        <v>4549.9405588235286</v>
      </c>
      <c r="AG14" s="45">
        <f>UCO!AG5</f>
        <v>4635.9424588235297</v>
      </c>
      <c r="AH14" s="45">
        <f>UCO!AH5</f>
        <v>4757.1207450498396</v>
      </c>
      <c r="AI14" s="45">
        <f>UCO!AI5</f>
        <v>5087.5918095525058</v>
      </c>
      <c r="AJ14" s="45">
        <f>UCO!AJ5</f>
        <v>5402.6459505659241</v>
      </c>
      <c r="AK14" s="45">
        <f>UCO!AK5</f>
        <v>5758.4792914281707</v>
      </c>
      <c r="AL14" s="45">
        <f>UCO!AL5</f>
        <v>6079.0711586302377</v>
      </c>
      <c r="AM14" s="45">
        <f>UCO!AM5</f>
        <v>6654.286311724054</v>
      </c>
      <c r="AN14" s="45">
        <f>UCO!AN5</f>
        <v>7053.3442043201621</v>
      </c>
      <c r="AO14" s="45">
        <f>UCO!AO5</f>
        <v>7715.2205470299014</v>
      </c>
      <c r="AP14" s="45">
        <f>UCO!AP5</f>
        <v>8123.4189047943655</v>
      </c>
      <c r="AQ14" s="45">
        <f>UCO!AQ5</f>
        <v>9559.9418231207947</v>
      </c>
      <c r="AR14" s="45">
        <f>UCO!AR5</f>
        <v>9631.3736000845693</v>
      </c>
      <c r="AS14" s="45">
        <f>UCO!AS5</f>
        <v>10262.707561558143</v>
      </c>
      <c r="AT14" s="45">
        <f>UCO!AT5</f>
        <v>10957.686994475347</v>
      </c>
      <c r="AU14" s="45">
        <f>UCO!AU5</f>
        <v>11976.731861774479</v>
      </c>
      <c r="AV14" s="45">
        <f>UCO!AV5</f>
        <v>12829.042407417315</v>
      </c>
      <c r="AW14" s="45">
        <f>UCO!AW5</f>
        <v>13810.657772173088</v>
      </c>
      <c r="AX14" s="45">
        <f>UCO!AX5</f>
        <v>14887.506330067852</v>
      </c>
      <c r="AY14" s="45">
        <f>UCO!AY5</f>
        <v>16085.973566144467</v>
      </c>
      <c r="AZ14" s="45">
        <f>UCO!AZ5</f>
        <v>17089.757296602598</v>
      </c>
      <c r="BA14" s="45">
        <f>UCO!BA5</f>
        <v>18373.01467848165</v>
      </c>
      <c r="BB14" s="45">
        <f>UCO!BB5</f>
        <v>19793.068188848581</v>
      </c>
      <c r="BC14" s="45">
        <f>UCO!BC5</f>
        <v>21367.718614257901</v>
      </c>
      <c r="BD14" s="45">
        <f>UCO!BD5</f>
        <v>22937.68307774152</v>
      </c>
      <c r="BE14" s="45">
        <f>UCO!BE5</f>
        <v>24639.970610446158</v>
      </c>
      <c r="BF14" s="45">
        <f>UCO!BF5</f>
        <v>26476.881433572249</v>
      </c>
      <c r="BG14" s="45">
        <f>UCO!BG5</f>
        <v>28466.643294076355</v>
      </c>
    </row>
    <row r="15" spans="1:59" x14ac:dyDescent="0.2">
      <c r="A15" s="40"/>
      <c r="B15" s="40" t="s">
        <v>135</v>
      </c>
      <c r="C15" s="45">
        <f>CWG!C5</f>
        <v>1100.1078877703635</v>
      </c>
      <c r="D15" s="45">
        <f>CWG!D5</f>
        <v>1095.7499895453107</v>
      </c>
      <c r="E15" s="45">
        <f>CWG!E5</f>
        <v>1029.6187012170694</v>
      </c>
      <c r="F15" s="45">
        <f>CWG!F5</f>
        <v>1006.4939866315306</v>
      </c>
      <c r="G15" s="45">
        <f>CWG!G5</f>
        <v>1086.6534391066389</v>
      </c>
      <c r="H15" s="45">
        <f>CWG!H5</f>
        <v>1178.7325253333763</v>
      </c>
      <c r="I15" s="45">
        <f>CWG!I5</f>
        <v>971.74617490258277</v>
      </c>
      <c r="J15" s="45">
        <f>CWG!J5</f>
        <v>911.25406545079159</v>
      </c>
      <c r="K15" s="45">
        <f>CWG!K5</f>
        <v>1015.0706985556151</v>
      </c>
      <c r="L15" s="45">
        <f>CWG!L5</f>
        <v>1250.0999999999997</v>
      </c>
      <c r="M15" s="45">
        <f>CWG!M5</f>
        <v>1143.5</v>
      </c>
      <c r="N15" s="45">
        <f>CWG!N5</f>
        <v>1208.8</v>
      </c>
      <c r="O15" s="45">
        <f>CWG!O5</f>
        <v>1222.8000000000002</v>
      </c>
      <c r="P15" s="45">
        <f>CWG!P5</f>
        <v>1276.5</v>
      </c>
      <c r="Q15" s="45">
        <f>CWG!Q5</f>
        <v>1104.8000000000002</v>
      </c>
      <c r="R15" s="45">
        <f>CWG!R5</f>
        <v>1212.7000000000003</v>
      </c>
      <c r="S15" s="45">
        <f>CWG!S5</f>
        <v>1319.3609200000001</v>
      </c>
      <c r="T15" s="45">
        <f>CWG!T5</f>
        <v>1329.2422004683938</v>
      </c>
      <c r="U15" s="45">
        <f>CWG!U5</f>
        <v>1278.5897927844983</v>
      </c>
      <c r="V15" s="45">
        <f>CWG!V5</f>
        <v>1285.383029811878</v>
      </c>
      <c r="W15" s="45">
        <f>CWG!W5</f>
        <v>1218.5424541633595</v>
      </c>
      <c r="X15" s="45">
        <f>CWG!X5</f>
        <v>1358.6777212412253</v>
      </c>
      <c r="Y15" s="45">
        <f>CWG!Y5</f>
        <v>1367.5</v>
      </c>
      <c r="Z15" s="45">
        <f>CWG!Z5</f>
        <v>1305.7460000000001</v>
      </c>
      <c r="AA15" s="45">
        <f>CWG!AA5</f>
        <v>1294.953</v>
      </c>
      <c r="AB15" s="45">
        <f>CWG!AB5</f>
        <v>1346.7730000000004</v>
      </c>
      <c r="AC15" s="45">
        <f>CWG!AC5</f>
        <v>1315.174</v>
      </c>
      <c r="AD15" s="45">
        <f>CWG!AD5</f>
        <v>1247.52</v>
      </c>
      <c r="AE15" s="45">
        <f>CWG!AE5</f>
        <v>1361.057</v>
      </c>
      <c r="AF15" s="45">
        <f>CWG!AF5</f>
        <v>1336.88</v>
      </c>
      <c r="AG15" s="45">
        <f>CWG!AG5</f>
        <v>1233.6860000000001</v>
      </c>
      <c r="AH15" s="45">
        <f>CWG!AH5</f>
        <v>1334.6513796127281</v>
      </c>
      <c r="AI15" s="45">
        <f>CWG!AI5</f>
        <v>1385.8526293029565</v>
      </c>
      <c r="AJ15" s="45">
        <f>CWG!AJ5</f>
        <v>1412.2332147810912</v>
      </c>
      <c r="AK15" s="45">
        <f>CWG!AK5</f>
        <v>1426.6840516423506</v>
      </c>
      <c r="AL15" s="45">
        <f>CWG!AL5</f>
        <v>1449.618587287689</v>
      </c>
      <c r="AM15" s="45">
        <f>CWG!AM5</f>
        <v>1471.5580943823018</v>
      </c>
      <c r="AN15" s="45">
        <f>CWG!AN5</f>
        <v>1492.6097677964221</v>
      </c>
      <c r="AO15" s="45">
        <f>CWG!AO5</f>
        <v>1510.2976904527038</v>
      </c>
      <c r="AP15" s="45">
        <f>CWG!AP5</f>
        <v>1521.0022877434183</v>
      </c>
      <c r="AQ15" s="45">
        <f>CWG!AQ5</f>
        <v>1534.2311418793188</v>
      </c>
      <c r="AR15" s="45">
        <f>CWG!AR5</f>
        <v>1548.300470158599</v>
      </c>
      <c r="AS15" s="45">
        <f>CWG!AS5</f>
        <v>1563.471325771269</v>
      </c>
      <c r="AT15" s="45">
        <f>CWG!AT5</f>
        <v>1580.2470207420924</v>
      </c>
      <c r="AU15" s="45">
        <f>CWG!AU5</f>
        <v>1601.6055575377131</v>
      </c>
      <c r="AV15" s="45">
        <f>CWG!AV5</f>
        <v>1625.0342806329159</v>
      </c>
      <c r="AW15" s="45">
        <f>CWG!AW5</f>
        <v>1642.6079449056549</v>
      </c>
      <c r="AX15" s="45">
        <f>CWG!AX5</f>
        <v>1659.3779581103574</v>
      </c>
      <c r="AY15" s="45">
        <f>CWG!AY5</f>
        <v>1677.859027492286</v>
      </c>
      <c r="AZ15" s="45">
        <f>CWG!AZ5</f>
        <v>1693.7899838896203</v>
      </c>
      <c r="BA15" s="45">
        <f>CWG!BA5</f>
        <v>1709.9863704648194</v>
      </c>
      <c r="BB15" s="45">
        <f>CWG!BB5</f>
        <v>1726.5044227631211</v>
      </c>
      <c r="BC15" s="45">
        <f>CWG!BC5</f>
        <v>1743.1451518244176</v>
      </c>
      <c r="BD15" s="45">
        <f>CWG!BD5</f>
        <v>1760.04488401345</v>
      </c>
      <c r="BE15" s="45">
        <f>CWG!BE5</f>
        <v>1777.5065371814701</v>
      </c>
      <c r="BF15" s="45">
        <f>CWG!BF5</f>
        <v>1795.6395212648135</v>
      </c>
      <c r="BG15" s="45">
        <f>CWG!BG5</f>
        <v>1814.2114038611248</v>
      </c>
    </row>
    <row r="16" spans="1:59" x14ac:dyDescent="0.2">
      <c r="A16" s="40"/>
      <c r="B16" s="40" t="s">
        <v>136</v>
      </c>
      <c r="C16" s="45">
        <f>'Poultry Fat'!C5</f>
        <v>425.23589305443318</v>
      </c>
      <c r="D16" s="45">
        <f>'Poultry Fat'!D5</f>
        <v>483.47554703500435</v>
      </c>
      <c r="E16" s="45">
        <f>'Poultry Fat'!E5</f>
        <v>549.29783420561012</v>
      </c>
      <c r="F16" s="45">
        <f>'Poultry Fat'!F5</f>
        <v>606.95045105916699</v>
      </c>
      <c r="G16" s="45">
        <f>'Poultry Fat'!G5</f>
        <v>658.32319298955804</v>
      </c>
      <c r="H16" s="45">
        <f>'Poultry Fat'!H5</f>
        <v>738.41281393889471</v>
      </c>
      <c r="I16" s="45">
        <f>'Poultry Fat'!I5</f>
        <v>799.42216583574566</v>
      </c>
      <c r="J16" s="45">
        <f>'Poultry Fat'!J5</f>
        <v>866.98186367368828</v>
      </c>
      <c r="K16" s="45">
        <f>'Poultry Fat'!K5</f>
        <v>927.76770304992317</v>
      </c>
      <c r="L16" s="45">
        <f>'Poultry Fat'!L5</f>
        <v>889.20000000000016</v>
      </c>
      <c r="M16" s="45">
        <f>'Poultry Fat'!M5</f>
        <v>1036.4000000000001</v>
      </c>
      <c r="N16" s="45">
        <f>'Poultry Fat'!N5</f>
        <v>1181</v>
      </c>
      <c r="O16" s="45">
        <f>'Poultry Fat'!O5</f>
        <v>1285.3</v>
      </c>
      <c r="P16" s="45">
        <f>'Poultry Fat'!P5</f>
        <v>1377.5</v>
      </c>
      <c r="Q16" s="45">
        <f>'Poultry Fat'!Q5</f>
        <v>1453.4</v>
      </c>
      <c r="R16" s="45">
        <f>'Poultry Fat'!R5</f>
        <v>1379</v>
      </c>
      <c r="S16" s="45">
        <f>'Poultry Fat'!S5</f>
        <v>1417.6273100000001</v>
      </c>
      <c r="T16" s="45">
        <f>'Poultry Fat'!T5</f>
        <v>1407.3333275172279</v>
      </c>
      <c r="U16" s="45">
        <f>'Poultry Fat'!U5</f>
        <v>1383.0685923317001</v>
      </c>
      <c r="V16" s="45">
        <f>'Poultry Fat'!V5</f>
        <v>1407.3132462282185</v>
      </c>
      <c r="W16" s="45">
        <f>'Poultry Fat'!W5</f>
        <v>1424.742141326848</v>
      </c>
      <c r="X16" s="45">
        <f>'Poultry Fat'!X5</f>
        <v>2019.5343595953516</v>
      </c>
      <c r="Y16" s="45">
        <f>'Poultry Fat'!Y5</f>
        <v>2454.4479999999994</v>
      </c>
      <c r="Z16" s="45">
        <f>'Poultry Fat'!Z5</f>
        <v>2414.7379999999998</v>
      </c>
      <c r="AA16" s="45">
        <f>'Poultry Fat'!AA5</f>
        <v>2260.9809999999998</v>
      </c>
      <c r="AB16" s="45">
        <f>'Poultry Fat'!AB5</f>
        <v>2499.7830000000004</v>
      </c>
      <c r="AC16" s="45">
        <f>'Poultry Fat'!AC5</f>
        <v>2527.6399999999994</v>
      </c>
      <c r="AD16" s="45">
        <f>'Poultry Fat'!AD5</f>
        <v>2110.0580000000004</v>
      </c>
      <c r="AE16" s="45">
        <f>'Poultry Fat'!AE5</f>
        <v>2023.7369999999999</v>
      </c>
      <c r="AF16" s="45">
        <f>'Poultry Fat'!AF5</f>
        <v>2296.9290000000001</v>
      </c>
      <c r="AG16" s="45">
        <f>'Poultry Fat'!AG5</f>
        <v>2227.451</v>
      </c>
      <c r="AH16" s="45">
        <f>'Poultry Fat'!AH5</f>
        <v>2273.8869398205215</v>
      </c>
      <c r="AI16" s="45">
        <f>'Poultry Fat'!AI5</f>
        <v>2319.6475252872092</v>
      </c>
      <c r="AJ16" s="45">
        <f>'Poultry Fat'!AJ5</f>
        <v>2365.0271291092386</v>
      </c>
      <c r="AK16" s="45">
        <f>'Poultry Fat'!AK5</f>
        <v>2432.1514510548</v>
      </c>
      <c r="AL16" s="45">
        <f>'Poultry Fat'!AL5</f>
        <v>2449.3223829555172</v>
      </c>
      <c r="AM16" s="45">
        <f>'Poultry Fat'!AM5</f>
        <v>2502.2121569735509</v>
      </c>
      <c r="AN16" s="45">
        <f>'Poultry Fat'!AN5</f>
        <v>2569.2759994233156</v>
      </c>
      <c r="AO16" s="45">
        <f>'Poultry Fat'!AO5</f>
        <v>2636.9247602141595</v>
      </c>
      <c r="AP16" s="45">
        <f>'Poultry Fat'!AP5</f>
        <v>2671.9351714785853</v>
      </c>
      <c r="AQ16" s="45">
        <f>'Poultry Fat'!AQ5</f>
        <v>2740.6394590075147</v>
      </c>
      <c r="AR16" s="45">
        <f>'Poultry Fat'!AR5</f>
        <v>2762.7509583089127</v>
      </c>
      <c r="AS16" s="45">
        <f>'Poultry Fat'!AS5</f>
        <v>2810.1736297714233</v>
      </c>
      <c r="AT16" s="45">
        <f>'Poultry Fat'!AT5</f>
        <v>2874.9609796305244</v>
      </c>
      <c r="AU16" s="45">
        <f>'Poultry Fat'!AU5</f>
        <v>2908.8480614542609</v>
      </c>
      <c r="AV16" s="45">
        <f>'Poultry Fat'!AV5</f>
        <v>2966.5765802634446</v>
      </c>
      <c r="AW16" s="45">
        <f>'Poultry Fat'!AW5</f>
        <v>3027.6144316742834</v>
      </c>
      <c r="AX16" s="45">
        <f>'Poultry Fat'!AX5</f>
        <v>3080.830222006472</v>
      </c>
      <c r="AY16" s="45">
        <f>'Poultry Fat'!AY5</f>
        <v>3133.113319463816</v>
      </c>
      <c r="AZ16" s="45">
        <f>'Poultry Fat'!AZ5</f>
        <v>3186.3750125830434</v>
      </c>
      <c r="BA16" s="45">
        <f>'Poultry Fat'!BA5</f>
        <v>3243.7644095507635</v>
      </c>
      <c r="BB16" s="45">
        <f>'Poultry Fat'!BB5</f>
        <v>3296.1549199130959</v>
      </c>
      <c r="BC16" s="45">
        <f>'Poultry Fat'!BC5</f>
        <v>3347.7658011480758</v>
      </c>
      <c r="BD16" s="45">
        <f>'Poultry Fat'!BD5</f>
        <v>3400.5190272403456</v>
      </c>
      <c r="BE16" s="45">
        <f>'Poultry Fat'!BE5</f>
        <v>3457.2554870154881</v>
      </c>
      <c r="BF16" s="45">
        <f>'Poultry Fat'!BF5</f>
        <v>3513.5035956547572</v>
      </c>
      <c r="BG16" s="45">
        <f>'Poultry Fat'!BG5</f>
        <v>3573.3528086117676</v>
      </c>
    </row>
    <row r="17" spans="1:59" x14ac:dyDescent="0.2">
      <c r="A17" s="40"/>
      <c r="B17" s="40" t="s">
        <v>137</v>
      </c>
      <c r="C17" s="45">
        <f>DCO!C5</f>
        <v>0</v>
      </c>
      <c r="D17" s="45">
        <f>DCO!D5</f>
        <v>0</v>
      </c>
      <c r="E17" s="45">
        <f>DCO!E5</f>
        <v>0</v>
      </c>
      <c r="F17" s="45">
        <f>DCO!F5</f>
        <v>0</v>
      </c>
      <c r="G17" s="45">
        <f>DCO!G5</f>
        <v>0</v>
      </c>
      <c r="H17" s="45">
        <f>DCO!H5</f>
        <v>0</v>
      </c>
      <c r="I17" s="45">
        <f>DCO!I5</f>
        <v>0</v>
      </c>
      <c r="J17" s="45">
        <f>DCO!J5</f>
        <v>0</v>
      </c>
      <c r="K17" s="45">
        <f>DCO!K5</f>
        <v>0</v>
      </c>
      <c r="L17" s="45">
        <f>DCO!L5</f>
        <v>0</v>
      </c>
      <c r="M17" s="45">
        <f>DCO!M5</f>
        <v>0</v>
      </c>
      <c r="N17" s="45">
        <f>DCO!N5</f>
        <v>0</v>
      </c>
      <c r="O17" s="45">
        <f>DCO!O5</f>
        <v>0</v>
      </c>
      <c r="P17" s="45">
        <f>DCO!P5</f>
        <v>0</v>
      </c>
      <c r="Q17" s="45">
        <f>DCO!Q5</f>
        <v>0</v>
      </c>
      <c r="R17" s="45">
        <f>DCO!R5</f>
        <v>0</v>
      </c>
      <c r="S17" s="45">
        <f>DCO!S5</f>
        <v>1028.0111365193804</v>
      </c>
      <c r="T17" s="45">
        <f>DCO!T5</f>
        <v>1350.8957866881744</v>
      </c>
      <c r="U17" s="45">
        <f>DCO!U5</f>
        <v>1559.1827225402171</v>
      </c>
      <c r="V17" s="45">
        <f>DCO!V5</f>
        <v>1877.4406123807353</v>
      </c>
      <c r="W17" s="45">
        <f>DCO!W5</f>
        <v>2445.9968827995522</v>
      </c>
      <c r="X17" s="45">
        <f>DCO!X5</f>
        <v>2770.8938205888012</v>
      </c>
      <c r="Y17" s="45">
        <f>DCO!Y5</f>
        <v>3318.7547064860305</v>
      </c>
      <c r="Z17" s="45">
        <f>DCO!Z5</f>
        <v>3866.6687720666682</v>
      </c>
      <c r="AA17" s="45">
        <f>DCO!AA5</f>
        <v>4103.5957897845874</v>
      </c>
      <c r="AB17" s="45">
        <f>DCO!AB5</f>
        <v>4124.9657270070202</v>
      </c>
      <c r="AC17" s="45">
        <f>DCO!AC5</f>
        <v>3809.5107453488781</v>
      </c>
      <c r="AD17" s="45">
        <f>DCO!AD5</f>
        <v>4097.0277375894484</v>
      </c>
      <c r="AE17" s="45">
        <f>DCO!AE5</f>
        <v>4103.7251894771998</v>
      </c>
      <c r="AF17" s="45">
        <f>DCO!AF5</f>
        <v>4248.6090480617013</v>
      </c>
      <c r="AG17" s="45">
        <f>DCO!AG5</f>
        <v>4456.254297781521</v>
      </c>
      <c r="AH17" s="45">
        <f>DCO!AH5</f>
        <v>4478.2364390664734</v>
      </c>
      <c r="AI17" s="45">
        <f>DCO!AI5</f>
        <v>4499.2835832457704</v>
      </c>
      <c r="AJ17" s="45">
        <f>DCO!AJ5</f>
        <v>4564.0358028308547</v>
      </c>
      <c r="AK17" s="45">
        <f>DCO!AK5</f>
        <v>4685.6733813342516</v>
      </c>
      <c r="AL17" s="45">
        <f>DCO!AL5</f>
        <v>4778.5276885615358</v>
      </c>
      <c r="AM17" s="45">
        <f>DCO!AM5</f>
        <v>5104.2167714306297</v>
      </c>
      <c r="AN17" s="45">
        <f>DCO!AN5</f>
        <v>5223.2811019084338</v>
      </c>
      <c r="AO17" s="45">
        <f>DCO!AO5</f>
        <v>5229.7916756970981</v>
      </c>
      <c r="AP17" s="45">
        <f>DCO!AP5</f>
        <v>5355.9385475834424</v>
      </c>
      <c r="AQ17" s="45">
        <f>DCO!AQ5</f>
        <v>5476.0701928108283</v>
      </c>
      <c r="AR17" s="45">
        <f>DCO!AR5</f>
        <v>5603.0147635656631</v>
      </c>
      <c r="AS17" s="45">
        <f>DCO!AS5</f>
        <v>5736.5942829812257</v>
      </c>
      <c r="AT17" s="45">
        <f>DCO!AT5</f>
        <v>5868.2225955231188</v>
      </c>
      <c r="AU17" s="45">
        <f>DCO!AU5</f>
        <v>6005.9125830758703</v>
      </c>
      <c r="AV17" s="45">
        <f>DCO!AV5</f>
        <v>6145.3965052467784</v>
      </c>
      <c r="AW17" s="45">
        <f>DCO!AW5</f>
        <v>6288.8773962305622</v>
      </c>
      <c r="AX17" s="45">
        <f>DCO!AX5</f>
        <v>6436.0348261446752</v>
      </c>
      <c r="AY17" s="45">
        <f>DCO!AY5</f>
        <v>6858.9520798256599</v>
      </c>
      <c r="AZ17" s="45">
        <f>DCO!AZ5</f>
        <v>7046.960547016457</v>
      </c>
      <c r="BA17" s="45">
        <f>DCO!BA5</f>
        <v>7270.8863772361183</v>
      </c>
      <c r="BB17" s="45">
        <f>DCO!BB5</f>
        <v>7513.3832247619648</v>
      </c>
      <c r="BC17" s="45">
        <f>DCO!BC5</f>
        <v>7777.4574661547567</v>
      </c>
      <c r="BD17" s="45">
        <f>DCO!BD5</f>
        <v>8067.2608092207593</v>
      </c>
      <c r="BE17" s="45">
        <f>DCO!BE5</f>
        <v>8327.3733660347461</v>
      </c>
      <c r="BF17" s="45">
        <f>DCO!BF5</f>
        <v>8603.1137171318078</v>
      </c>
      <c r="BG17" s="45">
        <f>DCO!BG5</f>
        <v>8829.9871335154567</v>
      </c>
    </row>
    <row r="18" spans="1:59" x14ac:dyDescent="0.2">
      <c r="A18" s="40"/>
      <c r="B18" s="57" t="s">
        <v>72</v>
      </c>
      <c r="C18" s="45">
        <f>SUM(C19:C24)</f>
        <v>52.596431537119997</v>
      </c>
      <c r="D18" s="45">
        <f t="shared" ref="D18:BG18" si="3">SUM(D19:D24)</f>
        <v>61.994188903759991</v>
      </c>
      <c r="E18" s="45">
        <f t="shared" si="3"/>
        <v>59.585782676360004</v>
      </c>
      <c r="F18" s="45">
        <f t="shared" si="3"/>
        <v>93.648278385440008</v>
      </c>
      <c r="G18" s="45">
        <f t="shared" si="3"/>
        <v>79.30063756844001</v>
      </c>
      <c r="H18" s="45">
        <f t="shared" si="3"/>
        <v>85.574831029839999</v>
      </c>
      <c r="I18" s="45">
        <f t="shared" si="3"/>
        <v>72.689730190640006</v>
      </c>
      <c r="J18" s="45">
        <f t="shared" si="3"/>
        <v>84.296524992719995</v>
      </c>
      <c r="K18" s="45">
        <f t="shared" si="3"/>
        <v>74.844033052560007</v>
      </c>
      <c r="L18" s="45">
        <f t="shared" si="3"/>
        <v>39.246938498960006</v>
      </c>
      <c r="M18" s="45">
        <f t="shared" si="3"/>
        <v>67.611404337799996</v>
      </c>
      <c r="N18" s="45">
        <f t="shared" si="3"/>
        <v>74.865488580999994</v>
      </c>
      <c r="O18" s="45">
        <f t="shared" si="3"/>
        <v>78.739427622000008</v>
      </c>
      <c r="P18" s="45">
        <f t="shared" si="3"/>
        <v>88.605720945600012</v>
      </c>
      <c r="Q18" s="45">
        <f t="shared" si="3"/>
        <v>114.70653604399999</v>
      </c>
      <c r="R18" s="45">
        <f t="shared" si="3"/>
        <v>55.084042344400004</v>
      </c>
      <c r="S18" s="45">
        <f t="shared" si="3"/>
        <v>90.946811194600002</v>
      </c>
      <c r="T18" s="45">
        <f t="shared" si="3"/>
        <v>134.18851883740001</v>
      </c>
      <c r="U18" s="45">
        <f t="shared" si="3"/>
        <v>198.27655647199998</v>
      </c>
      <c r="V18" s="45">
        <f t="shared" si="3"/>
        <v>209.85347438619999</v>
      </c>
      <c r="W18" s="45">
        <f t="shared" si="3"/>
        <v>204.50835583839998</v>
      </c>
      <c r="X18" s="45">
        <f t="shared" si="3"/>
        <v>251.63651219219997</v>
      </c>
      <c r="Y18" s="45">
        <f t="shared" si="3"/>
        <v>278.74051127299998</v>
      </c>
      <c r="Z18" s="45">
        <f t="shared" si="3"/>
        <v>315.12364101140003</v>
      </c>
      <c r="AA18" s="45">
        <f t="shared" si="3"/>
        <v>473.19970845344</v>
      </c>
      <c r="AB18" s="45">
        <f t="shared" si="3"/>
        <v>655.25852870319989</v>
      </c>
      <c r="AC18" s="45">
        <f t="shared" si="3"/>
        <v>737.68027442715993</v>
      </c>
      <c r="AD18" s="45">
        <f t="shared" si="3"/>
        <v>1047.9452990278198</v>
      </c>
      <c r="AE18" s="45">
        <f t="shared" si="3"/>
        <v>1958.8960260000001</v>
      </c>
      <c r="AF18" s="45">
        <f t="shared" si="3"/>
        <v>4845.1393239999998</v>
      </c>
      <c r="AG18" s="60">
        <f t="shared" si="3"/>
        <v>7484.2931500527402</v>
      </c>
      <c r="AH18" s="60">
        <f t="shared" si="3"/>
        <v>9517.2782950560031</v>
      </c>
      <c r="AI18" s="60">
        <f t="shared" si="3"/>
        <v>11957.260839193892</v>
      </c>
      <c r="AJ18" s="60">
        <f t="shared" si="3"/>
        <v>16243.927999043126</v>
      </c>
      <c r="AK18" s="60">
        <f t="shared" si="3"/>
        <v>18782.934219126153</v>
      </c>
      <c r="AL18" s="60">
        <f t="shared" si="3"/>
        <v>21808.593616605915</v>
      </c>
      <c r="AM18" s="60">
        <f t="shared" si="3"/>
        <v>26223.795030194251</v>
      </c>
      <c r="AN18" s="60">
        <f t="shared" si="3"/>
        <v>29994.865818079397</v>
      </c>
      <c r="AO18" s="60">
        <f t="shared" si="3"/>
        <v>34901.582712305964</v>
      </c>
      <c r="AP18" s="60">
        <f t="shared" si="3"/>
        <v>39243.271527389334</v>
      </c>
      <c r="AQ18" s="60">
        <f t="shared" si="3"/>
        <v>37933.841520234455</v>
      </c>
      <c r="AR18" s="60">
        <f t="shared" si="3"/>
        <v>37754.928513223174</v>
      </c>
      <c r="AS18" s="60">
        <f t="shared" si="3"/>
        <v>36628.008866977318</v>
      </c>
      <c r="AT18" s="60">
        <f t="shared" si="3"/>
        <v>37938.502839512999</v>
      </c>
      <c r="AU18" s="60">
        <f t="shared" si="3"/>
        <v>41443.635768807377</v>
      </c>
      <c r="AV18" s="60">
        <f t="shared" si="3"/>
        <v>41107.820102783378</v>
      </c>
      <c r="AW18" s="60">
        <f t="shared" si="3"/>
        <v>38442.097615969979</v>
      </c>
      <c r="AX18" s="60">
        <f t="shared" si="3"/>
        <v>39332.81742397909</v>
      </c>
      <c r="AY18" s="60">
        <f t="shared" si="3"/>
        <v>40647.619437010995</v>
      </c>
      <c r="AZ18" s="60">
        <f t="shared" si="3"/>
        <v>42216.562944807905</v>
      </c>
      <c r="BA18" s="60">
        <f t="shared" si="3"/>
        <v>42466.855688482356</v>
      </c>
      <c r="BB18" s="60">
        <f t="shared" si="3"/>
        <v>41363.134077782859</v>
      </c>
      <c r="BC18" s="60">
        <f t="shared" si="3"/>
        <v>40154.082426879482</v>
      </c>
      <c r="BD18" s="60">
        <f t="shared" si="3"/>
        <v>39954.210185407799</v>
      </c>
      <c r="BE18" s="60">
        <f t="shared" si="3"/>
        <v>40138.117946156017</v>
      </c>
      <c r="BF18" s="60">
        <f t="shared" si="3"/>
        <v>39353.482874822184</v>
      </c>
      <c r="BG18" s="60">
        <f t="shared" si="3"/>
        <v>38522.805929841146</v>
      </c>
    </row>
    <row r="19" spans="1:59" x14ac:dyDescent="0.2">
      <c r="A19" s="40"/>
      <c r="B19" s="61" t="s">
        <v>132</v>
      </c>
      <c r="C19" s="62">
        <f>'Inedible Tallow'!C6</f>
        <v>35.0065313514</v>
      </c>
      <c r="D19" s="62">
        <f>'Inedible Tallow'!D6</f>
        <v>29.7000061974</v>
      </c>
      <c r="E19" s="62">
        <f>'Inedible Tallow'!E6</f>
        <v>34.752338434800002</v>
      </c>
      <c r="F19" s="62">
        <f>'Inedible Tallow'!F6</f>
        <v>65.323170322200014</v>
      </c>
      <c r="G19" s="62">
        <f>'Inedible Tallow'!G6</f>
        <v>56.074340107800005</v>
      </c>
      <c r="H19" s="62">
        <f>'Inedible Tallow'!H6</f>
        <v>68.566169284200001</v>
      </c>
      <c r="I19" s="62">
        <f>'Inedible Tallow'!I6</f>
        <v>55.848366352800014</v>
      </c>
      <c r="J19" s="62">
        <f>'Inedible Tallow'!J6</f>
        <v>64.373639626799999</v>
      </c>
      <c r="K19" s="62">
        <f>'Inedible Tallow'!K6</f>
        <v>54.242519688000009</v>
      </c>
      <c r="L19" s="62">
        <f>'Inedible Tallow'!L6</f>
        <v>23.423888287800008</v>
      </c>
      <c r="M19" s="62">
        <f>'Inedible Tallow'!M6</f>
        <v>52.469342213399997</v>
      </c>
      <c r="N19" s="62">
        <f>'Inedible Tallow'!N6</f>
        <v>55.018767094199994</v>
      </c>
      <c r="O19" s="62">
        <f>'Inedible Tallow'!O6</f>
        <v>36.462022795800003</v>
      </c>
      <c r="P19" s="62">
        <f>'Inedible Tallow'!P6</f>
        <v>56.351461093200008</v>
      </c>
      <c r="Q19" s="62">
        <f>'Inedible Tallow'!Q6</f>
        <v>59.142953469599995</v>
      </c>
      <c r="R19" s="62">
        <f>'Inedible Tallow'!R6</f>
        <v>25.369246740600005</v>
      </c>
      <c r="S19" s="62">
        <f>'Inedible Tallow'!S6</f>
        <v>61.392108834000005</v>
      </c>
      <c r="T19" s="62">
        <f>'Inedible Tallow'!T6</f>
        <v>74.721473908199997</v>
      </c>
      <c r="U19" s="62">
        <f>'Inedible Tallow'!U6</f>
        <v>137.70719399999999</v>
      </c>
      <c r="V19" s="62">
        <f>'Inedible Tallow'!V6</f>
        <v>131.07081499999998</v>
      </c>
      <c r="W19" s="62">
        <f>'Inedible Tallow'!W6</f>
        <v>138.012247</v>
      </c>
      <c r="X19" s="62">
        <f>'Inedible Tallow'!X6</f>
        <v>140.956884</v>
      </c>
      <c r="Y19" s="62">
        <f>'Inedible Tallow'!Y6</f>
        <v>173.68577199999999</v>
      </c>
      <c r="Z19" s="62">
        <f>'Inedible Tallow'!Z6</f>
        <v>179.40464200000002</v>
      </c>
      <c r="AA19" s="62">
        <f>'Inedible Tallow'!AA6</f>
        <v>271.04284475605999</v>
      </c>
      <c r="AB19" s="62">
        <f>'Inedible Tallow'!AB6</f>
        <v>408.99266311463992</v>
      </c>
      <c r="AC19" s="62">
        <f>'Inedible Tallow'!AC6</f>
        <v>511.70585600376</v>
      </c>
      <c r="AD19" s="62">
        <f>'Inedible Tallow'!AD6</f>
        <v>702.44172196915997</v>
      </c>
      <c r="AE19" s="62">
        <f>'Inedible Tallow'!AE6</f>
        <v>1148.6836040000001</v>
      </c>
      <c r="AF19" s="62">
        <f>'Inedible Tallow'!AF6</f>
        <v>1698.357833</v>
      </c>
      <c r="AG19" s="62">
        <f>'Inedible Tallow'!AG6</f>
        <v>1916.9493247109599</v>
      </c>
      <c r="AH19" s="62">
        <f>'Inedible Tallow'!AH6</f>
        <v>3620.2979857098135</v>
      </c>
      <c r="AI19" s="62">
        <f>'Inedible Tallow'!AI6</f>
        <v>4701.2430471739744</v>
      </c>
      <c r="AJ19" s="62">
        <f>'Inedible Tallow'!AJ6</f>
        <v>5896.9012498631428</v>
      </c>
      <c r="AK19" s="62">
        <f>'Inedible Tallow'!AK6</f>
        <v>5986.7186405129196</v>
      </c>
      <c r="AL19" s="62">
        <f>'Inedible Tallow'!AL6</f>
        <v>6303.5915029787848</v>
      </c>
      <c r="AM19" s="62">
        <f>'Inedible Tallow'!AM6</f>
        <v>7013.5278812644992</v>
      </c>
      <c r="AN19" s="62">
        <f>'Inedible Tallow'!AN6</f>
        <v>7696.7962362707904</v>
      </c>
      <c r="AO19" s="62">
        <f>'Inedible Tallow'!AO6</f>
        <v>8999.6375310044969</v>
      </c>
      <c r="AP19" s="62">
        <f>'Inedible Tallow'!AP6</f>
        <v>10230.685425689779</v>
      </c>
      <c r="AQ19" s="62">
        <f>'Inedible Tallow'!AQ6</f>
        <v>10214.3667114704</v>
      </c>
      <c r="AR19" s="62">
        <f>'Inedible Tallow'!AR6</f>
        <v>10525.312003731615</v>
      </c>
      <c r="AS19" s="62">
        <f>'Inedible Tallow'!AS6</f>
        <v>10758.359581633415</v>
      </c>
      <c r="AT19" s="62">
        <f>'Inedible Tallow'!AT6</f>
        <v>10520.672250705942</v>
      </c>
      <c r="AU19" s="62">
        <f>'Inedible Tallow'!AU6</f>
        <v>11249.87919464623</v>
      </c>
      <c r="AV19" s="62">
        <f>'Inedible Tallow'!AV6</f>
        <v>11703.717948437519</v>
      </c>
      <c r="AW19" s="62">
        <f>'Inedible Tallow'!AW6</f>
        <v>11501.588195830942</v>
      </c>
      <c r="AX19" s="62">
        <f>'Inedible Tallow'!AX6</f>
        <v>11446.843434250812</v>
      </c>
      <c r="AY19" s="62">
        <f>'Inedible Tallow'!AY6</f>
        <v>12234.540204774288</v>
      </c>
      <c r="AZ19" s="62">
        <f>'Inedible Tallow'!AZ6</f>
        <v>12902.313795587959</v>
      </c>
      <c r="BA19" s="62">
        <f>'Inedible Tallow'!BA6</f>
        <v>13382.800715776304</v>
      </c>
      <c r="BB19" s="62">
        <f>'Inedible Tallow'!BB6</f>
        <v>13243.617269244061</v>
      </c>
      <c r="BC19" s="62">
        <f>'Inedible Tallow'!BC6</f>
        <v>13092.023083926684</v>
      </c>
      <c r="BD19" s="62">
        <f>'Inedible Tallow'!BD6</f>
        <v>13371.059013861859</v>
      </c>
      <c r="BE19" s="62">
        <f>'Inedible Tallow'!BE6</f>
        <v>13673.362775679372</v>
      </c>
      <c r="BF19" s="62">
        <f>'Inedible Tallow'!BF6</f>
        <v>13027.572571697656</v>
      </c>
      <c r="BG19" s="62">
        <f>'Inedible Tallow'!BG6</f>
        <v>13681.526942881927</v>
      </c>
    </row>
    <row r="20" spans="1:59" x14ac:dyDescent="0.2">
      <c r="A20" s="40"/>
      <c r="B20" s="40" t="s">
        <v>133</v>
      </c>
      <c r="C20" s="45">
        <f>'Yellow Grease'!C6</f>
        <v>2.1423634747199998</v>
      </c>
      <c r="D20" s="45">
        <f>'Yellow Grease'!D6</f>
        <v>6.4614825273599994</v>
      </c>
      <c r="E20" s="45">
        <f>'Yellow Grease'!E6</f>
        <v>4.4433715485600009</v>
      </c>
      <c r="F20" s="45">
        <f>'Yellow Grease'!F6</f>
        <v>5.0226139328400006</v>
      </c>
      <c r="G20" s="45">
        <f>'Yellow Grease'!G6</f>
        <v>0.44207080344000005</v>
      </c>
      <c r="H20" s="45">
        <f>'Yellow Grease'!H6</f>
        <v>0.92686718123999989</v>
      </c>
      <c r="I20" s="45">
        <f>'Yellow Grease'!I6</f>
        <v>0.85786251264000002</v>
      </c>
      <c r="J20" s="45">
        <f>'Yellow Grease'!J6</f>
        <v>2.6869051087200004</v>
      </c>
      <c r="K20" s="45">
        <f>'Yellow Grease'!K6</f>
        <v>3.0341771661600001</v>
      </c>
      <c r="L20" s="45">
        <f>'Yellow Grease'!L6</f>
        <v>1.4838869757599999</v>
      </c>
      <c r="M20" s="45">
        <f>'Yellow Grease'!M6</f>
        <v>2.11643712E-2</v>
      </c>
      <c r="N20" s="45">
        <f>'Yellow Grease'!N6</f>
        <v>4.8060759600000003E-2</v>
      </c>
      <c r="O20" s="45">
        <f>'Yellow Grease'!O6</f>
        <v>9.5901056999999998E-2</v>
      </c>
      <c r="P20" s="45">
        <f>'Yellow Grease'!P6</f>
        <v>0.12235652099999998</v>
      </c>
      <c r="Q20" s="45">
        <f>'Yellow Grease'!Q6</f>
        <v>4.3651515600000003E-2</v>
      </c>
      <c r="R20" s="45">
        <f>'Yellow Grease'!R6</f>
        <v>0</v>
      </c>
      <c r="S20" s="45">
        <f>'Yellow Grease'!S6</f>
        <v>9.1888999999999998E-2</v>
      </c>
      <c r="T20" s="45">
        <f>'Yellow Grease'!T6</f>
        <v>0</v>
      </c>
      <c r="U20" s="45">
        <f>'Yellow Grease'!U6</f>
        <v>4.7E-2</v>
      </c>
      <c r="V20" s="45">
        <f>'Yellow Grease'!V6</f>
        <v>4.1520000000000001E-2</v>
      </c>
      <c r="W20" s="45">
        <f>'Yellow Grease'!W6</f>
        <v>0</v>
      </c>
      <c r="X20" s="45">
        <f>'Yellow Grease'!X6</f>
        <v>0</v>
      </c>
      <c r="Y20" s="45">
        <f>'Yellow Grease'!Y6</f>
        <v>0</v>
      </c>
      <c r="Z20" s="45">
        <f>'Yellow Grease'!Z6</f>
        <v>0</v>
      </c>
      <c r="AA20" s="45">
        <f>'Yellow Grease'!AA6</f>
        <v>0</v>
      </c>
      <c r="AB20" s="45">
        <f>'Yellow Grease'!AB6</f>
        <v>0.24460100000000001</v>
      </c>
      <c r="AC20" s="45">
        <f>'Yellow Grease'!AC6</f>
        <v>0</v>
      </c>
      <c r="AD20" s="45">
        <f>'Yellow Grease'!AD6</f>
        <v>0</v>
      </c>
      <c r="AE20" s="45">
        <f>'Yellow Grease'!AE6</f>
        <v>0</v>
      </c>
      <c r="AF20" s="45">
        <f>'Yellow Grease'!AF6</f>
        <v>0</v>
      </c>
      <c r="AG20" s="45">
        <f>'Yellow Grease'!AG6</f>
        <v>0</v>
      </c>
      <c r="AH20" s="45">
        <f>'Yellow Grease'!AH6</f>
        <v>0</v>
      </c>
      <c r="AI20" s="45">
        <f>'Yellow Grease'!AI6</f>
        <v>0</v>
      </c>
      <c r="AJ20" s="45">
        <f>'Yellow Grease'!AJ6</f>
        <v>0</v>
      </c>
      <c r="AK20" s="45">
        <f>'Yellow Grease'!AK6</f>
        <v>0</v>
      </c>
      <c r="AL20" s="45">
        <f>'Yellow Grease'!AL6</f>
        <v>0</v>
      </c>
      <c r="AM20" s="45">
        <f>'Yellow Grease'!AM6</f>
        <v>0</v>
      </c>
      <c r="AN20" s="45">
        <f>'Yellow Grease'!AN6</f>
        <v>0</v>
      </c>
      <c r="AO20" s="45">
        <f>'Yellow Grease'!AO6</f>
        <v>0</v>
      </c>
      <c r="AP20" s="45">
        <f>'Yellow Grease'!AP6</f>
        <v>0</v>
      </c>
      <c r="AQ20" s="45">
        <f>'Yellow Grease'!AQ6</f>
        <v>0</v>
      </c>
      <c r="AR20" s="45">
        <f>'Yellow Grease'!AR6</f>
        <v>0</v>
      </c>
      <c r="AS20" s="45">
        <f>'Yellow Grease'!AS6</f>
        <v>0</v>
      </c>
      <c r="AT20" s="45">
        <f>'Yellow Grease'!AT6</f>
        <v>0</v>
      </c>
      <c r="AU20" s="45">
        <f>'Yellow Grease'!AU6</f>
        <v>0</v>
      </c>
      <c r="AV20" s="45">
        <f>'Yellow Grease'!AV6</f>
        <v>3</v>
      </c>
      <c r="AW20" s="45">
        <f>'Yellow Grease'!AW6</f>
        <v>15</v>
      </c>
      <c r="AX20" s="45">
        <f>'Yellow Grease'!AX6</f>
        <v>27</v>
      </c>
      <c r="AY20" s="45">
        <f>'Yellow Grease'!AY6</f>
        <v>39</v>
      </c>
      <c r="AZ20" s="45">
        <f>'Yellow Grease'!AZ6</f>
        <v>51</v>
      </c>
      <c r="BA20" s="45">
        <f>'Yellow Grease'!BA6</f>
        <v>63</v>
      </c>
      <c r="BB20" s="45">
        <f>'Yellow Grease'!BB6</f>
        <v>75</v>
      </c>
      <c r="BC20" s="45">
        <f>'Yellow Grease'!BC6</f>
        <v>87</v>
      </c>
      <c r="BD20" s="45">
        <f>'Yellow Grease'!BD6</f>
        <v>99</v>
      </c>
      <c r="BE20" s="45">
        <f>'Yellow Grease'!BE6</f>
        <v>111</v>
      </c>
      <c r="BF20" s="45">
        <f>'Yellow Grease'!BF6</f>
        <v>123</v>
      </c>
      <c r="BG20" s="45">
        <f>'Yellow Grease'!BG6</f>
        <v>135</v>
      </c>
    </row>
    <row r="21" spans="1:59" x14ac:dyDescent="0.2">
      <c r="A21" s="40"/>
      <c r="B21" s="40" t="s">
        <v>134</v>
      </c>
      <c r="C21" s="45">
        <f>UCO!C6</f>
        <v>8.3916439999999994</v>
      </c>
      <c r="D21" s="45">
        <f>UCO!D6</f>
        <v>16.364951000000001</v>
      </c>
      <c r="E21" s="45">
        <f>UCO!E6</f>
        <v>13.59653</v>
      </c>
      <c r="F21" s="45">
        <f>UCO!F6</f>
        <v>17.850022999999997</v>
      </c>
      <c r="G21" s="45">
        <f>UCO!G6</f>
        <v>18.104696000000001</v>
      </c>
      <c r="H21" s="45">
        <f>UCO!H6</f>
        <v>10.305243999999998</v>
      </c>
      <c r="I21" s="45">
        <f>UCO!I6</f>
        <v>10.876274</v>
      </c>
      <c r="J21" s="45">
        <f>UCO!J6</f>
        <v>11.895062999999997</v>
      </c>
      <c r="K21" s="45">
        <f>UCO!K6</f>
        <v>12.348555000000001</v>
      </c>
      <c r="L21" s="45">
        <f>UCO!L6</f>
        <v>6.6214430000000011</v>
      </c>
      <c r="M21" s="45">
        <f>UCO!M6</f>
        <v>5.0003600000000006</v>
      </c>
      <c r="N21" s="45">
        <f>UCO!N6</f>
        <v>9.199720000000001</v>
      </c>
      <c r="O21" s="45">
        <f>UCO!O6</f>
        <v>33.542471999999997</v>
      </c>
      <c r="P21" s="45">
        <f>UCO!P6</f>
        <v>15.666243000000001</v>
      </c>
      <c r="Q21" s="45">
        <f>UCO!Q6</f>
        <v>36.658507999999998</v>
      </c>
      <c r="R21" s="45">
        <f>UCO!R6</f>
        <v>12.953274999999998</v>
      </c>
      <c r="S21" s="45">
        <f>UCO!S6</f>
        <v>19.062950000000001</v>
      </c>
      <c r="T21" s="45">
        <f>UCO!T6</f>
        <v>42.494542000000003</v>
      </c>
      <c r="U21" s="45">
        <f>UCO!U6</f>
        <v>33.306471999999999</v>
      </c>
      <c r="V21" s="45">
        <f>UCO!V6</f>
        <v>43.950066</v>
      </c>
      <c r="W21" s="45">
        <f>UCO!W6</f>
        <v>35.722635999999994</v>
      </c>
      <c r="X21" s="45">
        <f>UCO!X6</f>
        <v>47.470011999999997</v>
      </c>
      <c r="Y21" s="45">
        <f>UCO!Y6</f>
        <v>49.753743</v>
      </c>
      <c r="Z21" s="45">
        <f>UCO!Z6</f>
        <v>83.687485999999993</v>
      </c>
      <c r="AA21" s="45">
        <f>UCO!AA6</f>
        <v>136.88149899999999</v>
      </c>
      <c r="AB21" s="45">
        <f>UCO!AB6</f>
        <v>191.76184899999998</v>
      </c>
      <c r="AC21" s="45">
        <f>UCO!AC6</f>
        <v>181.770273</v>
      </c>
      <c r="AD21" s="45">
        <f>UCO!AD6</f>
        <v>292.50858599999998</v>
      </c>
      <c r="AE21" s="45">
        <f>UCO!AE6</f>
        <v>725.9360180000001</v>
      </c>
      <c r="AF21" s="45">
        <f>UCO!AF6</f>
        <v>3019.642902</v>
      </c>
      <c r="AG21" s="45">
        <f>UCO!AG6</f>
        <v>5396.4669739999999</v>
      </c>
      <c r="AH21" s="45">
        <f>UCO!AH6</f>
        <v>5719.3464266659912</v>
      </c>
      <c r="AI21" s="45">
        <f>UCO!AI6</f>
        <v>7089.679546988953</v>
      </c>
      <c r="AJ21" s="45">
        <f>UCO!AJ6</f>
        <v>10072.92521391198</v>
      </c>
      <c r="AK21" s="45">
        <f>UCO!AK6</f>
        <v>12499.510921922878</v>
      </c>
      <c r="AL21" s="45">
        <f>UCO!AL6</f>
        <v>15201.877675392243</v>
      </c>
      <c r="AM21" s="45">
        <f>UCO!AM6</f>
        <v>18720.193250657456</v>
      </c>
      <c r="AN21" s="45">
        <f>UCO!AN6</f>
        <v>21590.784675196559</v>
      </c>
      <c r="AO21" s="45">
        <f>UCO!AO6</f>
        <v>25062.605395928942</v>
      </c>
      <c r="AP21" s="45">
        <f>UCO!AP6</f>
        <v>28187.596955993678</v>
      </c>
      <c r="AQ21" s="45">
        <f>UCO!AQ6</f>
        <v>27151.273851292899</v>
      </c>
      <c r="AR21" s="45">
        <f>UCO!AR6</f>
        <v>26659.762420182731</v>
      </c>
      <c r="AS21" s="45">
        <f>UCO!AS6</f>
        <v>25398.864958226182</v>
      </c>
      <c r="AT21" s="45">
        <f>UCO!AT6</f>
        <v>26863.72456573118</v>
      </c>
      <c r="AU21" s="45">
        <f>UCO!AU6</f>
        <v>29540.170870625174</v>
      </c>
      <c r="AV21" s="45">
        <f>UCO!AV6</f>
        <v>28779.167759768476</v>
      </c>
      <c r="AW21" s="45">
        <f>UCO!AW6</f>
        <v>26409.520257144119</v>
      </c>
      <c r="AX21" s="45">
        <f>UCO!AX6</f>
        <v>27331.633967393998</v>
      </c>
      <c r="AY21" s="45">
        <f>UCO!AY6</f>
        <v>27807.563086185892</v>
      </c>
      <c r="AZ21" s="45">
        <f>UCO!AZ6</f>
        <v>28653.229736047346</v>
      </c>
      <c r="BA21" s="45">
        <f>UCO!BA6</f>
        <v>28414.240162930324</v>
      </c>
      <c r="BB21" s="45">
        <f>UCO!BB6</f>
        <v>27456.8094954427</v>
      </c>
      <c r="BC21" s="45">
        <f>UCO!BC6</f>
        <v>26409.838926033754</v>
      </c>
      <c r="BD21" s="45">
        <f>UCO!BD6</f>
        <v>25899.146710562669</v>
      </c>
      <c r="BE21" s="45">
        <f>UCO!BE6</f>
        <v>25770.849780642151</v>
      </c>
      <c r="BF21" s="45">
        <f>UCO!BF6</f>
        <v>25625.816179156256</v>
      </c>
      <c r="BG21" s="45">
        <f>UCO!BG6</f>
        <v>24127.564327126976</v>
      </c>
    </row>
    <row r="22" spans="1:59" x14ac:dyDescent="0.2">
      <c r="A22" s="40"/>
      <c r="B22" s="40" t="s">
        <v>135</v>
      </c>
      <c r="C22" s="45">
        <f>CWG!C6</f>
        <v>4.4974288799999998E-2</v>
      </c>
      <c r="D22" s="45">
        <f>CWG!D6</f>
        <v>0.53616407039999991</v>
      </c>
      <c r="E22" s="45">
        <f>CWG!E6</f>
        <v>8.9948577599999996E-2</v>
      </c>
      <c r="F22" s="45">
        <f>CWG!F6</f>
        <v>0</v>
      </c>
      <c r="G22" s="45">
        <f>CWG!G6</f>
        <v>0</v>
      </c>
      <c r="H22" s="45">
        <f>CWG!H6</f>
        <v>4.6297062E-2</v>
      </c>
      <c r="I22" s="45">
        <f>CWG!I6</f>
        <v>3.0864707999999994E-3</v>
      </c>
      <c r="J22" s="45">
        <f>CWG!J6</f>
        <v>0</v>
      </c>
      <c r="K22" s="45">
        <f>CWG!K6</f>
        <v>2.8880548200000002E-2</v>
      </c>
      <c r="L22" s="45">
        <f>CWG!L6</f>
        <v>0.85627518479999987</v>
      </c>
      <c r="M22" s="45">
        <f>CWG!M6</f>
        <v>0.63581298479999993</v>
      </c>
      <c r="N22" s="45">
        <f>CWG!N6</f>
        <v>3.2593131648</v>
      </c>
      <c r="O22" s="45">
        <f>CWG!O6</f>
        <v>2.8144204451999997</v>
      </c>
      <c r="P22" s="45">
        <f>CWG!P6</f>
        <v>6.0250114637999994</v>
      </c>
      <c r="Q22" s="45">
        <f>CWG!Q6</f>
        <v>13.480381681199999</v>
      </c>
      <c r="R22" s="45">
        <f>CWG!R6</f>
        <v>11.888865059399999</v>
      </c>
      <c r="S22" s="45">
        <f>CWG!S6</f>
        <v>4.8290040287999991</v>
      </c>
      <c r="T22" s="45">
        <f>CWG!T6</f>
        <v>8.4108533921999982</v>
      </c>
      <c r="U22" s="45">
        <f>CWG!U6</f>
        <v>24.623255</v>
      </c>
      <c r="V22" s="45">
        <f>CWG!V6</f>
        <v>33.816410000000005</v>
      </c>
      <c r="W22" s="45">
        <f>CWG!W6</f>
        <v>29.699380999999999</v>
      </c>
      <c r="X22" s="45">
        <f>CWG!X6</f>
        <v>61.633090999999993</v>
      </c>
      <c r="Y22" s="45">
        <f>CWG!Y6</f>
        <v>53.159205999999998</v>
      </c>
      <c r="Z22" s="45">
        <f>CWG!Z6</f>
        <v>46.721240000000009</v>
      </c>
      <c r="AA22" s="45">
        <f>CWG!AA6</f>
        <v>63.810969999999998</v>
      </c>
      <c r="AB22" s="45">
        <f>CWG!AB6</f>
        <v>46.149993999999992</v>
      </c>
      <c r="AC22" s="45">
        <f>CWG!AC6</f>
        <v>39.288261851740003</v>
      </c>
      <c r="AD22" s="45">
        <f>CWG!AD6</f>
        <v>49.940307477520008</v>
      </c>
      <c r="AE22" s="45">
        <f>CWG!AE6</f>
        <v>77.679420000000007</v>
      </c>
      <c r="AF22" s="45">
        <f>CWG!AF6</f>
        <v>121.97738800000002</v>
      </c>
      <c r="AG22" s="45">
        <f>CWG!AG6</f>
        <v>169.27192291858</v>
      </c>
      <c r="AH22" s="45">
        <f>CWG!AH6</f>
        <v>171.52212645518668</v>
      </c>
      <c r="AI22" s="45">
        <f>CWG!AI6</f>
        <v>161.62017773579805</v>
      </c>
      <c r="AJ22" s="45">
        <f>CWG!AJ6</f>
        <v>269.00824417344717</v>
      </c>
      <c r="AK22" s="45">
        <f>CWG!AK6</f>
        <v>291.63559438072207</v>
      </c>
      <c r="AL22" s="45">
        <f>CWG!AL6</f>
        <v>298.24883836960106</v>
      </c>
      <c r="AM22" s="45">
        <f>CWG!AM6</f>
        <v>485.17030080508772</v>
      </c>
      <c r="AN22" s="45">
        <f>CWG!AN6</f>
        <v>702.11135125411442</v>
      </c>
      <c r="AO22" s="45">
        <f>CWG!AO6</f>
        <v>834.40786176615984</v>
      </c>
      <c r="AP22" s="45">
        <f>CWG!AP6</f>
        <v>819.96612448695407</v>
      </c>
      <c r="AQ22" s="45">
        <f>CWG!AQ6</f>
        <v>563.21020974986948</v>
      </c>
      <c r="AR22" s="45">
        <f>CWG!AR6</f>
        <v>564.87254980569105</v>
      </c>
      <c r="AS22" s="45">
        <f>CWG!AS6</f>
        <v>465.77975804337825</v>
      </c>
      <c r="AT22" s="45">
        <f>CWG!AT6</f>
        <v>549.08586559435378</v>
      </c>
      <c r="AU22" s="45">
        <f>CWG!AU6</f>
        <v>648.59934331115892</v>
      </c>
      <c r="AV22" s="45">
        <f>CWG!AV6</f>
        <v>616.93038757754005</v>
      </c>
      <c r="AW22" s="45">
        <f>CWG!AW6</f>
        <v>510.99248819390129</v>
      </c>
      <c r="AX22" s="45">
        <f>CWG!AX6</f>
        <v>522.34069567755228</v>
      </c>
      <c r="AY22" s="45">
        <f>CWG!AY6</f>
        <v>561.51379233451212</v>
      </c>
      <c r="AZ22" s="45">
        <f>CWG!AZ6</f>
        <v>605.01810793980997</v>
      </c>
      <c r="BA22" s="45">
        <f>CWG!BA6</f>
        <v>601.81706529598318</v>
      </c>
      <c r="BB22" s="45">
        <f>CWG!BB6</f>
        <v>582.7065796147574</v>
      </c>
      <c r="BC22" s="45">
        <f>CWG!BC6</f>
        <v>560.22093594172281</v>
      </c>
      <c r="BD22" s="45">
        <f>CWG!BD6</f>
        <v>580.00416826988737</v>
      </c>
      <c r="BE22" s="45">
        <f>CWG!BE6</f>
        <v>577.90506625699516</v>
      </c>
      <c r="BF22" s="45">
        <f>CWG!BF6</f>
        <v>572.09421259135615</v>
      </c>
      <c r="BG22" s="45">
        <f>CWG!BG6</f>
        <v>573.71494478638533</v>
      </c>
    </row>
    <row r="23" spans="1:59" x14ac:dyDescent="0.2">
      <c r="A23" s="40"/>
      <c r="B23" s="40" t="s">
        <v>136</v>
      </c>
      <c r="C23" s="45">
        <f>'Poultry Fat'!C6</f>
        <v>7.0109184222000014</v>
      </c>
      <c r="D23" s="45">
        <f>'Poultry Fat'!D6</f>
        <v>8.9315851086000002</v>
      </c>
      <c r="E23" s="45">
        <f>'Poultry Fat'!E6</f>
        <v>6.7035941153999996</v>
      </c>
      <c r="F23" s="45">
        <f>'Poultry Fat'!F6</f>
        <v>5.4524711304000002</v>
      </c>
      <c r="G23" s="45">
        <f>'Poultry Fat'!G6</f>
        <v>4.6795306571999999</v>
      </c>
      <c r="H23" s="45">
        <f>'Poultry Fat'!H6</f>
        <v>5.7302535024000001</v>
      </c>
      <c r="I23" s="45">
        <f>'Poultry Fat'!I6</f>
        <v>5.1041408544000006</v>
      </c>
      <c r="J23" s="45">
        <f>'Poultry Fat'!J6</f>
        <v>5.3409172571999992</v>
      </c>
      <c r="K23" s="45">
        <f>'Poultry Fat'!K6</f>
        <v>5.1899006502000002</v>
      </c>
      <c r="L23" s="45">
        <f>'Poultry Fat'!L6</f>
        <v>6.8614450506000004</v>
      </c>
      <c r="M23" s="45">
        <f>'Poultry Fat'!M6</f>
        <v>9.4847247684000013</v>
      </c>
      <c r="N23" s="45">
        <f>'Poultry Fat'!N6</f>
        <v>7.3396275624000022</v>
      </c>
      <c r="O23" s="45">
        <f>'Poultry Fat'!O6</f>
        <v>5.8246113240000001</v>
      </c>
      <c r="P23" s="45">
        <f>'Poultry Fat'!P6</f>
        <v>10.4406488676</v>
      </c>
      <c r="Q23" s="45">
        <f>'Poultry Fat'!Q6</f>
        <v>5.3810413775999999</v>
      </c>
      <c r="R23" s="45">
        <f>'Poultry Fat'!R6</f>
        <v>4.8726555444000006</v>
      </c>
      <c r="S23" s="45">
        <f>'Poultry Fat'!S6</f>
        <v>5.5708593317999995</v>
      </c>
      <c r="T23" s="45">
        <f>'Poultry Fat'!T6</f>
        <v>8.561649537000001</v>
      </c>
      <c r="U23" s="45">
        <f>'Poultry Fat'!U6</f>
        <v>2.592635472</v>
      </c>
      <c r="V23" s="45">
        <f>'Poultry Fat'!V6</f>
        <v>0.97466338620000015</v>
      </c>
      <c r="W23" s="45">
        <f>'Poultry Fat'!W6</f>
        <v>1.0740918383999998</v>
      </c>
      <c r="X23" s="45">
        <f>'Poultry Fat'!X6</f>
        <v>1.5765251922000001</v>
      </c>
      <c r="Y23" s="45">
        <f>'Poultry Fat'!Y6</f>
        <v>2.1417902730000002</v>
      </c>
      <c r="Z23" s="45">
        <f>'Poultry Fat'!Z6</f>
        <v>5.3102730113999996</v>
      </c>
      <c r="AA23" s="45">
        <f>'Poultry Fat'!AA6</f>
        <v>1.4643946973800002</v>
      </c>
      <c r="AB23" s="45">
        <f>'Poultry Fat'!AB6</f>
        <v>8.1094215885600001</v>
      </c>
      <c r="AC23" s="45">
        <f>'Poultry Fat'!AC6</f>
        <v>4.9158835716600002</v>
      </c>
      <c r="AD23" s="45">
        <f>'Poultry Fat'!AD6</f>
        <v>3.0546835811399999</v>
      </c>
      <c r="AE23" s="45">
        <f>'Poultry Fat'!AE6</f>
        <v>6.596984</v>
      </c>
      <c r="AF23" s="45">
        <f>'Poultry Fat'!AF6</f>
        <v>5.1612010000000001</v>
      </c>
      <c r="AG23" s="45">
        <f>'Poultry Fat'!AG6</f>
        <v>1.6049284232000001</v>
      </c>
      <c r="AH23" s="45">
        <f>'Poultry Fat'!AH6</f>
        <v>6.1117562250102395</v>
      </c>
      <c r="AI23" s="45">
        <f>'Poultry Fat'!AI6</f>
        <v>4.7180672951680318</v>
      </c>
      <c r="AJ23" s="45">
        <f>'Poultry Fat'!AJ6</f>
        <v>5.0932910945552772</v>
      </c>
      <c r="AK23" s="45">
        <f>'Poultry Fat'!AK6</f>
        <v>5.0690623096334324</v>
      </c>
      <c r="AL23" s="45">
        <f>'Poultry Fat'!AL6</f>
        <v>4.8755998652833741</v>
      </c>
      <c r="AM23" s="45">
        <f>'Poultry Fat'!AM6</f>
        <v>4.9035974672074527</v>
      </c>
      <c r="AN23" s="45">
        <f>'Poultry Fat'!AN6</f>
        <v>5.1735553579300717</v>
      </c>
      <c r="AO23" s="45">
        <f>'Poultry Fat'!AO6</f>
        <v>4.931923606369514</v>
      </c>
      <c r="AP23" s="45">
        <f>'Poultry Fat'!AP6</f>
        <v>5.0230212189219223</v>
      </c>
      <c r="AQ23" s="45">
        <f>'Poultry Fat'!AQ6</f>
        <v>4.9907477212847677</v>
      </c>
      <c r="AR23" s="45">
        <f>'Poultry Fat'!AR6</f>
        <v>4.981539503142467</v>
      </c>
      <c r="AS23" s="45">
        <f>'Poultry Fat'!AS6</f>
        <v>5.0045690743427453</v>
      </c>
      <c r="AT23" s="45">
        <f>'Poultry Fat'!AT6</f>
        <v>5.0201574815297469</v>
      </c>
      <c r="AU23" s="45">
        <f>'Poultry Fat'!AU6</f>
        <v>4.9863602248122838</v>
      </c>
      <c r="AV23" s="45">
        <f>'Poultry Fat'!AV6</f>
        <v>5.0040069998443313</v>
      </c>
      <c r="AW23" s="45">
        <f>'Poultry Fat'!AW6</f>
        <v>4.9966748010224027</v>
      </c>
      <c r="AX23" s="45">
        <f>'Poultry Fat'!AX6</f>
        <v>4.999326656734314</v>
      </c>
      <c r="AY23" s="45">
        <f>'Poultry Fat'!AY6</f>
        <v>5.0023537163103011</v>
      </c>
      <c r="AZ23" s="45">
        <f>'Poultry Fat'!AZ6</f>
        <v>5.0013052327886145</v>
      </c>
      <c r="BA23" s="45">
        <f>'Poultry Fat'!BA6</f>
        <v>4.9977444797447266</v>
      </c>
      <c r="BB23" s="45">
        <f>'Poultry Fat'!BB6</f>
        <v>5.0007334813399922</v>
      </c>
      <c r="BC23" s="45">
        <f>'Poultry Fat'!BC6</f>
        <v>4.9994809773200721</v>
      </c>
      <c r="BD23" s="45">
        <f>'Poultry Fat'!BD6</f>
        <v>5.0002927133835904</v>
      </c>
      <c r="BE23" s="45">
        <f>'Poultry Fat'!BE6</f>
        <v>5.0003235775007422</v>
      </c>
      <c r="BF23" s="45">
        <f>'Poultry Fat'!BF6</f>
        <v>4.9999113769153993</v>
      </c>
      <c r="BG23" s="45">
        <f>'Poultry Fat'!BG6</f>
        <v>4.9997150458578261</v>
      </c>
    </row>
    <row r="24" spans="1:59" ht="12" thickBot="1" x14ac:dyDescent="0.25">
      <c r="A24" s="40"/>
      <c r="B24" s="40" t="s">
        <v>137</v>
      </c>
      <c r="C24" s="45">
        <f>DCO!C6</f>
        <v>0</v>
      </c>
      <c r="D24" s="45">
        <f>DCO!D6</f>
        <v>0</v>
      </c>
      <c r="E24" s="45">
        <f>DCO!E6</f>
        <v>0</v>
      </c>
      <c r="F24" s="45">
        <f>DCO!F6</f>
        <v>0</v>
      </c>
      <c r="G24" s="45">
        <f>DCO!G6</f>
        <v>0</v>
      </c>
      <c r="H24" s="45">
        <f>DCO!H6</f>
        <v>0</v>
      </c>
      <c r="I24" s="45">
        <f>DCO!I6</f>
        <v>0</v>
      </c>
      <c r="J24" s="45">
        <f>DCO!J6</f>
        <v>0</v>
      </c>
      <c r="K24" s="45">
        <f>DCO!K6</f>
        <v>0</v>
      </c>
      <c r="L24" s="45">
        <f>DCO!L6</f>
        <v>0</v>
      </c>
      <c r="M24" s="45">
        <f>DCO!M6</f>
        <v>0</v>
      </c>
      <c r="N24" s="45">
        <f>DCO!N6</f>
        <v>0</v>
      </c>
      <c r="O24" s="45">
        <f>DCO!O6</f>
        <v>0</v>
      </c>
      <c r="P24" s="45">
        <f>DCO!P6</f>
        <v>0</v>
      </c>
      <c r="Q24" s="45">
        <f>DCO!Q6</f>
        <v>0</v>
      </c>
      <c r="R24" s="45">
        <f>DCO!R6</f>
        <v>0</v>
      </c>
      <c r="S24" s="45">
        <f>DCO!S6</f>
        <v>0</v>
      </c>
      <c r="T24" s="45">
        <f>DCO!T6</f>
        <v>0</v>
      </c>
      <c r="U24" s="45">
        <f>DCO!U6</f>
        <v>0</v>
      </c>
      <c r="V24" s="45">
        <f>DCO!V6</f>
        <v>0</v>
      </c>
      <c r="W24" s="45">
        <f>DCO!W6</f>
        <v>0</v>
      </c>
      <c r="X24" s="45">
        <f>DCO!X6</f>
        <v>0</v>
      </c>
      <c r="Y24" s="45">
        <f>DCO!Y6</f>
        <v>0</v>
      </c>
      <c r="Z24" s="45">
        <f>DCO!Z6</f>
        <v>0</v>
      </c>
      <c r="AA24" s="45">
        <f>DCO!AA6</f>
        <v>0</v>
      </c>
      <c r="AB24" s="45">
        <f>DCO!AB6</f>
        <v>0</v>
      </c>
      <c r="AC24" s="45">
        <f>DCO!AC6</f>
        <v>0</v>
      </c>
      <c r="AD24" s="45">
        <f>DCO!AD6</f>
        <v>0</v>
      </c>
      <c r="AE24" s="45">
        <f>DCO!AE6</f>
        <v>0</v>
      </c>
      <c r="AF24" s="45">
        <f>DCO!AF6</f>
        <v>0</v>
      </c>
      <c r="AG24" s="45">
        <f>DCO!AG6</f>
        <v>0</v>
      </c>
      <c r="AH24" s="45">
        <f>DCO!AH6</f>
        <v>0</v>
      </c>
      <c r="AI24" s="45">
        <f>DCO!AI6</f>
        <v>0</v>
      </c>
      <c r="AJ24" s="45">
        <f>DCO!AJ6</f>
        <v>0</v>
      </c>
      <c r="AK24" s="45">
        <f>DCO!AK6</f>
        <v>0</v>
      </c>
      <c r="AL24" s="45">
        <f>DCO!AL6</f>
        <v>0</v>
      </c>
      <c r="AM24" s="45">
        <f>DCO!AM6</f>
        <v>0</v>
      </c>
      <c r="AN24" s="45">
        <f>DCO!AN6</f>
        <v>0</v>
      </c>
      <c r="AO24" s="45">
        <f>DCO!AO6</f>
        <v>0</v>
      </c>
      <c r="AP24" s="45">
        <f>DCO!AP6</f>
        <v>0</v>
      </c>
      <c r="AQ24" s="45">
        <f>DCO!AQ6</f>
        <v>0</v>
      </c>
      <c r="AR24" s="45">
        <f>DCO!AR6</f>
        <v>0</v>
      </c>
      <c r="AS24" s="45">
        <f>DCO!AS6</f>
        <v>0</v>
      </c>
      <c r="AT24" s="45">
        <f>DCO!AT6</f>
        <v>0</v>
      </c>
      <c r="AU24" s="45">
        <f>DCO!AU6</f>
        <v>0</v>
      </c>
      <c r="AV24" s="45">
        <f>DCO!AV6</f>
        <v>0</v>
      </c>
      <c r="AW24" s="45">
        <f>DCO!AW6</f>
        <v>0</v>
      </c>
      <c r="AX24" s="45">
        <f>DCO!AX6</f>
        <v>0</v>
      </c>
      <c r="AY24" s="45">
        <f>DCO!AY6</f>
        <v>0</v>
      </c>
      <c r="AZ24" s="45">
        <f>DCO!AZ6</f>
        <v>0</v>
      </c>
      <c r="BA24" s="45">
        <f>DCO!BA6</f>
        <v>0</v>
      </c>
      <c r="BB24" s="45">
        <f>DCO!BB6</f>
        <v>0</v>
      </c>
      <c r="BC24" s="45">
        <f>DCO!BC6</f>
        <v>0</v>
      </c>
      <c r="BD24" s="45">
        <f>DCO!BD6</f>
        <v>0</v>
      </c>
      <c r="BE24" s="45">
        <f>DCO!BE6</f>
        <v>0</v>
      </c>
      <c r="BF24" s="45">
        <f>DCO!BF6</f>
        <v>0</v>
      </c>
      <c r="BG24" s="45">
        <f>DCO!BG6</f>
        <v>0</v>
      </c>
    </row>
    <row r="25" spans="1:59" x14ac:dyDescent="0.2">
      <c r="A25" s="40"/>
      <c r="B25" s="63" t="s">
        <v>73</v>
      </c>
      <c r="C25" s="64" t="e">
        <f>C18+C11+C4</f>
        <v>#REF!</v>
      </c>
      <c r="D25" s="64" t="e">
        <f t="shared" ref="D25:BG25" si="4">D18+D11+D4</f>
        <v>#REF!</v>
      </c>
      <c r="E25" s="64" t="e">
        <f t="shared" si="4"/>
        <v>#REF!</v>
      </c>
      <c r="F25" s="64" t="e">
        <f t="shared" si="4"/>
        <v>#REF!</v>
      </c>
      <c r="G25" s="64" t="e">
        <f t="shared" si="4"/>
        <v>#REF!</v>
      </c>
      <c r="H25" s="64" t="e">
        <f t="shared" si="4"/>
        <v>#REF!</v>
      </c>
      <c r="I25" s="64" t="e">
        <f t="shared" si="4"/>
        <v>#REF!</v>
      </c>
      <c r="J25" s="64" t="e">
        <f t="shared" si="4"/>
        <v>#REF!</v>
      </c>
      <c r="K25" s="64" t="e">
        <f t="shared" si="4"/>
        <v>#REF!</v>
      </c>
      <c r="L25" s="64" t="e">
        <f t="shared" si="4"/>
        <v>#REF!</v>
      </c>
      <c r="M25" s="64" t="e">
        <f t="shared" si="4"/>
        <v>#REF!</v>
      </c>
      <c r="N25" s="64" t="e">
        <f t="shared" si="4"/>
        <v>#REF!</v>
      </c>
      <c r="O25" s="64" t="e">
        <f t="shared" si="4"/>
        <v>#REF!</v>
      </c>
      <c r="P25" s="64" t="e">
        <f t="shared" si="4"/>
        <v>#REF!</v>
      </c>
      <c r="Q25" s="64" t="e">
        <f t="shared" si="4"/>
        <v>#REF!</v>
      </c>
      <c r="R25" s="64" t="e">
        <f t="shared" si="4"/>
        <v>#REF!</v>
      </c>
      <c r="S25" s="64" t="e">
        <f t="shared" si="4"/>
        <v>#REF!</v>
      </c>
      <c r="T25" s="64" t="e">
        <f t="shared" si="4"/>
        <v>#REF!</v>
      </c>
      <c r="U25" s="64" t="e">
        <f t="shared" si="4"/>
        <v>#REF!</v>
      </c>
      <c r="V25" s="64" t="e">
        <f t="shared" si="4"/>
        <v>#REF!</v>
      </c>
      <c r="W25" s="64" t="e">
        <f t="shared" si="4"/>
        <v>#REF!</v>
      </c>
      <c r="X25" s="64" t="e">
        <f t="shared" si="4"/>
        <v>#REF!</v>
      </c>
      <c r="Y25" s="64" t="e">
        <f t="shared" si="4"/>
        <v>#REF!</v>
      </c>
      <c r="Z25" s="64" t="e">
        <f t="shared" si="4"/>
        <v>#REF!</v>
      </c>
      <c r="AA25" s="64" t="e">
        <f t="shared" si="4"/>
        <v>#REF!</v>
      </c>
      <c r="AB25" s="64">
        <f t="shared" si="4"/>
        <v>16539.718726546955</v>
      </c>
      <c r="AC25" s="64">
        <f t="shared" si="4"/>
        <v>15600.560075292857</v>
      </c>
      <c r="AD25" s="64">
        <f>AD18+AD11+AD4</f>
        <v>16764.86287710712</v>
      </c>
      <c r="AE25" s="64">
        <f t="shared" si="4"/>
        <v>21212.129892023877</v>
      </c>
      <c r="AF25" s="64">
        <f t="shared" si="4"/>
        <v>25252.8590403333</v>
      </c>
      <c r="AG25" s="65">
        <f t="shared" si="4"/>
        <v>27514.681451107921</v>
      </c>
      <c r="AH25" s="65">
        <f t="shared" si="4"/>
        <v>29550.330243950844</v>
      </c>
      <c r="AI25" s="65">
        <f t="shared" si="4"/>
        <v>34460.303287043003</v>
      </c>
      <c r="AJ25" s="65">
        <f t="shared" si="4"/>
        <v>40467.134260453793</v>
      </c>
      <c r="AK25" s="65">
        <f t="shared" si="4"/>
        <v>45342.656340886148</v>
      </c>
      <c r="AL25" s="65">
        <f t="shared" si="4"/>
        <v>52095.226363322196</v>
      </c>
      <c r="AM25" s="65">
        <f t="shared" si="4"/>
        <v>60456.184739917939</v>
      </c>
      <c r="AN25" s="65">
        <f t="shared" si="4"/>
        <v>68117.363352733242</v>
      </c>
      <c r="AO25" s="65">
        <f t="shared" si="4"/>
        <v>77495.434128453431</v>
      </c>
      <c r="AP25" s="65">
        <f t="shared" si="4"/>
        <v>86570.921142308245</v>
      </c>
      <c r="AQ25" s="65">
        <f t="shared" si="4"/>
        <v>91316.048603921925</v>
      </c>
      <c r="AR25" s="65">
        <f t="shared" si="4"/>
        <v>97348.233710664106</v>
      </c>
      <c r="AS25" s="65">
        <f t="shared" si="4"/>
        <v>103002.44799102243</v>
      </c>
      <c r="AT25" s="65">
        <f t="shared" si="4"/>
        <v>109717.77622204836</v>
      </c>
      <c r="AU25" s="65">
        <f t="shared" si="4"/>
        <v>120281.76799643619</v>
      </c>
      <c r="AV25" s="65">
        <f t="shared" si="4"/>
        <v>127328.08326291636</v>
      </c>
      <c r="AW25" s="65">
        <f t="shared" si="4"/>
        <v>130744.66449085923</v>
      </c>
      <c r="AX25" s="65">
        <f t="shared" si="4"/>
        <v>138440.08982359112</v>
      </c>
      <c r="AY25" s="65">
        <f t="shared" si="4"/>
        <v>146356.7225243639</v>
      </c>
      <c r="AZ25" s="65">
        <f t="shared" si="4"/>
        <v>154023.86183448948</v>
      </c>
      <c r="BA25" s="65">
        <f t="shared" si="4"/>
        <v>160096.87157403392</v>
      </c>
      <c r="BB25" s="65">
        <f t="shared" si="4"/>
        <v>164532.81197432181</v>
      </c>
      <c r="BC25" s="65">
        <f t="shared" si="4"/>
        <v>170303.68392843648</v>
      </c>
      <c r="BD25" s="65">
        <f t="shared" si="4"/>
        <v>176551.1043373557</v>
      </c>
      <c r="BE25" s="65">
        <f t="shared" si="4"/>
        <v>185797.75306982009</v>
      </c>
      <c r="BF25" s="65">
        <f t="shared" si="4"/>
        <v>192357.14991907723</v>
      </c>
      <c r="BG25" s="65">
        <f t="shared" si="4"/>
        <v>200378.557354794</v>
      </c>
    </row>
    <row r="26" spans="1:59" ht="15" customHeight="1" x14ac:dyDescent="0.2">
      <c r="A26" s="40"/>
      <c r="B26" s="40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</row>
    <row r="27" spans="1:59" x14ac:dyDescent="0.2">
      <c r="A27" s="40"/>
      <c r="B27" s="57" t="s">
        <v>74</v>
      </c>
      <c r="C27" s="45" t="e">
        <f t="shared" ref="C27:BG27" si="5">C28+C43</f>
        <v>#REF!</v>
      </c>
      <c r="D27" s="45" t="e">
        <f t="shared" si="5"/>
        <v>#REF!</v>
      </c>
      <c r="E27" s="45" t="e">
        <f t="shared" si="5"/>
        <v>#REF!</v>
      </c>
      <c r="F27" s="45" t="e">
        <f t="shared" si="5"/>
        <v>#REF!</v>
      </c>
      <c r="G27" s="45" t="e">
        <f t="shared" si="5"/>
        <v>#REF!</v>
      </c>
      <c r="H27" s="45" t="e">
        <f t="shared" si="5"/>
        <v>#REF!</v>
      </c>
      <c r="I27" s="45" t="e">
        <f t="shared" si="5"/>
        <v>#REF!</v>
      </c>
      <c r="J27" s="45" t="e">
        <f t="shared" si="5"/>
        <v>#REF!</v>
      </c>
      <c r="K27" s="45" t="e">
        <f t="shared" si="5"/>
        <v>#REF!</v>
      </c>
      <c r="L27" s="45" t="e">
        <f t="shared" si="5"/>
        <v>#REF!</v>
      </c>
      <c r="M27" s="45" t="e">
        <f t="shared" si="5"/>
        <v>#REF!</v>
      </c>
      <c r="N27" s="45" t="e">
        <f t="shared" si="5"/>
        <v>#REF!</v>
      </c>
      <c r="O27" s="45" t="e">
        <f t="shared" si="5"/>
        <v>#REF!</v>
      </c>
      <c r="P27" s="45" t="e">
        <f t="shared" si="5"/>
        <v>#REF!</v>
      </c>
      <c r="Q27" s="45" t="e">
        <f t="shared" si="5"/>
        <v>#REF!</v>
      </c>
      <c r="R27" s="45" t="e">
        <f t="shared" si="5"/>
        <v>#REF!</v>
      </c>
      <c r="S27" s="45" t="e">
        <f t="shared" si="5"/>
        <v>#REF!</v>
      </c>
      <c r="T27" s="45" t="e">
        <f t="shared" si="5"/>
        <v>#REF!</v>
      </c>
      <c r="U27" s="45" t="e">
        <f t="shared" si="5"/>
        <v>#REF!</v>
      </c>
      <c r="V27" s="45" t="e">
        <f t="shared" si="5"/>
        <v>#REF!</v>
      </c>
      <c r="W27" s="45" t="e">
        <f t="shared" si="5"/>
        <v>#REF!</v>
      </c>
      <c r="X27" s="45" t="e">
        <f t="shared" si="5"/>
        <v>#REF!</v>
      </c>
      <c r="Y27" s="45" t="e">
        <f t="shared" si="5"/>
        <v>#REF!</v>
      </c>
      <c r="Z27" s="45" t="e">
        <f t="shared" si="5"/>
        <v>#REF!</v>
      </c>
      <c r="AA27" s="45" t="e">
        <f t="shared" si="5"/>
        <v>#REF!</v>
      </c>
      <c r="AB27" s="45">
        <f t="shared" si="5"/>
        <v>14704.805151103617</v>
      </c>
      <c r="AC27" s="45">
        <f t="shared" si="5"/>
        <v>13471.209717295063</v>
      </c>
      <c r="AD27" s="45">
        <f t="shared" si="5"/>
        <v>15416.429838103437</v>
      </c>
      <c r="AE27" s="45">
        <f t="shared" si="5"/>
        <v>19201.922730020495</v>
      </c>
      <c r="AF27" s="45">
        <f t="shared" si="5"/>
        <v>24166.34897086148</v>
      </c>
      <c r="AG27" s="60">
        <f t="shared" si="5"/>
        <v>26524.852974496327</v>
      </c>
      <c r="AH27" s="60">
        <f t="shared" si="5"/>
        <v>27829.346322833084</v>
      </c>
      <c r="AI27" s="60">
        <f t="shared" si="5"/>
        <v>31862.370664948547</v>
      </c>
      <c r="AJ27" s="60">
        <f t="shared" si="5"/>
        <v>36157.353297701651</v>
      </c>
      <c r="AK27" s="60">
        <f t="shared" si="5"/>
        <v>37622.820815694067</v>
      </c>
      <c r="AL27" s="60">
        <f t="shared" si="5"/>
        <v>41802.252004142749</v>
      </c>
      <c r="AM27" s="60">
        <f t="shared" si="5"/>
        <v>47254.942612971325</v>
      </c>
      <c r="AN27" s="60">
        <f t="shared" si="5"/>
        <v>51781.644734393602</v>
      </c>
      <c r="AO27" s="60">
        <f t="shared" si="5"/>
        <v>57194.676748496036</v>
      </c>
      <c r="AP27" s="60">
        <f t="shared" si="5"/>
        <v>60673.810724494208</v>
      </c>
      <c r="AQ27" s="60">
        <f t="shared" si="5"/>
        <v>59475.892508985075</v>
      </c>
      <c r="AR27" s="60">
        <f t="shared" si="5"/>
        <v>59635.934398501362</v>
      </c>
      <c r="AS27" s="60">
        <f t="shared" si="5"/>
        <v>60915.584666872564</v>
      </c>
      <c r="AT27" s="60">
        <f t="shared" si="5"/>
        <v>61811.167351607328</v>
      </c>
      <c r="AU27" s="60">
        <f t="shared" si="5"/>
        <v>66066.681699803783</v>
      </c>
      <c r="AV27" s="60">
        <f t="shared" si="5"/>
        <v>68310.386693404391</v>
      </c>
      <c r="AW27" s="60">
        <f t="shared" si="5"/>
        <v>66248.353837571791</v>
      </c>
      <c r="AX27" s="60">
        <f t="shared" si="5"/>
        <v>69071.200555007963</v>
      </c>
      <c r="AY27" s="60">
        <f t="shared" si="5"/>
        <v>72196.552201286599</v>
      </c>
      <c r="AZ27" s="60">
        <f t="shared" si="5"/>
        <v>75658.529531103733</v>
      </c>
      <c r="BA27" s="60">
        <f t="shared" si="5"/>
        <v>77958.978943279668</v>
      </c>
      <c r="BB27" s="60">
        <f t="shared" si="5"/>
        <v>77361.144161256452</v>
      </c>
      <c r="BC27" s="60">
        <f t="shared" si="5"/>
        <v>78651.704857217381</v>
      </c>
      <c r="BD27" s="60">
        <f t="shared" si="5"/>
        <v>77914.956003525978</v>
      </c>
      <c r="BE27" s="60">
        <f t="shared" si="5"/>
        <v>82047.767009381292</v>
      </c>
      <c r="BF27" s="60">
        <f t="shared" si="5"/>
        <v>82090.443579048864</v>
      </c>
      <c r="BG27" s="60">
        <f t="shared" si="5"/>
        <v>84663.519576096252</v>
      </c>
    </row>
    <row r="28" spans="1:59" x14ac:dyDescent="0.2">
      <c r="A28" s="40"/>
      <c r="B28" s="66" t="s">
        <v>75</v>
      </c>
      <c r="C28" s="62" t="e">
        <f>C29+C36+#REF!</f>
        <v>#REF!</v>
      </c>
      <c r="D28" s="62" t="e">
        <f>D29+D36+#REF!</f>
        <v>#REF!</v>
      </c>
      <c r="E28" s="62" t="e">
        <f>E29+E36+#REF!</f>
        <v>#REF!</v>
      </c>
      <c r="F28" s="62" t="e">
        <f>F29+F36+#REF!</f>
        <v>#REF!</v>
      </c>
      <c r="G28" s="62" t="e">
        <f>G29+G36+#REF!</f>
        <v>#REF!</v>
      </c>
      <c r="H28" s="62" t="e">
        <f>H29+H36+#REF!</f>
        <v>#REF!</v>
      </c>
      <c r="I28" s="62" t="e">
        <f>I29+I36+#REF!</f>
        <v>#REF!</v>
      </c>
      <c r="J28" s="62" t="e">
        <f>J29+J36+#REF!</f>
        <v>#REF!</v>
      </c>
      <c r="K28" s="62" t="e">
        <f>K29+K36+#REF!</f>
        <v>#REF!</v>
      </c>
      <c r="L28" s="62" t="e">
        <f>L29+L36+#REF!</f>
        <v>#REF!</v>
      </c>
      <c r="M28" s="62" t="e">
        <f>M29+M36+#REF!</f>
        <v>#REF!</v>
      </c>
      <c r="N28" s="62" t="e">
        <f>N29+N36+#REF!</f>
        <v>#REF!</v>
      </c>
      <c r="O28" s="62" t="e">
        <f>O29+O36+#REF!</f>
        <v>#REF!</v>
      </c>
      <c r="P28" s="62" t="e">
        <f>P29+P36+#REF!</f>
        <v>#REF!</v>
      </c>
      <c r="Q28" s="62" t="e">
        <f>Q29+Q36+#REF!</f>
        <v>#REF!</v>
      </c>
      <c r="R28" s="62" t="e">
        <f>R29+R36+#REF!</f>
        <v>#REF!</v>
      </c>
      <c r="S28" s="62" t="e">
        <f>S29+S36+#REF!</f>
        <v>#REF!</v>
      </c>
      <c r="T28" s="62" t="e">
        <f>T29+T36+#REF!</f>
        <v>#REF!</v>
      </c>
      <c r="U28" s="62" t="e">
        <f>U29+U36+#REF!</f>
        <v>#REF!</v>
      </c>
      <c r="V28" s="62" t="e">
        <f>V29+V36+#REF!</f>
        <v>#REF!</v>
      </c>
      <c r="W28" s="62" t="e">
        <f>W29+W36+#REF!</f>
        <v>#REF!</v>
      </c>
      <c r="X28" s="62" t="e">
        <f>X29+X36+#REF!</f>
        <v>#REF!</v>
      </c>
      <c r="Y28" s="62" t="e">
        <f>Y29+Y36+#REF!</f>
        <v>#REF!</v>
      </c>
      <c r="Z28" s="62" t="e">
        <f>Z29+Z36+#REF!</f>
        <v>#REF!</v>
      </c>
      <c r="AA28" s="62" t="e">
        <f>AA29+AA36+#REF!</f>
        <v>#REF!</v>
      </c>
      <c r="AB28" s="62">
        <f>AB29+AB36</f>
        <v>7420.5127052360467</v>
      </c>
      <c r="AC28" s="62">
        <f t="shared" ref="AC28:BG28" si="6">AC29+AC36</f>
        <v>7140.8171305911019</v>
      </c>
      <c r="AD28" s="62">
        <f t="shared" si="6"/>
        <v>8642.2344106084056</v>
      </c>
      <c r="AE28" s="62">
        <f t="shared" si="6"/>
        <v>17828.040178937634</v>
      </c>
      <c r="AF28" s="62">
        <f t="shared" si="6"/>
        <v>22039.410882775454</v>
      </c>
      <c r="AG28" s="62">
        <f t="shared" si="6"/>
        <v>25021.715478939383</v>
      </c>
      <c r="AH28" s="62">
        <f t="shared" si="6"/>
        <v>22984.581856136279</v>
      </c>
      <c r="AI28" s="62">
        <f t="shared" si="6"/>
        <v>25505.462836722738</v>
      </c>
      <c r="AJ28" s="62">
        <f t="shared" si="6"/>
        <v>30856.299748893325</v>
      </c>
      <c r="AK28" s="62">
        <f t="shared" si="6"/>
        <v>31363.479279064239</v>
      </c>
      <c r="AL28" s="62">
        <f t="shared" si="6"/>
        <v>36039.049342835628</v>
      </c>
      <c r="AM28" s="62">
        <f t="shared" si="6"/>
        <v>40788.538486767218</v>
      </c>
      <c r="AN28" s="62">
        <f t="shared" si="6"/>
        <v>44692.534519487148</v>
      </c>
      <c r="AO28" s="62">
        <f t="shared" si="6"/>
        <v>53307.459412872267</v>
      </c>
      <c r="AP28" s="62">
        <f t="shared" si="6"/>
        <v>52494.756355139172</v>
      </c>
      <c r="AQ28" s="62">
        <f t="shared" si="6"/>
        <v>52448.903719881899</v>
      </c>
      <c r="AR28" s="62">
        <f t="shared" si="6"/>
        <v>54993.955178544238</v>
      </c>
      <c r="AS28" s="62">
        <f t="shared" si="6"/>
        <v>52901.131040983826</v>
      </c>
      <c r="AT28" s="62">
        <f t="shared" si="6"/>
        <v>54976.145554094655</v>
      </c>
      <c r="AU28" s="62">
        <f t="shared" si="6"/>
        <v>60352.147418300599</v>
      </c>
      <c r="AV28" s="62">
        <f t="shared" si="6"/>
        <v>62222.716632761134</v>
      </c>
      <c r="AW28" s="62">
        <f t="shared" si="6"/>
        <v>55489.498812736485</v>
      </c>
      <c r="AX28" s="62">
        <f t="shared" si="6"/>
        <v>58844.135147899244</v>
      </c>
      <c r="AY28" s="62">
        <f t="shared" si="6"/>
        <v>63131.958005267348</v>
      </c>
      <c r="AZ28" s="62">
        <f t="shared" si="6"/>
        <v>67108.430924157758</v>
      </c>
      <c r="BA28" s="62">
        <f t="shared" si="6"/>
        <v>68374.768848298583</v>
      </c>
      <c r="BB28" s="62">
        <f t="shared" si="6"/>
        <v>67908.424247990653</v>
      </c>
      <c r="BC28" s="62">
        <f t="shared" si="6"/>
        <v>68415.737192642016</v>
      </c>
      <c r="BD28" s="62">
        <f t="shared" si="6"/>
        <v>68684.327757466395</v>
      </c>
      <c r="BE28" s="62">
        <f t="shared" si="6"/>
        <v>72620.60871376234</v>
      </c>
      <c r="BF28" s="62">
        <f t="shared" si="6"/>
        <v>72247.729245886221</v>
      </c>
      <c r="BG28" s="62">
        <f t="shared" si="6"/>
        <v>75765.223991087914</v>
      </c>
    </row>
    <row r="29" spans="1:59" x14ac:dyDescent="0.2">
      <c r="A29" s="40"/>
      <c r="B29" s="66" t="s">
        <v>76</v>
      </c>
      <c r="C29" s="62">
        <f>SUM(C30:C35)</f>
        <v>0</v>
      </c>
      <c r="D29" s="62">
        <f t="shared" ref="D29:AD29" si="7">SUM(D30:D35)</f>
        <v>0</v>
      </c>
      <c r="E29" s="62">
        <f t="shared" si="7"/>
        <v>0</v>
      </c>
      <c r="F29" s="62">
        <f t="shared" si="7"/>
        <v>0</v>
      </c>
      <c r="G29" s="62">
        <f t="shared" si="7"/>
        <v>6.3923332142564168E-2</v>
      </c>
      <c r="H29" s="62">
        <f t="shared" si="7"/>
        <v>0.64462098384007516</v>
      </c>
      <c r="I29" s="62">
        <f t="shared" si="7"/>
        <v>1.6013307077179486</v>
      </c>
      <c r="J29" s="62">
        <f t="shared" si="7"/>
        <v>11.037513009641899</v>
      </c>
      <c r="K29" s="62">
        <f t="shared" si="7"/>
        <v>13.527568460384177</v>
      </c>
      <c r="L29" s="62">
        <f t="shared" si="7"/>
        <v>18.126958536229157</v>
      </c>
      <c r="M29" s="62">
        <f t="shared" si="7"/>
        <v>19.67894525943024</v>
      </c>
      <c r="N29" s="62">
        <f t="shared" si="7"/>
        <v>47.877160182454944</v>
      </c>
      <c r="O29" s="62">
        <f t="shared" si="7"/>
        <v>56.040420231811176</v>
      </c>
      <c r="P29" s="62">
        <f t="shared" si="7"/>
        <v>228.80982552800737</v>
      </c>
      <c r="Q29" s="62">
        <f t="shared" si="7"/>
        <v>750.46199999999999</v>
      </c>
      <c r="R29" s="62">
        <f t="shared" si="7"/>
        <v>1263.5990000000002</v>
      </c>
      <c r="S29" s="62">
        <f t="shared" si="7"/>
        <v>958</v>
      </c>
      <c r="T29" s="62">
        <f t="shared" si="7"/>
        <v>1978</v>
      </c>
      <c r="U29" s="62">
        <f t="shared" si="7"/>
        <v>2287</v>
      </c>
      <c r="V29" s="62">
        <f t="shared" si="7"/>
        <v>3206</v>
      </c>
      <c r="W29" s="62">
        <f t="shared" si="7"/>
        <v>3000.19</v>
      </c>
      <c r="X29" s="62">
        <f t="shared" si="7"/>
        <v>3401.4</v>
      </c>
      <c r="Y29" s="62">
        <f t="shared" si="7"/>
        <v>3416.5299999999997</v>
      </c>
      <c r="Z29" s="62">
        <f t="shared" si="7"/>
        <v>4206.8</v>
      </c>
      <c r="AA29" s="62">
        <f t="shared" si="7"/>
        <v>4969.681884765625</v>
      </c>
      <c r="AB29" s="62">
        <f t="shared" si="7"/>
        <v>4196.7116666666661</v>
      </c>
      <c r="AC29" s="62">
        <f t="shared" si="7"/>
        <v>3717.5073107677081</v>
      </c>
      <c r="AD29" s="62">
        <f t="shared" si="7"/>
        <v>3736.046010281666</v>
      </c>
      <c r="AE29" s="62">
        <f t="shared" ref="AE29:AP29" si="8">SUM(AE30:AE35)+AE78+AE80</f>
        <v>5074.6561647779454</v>
      </c>
      <c r="AF29" s="62">
        <f t="shared" si="8"/>
        <v>4890.2989228289234</v>
      </c>
      <c r="AG29" s="67">
        <f t="shared" si="8"/>
        <v>4524.2500087439767</v>
      </c>
      <c r="AH29" s="67">
        <f t="shared" si="8"/>
        <v>4235.4871615808843</v>
      </c>
      <c r="AI29" s="67">
        <f t="shared" si="8"/>
        <v>3907.23022470858</v>
      </c>
      <c r="AJ29" s="67">
        <f t="shared" si="8"/>
        <v>4095.7209334579388</v>
      </c>
      <c r="AK29" s="67">
        <f t="shared" si="8"/>
        <v>3131.2758731521626</v>
      </c>
      <c r="AL29" s="67">
        <f t="shared" si="8"/>
        <v>3316.2021630867844</v>
      </c>
      <c r="AM29" s="67">
        <f t="shared" si="8"/>
        <v>3280.8013434418126</v>
      </c>
      <c r="AN29" s="67">
        <f t="shared" si="8"/>
        <v>3260.9134565930467</v>
      </c>
      <c r="AO29" s="67">
        <f t="shared" si="8"/>
        <v>3469.6990666001907</v>
      </c>
      <c r="AP29" s="67">
        <f t="shared" si="8"/>
        <v>3355.5588958870694</v>
      </c>
      <c r="AQ29" s="67">
        <f t="shared" ref="AQ29:AW29" si="9">SUM(AQ30:AQ35)+AQ77+AQ79</f>
        <v>3020.2804083800902</v>
      </c>
      <c r="AR29" s="67">
        <f t="shared" si="9"/>
        <v>2847.1133010555136</v>
      </c>
      <c r="AS29" s="67">
        <f t="shared" si="9"/>
        <v>2277.4661581632913</v>
      </c>
      <c r="AT29" s="67">
        <f t="shared" si="9"/>
        <v>1820.9135833607415</v>
      </c>
      <c r="AU29" s="67">
        <f t="shared" si="9"/>
        <v>1779.0129973579965</v>
      </c>
      <c r="AV29" s="67">
        <f t="shared" si="9"/>
        <v>1709.3361087456447</v>
      </c>
      <c r="AW29" s="67">
        <f t="shared" si="9"/>
        <v>1630.5998113964995</v>
      </c>
      <c r="AX29" s="67">
        <f t="shared" ref="AX29:BG29" si="10">SUM(AX30:AX35)+AX77+AX79</f>
        <v>1676.8811618840396</v>
      </c>
      <c r="AY29" s="67">
        <f t="shared" si="10"/>
        <v>1925.091953046521</v>
      </c>
      <c r="AZ29" s="67">
        <f t="shared" si="10"/>
        <v>1905.7654433443602</v>
      </c>
      <c r="BA29" s="67">
        <f t="shared" si="10"/>
        <v>1888.3469729778676</v>
      </c>
      <c r="BB29" s="67">
        <f t="shared" si="10"/>
        <v>1873.1513710731285</v>
      </c>
      <c r="BC29" s="67">
        <f t="shared" si="10"/>
        <v>1860.9400682522557</v>
      </c>
      <c r="BD29" s="67">
        <f t="shared" si="10"/>
        <v>1851.0812792014685</v>
      </c>
      <c r="BE29" s="67">
        <f t="shared" si="10"/>
        <v>1843.1127160308486</v>
      </c>
      <c r="BF29" s="67">
        <f t="shared" si="10"/>
        <v>1836.2955025303897</v>
      </c>
      <c r="BG29" s="67">
        <f t="shared" si="10"/>
        <v>1830.6688543772827</v>
      </c>
    </row>
    <row r="30" spans="1:59" x14ac:dyDescent="0.2">
      <c r="A30" s="40"/>
      <c r="B30" s="61" t="s">
        <v>138</v>
      </c>
      <c r="C30" s="62">
        <f>'Inedible Tallow'!C10</f>
        <v>0</v>
      </c>
      <c r="D30" s="62">
        <f>'Inedible Tallow'!D10</f>
        <v>0</v>
      </c>
      <c r="E30" s="62">
        <f>'Inedible Tallow'!E10</f>
        <v>0</v>
      </c>
      <c r="F30" s="62">
        <f>'Inedible Tallow'!F10</f>
        <v>0</v>
      </c>
      <c r="G30" s="62">
        <f>'Inedible Tallow'!G10</f>
        <v>6.3923332142564168E-2</v>
      </c>
      <c r="H30" s="62">
        <f>'Inedible Tallow'!H10</f>
        <v>0.64462098384007516</v>
      </c>
      <c r="I30" s="62">
        <f>'Inedible Tallow'!I10</f>
        <v>1.6013307077179486</v>
      </c>
      <c r="J30" s="62">
        <f>'Inedible Tallow'!J10</f>
        <v>11.037513009641899</v>
      </c>
      <c r="K30" s="62">
        <f>'Inedible Tallow'!K10</f>
        <v>13.527568460384177</v>
      </c>
      <c r="L30" s="62">
        <f>'Inedible Tallow'!L10</f>
        <v>18.126958536229157</v>
      </c>
      <c r="M30" s="62">
        <f>'Inedible Tallow'!M10</f>
        <v>19.67894525943024</v>
      </c>
      <c r="N30" s="62">
        <f>'Inedible Tallow'!N10</f>
        <v>47.877160182454944</v>
      </c>
      <c r="O30" s="62">
        <f>'Inedible Tallow'!O10</f>
        <v>45.290420231811176</v>
      </c>
      <c r="P30" s="62">
        <f>'Inedible Tallow'!P10</f>
        <v>38.803152739516371</v>
      </c>
      <c r="Q30" s="62">
        <f>'Inedible Tallow'!Q10</f>
        <v>222.9</v>
      </c>
      <c r="R30" s="62">
        <f>'Inedible Tallow'!R10</f>
        <v>531</v>
      </c>
      <c r="S30" s="62">
        <f>'Inedible Tallow'!S10</f>
        <v>170</v>
      </c>
      <c r="T30" s="62">
        <f>'Inedible Tallow'!T10</f>
        <v>429</v>
      </c>
      <c r="U30" s="62">
        <f>'Inedible Tallow'!U10</f>
        <v>385</v>
      </c>
      <c r="V30" s="62">
        <f>'Inedible Tallow'!V10</f>
        <v>465</v>
      </c>
      <c r="W30" s="62">
        <f>'Inedible Tallow'!W10</f>
        <v>355.94</v>
      </c>
      <c r="X30" s="62">
        <f>'Inedible Tallow'!X10</f>
        <v>429</v>
      </c>
      <c r="Y30" s="62">
        <f>'Inedible Tallow'!Y10</f>
        <v>331.86</v>
      </c>
      <c r="Z30" s="62">
        <f>'Inedible Tallow'!Z10</f>
        <v>390.96000000000004</v>
      </c>
      <c r="AA30" s="62">
        <f>'Inedible Tallow'!AA10</f>
        <v>468.9387939453124</v>
      </c>
      <c r="AB30" s="62">
        <f>'Inedible Tallow'!AB10</f>
        <v>292.41000000000003</v>
      </c>
      <c r="AC30" s="62">
        <f>'Inedible Tallow'!AC10</f>
        <v>367.50328247141533</v>
      </c>
      <c r="AD30" s="62">
        <f>'Inedible Tallow'!AD10</f>
        <v>351.75896674871439</v>
      </c>
      <c r="AE30" s="62">
        <f>'Inedible Tallow'!AE10</f>
        <v>562.52920966108729</v>
      </c>
      <c r="AF30" s="62">
        <f>'Inedible Tallow'!AF10</f>
        <v>937.19771795737722</v>
      </c>
      <c r="AG30" s="62">
        <f>'Inedible Tallow'!AG10</f>
        <v>845.5803740555076</v>
      </c>
      <c r="AH30" s="62">
        <f>'Inedible Tallow'!AH10</f>
        <v>647.21198076938902</v>
      </c>
      <c r="AI30" s="62">
        <f>'Inedible Tallow'!AI10</f>
        <v>598.11127873729151</v>
      </c>
      <c r="AJ30" s="62">
        <f>'Inedible Tallow'!AJ10</f>
        <v>662.33888567488486</v>
      </c>
      <c r="AK30" s="62">
        <f>'Inedible Tallow'!AK10</f>
        <v>549.35077483098962</v>
      </c>
      <c r="AL30" s="62">
        <f>'Inedible Tallow'!AL10</f>
        <v>597.73923999732767</v>
      </c>
      <c r="AM30" s="62">
        <f>'Inedible Tallow'!AM10</f>
        <v>581.68828032031536</v>
      </c>
      <c r="AN30" s="62">
        <f>'Inedible Tallow'!AN10</f>
        <v>581.51583272477114</v>
      </c>
      <c r="AO30" s="62">
        <f>'Inedible Tallow'!AO10</f>
        <v>620.22919595712324</v>
      </c>
      <c r="AP30" s="62">
        <f>'Inedible Tallow'!AP10</f>
        <v>580.95411007278778</v>
      </c>
      <c r="AQ30" s="62">
        <f>'Inedible Tallow'!AQ10</f>
        <v>559.12559920197191</v>
      </c>
      <c r="AR30" s="62">
        <f>'Inedible Tallow'!AR10</f>
        <v>521.11002341166659</v>
      </c>
      <c r="AS30" s="62">
        <f>'Inedible Tallow'!AS10</f>
        <v>382.60272376756353</v>
      </c>
      <c r="AT30" s="62">
        <f>'Inedible Tallow'!AT10</f>
        <v>299.99472713648737</v>
      </c>
      <c r="AU30" s="62">
        <f>'Inedible Tallow'!AU10</f>
        <v>282.36540650414997</v>
      </c>
      <c r="AV30" s="62">
        <f>'Inedible Tallow'!AV10</f>
        <v>259.69105082735496</v>
      </c>
      <c r="AW30" s="62">
        <f>'Inedible Tallow'!AW10</f>
        <v>218.72370218426047</v>
      </c>
      <c r="AX30" s="62">
        <f>'Inedible Tallow'!AX10</f>
        <v>199.54002136165832</v>
      </c>
      <c r="AY30" s="62">
        <f>'Inedible Tallow'!AY10</f>
        <v>199.94790370590849</v>
      </c>
      <c r="AZ30" s="62">
        <f>'Inedible Tallow'!AZ10</f>
        <v>202.74127369471438</v>
      </c>
      <c r="BA30" s="62">
        <f>'Inedible Tallow'!BA10</f>
        <v>203.86202974658835</v>
      </c>
      <c r="BB30" s="62">
        <f>'Inedible Tallow'!BB10</f>
        <v>204.21678853945195</v>
      </c>
      <c r="BC30" s="62">
        <f>'Inedible Tallow'!BC10</f>
        <v>205.05838403981576</v>
      </c>
      <c r="BD30" s="62">
        <f>'Inedible Tallow'!BD10</f>
        <v>206.16361273400895</v>
      </c>
      <c r="BE30" s="62">
        <f>'Inedible Tallow'!BE10</f>
        <v>207.41032893884579</v>
      </c>
      <c r="BF30" s="62">
        <f>'Inedible Tallow'!BF10</f>
        <v>208.34315751568482</v>
      </c>
      <c r="BG30" s="62">
        <f>'Inedible Tallow'!BG10</f>
        <v>209.23787011892233</v>
      </c>
    </row>
    <row r="31" spans="1:59" x14ac:dyDescent="0.2">
      <c r="A31" s="40"/>
      <c r="B31" s="40" t="s">
        <v>139</v>
      </c>
      <c r="C31" s="45">
        <f>'Yellow Grease'!C10</f>
        <v>0</v>
      </c>
      <c r="D31" s="45">
        <f>'Yellow Grease'!D10</f>
        <v>0</v>
      </c>
      <c r="E31" s="45">
        <f>'Yellow Grease'!E10</f>
        <v>0</v>
      </c>
      <c r="F31" s="45">
        <f>'Yellow Grease'!F10</f>
        <v>0</v>
      </c>
      <c r="G31" s="45">
        <f>'Yellow Grease'!G10</f>
        <v>0</v>
      </c>
      <c r="H31" s="45">
        <f>'Yellow Grease'!H10</f>
        <v>0</v>
      </c>
      <c r="I31" s="45">
        <f>'Yellow Grease'!I10</f>
        <v>0</v>
      </c>
      <c r="J31" s="45">
        <f>'Yellow Grease'!J10</f>
        <v>0</v>
      </c>
      <c r="K31" s="45">
        <f>'Yellow Grease'!K10</f>
        <v>0</v>
      </c>
      <c r="L31" s="45">
        <f>'Yellow Grease'!L10</f>
        <v>0</v>
      </c>
      <c r="M31" s="45">
        <f>'Yellow Grease'!M10</f>
        <v>0</v>
      </c>
      <c r="N31" s="45">
        <f>'Yellow Grease'!N10</f>
        <v>0</v>
      </c>
      <c r="O31" s="45">
        <f>'Yellow Grease'!O10</f>
        <v>0</v>
      </c>
      <c r="P31" s="45">
        <f>'Yellow Grease'!P10</f>
        <v>24.41576369758188</v>
      </c>
      <c r="Q31" s="45">
        <f>'Yellow Grease'!Q10</f>
        <v>58.05</v>
      </c>
      <c r="R31" s="45">
        <f>'Yellow Grease'!R10</f>
        <v>132.29950000000002</v>
      </c>
      <c r="S31" s="45">
        <f>'Yellow Grease'!S10</f>
        <v>122</v>
      </c>
      <c r="T31" s="45">
        <f>'Yellow Grease'!T10</f>
        <v>235.5</v>
      </c>
      <c r="U31" s="45">
        <f>'Yellow Grease'!U10</f>
        <v>336</v>
      </c>
      <c r="V31" s="45">
        <f>'Yellow Grease'!V10</f>
        <v>524</v>
      </c>
      <c r="W31" s="45">
        <f>'Yellow Grease'!W10</f>
        <v>536.96499999999992</v>
      </c>
      <c r="X31" s="45">
        <f>'Yellow Grease'!X10</f>
        <v>489.70000000000005</v>
      </c>
      <c r="Y31" s="45">
        <f>'Yellow Grease'!Y10</f>
        <v>230.7645</v>
      </c>
      <c r="Z31" s="45">
        <f>'Yellow Grease'!Z10</f>
        <v>514.976</v>
      </c>
      <c r="AA31" s="45">
        <f>'Yellow Grease'!AA10</f>
        <v>583.92250000000001</v>
      </c>
      <c r="AB31" s="45">
        <f>'Yellow Grease'!AB10</f>
        <v>539.95299999999997</v>
      </c>
      <c r="AC31" s="45">
        <f>'Yellow Grease'!AC10</f>
        <v>456.63300000000004</v>
      </c>
      <c r="AD31" s="45">
        <f>'Yellow Grease'!AD10</f>
        <v>615.39745261591747</v>
      </c>
      <c r="AE31" s="45">
        <f>'Yellow Grease'!AE10</f>
        <v>673.71493929583096</v>
      </c>
      <c r="AF31" s="45">
        <f>'Yellow Grease'!AF10</f>
        <v>774.48666077672965</v>
      </c>
      <c r="AG31" s="45">
        <f>'Yellow Grease'!AG10</f>
        <v>902.99299465815443</v>
      </c>
      <c r="AH31" s="45">
        <f>'Yellow Grease'!AH10</f>
        <v>788.00730953568291</v>
      </c>
      <c r="AI31" s="45">
        <f>'Yellow Grease'!AI10</f>
        <v>676.24681338217363</v>
      </c>
      <c r="AJ31" s="45">
        <f>'Yellow Grease'!AJ10</f>
        <v>708.90229741641087</v>
      </c>
      <c r="AK31" s="45">
        <f>'Yellow Grease'!AK10</f>
        <v>481.48629424194115</v>
      </c>
      <c r="AL31" s="45">
        <f>'Yellow Grease'!AL10</f>
        <v>337.38467438511782</v>
      </c>
      <c r="AM31" s="45">
        <f>'Yellow Grease'!AM10</f>
        <v>324.89390756061226</v>
      </c>
      <c r="AN31" s="45">
        <f>'Yellow Grease'!AN10</f>
        <v>319.41867274074434</v>
      </c>
      <c r="AO31" s="45">
        <f>'Yellow Grease'!AO10</f>
        <v>339.00595246419164</v>
      </c>
      <c r="AP31" s="45">
        <f>'Yellow Grease'!AP10</f>
        <v>317.19382356323376</v>
      </c>
      <c r="AQ31" s="45">
        <f>'Yellow Grease'!AQ10</f>
        <v>309.11854345885286</v>
      </c>
      <c r="AR31" s="45">
        <f>'Yellow Grease'!AR10</f>
        <v>234.65928928628509</v>
      </c>
      <c r="AS31" s="45">
        <f>'Yellow Grease'!AS10</f>
        <v>83.430993420849717</v>
      </c>
      <c r="AT31" s="45">
        <f>'Yellow Grease'!AT10</f>
        <v>58.181292556017112</v>
      </c>
      <c r="AU31" s="45">
        <f>'Yellow Grease'!AU10</f>
        <v>47.169507756028196</v>
      </c>
      <c r="AV31" s="45">
        <f>'Yellow Grease'!AV10</f>
        <v>39.564637403474997</v>
      </c>
      <c r="AW31" s="45">
        <f>'Yellow Grease'!AW10</f>
        <v>33.663510042559878</v>
      </c>
      <c r="AX31" s="45">
        <f>'Yellow Grease'!AX10</f>
        <v>29.084430779486084</v>
      </c>
      <c r="AY31" s="45">
        <f>'Yellow Grease'!AY10</f>
        <v>25.531217026400626</v>
      </c>
      <c r="AZ31" s="45">
        <f>'Yellow Grease'!AZ10</f>
        <v>22.774040910903416</v>
      </c>
      <c r="BA31" s="45">
        <f>'Yellow Grease'!BA10</f>
        <v>20.634563620727164</v>
      </c>
      <c r="BB31" s="45">
        <f>'Yellow Grease'!BB10</f>
        <v>18.974400147870995</v>
      </c>
      <c r="BC31" s="45">
        <f>'Yellow Grease'!BC10</f>
        <v>17.686168312337561</v>
      </c>
      <c r="BD31" s="45">
        <f>'Yellow Grease'!BD10</f>
        <v>16.686543101196907</v>
      </c>
      <c r="BE31" s="45">
        <f>'Yellow Grease'!BE10</f>
        <v>15.910867065885906</v>
      </c>
      <c r="BF31" s="45">
        <f>'Yellow Grease'!BF10</f>
        <v>15.308968169129152</v>
      </c>
      <c r="BG31" s="45">
        <f>'Yellow Grease'!BG10</f>
        <v>14.841914572750163</v>
      </c>
    </row>
    <row r="32" spans="1:59" x14ac:dyDescent="0.2">
      <c r="A32" s="40"/>
      <c r="B32" s="40" t="s">
        <v>140</v>
      </c>
      <c r="C32" s="45">
        <f>UCO!C10</f>
        <v>0</v>
      </c>
      <c r="D32" s="45">
        <f>UCO!D10</f>
        <v>0</v>
      </c>
      <c r="E32" s="45">
        <f>UCO!E10</f>
        <v>0</v>
      </c>
      <c r="F32" s="45">
        <f>UCO!F10</f>
        <v>0</v>
      </c>
      <c r="G32" s="45">
        <f>UCO!G10</f>
        <v>0</v>
      </c>
      <c r="H32" s="45">
        <f>UCO!H10</f>
        <v>0</v>
      </c>
      <c r="I32" s="45">
        <f>UCO!I10</f>
        <v>0</v>
      </c>
      <c r="J32" s="45">
        <f>UCO!J10</f>
        <v>0</v>
      </c>
      <c r="K32" s="45">
        <f>UCO!K10</f>
        <v>0</v>
      </c>
      <c r="L32" s="45">
        <f>UCO!L10</f>
        <v>0</v>
      </c>
      <c r="M32" s="45">
        <f>UCO!M10</f>
        <v>0</v>
      </c>
      <c r="N32" s="45">
        <f>UCO!N10</f>
        <v>0</v>
      </c>
      <c r="O32" s="45">
        <f>UCO!O10</f>
        <v>0</v>
      </c>
      <c r="P32" s="45">
        <f>UCO!P10</f>
        <v>24.41576369758188</v>
      </c>
      <c r="Q32" s="45">
        <f>UCO!Q10</f>
        <v>58.05</v>
      </c>
      <c r="R32" s="45">
        <f>UCO!R10</f>
        <v>132.29950000000002</v>
      </c>
      <c r="S32" s="45">
        <f>UCO!S10</f>
        <v>122</v>
      </c>
      <c r="T32" s="45">
        <f>UCO!T10</f>
        <v>235.5</v>
      </c>
      <c r="U32" s="45">
        <f>UCO!U10</f>
        <v>336</v>
      </c>
      <c r="V32" s="45">
        <f>UCO!V10</f>
        <v>524</v>
      </c>
      <c r="W32" s="45">
        <f>UCO!W10</f>
        <v>536.96499999999992</v>
      </c>
      <c r="X32" s="45">
        <f>UCO!X10</f>
        <v>659.7</v>
      </c>
      <c r="Y32" s="45">
        <f>UCO!Y10</f>
        <v>749.82550000000003</v>
      </c>
      <c r="Z32" s="45">
        <f>UCO!Z10</f>
        <v>956.3839999999999</v>
      </c>
      <c r="AA32" s="45">
        <f>UCO!AA10</f>
        <v>1084.4275000000002</v>
      </c>
      <c r="AB32" s="45">
        <f>UCO!AB10</f>
        <v>905.52700000000004</v>
      </c>
      <c r="AC32" s="45">
        <f>UCO!AC10</f>
        <v>596.86699999999996</v>
      </c>
      <c r="AD32" s="45">
        <f>UCO!AD10</f>
        <v>751.08775337489988</v>
      </c>
      <c r="AE32" s="45">
        <f>UCO!AE10</f>
        <v>795.12000000000012</v>
      </c>
      <c r="AF32" s="45">
        <f>UCO!AF10</f>
        <v>661.97210000000018</v>
      </c>
      <c r="AG32" s="45">
        <f>UCO!AG10</f>
        <v>835</v>
      </c>
      <c r="AH32" s="45">
        <f>UCO!AH10</f>
        <v>747.54714105570599</v>
      </c>
      <c r="AI32" s="45">
        <f>UCO!AI10</f>
        <v>844.52366738150715</v>
      </c>
      <c r="AJ32" s="45">
        <f>UCO!AJ10</f>
        <v>895.84481917361359</v>
      </c>
      <c r="AK32" s="45">
        <f>UCO!AK10</f>
        <v>747.07302031672532</v>
      </c>
      <c r="AL32" s="45">
        <f>UCO!AL10</f>
        <v>907.39957255907893</v>
      </c>
      <c r="AM32" s="45">
        <f>UCO!AM10</f>
        <v>987.43458642537257</v>
      </c>
      <c r="AN32" s="45">
        <f>UCO!AN10</f>
        <v>1065.9249743435146</v>
      </c>
      <c r="AO32" s="45">
        <f>UCO!AO10</f>
        <v>1201.0093673235865</v>
      </c>
      <c r="AP32" s="45">
        <f>UCO!AP10</f>
        <v>1202.9906820396081</v>
      </c>
      <c r="AQ32" s="45">
        <f>UCO!AQ10</f>
        <v>1236.5082651160744</v>
      </c>
      <c r="AR32" s="45">
        <f>UCO!AR10</f>
        <v>1214.9737048425013</v>
      </c>
      <c r="AS32" s="45">
        <f>UCO!AS10</f>
        <v>1064.4184031826708</v>
      </c>
      <c r="AT32" s="45">
        <f>UCO!AT10</f>
        <v>833.40544362024298</v>
      </c>
      <c r="AU32" s="45">
        <f>UCO!AU10</f>
        <v>840.58947984732845</v>
      </c>
      <c r="AV32" s="45">
        <f>UCO!AV10</f>
        <v>840.58947984732845</v>
      </c>
      <c r="AW32" s="45">
        <f>UCO!AW10</f>
        <v>840.58947984732845</v>
      </c>
      <c r="AX32" s="45">
        <f>UCO!AX10</f>
        <v>937.62487669857876</v>
      </c>
      <c r="AY32" s="45">
        <f>UCO!AY10</f>
        <v>1211.8419763995416</v>
      </c>
      <c r="AZ32" s="45">
        <f>UCO!AZ10</f>
        <v>1211.8419763995416</v>
      </c>
      <c r="BA32" s="45">
        <f>UCO!BA10</f>
        <v>1211.8419763995416</v>
      </c>
      <c r="BB32" s="45">
        <f>UCO!BB10</f>
        <v>1211.8419763995416</v>
      </c>
      <c r="BC32" s="45">
        <f>UCO!BC10</f>
        <v>1211.8419763995416</v>
      </c>
      <c r="BD32" s="45">
        <f>UCO!BD10</f>
        <v>1211.8419763995416</v>
      </c>
      <c r="BE32" s="45">
        <f>UCO!BE10</f>
        <v>1211.8419763995416</v>
      </c>
      <c r="BF32" s="45">
        <f>UCO!BF10</f>
        <v>1211.8419763995416</v>
      </c>
      <c r="BG32" s="45">
        <f>UCO!BG10</f>
        <v>1211.8419763995416</v>
      </c>
    </row>
    <row r="33" spans="1:59" x14ac:dyDescent="0.2">
      <c r="A33" s="40"/>
      <c r="B33" s="40" t="s">
        <v>141</v>
      </c>
      <c r="C33" s="45">
        <f>CWG!C10</f>
        <v>0</v>
      </c>
      <c r="D33" s="45">
        <f>CWG!D10</f>
        <v>0</v>
      </c>
      <c r="E33" s="45">
        <f>CWG!E10</f>
        <v>0</v>
      </c>
      <c r="F33" s="45">
        <f>CWG!F10</f>
        <v>0</v>
      </c>
      <c r="G33" s="45">
        <f>CWG!G10</f>
        <v>0</v>
      </c>
      <c r="H33" s="45">
        <f>CWG!H10</f>
        <v>0</v>
      </c>
      <c r="I33" s="45">
        <f>CWG!I10</f>
        <v>0</v>
      </c>
      <c r="J33" s="45">
        <f>CWG!J10</f>
        <v>0</v>
      </c>
      <c r="K33" s="45">
        <f>CWG!K10</f>
        <v>0</v>
      </c>
      <c r="L33" s="45">
        <f>CWG!L10</f>
        <v>0</v>
      </c>
      <c r="M33" s="45">
        <f>CWG!M10</f>
        <v>0</v>
      </c>
      <c r="N33" s="45">
        <f>CWG!N10</f>
        <v>0</v>
      </c>
      <c r="O33" s="45">
        <f>CWG!O10</f>
        <v>0</v>
      </c>
      <c r="P33" s="45">
        <f>CWG!P10</f>
        <v>81.175145393327213</v>
      </c>
      <c r="Q33" s="45">
        <f>CWG!Q10</f>
        <v>301.70000000000005</v>
      </c>
      <c r="R33" s="45">
        <f>CWG!R10</f>
        <v>334</v>
      </c>
      <c r="S33" s="45">
        <f>CWG!S10</f>
        <v>333</v>
      </c>
      <c r="T33" s="45">
        <f>CWG!T10</f>
        <v>533</v>
      </c>
      <c r="U33" s="45">
        <f>CWG!U10</f>
        <v>409</v>
      </c>
      <c r="V33" s="45">
        <f>CWG!V10</f>
        <v>466</v>
      </c>
      <c r="W33" s="45">
        <f>CWG!W10</f>
        <v>427.40000000000003</v>
      </c>
      <c r="X33" s="45">
        <f>CWG!X10</f>
        <v>589</v>
      </c>
      <c r="Y33" s="45">
        <f>CWG!Y10</f>
        <v>578.03</v>
      </c>
      <c r="Z33" s="45">
        <f>CWG!Z10</f>
        <v>590.59</v>
      </c>
      <c r="AA33" s="45">
        <f>CWG!AA10</f>
        <v>617.69999999999993</v>
      </c>
      <c r="AB33" s="45">
        <f>CWG!AB10</f>
        <v>536.1</v>
      </c>
      <c r="AC33" s="45">
        <f>CWG!AC10</f>
        <v>611.88</v>
      </c>
      <c r="AD33" s="45">
        <f>CWG!AD10</f>
        <v>335.99969418798798</v>
      </c>
      <c r="AE33" s="45">
        <f>CWG!AE10</f>
        <v>232.20923151390002</v>
      </c>
      <c r="AF33" s="45">
        <f>CWG!AF10</f>
        <v>289.43766314515892</v>
      </c>
      <c r="AG33" s="45">
        <f>CWG!AG10</f>
        <v>169.4005071130203</v>
      </c>
      <c r="AH33" s="45">
        <f>CWG!AH10</f>
        <v>306.55340622861377</v>
      </c>
      <c r="AI33" s="45">
        <f>CWG!AI10</f>
        <v>236.94405657186928</v>
      </c>
      <c r="AJ33" s="45">
        <f>CWG!AJ10</f>
        <v>227.65596757903481</v>
      </c>
      <c r="AK33" s="45">
        <f>CWG!AK10</f>
        <v>183.66375970128726</v>
      </c>
      <c r="AL33" s="45">
        <f>CWG!AL10</f>
        <v>204.21177129657181</v>
      </c>
      <c r="AM33" s="45">
        <f>CWG!AM10</f>
        <v>217.60194882289045</v>
      </c>
      <c r="AN33" s="45">
        <f>CWG!AN10</f>
        <v>207.37271595261771</v>
      </c>
      <c r="AO33" s="45">
        <f>CWG!AO10</f>
        <v>216.9167538793329</v>
      </c>
      <c r="AP33" s="45">
        <f>CWG!AP10</f>
        <v>201.38772452836611</v>
      </c>
      <c r="AQ33" s="45">
        <f>CWG!AQ10</f>
        <v>197.01244915404089</v>
      </c>
      <c r="AR33" s="45">
        <f>CWG!AR10</f>
        <v>195.50040557224798</v>
      </c>
      <c r="AS33" s="45">
        <f>CWG!AS10</f>
        <v>195.50040557224798</v>
      </c>
      <c r="AT33" s="45">
        <f>CWG!AT10</f>
        <v>195.50040557224798</v>
      </c>
      <c r="AU33" s="45">
        <f>CWG!AU10</f>
        <v>195.50040557224798</v>
      </c>
      <c r="AV33" s="45">
        <f>CWG!AV10</f>
        <v>195.50040557224798</v>
      </c>
      <c r="AW33" s="45">
        <f>CWG!AW10</f>
        <v>195.50040557224798</v>
      </c>
      <c r="AX33" s="45">
        <f>CWG!AX10</f>
        <v>195.50040557224798</v>
      </c>
      <c r="AY33" s="45">
        <f>CWG!AY10</f>
        <v>195.50040557224798</v>
      </c>
      <c r="AZ33" s="45">
        <f>CWG!AZ10</f>
        <v>195.50040557224798</v>
      </c>
      <c r="BA33" s="45">
        <f>CWG!BA10</f>
        <v>195.50040557224798</v>
      </c>
      <c r="BB33" s="45">
        <f>CWG!BB10</f>
        <v>195.50040557224798</v>
      </c>
      <c r="BC33" s="45">
        <f>CWG!BC10</f>
        <v>195.50040557224798</v>
      </c>
      <c r="BD33" s="45">
        <f>CWG!BD10</f>
        <v>195.50040557224798</v>
      </c>
      <c r="BE33" s="45">
        <f>CWG!BE10</f>
        <v>195.50040557224798</v>
      </c>
      <c r="BF33" s="45">
        <f>CWG!BF10</f>
        <v>195.50040557224798</v>
      </c>
      <c r="BG33" s="45">
        <f>CWG!BG10</f>
        <v>195.50040557224798</v>
      </c>
    </row>
    <row r="34" spans="1:59" x14ac:dyDescent="0.2">
      <c r="A34" s="40"/>
      <c r="B34" s="40" t="s">
        <v>142</v>
      </c>
      <c r="C34" s="45">
        <f>'Poultry Fat'!C10</f>
        <v>0</v>
      </c>
      <c r="D34" s="45">
        <f>'Poultry Fat'!D10</f>
        <v>0</v>
      </c>
      <c r="E34" s="45">
        <f>'Poultry Fat'!E10</f>
        <v>0</v>
      </c>
      <c r="F34" s="45">
        <f>'Poultry Fat'!F10</f>
        <v>0</v>
      </c>
      <c r="G34" s="45">
        <f>'Poultry Fat'!G10</f>
        <v>0</v>
      </c>
      <c r="H34" s="45">
        <f>'Poultry Fat'!H10</f>
        <v>0</v>
      </c>
      <c r="I34" s="45">
        <f>'Poultry Fat'!I10</f>
        <v>0</v>
      </c>
      <c r="J34" s="45">
        <f>'Poultry Fat'!J10</f>
        <v>0</v>
      </c>
      <c r="K34" s="45">
        <f>'Poultry Fat'!K10</f>
        <v>0</v>
      </c>
      <c r="L34" s="45">
        <f>'Poultry Fat'!L10</f>
        <v>0</v>
      </c>
      <c r="M34" s="45">
        <f>'Poultry Fat'!M10</f>
        <v>0</v>
      </c>
      <c r="N34" s="45">
        <f>'Poultry Fat'!N10</f>
        <v>0</v>
      </c>
      <c r="O34" s="45">
        <f>'Poultry Fat'!O10</f>
        <v>10.75</v>
      </c>
      <c r="P34" s="45">
        <f>'Poultry Fat'!P10</f>
        <v>60</v>
      </c>
      <c r="Q34" s="45">
        <f>'Poultry Fat'!Q10</f>
        <v>109.76199999999999</v>
      </c>
      <c r="R34" s="45">
        <f>'Poultry Fat'!R10</f>
        <v>134</v>
      </c>
      <c r="S34" s="45">
        <f>'Poultry Fat'!S10</f>
        <v>99</v>
      </c>
      <c r="T34" s="45">
        <f>'Poultry Fat'!T10</f>
        <v>240</v>
      </c>
      <c r="U34" s="45">
        <f>'Poultry Fat'!U10</f>
        <v>176</v>
      </c>
      <c r="V34" s="45">
        <f>'Poultry Fat'!V10</f>
        <v>161</v>
      </c>
      <c r="W34" s="45">
        <f>'Poultry Fat'!W10</f>
        <v>172.61</v>
      </c>
      <c r="X34" s="45">
        <f>'Poultry Fat'!X10</f>
        <v>190</v>
      </c>
      <c r="Y34" s="45">
        <f>'Poultry Fat'!Y10</f>
        <v>219.66999999999996</v>
      </c>
      <c r="Z34" s="45">
        <f>'Poultry Fat'!Z10</f>
        <v>174.96</v>
      </c>
      <c r="AA34" s="45">
        <f>'Poultry Fat'!AA10</f>
        <v>129.72309082031251</v>
      </c>
      <c r="AB34" s="45">
        <f>'Poultry Fat'!AB10</f>
        <v>163.00166666666669</v>
      </c>
      <c r="AC34" s="45">
        <f>'Poultry Fat'!AC10</f>
        <v>167.94402829629274</v>
      </c>
      <c r="AD34" s="45">
        <f>'Poultry Fat'!AD10</f>
        <v>303.16090229811107</v>
      </c>
      <c r="AE34" s="45">
        <f>'Poultry Fat'!AE10</f>
        <v>145.69281408422782</v>
      </c>
      <c r="AF34" s="45">
        <f>'Poultry Fat'!AF10</f>
        <v>131.87233974083549</v>
      </c>
      <c r="AG34" s="45">
        <f>'Poultry Fat'!AG10</f>
        <v>225.57563751432505</v>
      </c>
      <c r="AH34" s="45">
        <f>'Poultry Fat'!AH10</f>
        <v>184.9190863382596</v>
      </c>
      <c r="AI34" s="45">
        <f>'Poultry Fat'!AI10</f>
        <v>179.86077086818861</v>
      </c>
      <c r="AJ34" s="45">
        <f>'Poultry Fat'!AJ10</f>
        <v>162.32369105792537</v>
      </c>
      <c r="AK34" s="45">
        <f>'Poultry Fat'!AK10</f>
        <v>133.61740643056027</v>
      </c>
      <c r="AL34" s="45">
        <f>'Poultry Fat'!AL10</f>
        <v>159.91815834918523</v>
      </c>
      <c r="AM34" s="45">
        <f>'Poultry Fat'!AM10</f>
        <v>155.58576665850202</v>
      </c>
      <c r="AN34" s="45">
        <f>'Poultry Fat'!AN10</f>
        <v>153.44900138315262</v>
      </c>
      <c r="AO34" s="45">
        <f>'Poultry Fat'!AO10</f>
        <v>159.59668559141988</v>
      </c>
      <c r="AP34" s="45">
        <f>'Poultry Fat'!AP10</f>
        <v>151.53837950644905</v>
      </c>
      <c r="AQ34" s="45">
        <f>'Poultry Fat'!AQ10</f>
        <v>147.48537988126682</v>
      </c>
      <c r="AR34" s="45">
        <f>'Poultry Fat'!AR10</f>
        <v>142.62696607627458</v>
      </c>
      <c r="AS34" s="45">
        <f>'Poultry Fat'!AS10</f>
        <v>118.74942295009271</v>
      </c>
      <c r="AT34" s="45">
        <f>'Poultry Fat'!AT10</f>
        <v>95.983813638063808</v>
      </c>
      <c r="AU34" s="45">
        <f>'Poultry Fat'!AU10</f>
        <v>94.223317289076874</v>
      </c>
      <c r="AV34" s="45">
        <f>'Poultry Fat'!AV10</f>
        <v>92.451058209423962</v>
      </c>
      <c r="AW34" s="45">
        <f>'Poultry Fat'!AW10</f>
        <v>92.451058209423962</v>
      </c>
      <c r="AX34" s="45">
        <f>'Poultry Fat'!AX10</f>
        <v>92.451058209423962</v>
      </c>
      <c r="AY34" s="45">
        <f>'Poultry Fat'!AY10</f>
        <v>92.451058209423962</v>
      </c>
      <c r="AZ34" s="45">
        <f>'Poultry Fat'!AZ10</f>
        <v>92.451058209423962</v>
      </c>
      <c r="BA34" s="45">
        <f>'Poultry Fat'!BA10</f>
        <v>92.451058209423962</v>
      </c>
      <c r="BB34" s="45">
        <f>'Poultry Fat'!BB10</f>
        <v>92.451058209423962</v>
      </c>
      <c r="BC34" s="45">
        <f>'Poultry Fat'!BC10</f>
        <v>92.451058209423962</v>
      </c>
      <c r="BD34" s="45">
        <f>'Poultry Fat'!BD10</f>
        <v>92.451058209423962</v>
      </c>
      <c r="BE34" s="45">
        <f>'Poultry Fat'!BE10</f>
        <v>92.451058209423962</v>
      </c>
      <c r="BF34" s="45">
        <f>'Poultry Fat'!BF10</f>
        <v>92.451058209423962</v>
      </c>
      <c r="BG34" s="45">
        <f>'Poultry Fat'!BG10</f>
        <v>92.451058209423962</v>
      </c>
    </row>
    <row r="35" spans="1:59" x14ac:dyDescent="0.2">
      <c r="A35" s="40"/>
      <c r="B35" s="40" t="s">
        <v>143</v>
      </c>
      <c r="C35" s="45">
        <f>DCO!C10</f>
        <v>0</v>
      </c>
      <c r="D35" s="45">
        <f>DCO!D10</f>
        <v>0</v>
      </c>
      <c r="E35" s="45">
        <f>DCO!E10</f>
        <v>0</v>
      </c>
      <c r="F35" s="45">
        <f>DCO!F10</f>
        <v>0</v>
      </c>
      <c r="G35" s="45">
        <f>DCO!G10</f>
        <v>0</v>
      </c>
      <c r="H35" s="45">
        <f>DCO!H10</f>
        <v>0</v>
      </c>
      <c r="I35" s="45">
        <f>DCO!I10</f>
        <v>0</v>
      </c>
      <c r="J35" s="45">
        <f>DCO!J10</f>
        <v>0</v>
      </c>
      <c r="K35" s="45">
        <f>DCO!K10</f>
        <v>0</v>
      </c>
      <c r="L35" s="45">
        <f>DCO!L10</f>
        <v>0</v>
      </c>
      <c r="M35" s="45">
        <f>DCO!M10</f>
        <v>0</v>
      </c>
      <c r="N35" s="45">
        <f>DCO!N10</f>
        <v>0</v>
      </c>
      <c r="O35" s="45">
        <f>DCO!O10</f>
        <v>0</v>
      </c>
      <c r="P35" s="45">
        <f>DCO!P10</f>
        <v>0</v>
      </c>
      <c r="Q35" s="45">
        <f>DCO!Q10</f>
        <v>0</v>
      </c>
      <c r="R35" s="45">
        <f>DCO!R10</f>
        <v>0</v>
      </c>
      <c r="S35" s="45">
        <f>DCO!S10</f>
        <v>112</v>
      </c>
      <c r="T35" s="45">
        <f>DCO!T10</f>
        <v>305</v>
      </c>
      <c r="U35" s="45">
        <f>DCO!U10</f>
        <v>645</v>
      </c>
      <c r="V35" s="45">
        <f>DCO!V10</f>
        <v>1066</v>
      </c>
      <c r="W35" s="45">
        <f>DCO!W10</f>
        <v>970.31000000000006</v>
      </c>
      <c r="X35" s="45">
        <f>DCO!X10</f>
        <v>1044</v>
      </c>
      <c r="Y35" s="45">
        <f>DCO!Y10</f>
        <v>1306.3799999999999</v>
      </c>
      <c r="Z35" s="45">
        <f>DCO!Z10</f>
        <v>1578.93</v>
      </c>
      <c r="AA35" s="45">
        <f>DCO!AA10</f>
        <v>2084.9700000000003</v>
      </c>
      <c r="AB35" s="45">
        <f>DCO!AB10</f>
        <v>1759.7199999999998</v>
      </c>
      <c r="AC35" s="45">
        <f>DCO!AC10</f>
        <v>1516.6799999999998</v>
      </c>
      <c r="AD35" s="45">
        <f>DCO!AD10</f>
        <v>1378.6412410560351</v>
      </c>
      <c r="AE35" s="45">
        <f>DCO!AE10</f>
        <v>1706.4142806375555</v>
      </c>
      <c r="AF35" s="45">
        <f>DCO!AF10</f>
        <v>1047.2329999999999</v>
      </c>
      <c r="AG35" s="45">
        <f>DCO!AG10</f>
        <v>924.94060899294038</v>
      </c>
      <c r="AH35" s="45">
        <f>DCO!AH10</f>
        <v>1028.1342215105531</v>
      </c>
      <c r="AI35" s="45">
        <f>DCO!AI10</f>
        <v>853.31391696834044</v>
      </c>
      <c r="AJ35" s="45">
        <f>DCO!AJ10</f>
        <v>917.52380512241461</v>
      </c>
      <c r="AK35" s="45">
        <f>DCO!AK10</f>
        <v>642.53407930220851</v>
      </c>
      <c r="AL35" s="45">
        <f>DCO!AL10</f>
        <v>708.14392978040075</v>
      </c>
      <c r="AM35" s="45">
        <f>DCO!AM10</f>
        <v>702.79728727606835</v>
      </c>
      <c r="AN35" s="45">
        <f>DCO!AN10</f>
        <v>665.38287944836827</v>
      </c>
      <c r="AO35" s="45">
        <f>DCO!AO10</f>
        <v>679.7672267151994</v>
      </c>
      <c r="AP35" s="45">
        <f>DCO!AP10</f>
        <v>607.42546648913844</v>
      </c>
      <c r="AQ35" s="45">
        <f>DCO!AQ10</f>
        <v>571.03017156788269</v>
      </c>
      <c r="AR35" s="45">
        <f>DCO!AR10</f>
        <v>538.24291186653807</v>
      </c>
      <c r="AS35" s="45">
        <f>DCO!AS10</f>
        <v>432.76420926986657</v>
      </c>
      <c r="AT35" s="45">
        <f>DCO!AT10</f>
        <v>337.84790083768246</v>
      </c>
      <c r="AU35" s="45">
        <f>DCO!AU10</f>
        <v>319.16488038916481</v>
      </c>
      <c r="AV35" s="45">
        <f>DCO!AV10</f>
        <v>281.53947688581434</v>
      </c>
      <c r="AW35" s="45">
        <f>DCO!AW10</f>
        <v>249.6716555406787</v>
      </c>
      <c r="AX35" s="45">
        <f>DCO!AX10</f>
        <v>222.68036926264449</v>
      </c>
      <c r="AY35" s="45">
        <f>DCO!AY10</f>
        <v>199.81939213299822</v>
      </c>
      <c r="AZ35" s="45">
        <f>DCO!AZ10</f>
        <v>180.45668855752885</v>
      </c>
      <c r="BA35" s="45">
        <f>DCO!BA10</f>
        <v>164.05693942933866</v>
      </c>
      <c r="BB35" s="45">
        <f>DCO!BB10</f>
        <v>150.16674220459203</v>
      </c>
      <c r="BC35" s="45">
        <f>DCO!BC10</f>
        <v>138.40207571888885</v>
      </c>
      <c r="BD35" s="45">
        <f>DCO!BD10</f>
        <v>128.43768318504905</v>
      </c>
      <c r="BE35" s="45">
        <f>DCO!BE10</f>
        <v>119.99807984490327</v>
      </c>
      <c r="BF35" s="45">
        <f>DCO!BF10</f>
        <v>112.8499366643623</v>
      </c>
      <c r="BG35" s="45">
        <f>DCO!BG10</f>
        <v>106.7956295043967</v>
      </c>
    </row>
    <row r="36" spans="1:59" x14ac:dyDescent="0.2">
      <c r="A36" s="40"/>
      <c r="B36" s="57" t="s">
        <v>77</v>
      </c>
      <c r="C36" s="45">
        <f>SUM(C37:C42)</f>
        <v>0</v>
      </c>
      <c r="D36" s="45">
        <f t="shared" ref="D36:AD36" si="11">SUM(D37:D42)</f>
        <v>0</v>
      </c>
      <c r="E36" s="45">
        <f t="shared" si="11"/>
        <v>0</v>
      </c>
      <c r="F36" s="45">
        <f t="shared" si="11"/>
        <v>0</v>
      </c>
      <c r="G36" s="45">
        <f t="shared" si="11"/>
        <v>0</v>
      </c>
      <c r="H36" s="45">
        <f t="shared" si="11"/>
        <v>0</v>
      </c>
      <c r="I36" s="45">
        <f t="shared" si="11"/>
        <v>0</v>
      </c>
      <c r="J36" s="45">
        <f t="shared" si="11"/>
        <v>0</v>
      </c>
      <c r="K36" s="45" t="e">
        <f t="shared" si="11"/>
        <v>#REF!</v>
      </c>
      <c r="L36" s="45" t="e">
        <f t="shared" si="11"/>
        <v>#REF!</v>
      </c>
      <c r="M36" s="45" t="e">
        <f t="shared" si="11"/>
        <v>#REF!</v>
      </c>
      <c r="N36" s="45" t="e">
        <f t="shared" si="11"/>
        <v>#REF!</v>
      </c>
      <c r="O36" s="45" t="e">
        <f t="shared" si="11"/>
        <v>#REF!</v>
      </c>
      <c r="P36" s="45" t="e">
        <f t="shared" si="11"/>
        <v>#REF!</v>
      </c>
      <c r="Q36" s="45" t="e">
        <f t="shared" si="11"/>
        <v>#REF!</v>
      </c>
      <c r="R36" s="45" t="e">
        <f t="shared" si="11"/>
        <v>#REF!</v>
      </c>
      <c r="S36" s="45" t="e">
        <f t="shared" si="11"/>
        <v>#REF!</v>
      </c>
      <c r="T36" s="45" t="e">
        <f t="shared" si="11"/>
        <v>#REF!</v>
      </c>
      <c r="U36" s="45" t="e">
        <f t="shared" si="11"/>
        <v>#REF!</v>
      </c>
      <c r="V36" s="45" t="e">
        <f t="shared" si="11"/>
        <v>#REF!</v>
      </c>
      <c r="W36" s="45" t="e">
        <f t="shared" si="11"/>
        <v>#REF!</v>
      </c>
      <c r="X36" s="45" t="e">
        <f t="shared" si="11"/>
        <v>#REF!</v>
      </c>
      <c r="Y36" s="45" t="e">
        <f t="shared" si="11"/>
        <v>#REF!</v>
      </c>
      <c r="Z36" s="45" t="e">
        <f t="shared" si="11"/>
        <v>#REF!</v>
      </c>
      <c r="AA36" s="45" t="e">
        <f t="shared" si="11"/>
        <v>#REF!</v>
      </c>
      <c r="AB36" s="45">
        <f t="shared" si="11"/>
        <v>3223.8010385693806</v>
      </c>
      <c r="AC36" s="45">
        <f t="shared" si="11"/>
        <v>3423.3098198233938</v>
      </c>
      <c r="AD36" s="45">
        <f t="shared" si="11"/>
        <v>4906.1884003267396</v>
      </c>
      <c r="AE36" s="45">
        <f t="shared" ref="AE36:BG36" si="12">SUM(AE37:AE42)+AE83</f>
        <v>12753.384014159687</v>
      </c>
      <c r="AF36" s="45">
        <f t="shared" si="12"/>
        <v>17149.111959946531</v>
      </c>
      <c r="AG36" s="60">
        <f t="shared" si="12"/>
        <v>20497.465470195406</v>
      </c>
      <c r="AH36" s="60">
        <f t="shared" si="12"/>
        <v>18749.094694555395</v>
      </c>
      <c r="AI36" s="60">
        <f t="shared" si="12"/>
        <v>21598.232612014159</v>
      </c>
      <c r="AJ36" s="60">
        <f t="shared" si="12"/>
        <v>26760.578815435387</v>
      </c>
      <c r="AK36" s="60">
        <f t="shared" si="12"/>
        <v>28232.203405912078</v>
      </c>
      <c r="AL36" s="60">
        <f t="shared" si="12"/>
        <v>32722.847179748842</v>
      </c>
      <c r="AM36" s="60">
        <f t="shared" si="12"/>
        <v>37507.737143325408</v>
      </c>
      <c r="AN36" s="60">
        <f t="shared" si="12"/>
        <v>41431.621062894104</v>
      </c>
      <c r="AO36" s="60">
        <f t="shared" si="12"/>
        <v>49837.76034627208</v>
      </c>
      <c r="AP36" s="60">
        <f t="shared" si="12"/>
        <v>49139.1974592521</v>
      </c>
      <c r="AQ36" s="60">
        <f t="shared" si="12"/>
        <v>49428.623311501811</v>
      </c>
      <c r="AR36" s="60">
        <f t="shared" si="12"/>
        <v>52146.841877488725</v>
      </c>
      <c r="AS36" s="60">
        <f t="shared" si="12"/>
        <v>50623.664882820536</v>
      </c>
      <c r="AT36" s="60">
        <f t="shared" si="12"/>
        <v>53155.231970733912</v>
      </c>
      <c r="AU36" s="60">
        <f t="shared" si="12"/>
        <v>58573.134420942602</v>
      </c>
      <c r="AV36" s="60">
        <f t="shared" si="12"/>
        <v>60513.380524015491</v>
      </c>
      <c r="AW36" s="60">
        <f t="shared" si="12"/>
        <v>53858.899001339989</v>
      </c>
      <c r="AX36" s="60">
        <f t="shared" si="12"/>
        <v>57167.253986015203</v>
      </c>
      <c r="AY36" s="60">
        <f t="shared" si="12"/>
        <v>61206.86605222083</v>
      </c>
      <c r="AZ36" s="60">
        <f t="shared" si="12"/>
        <v>65202.665480813404</v>
      </c>
      <c r="BA36" s="60">
        <f t="shared" si="12"/>
        <v>66486.42187532071</v>
      </c>
      <c r="BB36" s="60">
        <f t="shared" si="12"/>
        <v>66035.27287691753</v>
      </c>
      <c r="BC36" s="60">
        <f t="shared" si="12"/>
        <v>66554.797124389763</v>
      </c>
      <c r="BD36" s="60">
        <f t="shared" si="12"/>
        <v>66833.246478264933</v>
      </c>
      <c r="BE36" s="60">
        <f t="shared" si="12"/>
        <v>70777.495997731487</v>
      </c>
      <c r="BF36" s="60">
        <f t="shared" si="12"/>
        <v>70411.433743355825</v>
      </c>
      <c r="BG36" s="60">
        <f t="shared" si="12"/>
        <v>73934.555136710638</v>
      </c>
    </row>
    <row r="37" spans="1:59" x14ac:dyDescent="0.2">
      <c r="A37" s="40"/>
      <c r="B37" s="61" t="s">
        <v>138</v>
      </c>
      <c r="C37" s="62">
        <f>'Inedible Tallow'!C11</f>
        <v>0</v>
      </c>
      <c r="D37" s="62">
        <f>'Inedible Tallow'!D11</f>
        <v>0</v>
      </c>
      <c r="E37" s="62">
        <f>'Inedible Tallow'!E11</f>
        <v>0</v>
      </c>
      <c r="F37" s="62">
        <f>'Inedible Tallow'!F11</f>
        <v>0</v>
      </c>
      <c r="G37" s="62">
        <f>'Inedible Tallow'!G11</f>
        <v>0</v>
      </c>
      <c r="H37" s="62">
        <f>'Inedible Tallow'!H11</f>
        <v>0</v>
      </c>
      <c r="I37" s="62">
        <f>'Inedible Tallow'!I11</f>
        <v>0</v>
      </c>
      <c r="J37" s="62">
        <f>'Inedible Tallow'!J11</f>
        <v>0</v>
      </c>
      <c r="K37" s="62">
        <f>'Inedible Tallow'!K11</f>
        <v>156.09629224420331</v>
      </c>
      <c r="L37" s="62">
        <f>'Inedible Tallow'!L11</f>
        <v>233.25238068022546</v>
      </c>
      <c r="M37" s="62">
        <f>'Inedible Tallow'!M11</f>
        <v>220.8031535564827</v>
      </c>
      <c r="N37" s="62">
        <f>'Inedible Tallow'!N11</f>
        <v>208.12146481346917</v>
      </c>
      <c r="O37" s="62">
        <f>'Inedible Tallow'!O11</f>
        <v>218.45959534106075</v>
      </c>
      <c r="P37" s="62">
        <f>'Inedible Tallow'!P11</f>
        <v>360.41892895925014</v>
      </c>
      <c r="Q37" s="62">
        <f>'Inedible Tallow'!Q11</f>
        <v>441.48157824788103</v>
      </c>
      <c r="R37" s="62">
        <f>'Inedible Tallow'!R11</f>
        <v>327.96060276999867</v>
      </c>
      <c r="S37" s="62">
        <f>'Inedible Tallow'!S11</f>
        <v>435.58487123869764</v>
      </c>
      <c r="T37" s="62">
        <f>'Inedible Tallow'!T11</f>
        <v>626.67528946005257</v>
      </c>
      <c r="U37" s="62">
        <f>'Inedible Tallow'!U11</f>
        <v>545.03674552825839</v>
      </c>
      <c r="V37" s="62">
        <f>'Inedible Tallow'!V11</f>
        <v>501.27451780849515</v>
      </c>
      <c r="W37" s="62">
        <f>'Inedible Tallow'!W11</f>
        <v>497.26376624689055</v>
      </c>
      <c r="X37" s="62">
        <f>'Inedible Tallow'!X11</f>
        <v>679.92253449285249</v>
      </c>
      <c r="Y37" s="62">
        <f>'Inedible Tallow'!Y11</f>
        <v>1056.3170756159152</v>
      </c>
      <c r="Z37" s="62">
        <f>'Inedible Tallow'!Z11</f>
        <v>1094.3371877687855</v>
      </c>
      <c r="AA37" s="62">
        <f>'Inedible Tallow'!AA11</f>
        <v>1053.3045546061844</v>
      </c>
      <c r="AB37" s="62">
        <f>'Inedible Tallow'!AB11</f>
        <v>1140.0398271427639</v>
      </c>
      <c r="AC37" s="62">
        <f>'Inedible Tallow'!AC11</f>
        <v>1335.9203643640194</v>
      </c>
      <c r="AD37" s="62">
        <f>'Inedible Tallow'!AD11</f>
        <v>1269.6180332512861</v>
      </c>
      <c r="AE37" s="62">
        <f>'Inedible Tallow'!AE11</f>
        <v>1419.0357903389126</v>
      </c>
      <c r="AF37" s="62">
        <f>'Inedible Tallow'!AF11</f>
        <v>3260.7812820426229</v>
      </c>
      <c r="AG37" s="62">
        <f>'Inedible Tallow'!AG11</f>
        <v>6319.3062346706938</v>
      </c>
      <c r="AH37" s="62">
        <f>'Inedible Tallow'!AH11</f>
        <v>4611.7520920852712</v>
      </c>
      <c r="AI37" s="62">
        <f>'Inedible Tallow'!AI11</f>
        <v>4670.8599576706501</v>
      </c>
      <c r="AJ37" s="62">
        <f>'Inedible Tallow'!AJ11</f>
        <v>6669.5538729699438</v>
      </c>
      <c r="AK37" s="62">
        <f>'Inedible Tallow'!AK11</f>
        <v>6410.9435329595235</v>
      </c>
      <c r="AL37" s="62">
        <f>'Inedible Tallow'!AL11</f>
        <v>6590.1968502304599</v>
      </c>
      <c r="AM37" s="62">
        <f>'Inedible Tallow'!AM11</f>
        <v>7241.023620732125</v>
      </c>
      <c r="AN37" s="62">
        <f>'Inedible Tallow'!AN11</f>
        <v>8104.3325663184578</v>
      </c>
      <c r="AO37" s="62">
        <f>'Inedible Tallow'!AO11</f>
        <v>9807.5491297952794</v>
      </c>
      <c r="AP37" s="62">
        <f>'Inedible Tallow'!AP11</f>
        <v>10154.723475030311</v>
      </c>
      <c r="AQ37" s="62">
        <f>'Inedible Tallow'!AQ11</f>
        <v>10513.436794854229</v>
      </c>
      <c r="AR37" s="62">
        <f>'Inedible Tallow'!AR11</f>
        <v>10906.939443895737</v>
      </c>
      <c r="AS37" s="62">
        <f>'Inedible Tallow'!AS11</f>
        <v>11369.760950947282</v>
      </c>
      <c r="AT37" s="62">
        <f>'Inedible Tallow'!AT11</f>
        <v>10697.476999830489</v>
      </c>
      <c r="AU37" s="62">
        <f>'Inedible Tallow'!AU11</f>
        <v>11741.463269740221</v>
      </c>
      <c r="AV37" s="62">
        <f>'Inedible Tallow'!AV11</f>
        <v>12412.294814856368</v>
      </c>
      <c r="AW37" s="62">
        <f>'Inedible Tallow'!AW11</f>
        <v>11638.226276103382</v>
      </c>
      <c r="AX37" s="62">
        <f>'Inedible Tallow'!AX11</f>
        <v>11949.6958137576</v>
      </c>
      <c r="AY37" s="62">
        <f>'Inedible Tallow'!AY11</f>
        <v>12560.754344011075</v>
      </c>
      <c r="AZ37" s="62">
        <f>'Inedible Tallow'!AZ11</f>
        <v>13324.368310871156</v>
      </c>
      <c r="BA37" s="62">
        <f>'Inedible Tallow'!BA11</f>
        <v>13630.410728961364</v>
      </c>
      <c r="BB37" s="62">
        <f>'Inedible Tallow'!BB11</f>
        <v>13693.692291351746</v>
      </c>
      <c r="BC37" s="62">
        <f>'Inedible Tallow'!BC11</f>
        <v>13591.20502353102</v>
      </c>
      <c r="BD37" s="62">
        <f>'Inedible Tallow'!BD11</f>
        <v>14245.967340291405</v>
      </c>
      <c r="BE37" s="62">
        <f>'Inedible Tallow'!BE11</f>
        <v>14475.492881004335</v>
      </c>
      <c r="BF37" s="62">
        <f>'Inedible Tallow'!BF11</f>
        <v>14030.654409739338</v>
      </c>
      <c r="BG37" s="62">
        <f>'Inedible Tallow'!BG11</f>
        <v>14651.613778079629</v>
      </c>
    </row>
    <row r="38" spans="1:59" x14ac:dyDescent="0.2">
      <c r="A38" s="40"/>
      <c r="B38" s="40" t="s">
        <v>139</v>
      </c>
      <c r="C38" s="45">
        <f>'Yellow Grease'!C11</f>
        <v>0</v>
      </c>
      <c r="D38" s="45">
        <f>'Yellow Grease'!D11</f>
        <v>0</v>
      </c>
      <c r="E38" s="45">
        <f>'Yellow Grease'!E11</f>
        <v>0</v>
      </c>
      <c r="F38" s="45">
        <f>'Yellow Grease'!F11</f>
        <v>0</v>
      </c>
      <c r="G38" s="45">
        <f>'Yellow Grease'!G11</f>
        <v>0</v>
      </c>
      <c r="H38" s="45">
        <f>'Yellow Grease'!H11</f>
        <v>0</v>
      </c>
      <c r="I38" s="45">
        <f>'Yellow Grease'!I11</f>
        <v>0</v>
      </c>
      <c r="J38" s="45">
        <f>'Yellow Grease'!J11</f>
        <v>0</v>
      </c>
      <c r="K38" s="45">
        <f>'Yellow Grease'!K11</f>
        <v>0</v>
      </c>
      <c r="L38" s="45">
        <f>'Yellow Grease'!L11</f>
        <v>0</v>
      </c>
      <c r="M38" s="45">
        <f>'Yellow Grease'!M11</f>
        <v>0</v>
      </c>
      <c r="N38" s="45">
        <f>'Yellow Grease'!N11</f>
        <v>-18.772799999999997</v>
      </c>
      <c r="O38" s="45">
        <f>'Yellow Grease'!O11</f>
        <v>-8.5437999999999992</v>
      </c>
      <c r="P38" s="45">
        <f>'Yellow Grease'!P11</f>
        <v>-19.217499999999998</v>
      </c>
      <c r="Q38" s="45">
        <f>'Yellow Grease'!Q11</f>
        <v>-13.688800000000004</v>
      </c>
      <c r="R38" s="45">
        <f>'Yellow Grease'!R11</f>
        <v>-54.794200000000004</v>
      </c>
      <c r="S38" s="45">
        <f>'Yellow Grease'!S11</f>
        <v>-36.240400000000001</v>
      </c>
      <c r="T38" s="45">
        <f>'Yellow Grease'!T11</f>
        <v>9.4767549848081565</v>
      </c>
      <c r="U38" s="45">
        <f>'Yellow Grease'!U11</f>
        <v>43.301029310442672</v>
      </c>
      <c r="V38" s="45">
        <f>'Yellow Grease'!V11</f>
        <v>95.198280167683492</v>
      </c>
      <c r="W38" s="45">
        <f>'Yellow Grease'!W11</f>
        <v>203.54977011866077</v>
      </c>
      <c r="X38" s="45">
        <f>'Yellow Grease'!X11</f>
        <v>153.55258561077662</v>
      </c>
      <c r="Y38" s="45">
        <f>'Yellow Grease'!Y11</f>
        <v>149.03186151639963</v>
      </c>
      <c r="Z38" s="45">
        <f>'Yellow Grease'!Z11</f>
        <v>159.1321964402444</v>
      </c>
      <c r="AA38" s="45">
        <f>'Yellow Grease'!AA11</f>
        <v>210.5327423409976</v>
      </c>
      <c r="AB38" s="45">
        <f>'Yellow Grease'!AB11</f>
        <v>226.98395167839985</v>
      </c>
      <c r="AC38" s="45">
        <f>'Yellow Grease'!AC11</f>
        <v>251.88225752563224</v>
      </c>
      <c r="AD38" s="45">
        <f>'Yellow Grease'!AD11</f>
        <v>402.36604738408249</v>
      </c>
      <c r="AE38" s="45">
        <f>'Yellow Grease'!AE11</f>
        <v>829.10416070416886</v>
      </c>
      <c r="AF38" s="45">
        <f>'Yellow Grease'!AF11</f>
        <v>1280.6703666855001</v>
      </c>
      <c r="AG38" s="45">
        <f>'Yellow Grease'!AG11</f>
        <v>1313.8334347091056</v>
      </c>
      <c r="AH38" s="45">
        <f>'Yellow Grease'!AH11</f>
        <v>1322.562012642325</v>
      </c>
      <c r="AI38" s="45">
        <f>'Yellow Grease'!AI11</f>
        <v>1752.3059182636596</v>
      </c>
      <c r="AJ38" s="45">
        <f>'Yellow Grease'!AJ11</f>
        <v>2243.629897471224</v>
      </c>
      <c r="AK38" s="45">
        <f>'Yellow Grease'!AK11</f>
        <v>2447.7409693404384</v>
      </c>
      <c r="AL38" s="45">
        <f>'Yellow Grease'!AL11</f>
        <v>2528.1865636366138</v>
      </c>
      <c r="AM38" s="45">
        <f>'Yellow Grease'!AM11</f>
        <v>3004.67449407103</v>
      </c>
      <c r="AN38" s="45">
        <f>'Yellow Grease'!AN11</f>
        <v>3323.6529914850371</v>
      </c>
      <c r="AO38" s="45">
        <f>'Yellow Grease'!AO11</f>
        <v>4053.0088909332917</v>
      </c>
      <c r="AP38" s="45">
        <f>'Yellow Grease'!AP11</f>
        <v>4161.2835576777343</v>
      </c>
      <c r="AQ38" s="45">
        <f>'Yellow Grease'!AQ11</f>
        <v>4270.14157934577</v>
      </c>
      <c r="AR38" s="45">
        <f>'Yellow Grease'!AR11</f>
        <v>4504.8849493200287</v>
      </c>
      <c r="AS38" s="45">
        <f>'Yellow Grease'!AS11</f>
        <v>4458.5334765671805</v>
      </c>
      <c r="AT38" s="45">
        <f>'Yellow Grease'!AT11</f>
        <v>4691.3827935230292</v>
      </c>
      <c r="AU38" s="45">
        <f>'Yellow Grease'!AU11</f>
        <v>4804.2523156409143</v>
      </c>
      <c r="AV38" s="45">
        <f>'Yellow Grease'!AV11</f>
        <v>4989.6266913029849</v>
      </c>
      <c r="AW38" s="45">
        <f>'Yellow Grease'!AW11</f>
        <v>4850.4443225368304</v>
      </c>
      <c r="AX38" s="45">
        <f>'Yellow Grease'!AX11</f>
        <v>4908.7824083077849</v>
      </c>
      <c r="AY38" s="45">
        <f>'Yellow Grease'!AY11</f>
        <v>4970.6472618724902</v>
      </c>
      <c r="AZ38" s="45">
        <f>'Yellow Grease'!AZ11</f>
        <v>5180.5652987895055</v>
      </c>
      <c r="BA38" s="45">
        <f>'Yellow Grease'!BA11</f>
        <v>5325.0562032618545</v>
      </c>
      <c r="BB38" s="45">
        <f>'Yellow Grease'!BB11</f>
        <v>5247.2792110356158</v>
      </c>
      <c r="BC38" s="45">
        <f>'Yellow Grease'!BC11</f>
        <v>5348.1009739123801</v>
      </c>
      <c r="BD38" s="45">
        <f>'Yellow Grease'!BD11</f>
        <v>5464.4393958199989</v>
      </c>
      <c r="BE38" s="45">
        <f>'Yellow Grease'!BE11</f>
        <v>5466.344403202379</v>
      </c>
      <c r="BF38" s="45">
        <f>'Yellow Grease'!BF11</f>
        <v>5552.0331847151765</v>
      </c>
      <c r="BG38" s="45">
        <f>'Yellow Grease'!BG11</f>
        <v>5737.6187044050785</v>
      </c>
    </row>
    <row r="39" spans="1:59" x14ac:dyDescent="0.2">
      <c r="A39" s="40"/>
      <c r="B39" s="40" t="s">
        <v>140</v>
      </c>
      <c r="C39" s="45">
        <f>UCO!C11</f>
        <v>0</v>
      </c>
      <c r="D39" s="45">
        <f>UCO!D11</f>
        <v>0</v>
      </c>
      <c r="E39" s="45">
        <f>UCO!E11</f>
        <v>0</v>
      </c>
      <c r="F39" s="45">
        <f>UCO!F11</f>
        <v>0</v>
      </c>
      <c r="G39" s="45">
        <f>UCO!G11</f>
        <v>0</v>
      </c>
      <c r="H39" s="45">
        <f>UCO!H11</f>
        <v>0</v>
      </c>
      <c r="I39" s="45">
        <f>UCO!I11</f>
        <v>0</v>
      </c>
      <c r="J39" s="45">
        <f>UCO!J11</f>
        <v>0</v>
      </c>
      <c r="K39" s="45">
        <f>UCO!K11</f>
        <v>0</v>
      </c>
      <c r="L39" s="45">
        <f>UCO!L11</f>
        <v>0</v>
      </c>
      <c r="M39" s="45">
        <f>UCO!M11</f>
        <v>0</v>
      </c>
      <c r="N39" s="45">
        <f>UCO!N11</f>
        <v>0</v>
      </c>
      <c r="O39" s="45">
        <f>UCO!O11</f>
        <v>0</v>
      </c>
      <c r="P39" s="45">
        <f>UCO!P11</f>
        <v>0</v>
      </c>
      <c r="Q39" s="45">
        <f>UCO!Q11</f>
        <v>0</v>
      </c>
      <c r="R39" s="45">
        <f>UCO!R11</f>
        <v>0</v>
      </c>
      <c r="S39" s="45">
        <f>UCO!S11</f>
        <v>0</v>
      </c>
      <c r="T39" s="45">
        <f>UCO!T11</f>
        <v>42.712277502429131</v>
      </c>
      <c r="U39" s="45">
        <f>UCO!U11</f>
        <v>114.41496948944996</v>
      </c>
      <c r="V39" s="45">
        <f>UCO!V11</f>
        <v>204.96646600036294</v>
      </c>
      <c r="W39" s="45">
        <f>UCO!W11</f>
        <v>406.14140574158864</v>
      </c>
      <c r="X39" s="45">
        <f>UCO!X11</f>
        <v>298.26948392282031</v>
      </c>
      <c r="Y39" s="45">
        <f>UCO!Y11</f>
        <v>288.20295569890249</v>
      </c>
      <c r="Z39" s="45">
        <f>UCO!Z11</f>
        <v>305.89646674532082</v>
      </c>
      <c r="AA39" s="45">
        <f>UCO!AA11</f>
        <v>245.3039698726885</v>
      </c>
      <c r="AB39" s="45">
        <f>UCO!AB11</f>
        <v>223.87506149889381</v>
      </c>
      <c r="AC39" s="45">
        <f>UCO!AC11</f>
        <v>129.22198262237509</v>
      </c>
      <c r="AD39" s="45">
        <f>UCO!AD11</f>
        <v>1406.440877356973</v>
      </c>
      <c r="AE39" s="45">
        <f>UCO!AE11</f>
        <v>6971.8292912725037</v>
      </c>
      <c r="AF39" s="45">
        <f>UCO!AF11</f>
        <v>8384.8940463398376</v>
      </c>
      <c r="AG39" s="45">
        <f>UCO!AG11</f>
        <v>8607.2935227577836</v>
      </c>
      <c r="AH39" s="45">
        <f>UCO!AH11</f>
        <v>8988.4658233912432</v>
      </c>
      <c r="AI39" s="45">
        <f>UCO!AI11</f>
        <v>10377.841444479984</v>
      </c>
      <c r="AJ39" s="45">
        <f>UCO!AJ11</f>
        <v>12848.033036658364</v>
      </c>
      <c r="AK39" s="45">
        <f>UCO!AK11</f>
        <v>14074.78925120253</v>
      </c>
      <c r="AL39" s="45">
        <f>UCO!AL11</f>
        <v>18079.438600788355</v>
      </c>
      <c r="AM39" s="45">
        <f>UCO!AM11</f>
        <v>21563.752611175434</v>
      </c>
      <c r="AN39" s="45">
        <f>UCO!AN11</f>
        <v>24182.849828462215</v>
      </c>
      <c r="AO39" s="45">
        <f>UCO!AO11</f>
        <v>29702.193506241088</v>
      </c>
      <c r="AP39" s="45">
        <f>UCO!AP11</f>
        <v>28749.866647285296</v>
      </c>
      <c r="AQ39" s="45">
        <f>UCO!AQ11</f>
        <v>29443.916132680166</v>
      </c>
      <c r="AR39" s="45">
        <f>UCO!AR11</f>
        <v>31261.934122060724</v>
      </c>
      <c r="AS39" s="45">
        <f>UCO!AS11</f>
        <v>29319.515333896074</v>
      </c>
      <c r="AT39" s="45">
        <f>UCO!AT11</f>
        <v>31767.969606194772</v>
      </c>
      <c r="AU39" s="45">
        <f>UCO!AU11</f>
        <v>35651.185524605848</v>
      </c>
      <c r="AV39" s="45">
        <f>UCO!AV11</f>
        <v>37153.202782310778</v>
      </c>
      <c r="AW39" s="45">
        <f>UCO!AW11</f>
        <v>33617.088782655454</v>
      </c>
      <c r="AX39" s="45">
        <f>UCO!AX11</f>
        <v>36212.545639875374</v>
      </c>
      <c r="AY39" s="45">
        <f>UCO!AY11</f>
        <v>38269.791507861541</v>
      </c>
      <c r="AZ39" s="45">
        <f>UCO!AZ11</f>
        <v>41341.965688677083</v>
      </c>
      <c r="BA39" s="45">
        <f>UCO!BA11</f>
        <v>42351.344069068233</v>
      </c>
      <c r="BB39" s="45">
        <f>UCO!BB11</f>
        <v>41645.057452669658</v>
      </c>
      <c r="BC39" s="45">
        <f>UCO!BC11</f>
        <v>42056.922019132282</v>
      </c>
      <c r="BD39" s="45">
        <f>UCO!BD11</f>
        <v>41340.869387310231</v>
      </c>
      <c r="BE39" s="45">
        <f>UCO!BE11</f>
        <v>44894.67283606893</v>
      </c>
      <c r="BF39" s="45">
        <f>UCO!BF11</f>
        <v>44692.939431778737</v>
      </c>
      <c r="BG39" s="45">
        <f>UCO!BG11</f>
        <v>47125.693319870668</v>
      </c>
    </row>
    <row r="40" spans="1:59" x14ac:dyDescent="0.2">
      <c r="A40" s="40"/>
      <c r="B40" s="40" t="s">
        <v>141</v>
      </c>
      <c r="C40" s="45">
        <f>CWG!C11</f>
        <v>0</v>
      </c>
      <c r="D40" s="45">
        <f>CWG!D11</f>
        <v>0</v>
      </c>
      <c r="E40" s="45">
        <f>CWG!E11</f>
        <v>0</v>
      </c>
      <c r="F40" s="45">
        <f>CWG!F11</f>
        <v>0</v>
      </c>
      <c r="G40" s="45">
        <f>CWG!G11</f>
        <v>0</v>
      </c>
      <c r="H40" s="45">
        <f>CWG!H11</f>
        <v>0</v>
      </c>
      <c r="I40" s="45">
        <f>CWG!I11</f>
        <v>0</v>
      </c>
      <c r="J40" s="45">
        <f>CWG!J11</f>
        <v>0</v>
      </c>
      <c r="K40" s="45">
        <f>CWG!K11</f>
        <v>0</v>
      </c>
      <c r="L40" s="45">
        <f>CWG!L11</f>
        <v>0</v>
      </c>
      <c r="M40" s="45">
        <f>CWG!M11</f>
        <v>0</v>
      </c>
      <c r="N40" s="45">
        <f>CWG!N11</f>
        <v>0.52282883576797945</v>
      </c>
      <c r="O40" s="45">
        <f>CWG!O11</f>
        <v>0.52260911603313009</v>
      </c>
      <c r="P40" s="45">
        <f>CWG!P11</f>
        <v>0.52502518937254716</v>
      </c>
      <c r="Q40" s="45">
        <f>CWG!Q11</f>
        <v>0.42684572400859799</v>
      </c>
      <c r="R40" s="45">
        <f>CWG!R11</f>
        <v>0.47287109014893414</v>
      </c>
      <c r="S40" s="45">
        <f>CWG!S11</f>
        <v>0.52841965474558072</v>
      </c>
      <c r="T40" s="45">
        <f>CWG!T11</f>
        <v>15.803291367142206</v>
      </c>
      <c r="U40" s="45">
        <f>CWG!U11</f>
        <v>41.416879856629492</v>
      </c>
      <c r="V40" s="45">
        <f>CWG!V11</f>
        <v>73.808903368892516</v>
      </c>
      <c r="W40" s="45">
        <f>CWG!W11</f>
        <v>145.7449146668996</v>
      </c>
      <c r="X40" s="45">
        <f>CWG!X11</f>
        <v>107.18078893807321</v>
      </c>
      <c r="Y40" s="45">
        <f>CWG!Y11</f>
        <v>103.57337744550014</v>
      </c>
      <c r="Z40" s="45">
        <f>CWG!Z11</f>
        <v>102.5220666621056</v>
      </c>
      <c r="AA40" s="45">
        <f>CWG!AA11</f>
        <v>126.37154422037139</v>
      </c>
      <c r="AB40" s="45">
        <f>CWG!AB11</f>
        <v>248.6690080472267</v>
      </c>
      <c r="AC40" s="45">
        <f>CWG!AC11</f>
        <v>305.78464976668948</v>
      </c>
      <c r="AD40" s="45">
        <f>CWG!AD11</f>
        <v>357.94630581201199</v>
      </c>
      <c r="AE40" s="45">
        <f>CWG!AE11</f>
        <v>431.46676848609997</v>
      </c>
      <c r="AF40" s="45">
        <f>CWG!AF11</f>
        <v>305.8770338928411</v>
      </c>
      <c r="AG40" s="45">
        <f>CWG!AG11</f>
        <v>518.93525177917968</v>
      </c>
      <c r="AH40" s="45">
        <f>CWG!AH11</f>
        <v>414.50873106537858</v>
      </c>
      <c r="AI40" s="45">
        <f>CWG!AI11</f>
        <v>567.92619828487477</v>
      </c>
      <c r="AJ40" s="45">
        <f>CWG!AJ11</f>
        <v>668.74510601956752</v>
      </c>
      <c r="AK40" s="45">
        <f>CWG!AK11</f>
        <v>774.31508527022834</v>
      </c>
      <c r="AL40" s="45">
        <f>CWG!AL11</f>
        <v>878.82370551643544</v>
      </c>
      <c r="AM40" s="45">
        <f>CWG!AM11</f>
        <v>1052.9253532713067</v>
      </c>
      <c r="AN40" s="45">
        <f>CWG!AN11</f>
        <v>1149.6316399662908</v>
      </c>
      <c r="AO40" s="45">
        <f>CWG!AO11</f>
        <v>1419.1608872074719</v>
      </c>
      <c r="AP40" s="45">
        <f>CWG!AP11</f>
        <v>1453.0900763478603</v>
      </c>
      <c r="AQ40" s="45">
        <f>CWG!AQ11</f>
        <v>1504.7727991140925</v>
      </c>
      <c r="AR40" s="45">
        <f>CWG!AR11</f>
        <v>1575.1928518961602</v>
      </c>
      <c r="AS40" s="45">
        <f>CWG!AS11</f>
        <v>1426.1849618011966</v>
      </c>
      <c r="AT40" s="45">
        <f>CWG!AT11</f>
        <v>1588.912314237966</v>
      </c>
      <c r="AU40" s="45">
        <f>CWG!AU11</f>
        <v>1767.4383601442528</v>
      </c>
      <c r="AV40" s="45">
        <f>CWG!AV11</f>
        <v>1767.3646363933369</v>
      </c>
      <c r="AW40" s="45">
        <f>CWG!AW11</f>
        <v>1652.8162573066163</v>
      </c>
      <c r="AX40" s="45">
        <f>CWG!AX11</f>
        <v>1735.6541597346413</v>
      </c>
      <c r="AY40" s="45">
        <f>CWG!AY11</f>
        <v>1812.6139391374286</v>
      </c>
      <c r="AZ40" s="45">
        <f>CWG!AZ11</f>
        <v>1911.1702773766503</v>
      </c>
      <c r="BA40" s="45">
        <f>CWG!BA11</f>
        <v>1941.4019013347013</v>
      </c>
      <c r="BB40" s="45">
        <f>CWG!BB11</f>
        <v>1963.9483537951155</v>
      </c>
      <c r="BC40" s="45">
        <f>CWG!BC11</f>
        <v>1971.1550736260795</v>
      </c>
      <c r="BD40" s="45">
        <f>CWG!BD11</f>
        <v>2046.8426234341787</v>
      </c>
      <c r="BE40" s="45">
        <f>CWG!BE11</f>
        <v>2083.2022893777048</v>
      </c>
      <c r="BF40" s="45">
        <f>CWG!BF11</f>
        <v>2118.057314390931</v>
      </c>
      <c r="BG40" s="45">
        <f>CWG!BG11</f>
        <v>2188.4778779134404</v>
      </c>
    </row>
    <row r="41" spans="1:59" x14ac:dyDescent="0.2">
      <c r="A41" s="40"/>
      <c r="B41" s="40" t="s">
        <v>142</v>
      </c>
      <c r="C41" s="45">
        <f>'Poultry Fat'!C11</f>
        <v>0</v>
      </c>
      <c r="D41" s="45">
        <f>'Poultry Fat'!D11</f>
        <v>0</v>
      </c>
      <c r="E41" s="45">
        <f>'Poultry Fat'!E11</f>
        <v>0</v>
      </c>
      <c r="F41" s="45">
        <f>'Poultry Fat'!F11</f>
        <v>0</v>
      </c>
      <c r="G41" s="45">
        <f>'Poultry Fat'!G11</f>
        <v>0</v>
      </c>
      <c r="H41" s="45">
        <f>'Poultry Fat'!H11</f>
        <v>0</v>
      </c>
      <c r="I41" s="45">
        <f>'Poultry Fat'!I11</f>
        <v>0</v>
      </c>
      <c r="J41" s="45">
        <f>'Poultry Fat'!J11</f>
        <v>0</v>
      </c>
      <c r="K41" s="45" t="e">
        <f>'Poultry Fat'!K11</f>
        <v>#REF!</v>
      </c>
      <c r="L41" s="45" t="e">
        <f>'Poultry Fat'!L11</f>
        <v>#REF!</v>
      </c>
      <c r="M41" s="45" t="e">
        <f>'Poultry Fat'!M11</f>
        <v>#REF!</v>
      </c>
      <c r="N41" s="45" t="e">
        <f>'Poultry Fat'!N11</f>
        <v>#REF!</v>
      </c>
      <c r="O41" s="45" t="e">
        <f>'Poultry Fat'!O11</f>
        <v>#REF!</v>
      </c>
      <c r="P41" s="45" t="e">
        <f>'Poultry Fat'!P11</f>
        <v>#REF!</v>
      </c>
      <c r="Q41" s="45" t="e">
        <f>'Poultry Fat'!Q11</f>
        <v>#REF!</v>
      </c>
      <c r="R41" s="45" t="e">
        <f>'Poultry Fat'!R11</f>
        <v>#REF!</v>
      </c>
      <c r="S41" s="45" t="e">
        <f>'Poultry Fat'!S11</f>
        <v>#REF!</v>
      </c>
      <c r="T41" s="45" t="e">
        <f>'Poultry Fat'!T11</f>
        <v>#REF!</v>
      </c>
      <c r="U41" s="45" t="e">
        <f>'Poultry Fat'!U11</f>
        <v>#REF!</v>
      </c>
      <c r="V41" s="45" t="e">
        <f>'Poultry Fat'!V11</f>
        <v>#REF!</v>
      </c>
      <c r="W41" s="45" t="e">
        <f>'Poultry Fat'!W11</f>
        <v>#REF!</v>
      </c>
      <c r="X41" s="45" t="e">
        <f>'Poultry Fat'!X11</f>
        <v>#REF!</v>
      </c>
      <c r="Y41" s="45" t="e">
        <f>'Poultry Fat'!Y11</f>
        <v>#REF!</v>
      </c>
      <c r="Z41" s="45" t="e">
        <f>'Poultry Fat'!Z11</f>
        <v>#REF!</v>
      </c>
      <c r="AA41" s="45" t="e">
        <f>'Poultry Fat'!AA11</f>
        <v>#REF!</v>
      </c>
      <c r="AB41" s="45">
        <f>'Poultry Fat'!AB11</f>
        <v>0</v>
      </c>
      <c r="AC41" s="45">
        <f>'Poultry Fat'!AC11</f>
        <v>0</v>
      </c>
      <c r="AD41" s="45">
        <f>'Poultry Fat'!AD11</f>
        <v>4.1840977018889429</v>
      </c>
      <c r="AE41" s="45">
        <f>'Poultry Fat'!AE11</f>
        <v>15.879185915772192</v>
      </c>
      <c r="AF41" s="45">
        <f>'Poultry Fat'!AF11</f>
        <v>26.905660259164513</v>
      </c>
      <c r="AG41" s="45">
        <f>'Poultry Fat'!AG11</f>
        <v>26.827833394659514</v>
      </c>
      <c r="AH41" s="45">
        <f>'Poultry Fat'!AH11</f>
        <v>23.046689067473825</v>
      </c>
      <c r="AI41" s="45">
        <f>'Poultry Fat'!AI11</f>
        <v>29.174753609443759</v>
      </c>
      <c r="AJ41" s="45">
        <f>'Poultry Fat'!AJ11</f>
        <v>37.605865313557565</v>
      </c>
      <c r="AK41" s="45">
        <f>'Poultry Fat'!AK11</f>
        <v>39.70422382440146</v>
      </c>
      <c r="AL41" s="45">
        <f>'Poultry Fat'!AL11</f>
        <v>44.453791251247473</v>
      </c>
      <c r="AM41" s="45">
        <f>'Poultry Fat'!AM11</f>
        <v>51.854489545098524</v>
      </c>
      <c r="AN41" s="45">
        <f>'Poultry Fat'!AN11</f>
        <v>59.015573923487821</v>
      </c>
      <c r="AO41" s="45">
        <f>'Poultry Fat'!AO11</f>
        <v>75.668884528556674</v>
      </c>
      <c r="AP41" s="45">
        <f>'Poultry Fat'!AP11</f>
        <v>77.839981249836342</v>
      </c>
      <c r="AQ41" s="45">
        <f>'Poultry Fat'!AQ11</f>
        <v>80.176348542422559</v>
      </c>
      <c r="AR41" s="45">
        <f>'Poultry Fat'!AR11</f>
        <v>83.899107285377241</v>
      </c>
      <c r="AS41" s="45">
        <f>'Poultry Fat'!AS11</f>
        <v>76.57521414889375</v>
      </c>
      <c r="AT41" s="45">
        <f>'Poultry Fat'!AT11</f>
        <v>85.568990687123716</v>
      </c>
      <c r="AU41" s="45">
        <f>'Poultry Fat'!AU11</f>
        <v>95.823192014200586</v>
      </c>
      <c r="AV41" s="45">
        <f>'Poultry Fat'!AV11</f>
        <v>95.832193676467725</v>
      </c>
      <c r="AW41" s="45">
        <f>'Poultry Fat'!AW11</f>
        <v>89.195471759140958</v>
      </c>
      <c r="AX41" s="45">
        <f>'Poultry Fat'!AX11</f>
        <v>93.210421704987098</v>
      </c>
      <c r="AY41" s="45">
        <f>'Poultry Fat'!AY11</f>
        <v>96.022791524930909</v>
      </c>
      <c r="AZ41" s="45">
        <f>'Poultry Fat'!AZ11</f>
        <v>100.53929966017822</v>
      </c>
      <c r="BA41" s="45">
        <f>'Poultry Fat'!BA11</f>
        <v>101.66997278215919</v>
      </c>
      <c r="BB41" s="45">
        <f>'Poultry Fat'!BB11</f>
        <v>101.34232168128086</v>
      </c>
      <c r="BC41" s="45">
        <f>'Poultry Fat'!BC11</f>
        <v>98.638329597269049</v>
      </c>
      <c r="BD41" s="45">
        <f>'Poultry Fat'!BD11</f>
        <v>100.88602097988941</v>
      </c>
      <c r="BE41" s="45">
        <f>'Poultry Fat'!BE11</f>
        <v>102.93288011828933</v>
      </c>
      <c r="BF41" s="45">
        <f>'Poultry Fat'!BF11</f>
        <v>105.06909546945913</v>
      </c>
      <c r="BG41" s="45">
        <f>'Poultry Fat'!BG11</f>
        <v>107.71483915468886</v>
      </c>
    </row>
    <row r="42" spans="1:59" x14ac:dyDescent="0.2">
      <c r="A42" s="40"/>
      <c r="B42" s="40" t="s">
        <v>143</v>
      </c>
      <c r="C42" s="45">
        <f>DCO!C11</f>
        <v>0</v>
      </c>
      <c r="D42" s="45">
        <f>DCO!D11</f>
        <v>0</v>
      </c>
      <c r="E42" s="45">
        <f>DCO!E11</f>
        <v>0</v>
      </c>
      <c r="F42" s="45">
        <f>DCO!F11</f>
        <v>0</v>
      </c>
      <c r="G42" s="45">
        <f>DCO!G11</f>
        <v>0</v>
      </c>
      <c r="H42" s="45">
        <f>DCO!H11</f>
        <v>0</v>
      </c>
      <c r="I42" s="45">
        <f>DCO!I11</f>
        <v>0</v>
      </c>
      <c r="J42" s="45">
        <f>DCO!J11</f>
        <v>0</v>
      </c>
      <c r="K42" s="45">
        <f>DCO!K11</f>
        <v>0</v>
      </c>
      <c r="L42" s="45">
        <f>DCO!L11</f>
        <v>0</v>
      </c>
      <c r="M42" s="45">
        <f>DCO!M11</f>
        <v>0</v>
      </c>
      <c r="N42" s="45">
        <f>DCO!N11</f>
        <v>0</v>
      </c>
      <c r="O42" s="45">
        <f>DCO!O11</f>
        <v>0</v>
      </c>
      <c r="P42" s="45">
        <f>DCO!P11</f>
        <v>0</v>
      </c>
      <c r="Q42" s="45">
        <f>DCO!Q11</f>
        <v>0</v>
      </c>
      <c r="R42" s="45">
        <f>DCO!R11</f>
        <v>0</v>
      </c>
      <c r="S42" s="45">
        <f>DCO!S11</f>
        <v>0</v>
      </c>
      <c r="T42" s="45">
        <f>DCO!T11</f>
        <v>48.990154776095714</v>
      </c>
      <c r="U42" s="45">
        <f>DCO!U11</f>
        <v>131.23175329790462</v>
      </c>
      <c r="V42" s="45">
        <f>DCO!V11</f>
        <v>235.0925654267925</v>
      </c>
      <c r="W42" s="45">
        <f>DCO!W11</f>
        <v>494.40139274452753</v>
      </c>
      <c r="X42" s="45">
        <f>DCO!X11</f>
        <v>1574.4436850709255</v>
      </c>
      <c r="Y42" s="45">
        <f>DCO!Y11</f>
        <v>1515.3293702406647</v>
      </c>
      <c r="Z42" s="45">
        <f>DCO!Z11</f>
        <v>1316.0989276390414</v>
      </c>
      <c r="AA42" s="45">
        <f>DCO!AA11</f>
        <v>996.12317071411587</v>
      </c>
      <c r="AB42" s="45">
        <f>DCO!AB11</f>
        <v>1384.2331902020967</v>
      </c>
      <c r="AC42" s="45">
        <f>DCO!AC11</f>
        <v>1400.500565544678</v>
      </c>
      <c r="AD42" s="45">
        <f>DCO!AD11</f>
        <v>1465.6330388204974</v>
      </c>
      <c r="AE42" s="45">
        <f>DCO!AE11</f>
        <v>1990.9855362882738</v>
      </c>
      <c r="AF42" s="45">
        <f>DCO!AF11</f>
        <v>3201.1795594907117</v>
      </c>
      <c r="AG42" s="45">
        <f>DCO!AG11</f>
        <v>3474.6783614572128</v>
      </c>
      <c r="AH42" s="45">
        <f>DCO!AH11</f>
        <v>3140.5920075921213</v>
      </c>
      <c r="AI42" s="45">
        <f>DCO!AI11</f>
        <v>3170.2922410156712</v>
      </c>
      <c r="AJ42" s="45">
        <f>DCO!AJ11</f>
        <v>3247.1791705709566</v>
      </c>
      <c r="AK42" s="45">
        <f>DCO!AK11</f>
        <v>3404.7297929989513</v>
      </c>
      <c r="AL42" s="45">
        <f>DCO!AL11</f>
        <v>3518.2216017667197</v>
      </c>
      <c r="AM42" s="45">
        <f>DCO!AM11</f>
        <v>3526.1984010100059</v>
      </c>
      <c r="AN42" s="45">
        <f>DCO!AN11</f>
        <v>3538.6193331866348</v>
      </c>
      <c r="AO42" s="45">
        <f>DCO!AO11</f>
        <v>3746.7744663137091</v>
      </c>
      <c r="AP42" s="45">
        <f>DCO!AP11</f>
        <v>3571.384228663941</v>
      </c>
      <c r="AQ42" s="45">
        <f>DCO!AQ11</f>
        <v>3616.1796569651374</v>
      </c>
      <c r="AR42" s="45">
        <f>DCO!AR11</f>
        <v>3813.9914030307077</v>
      </c>
      <c r="AS42" s="45">
        <f>DCO!AS11</f>
        <v>3973.0949454599086</v>
      </c>
      <c r="AT42" s="45">
        <f>DCO!AT11</f>
        <v>4323.9212662605296</v>
      </c>
      <c r="AU42" s="45">
        <f>DCO!AU11</f>
        <v>4512.9717587971645</v>
      </c>
      <c r="AV42" s="45">
        <f>DCO!AV11</f>
        <v>4095.0594054755479</v>
      </c>
      <c r="AW42" s="45">
        <f>DCO!AW11</f>
        <v>2011.1278909785669</v>
      </c>
      <c r="AX42" s="45">
        <f>DCO!AX11</f>
        <v>2267.36554263481</v>
      </c>
      <c r="AY42" s="45">
        <f>DCO!AY11</f>
        <v>3497.0362078133621</v>
      </c>
      <c r="AZ42" s="45">
        <f>DCO!AZ11</f>
        <v>3344.05660543883</v>
      </c>
      <c r="BA42" s="45">
        <f>DCO!BA11</f>
        <v>3136.5389999123918</v>
      </c>
      <c r="BB42" s="45">
        <f>DCO!BB11</f>
        <v>3383.9532463841242</v>
      </c>
      <c r="BC42" s="45">
        <f>DCO!BC11</f>
        <v>3488.7757045907401</v>
      </c>
      <c r="BD42" s="45">
        <f>DCO!BD11</f>
        <v>3634.2417104292399</v>
      </c>
      <c r="BE42" s="45">
        <f>DCO!BE11</f>
        <v>3754.8507079598485</v>
      </c>
      <c r="BF42" s="45">
        <f>DCO!BF11</f>
        <v>3912.680307262186</v>
      </c>
      <c r="BG42" s="45">
        <f>DCO!BG11</f>
        <v>4123.4366172871332</v>
      </c>
    </row>
    <row r="43" spans="1:59" x14ac:dyDescent="0.2">
      <c r="A43" s="40"/>
      <c r="B43" s="57" t="s">
        <v>78</v>
      </c>
      <c r="C43" s="45">
        <f>SUM(C44:C49)</f>
        <v>0</v>
      </c>
      <c r="D43" s="45">
        <f t="shared" ref="D43:BG43" si="13">SUM(D44:D49)</f>
        <v>0</v>
      </c>
      <c r="E43" s="45">
        <f t="shared" si="13"/>
        <v>0</v>
      </c>
      <c r="F43" s="45">
        <f t="shared" si="13"/>
        <v>0</v>
      </c>
      <c r="G43" s="45">
        <f t="shared" si="13"/>
        <v>0</v>
      </c>
      <c r="H43" s="45">
        <f t="shared" si="13"/>
        <v>0</v>
      </c>
      <c r="I43" s="45">
        <f t="shared" si="13"/>
        <v>0</v>
      </c>
      <c r="J43" s="45">
        <f t="shared" si="13"/>
        <v>0</v>
      </c>
      <c r="K43" s="45">
        <f t="shared" si="13"/>
        <v>0</v>
      </c>
      <c r="L43" s="45">
        <f t="shared" si="13"/>
        <v>0</v>
      </c>
      <c r="M43" s="45">
        <f t="shared" si="13"/>
        <v>0</v>
      </c>
      <c r="N43" s="45">
        <f t="shared" si="13"/>
        <v>0</v>
      </c>
      <c r="O43" s="45">
        <f t="shared" si="13"/>
        <v>0</v>
      </c>
      <c r="P43" s="45">
        <f t="shared" si="13"/>
        <v>0</v>
      </c>
      <c r="Q43" s="45">
        <f t="shared" si="13"/>
        <v>0</v>
      </c>
      <c r="R43" s="45">
        <f t="shared" si="13"/>
        <v>0</v>
      </c>
      <c r="S43" s="45">
        <f t="shared" si="13"/>
        <v>0</v>
      </c>
      <c r="T43" s="45">
        <f t="shared" si="13"/>
        <v>0</v>
      </c>
      <c r="U43" s="45">
        <f t="shared" si="13"/>
        <v>0</v>
      </c>
      <c r="V43" s="45">
        <f t="shared" si="13"/>
        <v>0</v>
      </c>
      <c r="W43" s="45">
        <f t="shared" si="13"/>
        <v>0</v>
      </c>
      <c r="X43" s="45">
        <f t="shared" si="13"/>
        <v>0</v>
      </c>
      <c r="Y43" s="45">
        <f t="shared" si="13"/>
        <v>0</v>
      </c>
      <c r="Z43" s="45">
        <f t="shared" si="13"/>
        <v>3.0726525684643473</v>
      </c>
      <c r="AA43" s="45">
        <f t="shared" si="13"/>
        <v>11.467119354067682</v>
      </c>
      <c r="AB43" s="45">
        <f t="shared" si="13"/>
        <v>7284.2924458675716</v>
      </c>
      <c r="AC43" s="45">
        <f t="shared" si="13"/>
        <v>6330.3925867039616</v>
      </c>
      <c r="AD43" s="45">
        <f t="shared" si="13"/>
        <v>6774.1954274950313</v>
      </c>
      <c r="AE43" s="45">
        <f t="shared" si="13"/>
        <v>1373.8825510828608</v>
      </c>
      <c r="AF43" s="45">
        <f t="shared" si="13"/>
        <v>2126.9380880860263</v>
      </c>
      <c r="AG43" s="60">
        <f t="shared" si="13"/>
        <v>1503.1374955569447</v>
      </c>
      <c r="AH43" s="60">
        <f t="shared" si="13"/>
        <v>4844.7644666968044</v>
      </c>
      <c r="AI43" s="60">
        <f t="shared" si="13"/>
        <v>6356.9078282258097</v>
      </c>
      <c r="AJ43" s="60">
        <f t="shared" si="13"/>
        <v>5301.0535488083287</v>
      </c>
      <c r="AK43" s="60">
        <f t="shared" si="13"/>
        <v>6259.3415366298295</v>
      </c>
      <c r="AL43" s="60">
        <f t="shared" si="13"/>
        <v>5763.2026613071248</v>
      </c>
      <c r="AM43" s="60">
        <f t="shared" si="13"/>
        <v>6466.4041262041028</v>
      </c>
      <c r="AN43" s="60">
        <f t="shared" si="13"/>
        <v>7089.1102149064545</v>
      </c>
      <c r="AO43" s="60">
        <f t="shared" si="13"/>
        <v>3887.2173356237722</v>
      </c>
      <c r="AP43" s="60">
        <f t="shared" si="13"/>
        <v>8179.0543693550371</v>
      </c>
      <c r="AQ43" s="60">
        <f t="shared" si="13"/>
        <v>7026.988789103174</v>
      </c>
      <c r="AR43" s="60">
        <f t="shared" si="13"/>
        <v>4641.9792199571211</v>
      </c>
      <c r="AS43" s="60">
        <f t="shared" si="13"/>
        <v>8014.4536258887356</v>
      </c>
      <c r="AT43" s="60">
        <f t="shared" si="13"/>
        <v>6835.0217975126716</v>
      </c>
      <c r="AU43" s="60">
        <f t="shared" si="13"/>
        <v>5714.5342815031863</v>
      </c>
      <c r="AV43" s="60">
        <f t="shared" si="13"/>
        <v>6087.6700606432632</v>
      </c>
      <c r="AW43" s="60">
        <f t="shared" si="13"/>
        <v>10758.855024835311</v>
      </c>
      <c r="AX43" s="60">
        <f t="shared" si="13"/>
        <v>10227.065407108717</v>
      </c>
      <c r="AY43" s="60">
        <f t="shared" si="13"/>
        <v>9064.5941960192504</v>
      </c>
      <c r="AZ43" s="60">
        <f t="shared" si="13"/>
        <v>8550.0986069459705</v>
      </c>
      <c r="BA43" s="60">
        <f t="shared" si="13"/>
        <v>9584.2100949810792</v>
      </c>
      <c r="BB43" s="60">
        <f t="shared" si="13"/>
        <v>9452.7199132657988</v>
      </c>
      <c r="BC43" s="60">
        <f t="shared" si="13"/>
        <v>10235.967664575359</v>
      </c>
      <c r="BD43" s="60">
        <f t="shared" si="13"/>
        <v>9230.628246059583</v>
      </c>
      <c r="BE43" s="60">
        <f t="shared" si="13"/>
        <v>9427.1582956189595</v>
      </c>
      <c r="BF43" s="60">
        <f t="shared" si="13"/>
        <v>9842.7143331626394</v>
      </c>
      <c r="BG43" s="60">
        <f t="shared" si="13"/>
        <v>8898.2955850083381</v>
      </c>
    </row>
    <row r="44" spans="1:59" x14ac:dyDescent="0.2">
      <c r="A44" s="40"/>
      <c r="B44" s="61" t="s">
        <v>144</v>
      </c>
      <c r="C44" s="62">
        <f>'Inedible Tallow'!C12</f>
        <v>0</v>
      </c>
      <c r="D44" s="62">
        <f>'Inedible Tallow'!D12</f>
        <v>0</v>
      </c>
      <c r="E44" s="62">
        <f>'Inedible Tallow'!E12</f>
        <v>0</v>
      </c>
      <c r="F44" s="62">
        <f>'Inedible Tallow'!F12</f>
        <v>0</v>
      </c>
      <c r="G44" s="62">
        <f>'Inedible Tallow'!G12</f>
        <v>0</v>
      </c>
      <c r="H44" s="62">
        <f>'Inedible Tallow'!H12</f>
        <v>0</v>
      </c>
      <c r="I44" s="62">
        <f>'Inedible Tallow'!I12</f>
        <v>0</v>
      </c>
      <c r="J44" s="62">
        <f>'Inedible Tallow'!J12</f>
        <v>0</v>
      </c>
      <c r="K44" s="62">
        <f>'Inedible Tallow'!K12</f>
        <v>0</v>
      </c>
      <c r="L44" s="62">
        <f>'Inedible Tallow'!L12</f>
        <v>0</v>
      </c>
      <c r="M44" s="62">
        <f>'Inedible Tallow'!M12</f>
        <v>0</v>
      </c>
      <c r="N44" s="62">
        <f>'Inedible Tallow'!N12</f>
        <v>0</v>
      </c>
      <c r="O44" s="62">
        <f>'Inedible Tallow'!O12</f>
        <v>0</v>
      </c>
      <c r="P44" s="62">
        <f>'Inedible Tallow'!P12</f>
        <v>0</v>
      </c>
      <c r="Q44" s="62">
        <f>'Inedible Tallow'!Q12</f>
        <v>0</v>
      </c>
      <c r="R44" s="62">
        <f>'Inedible Tallow'!R12</f>
        <v>0</v>
      </c>
      <c r="S44" s="62">
        <f>'Inedible Tallow'!S12</f>
        <v>0</v>
      </c>
      <c r="T44" s="62">
        <f>'Inedible Tallow'!T12</f>
        <v>0</v>
      </c>
      <c r="U44" s="62">
        <f>'Inedible Tallow'!U12</f>
        <v>0</v>
      </c>
      <c r="V44" s="62">
        <f>'Inedible Tallow'!V12</f>
        <v>0</v>
      </c>
      <c r="W44" s="62">
        <f>'Inedible Tallow'!W12</f>
        <v>0</v>
      </c>
      <c r="X44" s="62">
        <f>'Inedible Tallow'!X12</f>
        <v>0</v>
      </c>
      <c r="Y44" s="62">
        <f>'Inedible Tallow'!Y12</f>
        <v>0</v>
      </c>
      <c r="Z44" s="62">
        <f>'Inedible Tallow'!Z12</f>
        <v>1.169794683384823</v>
      </c>
      <c r="AA44" s="62">
        <f>'Inedible Tallow'!AA12</f>
        <v>4.2700108351875263</v>
      </c>
      <c r="AB44" s="62">
        <f>'Inedible Tallow'!AB12</f>
        <v>2167.4570136346556</v>
      </c>
      <c r="AC44" s="62">
        <f>'Inedible Tallow'!AC12</f>
        <v>1691.4320573003451</v>
      </c>
      <c r="AD44" s="62">
        <f>'Inedible Tallow'!AD12</f>
        <v>2535.2002032780802</v>
      </c>
      <c r="AE44" s="62">
        <f>'Inedible Tallow'!AE12</f>
        <v>2484.9606840000001</v>
      </c>
      <c r="AF44" s="62">
        <f>'Inedible Tallow'!AF12</f>
        <v>1130.3422549999996</v>
      </c>
      <c r="AG44" s="62">
        <f>'Inedible Tallow'!AG12</f>
        <v>-1632.2574596459017</v>
      </c>
      <c r="AH44" s="62">
        <f>'Inedible Tallow'!AH12</f>
        <v>1621.10209709022</v>
      </c>
      <c r="AI44" s="62">
        <f>'Inedible Tallow'!AI12</f>
        <v>2263.1182183543915</v>
      </c>
      <c r="AJ44" s="62">
        <f>'Inedible Tallow'!AJ12</f>
        <v>1860.8205993302063</v>
      </c>
      <c r="AK44" s="62">
        <f>'Inedible Tallow'!AK12</f>
        <v>2276.2186664762139</v>
      </c>
      <c r="AL44" s="62">
        <f>'Inedible Tallow'!AL12</f>
        <v>2230.2637358001157</v>
      </c>
      <c r="AM44" s="62">
        <f>'Inedible Tallow'!AM12</f>
        <v>2150.3065299797199</v>
      </c>
      <c r="AN44" s="62">
        <f>'Inedible Tallow'!AN12</f>
        <v>2087.8502457252489</v>
      </c>
      <c r="AO44" s="62">
        <f>'Inedible Tallow'!AO12</f>
        <v>1538.3946924637876</v>
      </c>
      <c r="AP44" s="62">
        <f>'Inedible Tallow'!AP12</f>
        <v>2357.0578706939468</v>
      </c>
      <c r="AQ44" s="62">
        <f>'Inedible Tallow'!AQ12</f>
        <v>1961.4486647355097</v>
      </c>
      <c r="AR44" s="62">
        <f>'Inedible Tallow'!AR12</f>
        <v>1916.5633112911364</v>
      </c>
      <c r="AS44" s="62">
        <f>'Inedible Tallow'!AS12</f>
        <v>1789.2705489251803</v>
      </c>
      <c r="AT44" s="62">
        <f>'Inedible Tallow'!AT12</f>
        <v>2413.637312423707</v>
      </c>
      <c r="AU44" s="62">
        <f>'Inedible Tallow'!AU12</f>
        <v>2008.9625876246191</v>
      </c>
      <c r="AV44" s="62">
        <f>'Inedible Tallow'!AV12</f>
        <v>1710.9485350205578</v>
      </c>
      <c r="AW44" s="62">
        <f>'Inedible Tallow'!AW12</f>
        <v>2386.6033961819176</v>
      </c>
      <c r="AX44" s="62">
        <f>'Inedible Tallow'!AX12</f>
        <v>1987.7709237203162</v>
      </c>
      <c r="AY44" s="62">
        <f>'Inedible Tallow'!AY12</f>
        <v>2094.6050585452922</v>
      </c>
      <c r="AZ44" s="62">
        <f>'Inedible Tallow'!AZ12</f>
        <v>1904.7006279624165</v>
      </c>
      <c r="BA44" s="62">
        <f>'Inedible Tallow'!BA12</f>
        <v>2038.581538381568</v>
      </c>
      <c r="BB44" s="62">
        <f>'Inedible Tallow'!BB12</f>
        <v>1804.5662840089753</v>
      </c>
      <c r="BC44" s="62">
        <f>'Inedible Tallow'!BC12</f>
        <v>1738.3985575201496</v>
      </c>
      <c r="BD44" s="62">
        <f>'Inedible Tallow'!BD12</f>
        <v>1305.2876389341745</v>
      </c>
      <c r="BE44" s="62">
        <f>'Inedible Tallow'!BE12</f>
        <v>1305.4080541913227</v>
      </c>
      <c r="BF44" s="62">
        <f>'Inedible Tallow'!BF12</f>
        <v>1087.5230478538797</v>
      </c>
      <c r="BG44" s="62">
        <f>'Inedible Tallow'!BG12</f>
        <v>1098.3311478499418</v>
      </c>
    </row>
    <row r="45" spans="1:59" x14ac:dyDescent="0.2">
      <c r="A45" s="40"/>
      <c r="B45" s="40" t="s">
        <v>145</v>
      </c>
      <c r="C45" s="45">
        <f>'Yellow Grease'!C12</f>
        <v>0</v>
      </c>
      <c r="D45" s="45">
        <f>'Yellow Grease'!D12</f>
        <v>0</v>
      </c>
      <c r="E45" s="45">
        <f>'Yellow Grease'!E12</f>
        <v>0</v>
      </c>
      <c r="F45" s="45">
        <f>'Yellow Grease'!F12</f>
        <v>0</v>
      </c>
      <c r="G45" s="45">
        <f>'Yellow Grease'!G12</f>
        <v>0</v>
      </c>
      <c r="H45" s="45">
        <f>'Yellow Grease'!H12</f>
        <v>0</v>
      </c>
      <c r="I45" s="45">
        <f>'Yellow Grease'!I12</f>
        <v>0</v>
      </c>
      <c r="J45" s="45">
        <f>'Yellow Grease'!J12</f>
        <v>0</v>
      </c>
      <c r="K45" s="45">
        <f>'Yellow Grease'!K12</f>
        <v>0</v>
      </c>
      <c r="L45" s="45">
        <f>'Yellow Grease'!L12</f>
        <v>0</v>
      </c>
      <c r="M45" s="45">
        <f>'Yellow Grease'!M12</f>
        <v>0</v>
      </c>
      <c r="N45" s="45">
        <f>'Yellow Grease'!N12</f>
        <v>0</v>
      </c>
      <c r="O45" s="45">
        <f>'Yellow Grease'!O12</f>
        <v>0</v>
      </c>
      <c r="P45" s="45">
        <f>'Yellow Grease'!P12</f>
        <v>0</v>
      </c>
      <c r="Q45" s="45">
        <f>'Yellow Grease'!Q12</f>
        <v>0</v>
      </c>
      <c r="R45" s="45">
        <f>'Yellow Grease'!R12</f>
        <v>0</v>
      </c>
      <c r="S45" s="45">
        <f>'Yellow Grease'!S12</f>
        <v>0</v>
      </c>
      <c r="T45" s="45">
        <f>'Yellow Grease'!T12</f>
        <v>0</v>
      </c>
      <c r="U45" s="45">
        <f>'Yellow Grease'!U12</f>
        <v>0</v>
      </c>
      <c r="V45" s="45">
        <f>'Yellow Grease'!V12</f>
        <v>0</v>
      </c>
      <c r="W45" s="45">
        <f>'Yellow Grease'!W12</f>
        <v>0</v>
      </c>
      <c r="X45" s="45">
        <f>'Yellow Grease'!X12</f>
        <v>0</v>
      </c>
      <c r="Y45" s="45">
        <f>'Yellow Grease'!Y12</f>
        <v>0</v>
      </c>
      <c r="Z45" s="45">
        <f>'Yellow Grease'!Z12</f>
        <v>0.26145569348105813</v>
      </c>
      <c r="AA45" s="45">
        <f>'Yellow Grease'!AA12</f>
        <v>1.1828277205888975</v>
      </c>
      <c r="AB45" s="45">
        <f>'Yellow Grease'!AB12</f>
        <v>895.32945932160067</v>
      </c>
      <c r="AC45" s="45">
        <f>'Yellow Grease'!AC12</f>
        <v>851.99845547436757</v>
      </c>
      <c r="AD45" s="45">
        <f>'Yellow Grease'!AD12</f>
        <v>634.03156800000011</v>
      </c>
      <c r="AE45" s="45">
        <f>'Yellow Grease'!AE12</f>
        <v>206.7204820000004</v>
      </c>
      <c r="AF45" s="45">
        <f>'Yellow Grease'!AF12</f>
        <v>-30.737688462230153</v>
      </c>
      <c r="AG45" s="45">
        <f>'Yellow Grease'!AG12</f>
        <v>211.53655863274071</v>
      </c>
      <c r="AH45" s="45">
        <f>'Yellow Grease'!AH12</f>
        <v>336.37843149604942</v>
      </c>
      <c r="AI45" s="45">
        <f>'Yellow Grease'!AI12</f>
        <v>151.06708435513747</v>
      </c>
      <c r="AJ45" s="45">
        <f>'Yellow Grease'!AJ12</f>
        <v>-47.826707142775831</v>
      </c>
      <c r="AK45" s="45">
        <f>'Yellow Grease'!AK12</f>
        <v>65.174845683913645</v>
      </c>
      <c r="AL45" s="45">
        <f>'Yellow Grease'!AL12</f>
        <v>-0.8262696696765488</v>
      </c>
      <c r="AM45" s="45">
        <f>'Yellow Grease'!AM12</f>
        <v>2.4521497410892152</v>
      </c>
      <c r="AN45" s="45">
        <f>'Yellow Grease'!AN12</f>
        <v>84.836672613113024</v>
      </c>
      <c r="AO45" s="45">
        <f>'Yellow Grease'!AO12</f>
        <v>-119.55993152670726</v>
      </c>
      <c r="AP45" s="45">
        <f>'Yellow Grease'!AP12</f>
        <v>29.446086161804487</v>
      </c>
      <c r="AQ45" s="45">
        <f>'Yellow Grease'!AQ12</f>
        <v>35.934419491493827</v>
      </c>
      <c r="AR45" s="45">
        <f>'Yellow Grease'!AR12</f>
        <v>-72.489162901426425</v>
      </c>
      <c r="AS45" s="45">
        <f>'Yellow Grease'!AS12</f>
        <v>180.69538678072968</v>
      </c>
      <c r="AT45" s="45">
        <f>'Yellow Grease'!AT12</f>
        <v>32.564692453178395</v>
      </c>
      <c r="AU45" s="45">
        <f>'Yellow Grease'!AU12</f>
        <v>-21.415712720685406</v>
      </c>
      <c r="AV45" s="45">
        <f>'Yellow Grease'!AV12</f>
        <v>-172.33296769343906</v>
      </c>
      <c r="AW45" s="45">
        <f>'Yellow Grease'!AW12</f>
        <v>81.66558284326311</v>
      </c>
      <c r="AX45" s="45">
        <f>'Yellow Grease'!AX12</f>
        <v>97.843646298656495</v>
      </c>
      <c r="AY45" s="45">
        <f>'Yellow Grease'!AY12</f>
        <v>114.0279430299488</v>
      </c>
      <c r="AZ45" s="45">
        <f>'Yellow Grease'!AZ12</f>
        <v>-17.101807196755544</v>
      </c>
      <c r="BA45" s="45">
        <f>'Yellow Grease'!BA12</f>
        <v>-90.541365117508576</v>
      </c>
      <c r="BB45" s="45">
        <f>'Yellow Grease'!BB12</f>
        <v>67.35999855209684</v>
      </c>
      <c r="BC45" s="45">
        <f>'Yellow Grease'!BC12</f>
        <v>41.909469975482352</v>
      </c>
      <c r="BD45" s="45">
        <f>'Yellow Grease'!BD12</f>
        <v>0.52512599415331351</v>
      </c>
      <c r="BE45" s="45">
        <f>'Yellow Grease'!BE12</f>
        <v>78.023664406229727</v>
      </c>
      <c r="BF45" s="45">
        <f>'Yellow Grease'!BF12</f>
        <v>67.665467009339409</v>
      </c>
      <c r="BG45" s="45">
        <f>'Yellow Grease'!BG12</f>
        <v>-38.31923704955534</v>
      </c>
    </row>
    <row r="46" spans="1:59" x14ac:dyDescent="0.2">
      <c r="A46" s="40"/>
      <c r="B46" s="40" t="s">
        <v>146</v>
      </c>
      <c r="C46" s="45">
        <f>UCO!C12</f>
        <v>0</v>
      </c>
      <c r="D46" s="45">
        <f>UCO!D12</f>
        <v>0</v>
      </c>
      <c r="E46" s="45">
        <f>UCO!E12</f>
        <v>0</v>
      </c>
      <c r="F46" s="45">
        <f>UCO!F12</f>
        <v>0</v>
      </c>
      <c r="G46" s="45">
        <f>UCO!G12</f>
        <v>0</v>
      </c>
      <c r="H46" s="45">
        <f>UCO!H12</f>
        <v>0</v>
      </c>
      <c r="I46" s="45">
        <f>UCO!I12</f>
        <v>0</v>
      </c>
      <c r="J46" s="45">
        <f>UCO!J12</f>
        <v>0</v>
      </c>
      <c r="K46" s="45">
        <f>UCO!K12</f>
        <v>0</v>
      </c>
      <c r="L46" s="45">
        <f>UCO!L12</f>
        <v>0</v>
      </c>
      <c r="M46" s="45">
        <f>UCO!M12</f>
        <v>0</v>
      </c>
      <c r="N46" s="45">
        <f>UCO!N12</f>
        <v>0</v>
      </c>
      <c r="O46" s="45">
        <f>UCO!O12</f>
        <v>0</v>
      </c>
      <c r="P46" s="45">
        <f>UCO!P12</f>
        <v>0</v>
      </c>
      <c r="Q46" s="45">
        <f>UCO!Q12</f>
        <v>0</v>
      </c>
      <c r="R46" s="45">
        <f>UCO!R12</f>
        <v>0</v>
      </c>
      <c r="S46" s="45">
        <f>UCO!S12</f>
        <v>0</v>
      </c>
      <c r="T46" s="45">
        <f>UCO!T12</f>
        <v>0</v>
      </c>
      <c r="U46" s="45">
        <f>UCO!U12</f>
        <v>0</v>
      </c>
      <c r="V46" s="45">
        <f>UCO!V12</f>
        <v>0</v>
      </c>
      <c r="W46" s="45">
        <f>UCO!W12</f>
        <v>0</v>
      </c>
      <c r="X46" s="45">
        <f>UCO!X12</f>
        <v>0</v>
      </c>
      <c r="Y46" s="45">
        <f>UCO!Y12</f>
        <v>0</v>
      </c>
      <c r="Z46" s="45">
        <f>UCO!Z12</f>
        <v>0.48854433031757022</v>
      </c>
      <c r="AA46" s="45">
        <f>UCO!AA12</f>
        <v>1.0637831118141898</v>
      </c>
      <c r="AB46" s="45">
        <f>UCO!AB12</f>
        <v>565.70650334345669</v>
      </c>
      <c r="AC46" s="45">
        <f>UCO!AC12</f>
        <v>330.18781573302988</v>
      </c>
      <c r="AD46" s="45">
        <f>UCO!AD12</f>
        <v>177.96951956224439</v>
      </c>
      <c r="AE46" s="45">
        <f>UCO!AE12</f>
        <v>-4184.2769356842682</v>
      </c>
      <c r="AF46" s="45">
        <f>UCO!AF12</f>
        <v>-1890.1174905163098</v>
      </c>
      <c r="AG46" s="45">
        <f>UCO!AG12</f>
        <v>251.58808363030221</v>
      </c>
      <c r="AH46" s="45">
        <f>UCO!AH12</f>
        <v>-84.775982625184042</v>
      </c>
      <c r="AI46" s="45">
        <f>UCO!AI12</f>
        <v>836.30029356718114</v>
      </c>
      <c r="AJ46" s="45">
        <f>UCO!AJ12</f>
        <v>221.84147791896612</v>
      </c>
      <c r="AK46" s="45">
        <f>UCO!AK12</f>
        <v>387.90863316807008</v>
      </c>
      <c r="AL46" s="45">
        <f>UCO!AL12</f>
        <v>214.7420299687401</v>
      </c>
      <c r="AM46" s="45">
        <f>UCO!AM12</f>
        <v>624.26125584359033</v>
      </c>
      <c r="AN46" s="45">
        <f>UCO!AN12</f>
        <v>855.20329039955686</v>
      </c>
      <c r="AO46" s="45">
        <f>UCO!AO12</f>
        <v>-1282.9892619066959</v>
      </c>
      <c r="AP46" s="45">
        <f>UCO!AP12</f>
        <v>1645.7913374597883</v>
      </c>
      <c r="AQ46" s="45">
        <f>UCO!AQ12</f>
        <v>999.82518949464793</v>
      </c>
      <c r="AR46" s="45">
        <f>UCO!AR12</f>
        <v>-1163.5982696470019</v>
      </c>
      <c r="AS46" s="45">
        <f>UCO!AS12</f>
        <v>1868.4183622581768</v>
      </c>
      <c r="AT46" s="45">
        <f>UCO!AT12</f>
        <v>335.84645716008163</v>
      </c>
      <c r="AU46" s="45">
        <f>UCO!AU12</f>
        <v>-276.51052846817765</v>
      </c>
      <c r="AV46" s="45">
        <f>UCO!AV12</f>
        <v>-32.743384654859256</v>
      </c>
      <c r="AW46" s="45">
        <f>UCO!AW12</f>
        <v>1402.7962421595148</v>
      </c>
      <c r="AX46" s="45">
        <f>UCO!AX12</f>
        <v>1256.2825273296185</v>
      </c>
      <c r="AY46" s="45">
        <f>UCO!AY12</f>
        <v>734.56142969096982</v>
      </c>
      <c r="AZ46" s="45">
        <f>UCO!AZ12</f>
        <v>237.13426270523632</v>
      </c>
      <c r="BA46" s="45">
        <f>UCO!BA12</f>
        <v>641.8772572113885</v>
      </c>
      <c r="BB46" s="45">
        <f>UCO!BB12</f>
        <v>579.60621544608875</v>
      </c>
      <c r="BC46" s="45">
        <f>UCO!BC12</f>
        <v>1169.530343819366</v>
      </c>
      <c r="BD46" s="45">
        <f>UCO!BD12</f>
        <v>489.89233847659489</v>
      </c>
      <c r="BE46" s="45">
        <f>UCO!BE12</f>
        <v>397.54190177457349</v>
      </c>
      <c r="BF46" s="45">
        <f>UCO!BF12</f>
        <v>908.60808353174798</v>
      </c>
      <c r="BG46" s="45">
        <f>UCO!BG12</f>
        <v>170.68961134560232</v>
      </c>
    </row>
    <row r="47" spans="1:59" x14ac:dyDescent="0.2">
      <c r="A47" s="40"/>
      <c r="B47" s="40" t="s">
        <v>147</v>
      </c>
      <c r="C47" s="45">
        <f>CWG!C12</f>
        <v>0</v>
      </c>
      <c r="D47" s="45">
        <f>CWG!D12</f>
        <v>0</v>
      </c>
      <c r="E47" s="45">
        <f>CWG!E12</f>
        <v>0</v>
      </c>
      <c r="F47" s="45">
        <f>CWG!F12</f>
        <v>0</v>
      </c>
      <c r="G47" s="45">
        <f>CWG!G12</f>
        <v>0</v>
      </c>
      <c r="H47" s="45">
        <f>CWG!H12</f>
        <v>0</v>
      </c>
      <c r="I47" s="45">
        <f>CWG!I12</f>
        <v>0</v>
      </c>
      <c r="J47" s="45">
        <f>CWG!J12</f>
        <v>0</v>
      </c>
      <c r="K47" s="45">
        <f>CWG!K12</f>
        <v>0</v>
      </c>
      <c r="L47" s="45">
        <f>CWG!L12</f>
        <v>0</v>
      </c>
      <c r="M47" s="45">
        <f>CWG!M12</f>
        <v>0</v>
      </c>
      <c r="N47" s="45">
        <f>CWG!N12</f>
        <v>0</v>
      </c>
      <c r="O47" s="45">
        <f>CWG!O12</f>
        <v>0</v>
      </c>
      <c r="P47" s="45">
        <f>CWG!P12</f>
        <v>0</v>
      </c>
      <c r="Q47" s="45">
        <f>CWG!Q12</f>
        <v>0</v>
      </c>
      <c r="R47" s="45">
        <f>CWG!R12</f>
        <v>0</v>
      </c>
      <c r="S47" s="45">
        <f>CWG!S12</f>
        <v>0</v>
      </c>
      <c r="T47" s="45">
        <f>CWG!T12</f>
        <v>0</v>
      </c>
      <c r="U47" s="45">
        <f>CWG!U12</f>
        <v>0</v>
      </c>
      <c r="V47" s="45">
        <f>CWG!V12</f>
        <v>0</v>
      </c>
      <c r="W47" s="45">
        <f>CWG!W12</f>
        <v>0</v>
      </c>
      <c r="X47" s="45">
        <f>CWG!X12</f>
        <v>0</v>
      </c>
      <c r="Y47" s="45">
        <f>CWG!Y12</f>
        <v>0</v>
      </c>
      <c r="Z47" s="45">
        <f>CWG!Z12</f>
        <v>0.17473613456517875</v>
      </c>
      <c r="AA47" s="45">
        <f>CWG!AA12</f>
        <v>0.74170094436434164</v>
      </c>
      <c r="AB47" s="45">
        <f>CWG!AB12</f>
        <v>606.69725795277338</v>
      </c>
      <c r="AC47" s="45">
        <f>CWG!AC12</f>
        <v>423.69137105629034</v>
      </c>
      <c r="AD47" s="45">
        <f>CWG!AD12</f>
        <v>603.21616831006008</v>
      </c>
      <c r="AE47" s="45">
        <f>CWG!AE12</f>
        <v>774.51869499999998</v>
      </c>
      <c r="AF47" s="45">
        <f>CWG!AF12</f>
        <v>863.30717496200009</v>
      </c>
      <c r="AG47" s="45">
        <f>CWG!AG12</f>
        <v>714.08126272870027</v>
      </c>
      <c r="AH47" s="45">
        <f>CWG!AH12</f>
        <v>784.66449988676038</v>
      </c>
      <c r="AI47" s="45">
        <f>CWG!AI12</f>
        <v>742.53230115695499</v>
      </c>
      <c r="AJ47" s="45">
        <f>CWG!AJ12</f>
        <v>784.80670450818116</v>
      </c>
      <c r="AK47" s="45">
        <f>CWG!AK12</f>
        <v>760.29072967379693</v>
      </c>
      <c r="AL47" s="45">
        <f>CWG!AL12</f>
        <v>664.78809484086491</v>
      </c>
      <c r="AM47" s="45">
        <f>CWG!AM12</f>
        <v>686.14748459020211</v>
      </c>
      <c r="AN47" s="45">
        <f>CWG!AN12</f>
        <v>837.66302020812145</v>
      </c>
      <c r="AO47" s="45">
        <f>CWG!AO12</f>
        <v>708.57761798066349</v>
      </c>
      <c r="AP47" s="45">
        <f>CWG!AP12</f>
        <v>686.44361982306009</v>
      </c>
      <c r="AQ47" s="45">
        <f>CWG!AQ12</f>
        <v>395.60578936924026</v>
      </c>
      <c r="AR47" s="45">
        <f>CWG!AR12</f>
        <v>342.43006447340281</v>
      </c>
      <c r="AS47" s="45">
        <f>CWG!AS12</f>
        <v>407.51472642104432</v>
      </c>
      <c r="AT47" s="45">
        <f>CWG!AT12</f>
        <v>344.86995860217598</v>
      </c>
      <c r="AU47" s="45">
        <f>CWG!AU12</f>
        <v>287.21647778898478</v>
      </c>
      <c r="AV47" s="45">
        <f>CWG!AV12</f>
        <v>279.04998594695257</v>
      </c>
      <c r="AW47" s="45">
        <f>CWG!AW12</f>
        <v>305.23359676031328</v>
      </c>
      <c r="AX47" s="45">
        <f>CWG!AX12</f>
        <v>250.51404975942069</v>
      </c>
      <c r="AY47" s="45">
        <f>CWG!AY12</f>
        <v>231.20834130794174</v>
      </c>
      <c r="AZ47" s="45">
        <f>CWG!AZ12</f>
        <v>192.08746533106341</v>
      </c>
      <c r="BA47" s="45">
        <f>CWG!BA12</f>
        <v>174.85120012735979</v>
      </c>
      <c r="BB47" s="45">
        <f>CWG!BB12</f>
        <v>149.71225704280596</v>
      </c>
      <c r="BC47" s="45">
        <f>CWG!BC12</f>
        <v>136.66056491438894</v>
      </c>
      <c r="BD47" s="45">
        <f>CWG!BD12</f>
        <v>97.65601712202033</v>
      </c>
      <c r="BE47" s="45">
        <f>CWG!BE12</f>
        <v>76.658901347257597</v>
      </c>
      <c r="BF47" s="45">
        <f>CWG!BF12</f>
        <v>54.126032282594224</v>
      </c>
      <c r="BG47" s="45">
        <f>CWG!BG12</f>
        <v>3.8980708330677771</v>
      </c>
    </row>
    <row r="48" spans="1:59" x14ac:dyDescent="0.2">
      <c r="A48" s="40"/>
      <c r="B48" s="40" t="s">
        <v>148</v>
      </c>
      <c r="C48" s="45">
        <f>'Poultry Fat'!C12</f>
        <v>0</v>
      </c>
      <c r="D48" s="45">
        <f>'Poultry Fat'!D12</f>
        <v>0</v>
      </c>
      <c r="E48" s="45">
        <f>'Poultry Fat'!E12</f>
        <v>0</v>
      </c>
      <c r="F48" s="45">
        <f>'Poultry Fat'!F12</f>
        <v>0</v>
      </c>
      <c r="G48" s="45">
        <f>'Poultry Fat'!G12</f>
        <v>0</v>
      </c>
      <c r="H48" s="45">
        <f>'Poultry Fat'!H12</f>
        <v>0</v>
      </c>
      <c r="I48" s="45">
        <f>'Poultry Fat'!I12</f>
        <v>0</v>
      </c>
      <c r="J48" s="45">
        <f>'Poultry Fat'!J12</f>
        <v>0</v>
      </c>
      <c r="K48" s="45">
        <f>'Poultry Fat'!K12</f>
        <v>0</v>
      </c>
      <c r="L48" s="45">
        <f>'Poultry Fat'!L12</f>
        <v>0</v>
      </c>
      <c r="M48" s="45">
        <f>'Poultry Fat'!M12</f>
        <v>0</v>
      </c>
      <c r="N48" s="45">
        <f>'Poultry Fat'!N12</f>
        <v>0</v>
      </c>
      <c r="O48" s="45">
        <f>'Poultry Fat'!O12</f>
        <v>0</v>
      </c>
      <c r="P48" s="45">
        <f>'Poultry Fat'!P12</f>
        <v>0</v>
      </c>
      <c r="Q48" s="45">
        <f>'Poultry Fat'!Q12</f>
        <v>0</v>
      </c>
      <c r="R48" s="45">
        <f>'Poultry Fat'!R12</f>
        <v>0</v>
      </c>
      <c r="S48" s="45">
        <f>'Poultry Fat'!S12</f>
        <v>0</v>
      </c>
      <c r="T48" s="45">
        <f>'Poultry Fat'!T12</f>
        <v>0</v>
      </c>
      <c r="U48" s="45">
        <f>'Poultry Fat'!U12</f>
        <v>0</v>
      </c>
      <c r="V48" s="45">
        <f>'Poultry Fat'!V12</f>
        <v>0</v>
      </c>
      <c r="W48" s="45">
        <f>'Poultry Fat'!W12</f>
        <v>0</v>
      </c>
      <c r="X48" s="45">
        <f>'Poultry Fat'!X12</f>
        <v>0</v>
      </c>
      <c r="Y48" s="45">
        <f>'Poultry Fat'!Y12</f>
        <v>0</v>
      </c>
      <c r="Z48" s="45">
        <f>'Poultry Fat'!Z12</f>
        <v>0</v>
      </c>
      <c r="AA48" s="45">
        <f>'Poultry Fat'!AA12</f>
        <v>0</v>
      </c>
      <c r="AB48" s="45">
        <f>'Poultry Fat'!AB12</f>
        <v>2308.3751831475142</v>
      </c>
      <c r="AC48" s="45">
        <f>'Poultry Fat'!AC12</f>
        <v>2321.6162343484862</v>
      </c>
      <c r="AD48" s="45">
        <f>'Poultry Fat'!AD12</f>
        <v>1771.1005146557407</v>
      </c>
      <c r="AE48" s="45">
        <f>'Poultry Fat'!AE12</f>
        <v>1828.9738399999997</v>
      </c>
      <c r="AF48" s="45">
        <f>'Poultry Fat'!AF12</f>
        <v>2097.2662691415203</v>
      </c>
      <c r="AG48" s="45">
        <f>'Poultry Fat'!AG12</f>
        <v>1930.034833864715</v>
      </c>
      <c r="AH48" s="45">
        <f>'Poultry Fat'!AH12</f>
        <v>2006.8763452870844</v>
      </c>
      <c r="AI48" s="45">
        <f>'Poultry Fat'!AI12</f>
        <v>2042.9805241603221</v>
      </c>
      <c r="AJ48" s="45">
        <f>'Poultry Fat'!AJ12</f>
        <v>2139.1608422119489</v>
      </c>
      <c r="AK48" s="45">
        <f>'Poultry Fat'!AK12</f>
        <v>2219.4028007299885</v>
      </c>
      <c r="AL48" s="45">
        <f>'Poultry Fat'!AL12</f>
        <v>2211.9395406441063</v>
      </c>
      <c r="AM48" s="45">
        <f>'Poultry Fat'!AM12</f>
        <v>2243.4171844676989</v>
      </c>
      <c r="AN48" s="45">
        <f>'Poultry Fat'!AN12</f>
        <v>2310.7100931268387</v>
      </c>
      <c r="AO48" s="45">
        <f>'Poultry Fat'!AO12</f>
        <v>2356.6969629858772</v>
      </c>
      <c r="AP48" s="45">
        <f>'Poultry Fat'!AP12</f>
        <v>2397.7546401283385</v>
      </c>
      <c r="AQ48" s="45">
        <f>'Poultry Fat'!AQ12</f>
        <v>2474.0083928244303</v>
      </c>
      <c r="AR48" s="45">
        <f>'Poultry Fat'!AR12</f>
        <v>2494.3389775699734</v>
      </c>
      <c r="AS48" s="45">
        <f>'Poultry Fat'!AS12</f>
        <v>2561.7056215296443</v>
      </c>
      <c r="AT48" s="45">
        <f>'Poultry Fat'!AT12</f>
        <v>2650.2383836529125</v>
      </c>
      <c r="AU48" s="45">
        <f>'Poultry Fat'!AU12</f>
        <v>2670.5346154806216</v>
      </c>
      <c r="AV48" s="45">
        <f>'Poultry Fat'!AV12</f>
        <v>2731.4376898169826</v>
      </c>
      <c r="AW48" s="45">
        <f>'Poultry Fat'!AW12</f>
        <v>2801.0952627482629</v>
      </c>
      <c r="AX48" s="45">
        <f>'Poultry Fat'!AX12</f>
        <v>2855.1273723156946</v>
      </c>
      <c r="AY48" s="45">
        <f>'Poultry Fat'!AY12</f>
        <v>2891.754514245702</v>
      </c>
      <c r="AZ48" s="45">
        <f>'Poultry Fat'!AZ12</f>
        <v>2948.107627733204</v>
      </c>
      <c r="BA48" s="45">
        <f>'Poultry Fat'!BA12</f>
        <v>2998.7076003676648</v>
      </c>
      <c r="BB48" s="45">
        <f>'Poultry Fat'!BB12</f>
        <v>3059.2650646083644</v>
      </c>
      <c r="BC48" s="45">
        <f>'Poultry Fat'!BC12</f>
        <v>3112.4740107846783</v>
      </c>
      <c r="BD48" s="45">
        <f>'Poultry Fat'!BD12</f>
        <v>3163.8962789983193</v>
      </c>
      <c r="BE48" s="45">
        <f>'Poultry Fat'!BE12</f>
        <v>3222.029849674569</v>
      </c>
      <c r="BF48" s="45">
        <f>'Poultry Fat'!BF12</f>
        <v>3269.2890319292796</v>
      </c>
      <c r="BG48" s="45">
        <f>'Poultry Fat'!BG12</f>
        <v>3325.0866934756041</v>
      </c>
    </row>
    <row r="49" spans="1:59" x14ac:dyDescent="0.2">
      <c r="A49" s="40"/>
      <c r="B49" s="40" t="s">
        <v>149</v>
      </c>
      <c r="C49" s="45">
        <f>DCO!C12</f>
        <v>0</v>
      </c>
      <c r="D49" s="45">
        <f>DCO!D12</f>
        <v>0</v>
      </c>
      <c r="E49" s="45">
        <f>DCO!E12</f>
        <v>0</v>
      </c>
      <c r="F49" s="45">
        <f>DCO!F12</f>
        <v>0</v>
      </c>
      <c r="G49" s="45">
        <f>DCO!G12</f>
        <v>0</v>
      </c>
      <c r="H49" s="45">
        <f>DCO!H12</f>
        <v>0</v>
      </c>
      <c r="I49" s="45">
        <f>DCO!I12</f>
        <v>0</v>
      </c>
      <c r="J49" s="45">
        <f>DCO!J12</f>
        <v>0</v>
      </c>
      <c r="K49" s="45">
        <f>DCO!K12</f>
        <v>0</v>
      </c>
      <c r="L49" s="45">
        <f>DCO!L12</f>
        <v>0</v>
      </c>
      <c r="M49" s="45">
        <f>DCO!M12</f>
        <v>0</v>
      </c>
      <c r="N49" s="45">
        <f>DCO!N12</f>
        <v>0</v>
      </c>
      <c r="O49" s="45">
        <f>DCO!O12</f>
        <v>0</v>
      </c>
      <c r="P49" s="45">
        <f>DCO!P12</f>
        <v>0</v>
      </c>
      <c r="Q49" s="45">
        <f>DCO!Q12</f>
        <v>0</v>
      </c>
      <c r="R49" s="45">
        <f>DCO!R12</f>
        <v>0</v>
      </c>
      <c r="S49" s="45">
        <f>DCO!S12</f>
        <v>0</v>
      </c>
      <c r="T49" s="45">
        <f>DCO!T12</f>
        <v>0</v>
      </c>
      <c r="U49" s="45">
        <f>DCO!U12</f>
        <v>0</v>
      </c>
      <c r="V49" s="45">
        <f>DCO!V12</f>
        <v>0</v>
      </c>
      <c r="W49" s="45">
        <f>DCO!W12</f>
        <v>0</v>
      </c>
      <c r="X49" s="45">
        <f>DCO!X12</f>
        <v>0</v>
      </c>
      <c r="Y49" s="45">
        <f>DCO!Y12</f>
        <v>0</v>
      </c>
      <c r="Z49" s="45">
        <f>DCO!Z12</f>
        <v>0.97812172671571695</v>
      </c>
      <c r="AA49" s="45">
        <f>DCO!AA12</f>
        <v>4.2087967421127264</v>
      </c>
      <c r="AB49" s="45">
        <f>DCO!AB12</f>
        <v>740.72702846757011</v>
      </c>
      <c r="AC49" s="45">
        <f>DCO!AC12</f>
        <v>711.4666527914419</v>
      </c>
      <c r="AD49" s="45">
        <f>DCO!AD12</f>
        <v>1052.6774536889052</v>
      </c>
      <c r="AE49" s="45">
        <f>DCO!AE12</f>
        <v>262.98578576712907</v>
      </c>
      <c r="AF49" s="45">
        <f>DCO!AF12</f>
        <v>-43.122432038953775</v>
      </c>
      <c r="AG49" s="45">
        <f>DCO!AG12</f>
        <v>28.154216346388239</v>
      </c>
      <c r="AH49" s="45">
        <f>DCO!AH12</f>
        <v>180.51907556187416</v>
      </c>
      <c r="AI49" s="45">
        <f>DCO!AI12</f>
        <v>320.90940663182209</v>
      </c>
      <c r="AJ49" s="45">
        <f>DCO!AJ12</f>
        <v>342.25063198180214</v>
      </c>
      <c r="AK49" s="45">
        <f>DCO!AK12</f>
        <v>550.34586089784625</v>
      </c>
      <c r="AL49" s="45">
        <f>DCO!AL12</f>
        <v>442.29552972297461</v>
      </c>
      <c r="AM49" s="45">
        <f>DCO!AM12</f>
        <v>759.81952158180229</v>
      </c>
      <c r="AN49" s="45">
        <f>DCO!AN12</f>
        <v>912.84689283357602</v>
      </c>
      <c r="AO49" s="45">
        <f>DCO!AO12</f>
        <v>686.09725562684707</v>
      </c>
      <c r="AP49" s="45">
        <f>DCO!AP12</f>
        <v>1062.5608150880998</v>
      </c>
      <c r="AQ49" s="45">
        <f>DCO!AQ12</f>
        <v>1160.1663331878517</v>
      </c>
      <c r="AR49" s="45">
        <f>DCO!AR12</f>
        <v>1124.7342991710366</v>
      </c>
      <c r="AS49" s="45">
        <f>DCO!AS12</f>
        <v>1206.84897997396</v>
      </c>
      <c r="AT49" s="45">
        <f>DCO!AT12</f>
        <v>1057.8649932206163</v>
      </c>
      <c r="AU49" s="45">
        <f>DCO!AU12</f>
        <v>1045.7468417978243</v>
      </c>
      <c r="AV49" s="45">
        <f>DCO!AV12</f>
        <v>1571.3102022070689</v>
      </c>
      <c r="AW49" s="45">
        <f>DCO!AW12</f>
        <v>3781.4609441420394</v>
      </c>
      <c r="AX49" s="45">
        <f>DCO!AX12</f>
        <v>3779.5268876850109</v>
      </c>
      <c r="AY49" s="45">
        <f>DCO!AY12</f>
        <v>2998.4369091993963</v>
      </c>
      <c r="AZ49" s="45">
        <f>DCO!AZ12</f>
        <v>3285.1704304108061</v>
      </c>
      <c r="BA49" s="45">
        <f>DCO!BA12</f>
        <v>3820.7338640106063</v>
      </c>
      <c r="BB49" s="45">
        <f>DCO!BB12</f>
        <v>3792.2100936074676</v>
      </c>
      <c r="BC49" s="45">
        <f>DCO!BC12</f>
        <v>4036.9947175612938</v>
      </c>
      <c r="BD49" s="45">
        <f>DCO!BD12</f>
        <v>4173.3708465343207</v>
      </c>
      <c r="BE49" s="45">
        <f>DCO!BE12</f>
        <v>4347.495924225007</v>
      </c>
      <c r="BF49" s="45">
        <f>DCO!BF12</f>
        <v>4455.5026705557975</v>
      </c>
      <c r="BG49" s="45">
        <f>DCO!BG12</f>
        <v>4338.6092985536789</v>
      </c>
    </row>
    <row r="50" spans="1:59" x14ac:dyDescent="0.2">
      <c r="A50" s="40"/>
      <c r="B50" s="57" t="s">
        <v>79</v>
      </c>
      <c r="C50" s="45">
        <f>SUM(C51:C56)</f>
        <v>2302.2183477556</v>
      </c>
      <c r="D50" s="45">
        <f t="shared" ref="D50:BG50" si="14">SUM(D51:D56)</f>
        <v>2853.4388546400005</v>
      </c>
      <c r="E50" s="45">
        <f t="shared" si="14"/>
        <v>2192.9435946080007</v>
      </c>
      <c r="F50" s="45">
        <f t="shared" si="14"/>
        <v>1906.7240579852</v>
      </c>
      <c r="G50" s="45">
        <f t="shared" si="14"/>
        <v>2572.7774305428002</v>
      </c>
      <c r="H50" s="45">
        <f t="shared" si="14"/>
        <v>2266.0740941124</v>
      </c>
      <c r="I50" s="45">
        <f t="shared" si="14"/>
        <v>2019.7875756064002</v>
      </c>
      <c r="J50" s="45">
        <f t="shared" si="14"/>
        <v>1624.9187583283999</v>
      </c>
      <c r="K50" s="45">
        <f t="shared" si="14"/>
        <v>2138.6565325484003</v>
      </c>
      <c r="L50" s="45">
        <f t="shared" si="14"/>
        <v>1886.1298703213999</v>
      </c>
      <c r="M50" s="45">
        <f t="shared" si="14"/>
        <v>2039.118533219</v>
      </c>
      <c r="N50" s="45">
        <f t="shared" si="14"/>
        <v>1823.2842537652002</v>
      </c>
      <c r="O50" s="45">
        <f t="shared" si="14"/>
        <v>2064.9955175518003</v>
      </c>
      <c r="P50" s="45">
        <f t="shared" si="14"/>
        <v>2387.6866601284</v>
      </c>
      <c r="Q50" s="45">
        <f t="shared" si="14"/>
        <v>2223.0399679704001</v>
      </c>
      <c r="R50" s="45">
        <f t="shared" si="14"/>
        <v>2232.5625448480005</v>
      </c>
      <c r="S50" s="45">
        <f t="shared" si="14"/>
        <v>2622.9279302716</v>
      </c>
      <c r="T50" s="45">
        <f t="shared" si="14"/>
        <v>2297.1729921956003</v>
      </c>
      <c r="U50" s="45">
        <f t="shared" si="14"/>
        <v>1943.2959600243998</v>
      </c>
      <c r="V50" s="45">
        <f t="shared" si="14"/>
        <v>1542.2074315853997</v>
      </c>
      <c r="W50" s="45">
        <f t="shared" si="14"/>
        <v>1438.9751997214</v>
      </c>
      <c r="X50" s="45">
        <f t="shared" si="14"/>
        <v>1383.8516383689998</v>
      </c>
      <c r="Y50" s="45">
        <f t="shared" si="14"/>
        <v>1603.7386027292</v>
      </c>
      <c r="Z50" s="45">
        <f t="shared" si="14"/>
        <v>1556.7922032705999</v>
      </c>
      <c r="AA50" s="45">
        <f t="shared" si="14"/>
        <v>1309.2095603505602</v>
      </c>
      <c r="AB50" s="45">
        <f t="shared" si="14"/>
        <v>1482.3800232819199</v>
      </c>
      <c r="AC50" s="45">
        <f t="shared" si="14"/>
        <v>1788.3737528020602</v>
      </c>
      <c r="AD50" s="45">
        <f t="shared" si="14"/>
        <v>1007.26440378454</v>
      </c>
      <c r="AE50" s="45">
        <f t="shared" si="14"/>
        <v>1631.2322050000002</v>
      </c>
      <c r="AF50" s="45">
        <f t="shared" si="14"/>
        <v>765.90224285847989</v>
      </c>
      <c r="AG50" s="60">
        <f t="shared" si="14"/>
        <v>700.87938667530375</v>
      </c>
      <c r="AH50" s="60">
        <f t="shared" si="14"/>
        <v>439.32448248962783</v>
      </c>
      <c r="AI50" s="60">
        <f t="shared" si="14"/>
        <v>408.90312087649193</v>
      </c>
      <c r="AJ50" s="60">
        <f t="shared" si="14"/>
        <v>362.34807805381308</v>
      </c>
      <c r="AK50" s="60">
        <f t="shared" si="14"/>
        <v>353.89424416649183</v>
      </c>
      <c r="AL50" s="60">
        <f t="shared" si="14"/>
        <v>297.338294921483</v>
      </c>
      <c r="AM50" s="60">
        <f t="shared" si="14"/>
        <v>283.64117542645573</v>
      </c>
      <c r="AN50" s="60">
        <f t="shared" si="14"/>
        <v>259.26448007362382</v>
      </c>
      <c r="AO50" s="60">
        <f t="shared" si="14"/>
        <v>259.69130446095244</v>
      </c>
      <c r="AP50" s="60">
        <f t="shared" si="14"/>
        <v>258.56196013844692</v>
      </c>
      <c r="AQ50" s="60">
        <f t="shared" si="14"/>
        <v>253.71072458408946</v>
      </c>
      <c r="AR50" s="60">
        <f t="shared" si="14"/>
        <v>234.64478018554411</v>
      </c>
      <c r="AS50" s="60">
        <f t="shared" si="14"/>
        <v>235.73330530690816</v>
      </c>
      <c r="AT50" s="60">
        <f t="shared" si="14"/>
        <v>234.68389929315498</v>
      </c>
      <c r="AU50" s="60">
        <f t="shared" si="14"/>
        <v>234.96931927381374</v>
      </c>
      <c r="AV50" s="60">
        <f t="shared" si="14"/>
        <v>234.95783395380289</v>
      </c>
      <c r="AW50" s="60">
        <f t="shared" si="14"/>
        <v>235.23409289138104</v>
      </c>
      <c r="AX50" s="60">
        <f t="shared" si="14"/>
        <v>234.99782760264478</v>
      </c>
      <c r="AY50" s="60">
        <f t="shared" si="14"/>
        <v>235.11569014381217</v>
      </c>
      <c r="AZ50" s="60">
        <f t="shared" si="14"/>
        <v>234.96859460295948</v>
      </c>
      <c r="BA50" s="60">
        <f t="shared" si="14"/>
        <v>235.26816273556122</v>
      </c>
      <c r="BB50" s="60">
        <f t="shared" si="14"/>
        <v>236.26801780139039</v>
      </c>
      <c r="BC50" s="60">
        <f t="shared" si="14"/>
        <v>237.287441565248</v>
      </c>
      <c r="BD50" s="60">
        <f t="shared" si="14"/>
        <v>238.25158455475577</v>
      </c>
      <c r="BE50" s="60">
        <f t="shared" si="14"/>
        <v>239.26686535478234</v>
      </c>
      <c r="BF50" s="60">
        <f t="shared" si="14"/>
        <v>240.25140224447702</v>
      </c>
      <c r="BG50" s="60">
        <f t="shared" si="14"/>
        <v>241.26841440234753</v>
      </c>
    </row>
    <row r="51" spans="1:59" x14ac:dyDescent="0.2">
      <c r="A51" s="40"/>
      <c r="B51" s="61" t="s">
        <v>132</v>
      </c>
      <c r="C51" s="62">
        <f>'Inedible Tallow'!C13</f>
        <v>2161.9958540921998</v>
      </c>
      <c r="D51" s="62">
        <f>'Inedible Tallow'!D13</f>
        <v>2658.1471375032002</v>
      </c>
      <c r="E51" s="62">
        <f>'Inedible Tallow'!E13</f>
        <v>1992.8629862694004</v>
      </c>
      <c r="F51" s="62">
        <f>'Inedible Tallow'!F13</f>
        <v>1684.510884693</v>
      </c>
      <c r="G51" s="62">
        <f>'Inedible Tallow'!G13</f>
        <v>2266.5094873974003</v>
      </c>
      <c r="H51" s="62">
        <f>'Inedible Tallow'!H13</f>
        <v>1930.8044202048002</v>
      </c>
      <c r="I51" s="62">
        <f>'Inedible Tallow'!I13</f>
        <v>1740.3264021780001</v>
      </c>
      <c r="J51" s="62">
        <f>'Inedible Tallow'!J13</f>
        <v>1334.5743211038</v>
      </c>
      <c r="K51" s="62">
        <f>'Inedible Tallow'!K13</f>
        <v>1746.8992622087999</v>
      </c>
      <c r="L51" s="62">
        <f>'Inedible Tallow'!L13</f>
        <v>1555.2071588466001</v>
      </c>
      <c r="M51" s="62">
        <f>'Inedible Tallow'!M13</f>
        <v>1613.1355860564001</v>
      </c>
      <c r="N51" s="62">
        <f>'Inedible Tallow'!N13</f>
        <v>1421.0550282978002</v>
      </c>
      <c r="O51" s="62">
        <f>'Inedible Tallow'!O13</f>
        <v>1612.0930203125999</v>
      </c>
      <c r="P51" s="62">
        <f>'Inedible Tallow'!P13</f>
        <v>1804.4037406079997</v>
      </c>
      <c r="Q51" s="62">
        <f>'Inedible Tallow'!Q13</f>
        <v>1599.6124347083999</v>
      </c>
      <c r="R51" s="62">
        <f>'Inedible Tallow'!R13</f>
        <v>1601.568595809</v>
      </c>
      <c r="S51" s="62">
        <f>'Inedible Tallow'!S13</f>
        <v>1723.9711934087998</v>
      </c>
      <c r="T51" s="62">
        <f>'Inedible Tallow'!T13</f>
        <v>1319.1468172722</v>
      </c>
      <c r="U51" s="62">
        <f>'Inedible Tallow'!U13</f>
        <v>1239.2994039999999</v>
      </c>
      <c r="V51" s="62">
        <f>'Inedible Tallow'!V13</f>
        <v>999.60484799999983</v>
      </c>
      <c r="W51" s="62">
        <f>'Inedible Tallow'!W13</f>
        <v>977.55977300000006</v>
      </c>
      <c r="X51" s="62">
        <f>'Inedible Tallow'!X13</f>
        <v>899.22096999999985</v>
      </c>
      <c r="Y51" s="62">
        <f>'Inedible Tallow'!Y13</f>
        <v>889.41343799999993</v>
      </c>
      <c r="Z51" s="62">
        <f>'Inedible Tallow'!Z13</f>
        <v>886.86856799999998</v>
      </c>
      <c r="AA51" s="62">
        <f>'Inedible Tallow'!AA13</f>
        <v>737.74946932019998</v>
      </c>
      <c r="AB51" s="62">
        <f>'Inedible Tallow'!AB13</f>
        <v>663.5878223372199</v>
      </c>
      <c r="AC51" s="62">
        <f>'Inedible Tallow'!AC13</f>
        <v>660.69315186798008</v>
      </c>
      <c r="AD51" s="62">
        <f>'Inedible Tallow'!AD13</f>
        <v>485.29351869108007</v>
      </c>
      <c r="AE51" s="62">
        <f>'Inedible Tallow'!AE13</f>
        <v>611.31791999999996</v>
      </c>
      <c r="AF51" s="62">
        <f>'Inedible Tallow'!AF13</f>
        <v>241.76857800000002</v>
      </c>
      <c r="AG51" s="62">
        <f>'Inedible Tallow'!AG13</f>
        <v>269.75717563066002</v>
      </c>
      <c r="AH51" s="62">
        <f>'Inedible Tallow'!AH13</f>
        <v>159.57128730633366</v>
      </c>
      <c r="AI51" s="62">
        <f>'Inedible Tallow'!AI13</f>
        <v>150.08344322922756</v>
      </c>
      <c r="AJ51" s="62">
        <f>'Inedible Tallow'!AJ13</f>
        <v>149.0386336089644</v>
      </c>
      <c r="AK51" s="62">
        <f>'Inedible Tallow'!AK13</f>
        <v>144.89083564255981</v>
      </c>
      <c r="AL51" s="62">
        <f>'Inedible Tallow'!AL13</f>
        <v>117.79535775779664</v>
      </c>
      <c r="AM51" s="62">
        <f>'Inedible Tallow'!AM13</f>
        <v>121.54461879772914</v>
      </c>
      <c r="AN51" s="62">
        <f>'Inedible Tallow'!AN13</f>
        <v>100.54442409467282</v>
      </c>
      <c r="AO51" s="62">
        <f>'Inedible Tallow'!AO13</f>
        <v>99.767372818349131</v>
      </c>
      <c r="AP51" s="62">
        <f>'Inedible Tallow'!AP13</f>
        <v>99.805431765648223</v>
      </c>
      <c r="AQ51" s="62">
        <f>'Inedible Tallow'!AQ13</f>
        <v>92.466197033336229</v>
      </c>
      <c r="AR51" s="62">
        <f>'Inedible Tallow'!AR13</f>
        <v>74.55622313742407</v>
      </c>
      <c r="AS51" s="62">
        <f>'Inedible Tallow'!AS13</f>
        <v>75.58498527214158</v>
      </c>
      <c r="AT51" s="62">
        <f>'Inedible Tallow'!AT13</f>
        <v>74.937179174509708</v>
      </c>
      <c r="AU51" s="62">
        <f>'Inedible Tallow'!AU13</f>
        <v>74.936946344005335</v>
      </c>
      <c r="AV51" s="62">
        <f>'Inedible Tallow'!AV13</f>
        <v>74.960903328786117</v>
      </c>
      <c r="AW51" s="62">
        <f>'Inedible Tallow'!AW13</f>
        <v>74.981993354962341</v>
      </c>
      <c r="AX51" s="62">
        <f>'Inedible Tallow'!AX13</f>
        <v>74.995247451373373</v>
      </c>
      <c r="AY51" s="62">
        <f>'Inedible Tallow'!AY13</f>
        <v>75.080401494881016</v>
      </c>
      <c r="AZ51" s="62">
        <f>'Inedible Tallow'!AZ13</f>
        <v>74.962453930727378</v>
      </c>
      <c r="BA51" s="62">
        <f>'Inedible Tallow'!BA13</f>
        <v>74.991098394801654</v>
      </c>
      <c r="BB51" s="62">
        <f>'Inedible Tallow'!BB13</f>
        <v>74.996199912146039</v>
      </c>
      <c r="BC51" s="62">
        <f>'Inedible Tallow'!BC13</f>
        <v>75.002238925349147</v>
      </c>
      <c r="BD51" s="62">
        <f>'Inedible Tallow'!BD13</f>
        <v>75.005080236785886</v>
      </c>
      <c r="BE51" s="62">
        <f>'Inedible Tallow'!BE13</f>
        <v>75.006478531581038</v>
      </c>
      <c r="BF51" s="62">
        <f>'Inedible Tallow'!BF13</f>
        <v>74.991414279962015</v>
      </c>
      <c r="BG51" s="62">
        <f>'Inedible Tallow'!BG13</f>
        <v>75.000219200132747</v>
      </c>
    </row>
    <row r="52" spans="1:59" x14ac:dyDescent="0.2">
      <c r="A52" s="40"/>
      <c r="B52" s="40" t="s">
        <v>133</v>
      </c>
      <c r="C52" s="45">
        <f>'Yellow Grease'!C13</f>
        <v>66.207886000000002</v>
      </c>
      <c r="D52" s="45">
        <f>'Yellow Grease'!D13</f>
        <v>112.69208499999999</v>
      </c>
      <c r="E52" s="45">
        <f>'Yellow Grease'!E13</f>
        <v>112.98522939999999</v>
      </c>
      <c r="F52" s="45">
        <f>'Yellow Grease'!F13</f>
        <v>109.5532814</v>
      </c>
      <c r="G52" s="45">
        <f>'Yellow Grease'!G13</f>
        <v>196.8698852</v>
      </c>
      <c r="H52" s="45">
        <f>'Yellow Grease'!H13</f>
        <v>211.4846622</v>
      </c>
      <c r="I52" s="45">
        <f>'Yellow Grease'!I13</f>
        <v>194.48207900000003</v>
      </c>
      <c r="J52" s="45">
        <f>'Yellow Grease'!J13</f>
        <v>189.16510419999997</v>
      </c>
      <c r="K52" s="45">
        <f>'Yellow Grease'!K13</f>
        <v>280.3585046</v>
      </c>
      <c r="L52" s="45">
        <f>'Yellow Grease'!L13</f>
        <v>222.05891660000003</v>
      </c>
      <c r="M52" s="45">
        <f>'Yellow Grease'!M13</f>
        <v>349.23291919999997</v>
      </c>
      <c r="N52" s="45">
        <f>'Yellow Grease'!N13</f>
        <v>298.91505940000002</v>
      </c>
      <c r="O52" s="45">
        <f>'Yellow Grease'!O13</f>
        <v>316.66451480000001</v>
      </c>
      <c r="P52" s="45">
        <f>'Yellow Grease'!P13</f>
        <v>296.36762880000003</v>
      </c>
      <c r="Q52" s="45">
        <f>'Yellow Grease'!Q13</f>
        <v>353.4907546</v>
      </c>
      <c r="R52" s="45">
        <f>'Yellow Grease'!R13</f>
        <v>468.85308319999996</v>
      </c>
      <c r="S52" s="45">
        <f>'Yellow Grease'!S13</f>
        <v>455.70525439999994</v>
      </c>
      <c r="T52" s="45">
        <f>'Yellow Grease'!T13</f>
        <v>384.66909320000002</v>
      </c>
      <c r="U52" s="45">
        <f>'Yellow Grease'!U13</f>
        <v>167.427414</v>
      </c>
      <c r="V52" s="45">
        <f>'Yellow Grease'!V13</f>
        <v>108.69184700000001</v>
      </c>
      <c r="W52" s="45">
        <f>'Yellow Grease'!W13</f>
        <v>111.59907600000003</v>
      </c>
      <c r="X52" s="45">
        <f>'Yellow Grease'!X13</f>
        <v>64.728045000000009</v>
      </c>
      <c r="Y52" s="45">
        <f>'Yellow Grease'!Y13</f>
        <v>23.748664000000005</v>
      </c>
      <c r="Z52" s="45">
        <f>'Yellow Grease'!Z13</f>
        <v>12.146482000000001</v>
      </c>
      <c r="AA52" s="45">
        <f>'Yellow Grease'!AA13</f>
        <v>14.25778699999999</v>
      </c>
      <c r="AB52" s="45">
        <f>'Yellow Grease'!AB13</f>
        <v>4.4447400000000199</v>
      </c>
      <c r="AC52" s="45">
        <f>'Yellow Grease'!AC13</f>
        <v>4.7700370000000403</v>
      </c>
      <c r="AD52" s="45">
        <f>'Yellow Grease'!AD13</f>
        <v>1.0812320000000009</v>
      </c>
      <c r="AE52" s="45">
        <f>'Yellow Grease'!AE13</f>
        <v>3.1167999999999998E-2</v>
      </c>
      <c r="AF52" s="45">
        <f>'Yellow Grease'!AF13</f>
        <v>3.6099999999999999E-4</v>
      </c>
      <c r="AG52" s="45">
        <f>'Yellow Grease'!AG13</f>
        <v>1.2E-5</v>
      </c>
      <c r="AH52" s="45">
        <f>'Yellow Grease'!AH13</f>
        <v>0</v>
      </c>
      <c r="AI52" s="45">
        <f>'Yellow Grease'!AI13</f>
        <v>0</v>
      </c>
      <c r="AJ52" s="45">
        <f>'Yellow Grease'!AJ13</f>
        <v>0</v>
      </c>
      <c r="AK52" s="45">
        <f>'Yellow Grease'!AK13</f>
        <v>0</v>
      </c>
      <c r="AL52" s="45">
        <f>'Yellow Grease'!AL13</f>
        <v>0</v>
      </c>
      <c r="AM52" s="45">
        <f>'Yellow Grease'!AM13</f>
        <v>0</v>
      </c>
      <c r="AN52" s="45">
        <f>'Yellow Grease'!AN13</f>
        <v>0</v>
      </c>
      <c r="AO52" s="45">
        <f>'Yellow Grease'!AO13</f>
        <v>0</v>
      </c>
      <c r="AP52" s="45">
        <f>'Yellow Grease'!AP13</f>
        <v>0</v>
      </c>
      <c r="AQ52" s="45">
        <f>'Yellow Grease'!AQ13</f>
        <v>0</v>
      </c>
      <c r="AR52" s="45">
        <f>'Yellow Grease'!AR13</f>
        <v>0</v>
      </c>
      <c r="AS52" s="45">
        <f>'Yellow Grease'!AS13</f>
        <v>0</v>
      </c>
      <c r="AT52" s="45">
        <f>'Yellow Grease'!AT13</f>
        <v>0</v>
      </c>
      <c r="AU52" s="45">
        <f>'Yellow Grease'!AU13</f>
        <v>0</v>
      </c>
      <c r="AV52" s="45">
        <f>'Yellow Grease'!AV13</f>
        <v>0</v>
      </c>
      <c r="AW52" s="45">
        <f>'Yellow Grease'!AW13</f>
        <v>0</v>
      </c>
      <c r="AX52" s="45">
        <f>'Yellow Grease'!AX13</f>
        <v>0</v>
      </c>
      <c r="AY52" s="45">
        <f>'Yellow Grease'!AY13</f>
        <v>0</v>
      </c>
      <c r="AZ52" s="45">
        <f>'Yellow Grease'!AZ13</f>
        <v>0</v>
      </c>
      <c r="BA52" s="45">
        <f>'Yellow Grease'!BA13</f>
        <v>0</v>
      </c>
      <c r="BB52" s="45">
        <f>'Yellow Grease'!BB13</f>
        <v>0</v>
      </c>
      <c r="BC52" s="45">
        <f>'Yellow Grease'!BC13</f>
        <v>0</v>
      </c>
      <c r="BD52" s="45">
        <f>'Yellow Grease'!BD13</f>
        <v>0</v>
      </c>
      <c r="BE52" s="45">
        <f>'Yellow Grease'!BE13</f>
        <v>0</v>
      </c>
      <c r="BF52" s="45">
        <f>'Yellow Grease'!BF13</f>
        <v>0</v>
      </c>
      <c r="BG52" s="45">
        <f>'Yellow Grease'!BG13</f>
        <v>0</v>
      </c>
    </row>
    <row r="53" spans="1:59" x14ac:dyDescent="0.2">
      <c r="A53" s="40"/>
      <c r="B53" s="40" t="s">
        <v>134</v>
      </c>
      <c r="C53" s="45">
        <f>UCO!C13</f>
        <v>16.088826000000001</v>
      </c>
      <c r="D53" s="45">
        <f>UCO!D13</f>
        <v>16.671734000000001</v>
      </c>
      <c r="E53" s="45">
        <f>UCO!E13</f>
        <v>22.0230946</v>
      </c>
      <c r="F53" s="45">
        <f>UCO!F13</f>
        <v>36.015987599999995</v>
      </c>
      <c r="G53" s="45">
        <f>UCO!G13</f>
        <v>41.262671800000007</v>
      </c>
      <c r="H53" s="45">
        <f>UCO!H13</f>
        <v>25.556314799999999</v>
      </c>
      <c r="I53" s="45">
        <f>UCO!I13</f>
        <v>21.414992000000002</v>
      </c>
      <c r="J53" s="45">
        <f>UCO!J13</f>
        <v>21.968807800000004</v>
      </c>
      <c r="K53" s="45">
        <f>UCO!K13</f>
        <v>24.510644400000004</v>
      </c>
      <c r="L53" s="45">
        <f>UCO!L13</f>
        <v>17.188116400000002</v>
      </c>
      <c r="M53" s="45">
        <f>UCO!M13</f>
        <v>24.041263800000003</v>
      </c>
      <c r="N53" s="45">
        <f>UCO!N13</f>
        <v>26.688780600000005</v>
      </c>
      <c r="O53" s="45">
        <f>UCO!O13</f>
        <v>71.634621199999998</v>
      </c>
      <c r="P53" s="45">
        <f>UCO!P13</f>
        <v>78.097463200000007</v>
      </c>
      <c r="Q53" s="45">
        <f>UCO!Q13</f>
        <v>128.5742114</v>
      </c>
      <c r="R53" s="45">
        <f>UCO!R13</f>
        <v>70.815501799999993</v>
      </c>
      <c r="S53" s="45">
        <f>UCO!S13</f>
        <v>136.72657159999997</v>
      </c>
      <c r="T53" s="45">
        <f>UCO!T13</f>
        <v>245.89829280000001</v>
      </c>
      <c r="U53" s="45">
        <f>UCO!U13</f>
        <v>38.406605000000006</v>
      </c>
      <c r="V53" s="45">
        <f>UCO!V13</f>
        <v>84.597702999999996</v>
      </c>
      <c r="W53" s="45">
        <f>UCO!W13</f>
        <v>89.996085999999991</v>
      </c>
      <c r="X53" s="45">
        <f>UCO!X13</f>
        <v>73.46495800000001</v>
      </c>
      <c r="Y53" s="45">
        <f>UCO!Y13</f>
        <v>200.070863</v>
      </c>
      <c r="Z53" s="45">
        <f>UCO!Z13</f>
        <v>212.62250899999998</v>
      </c>
      <c r="AA53" s="45">
        <f>UCO!AA13</f>
        <v>344.93598699999995</v>
      </c>
      <c r="AB53" s="45">
        <f>UCO!AB13</f>
        <v>552.78583199999991</v>
      </c>
      <c r="AC53" s="45">
        <f>UCO!AC13</f>
        <v>886.81252800000004</v>
      </c>
      <c r="AD53" s="45">
        <f>UCO!AD13</f>
        <v>284.492571</v>
      </c>
      <c r="AE53" s="45">
        <f>UCO!AE13</f>
        <v>839.49118300000009</v>
      </c>
      <c r="AF53" s="45">
        <f>UCO!AF13</f>
        <v>408.76410499999997</v>
      </c>
      <c r="AG53" s="45">
        <f>UCO!AG13</f>
        <v>344.73782643544376</v>
      </c>
      <c r="AH53" s="45">
        <f>UCO!AH13</f>
        <v>193.93125704272327</v>
      </c>
      <c r="AI53" s="45">
        <f>UCO!AI13</f>
        <v>197.94522066967767</v>
      </c>
      <c r="AJ53" s="45">
        <f>UCO!AJ13</f>
        <v>154.51655816501105</v>
      </c>
      <c r="AK53" s="45">
        <f>UCO!AK13</f>
        <v>148.82551415657031</v>
      </c>
      <c r="AL53" s="45">
        <f>UCO!AL13</f>
        <v>119.53440842534911</v>
      </c>
      <c r="AM53" s="45">
        <f>UCO!AM13</f>
        <v>101.82297032213512</v>
      </c>
      <c r="AN53" s="45">
        <f>UCO!AN13</f>
        <v>98.901905956832209</v>
      </c>
      <c r="AO53" s="45">
        <f>UCO!AO13</f>
        <v>99.778140601920882</v>
      </c>
      <c r="AP53" s="45">
        <f>UCO!AP13</f>
        <v>98.759981583938327</v>
      </c>
      <c r="AQ53" s="45">
        <f>UCO!AQ13</f>
        <v>101.15973745573493</v>
      </c>
      <c r="AR53" s="45">
        <f>UCO!AR13</f>
        <v>100.04003646880196</v>
      </c>
      <c r="AS53" s="45">
        <f>UCO!AS13</f>
        <v>100.0845471841123</v>
      </c>
      <c r="AT53" s="45">
        <f>UCO!AT13</f>
        <v>99.727960413445672</v>
      </c>
      <c r="AU53" s="45">
        <f>UCO!AU13</f>
        <v>99.964488658901686</v>
      </c>
      <c r="AV53" s="45">
        <f>UCO!AV13</f>
        <v>99.954452621206627</v>
      </c>
      <c r="AW53" s="45">
        <f>UCO!AW13</f>
        <v>100.1953540361993</v>
      </c>
      <c r="AX53" s="45">
        <f>UCO!AX13</f>
        <v>99.954297069293631</v>
      </c>
      <c r="AY53" s="45">
        <f>UCO!AY13</f>
        <v>99.985360582773112</v>
      </c>
      <c r="AZ53" s="45">
        <f>UCO!AZ13</f>
        <v>99.959310559809381</v>
      </c>
      <c r="BA53" s="45">
        <f>UCO!BA13</f>
        <v>100.01079059367487</v>
      </c>
      <c r="BB53" s="45">
        <f>UCO!BB13</f>
        <v>100.00975497385646</v>
      </c>
      <c r="BC53" s="45">
        <f>UCO!BC13</f>
        <v>100.02102256835008</v>
      </c>
      <c r="BD53" s="45">
        <f>UCO!BD13</f>
        <v>99.983902755881473</v>
      </c>
      <c r="BE53" s="45">
        <f>UCO!BE13</f>
        <v>99.997247855692763</v>
      </c>
      <c r="BF53" s="45">
        <f>UCO!BF13</f>
        <v>99.996956290314458</v>
      </c>
      <c r="BG53" s="45">
        <f>UCO!BG13</f>
        <v>100.00454374949112</v>
      </c>
    </row>
    <row r="54" spans="1:59" x14ac:dyDescent="0.2">
      <c r="A54" s="40"/>
      <c r="B54" s="40" t="s">
        <v>135</v>
      </c>
      <c r="C54" s="45">
        <f>CWG!C13</f>
        <v>18.353478149999997</v>
      </c>
      <c r="D54" s="45">
        <f>CWG!D13</f>
        <v>10.926327094199998</v>
      </c>
      <c r="E54" s="45">
        <f>CWG!E13</f>
        <v>3.5701648667999999</v>
      </c>
      <c r="F54" s="45">
        <f>CWG!F13</f>
        <v>7.6112369927999994</v>
      </c>
      <c r="G54" s="45">
        <f>CWG!G13</f>
        <v>4.1230840643999995</v>
      </c>
      <c r="H54" s="45">
        <f>CWG!H13</f>
        <v>11.854472956200002</v>
      </c>
      <c r="I54" s="45">
        <f>CWG!I13</f>
        <v>1.1902754177999999</v>
      </c>
      <c r="J54" s="45">
        <f>CWG!J13</f>
        <v>11.0885872734</v>
      </c>
      <c r="K54" s="45">
        <f>CWG!K13</f>
        <v>3.0659678153999996</v>
      </c>
      <c r="L54" s="45">
        <f>CWG!L13</f>
        <v>18.126622546199997</v>
      </c>
      <c r="M54" s="45">
        <f>CWG!M13</f>
        <v>10.882234654199999</v>
      </c>
      <c r="N54" s="45">
        <f>CWG!N13</f>
        <v>8.8819811135999984</v>
      </c>
      <c r="O54" s="45">
        <f>CWG!O13</f>
        <v>4.1524055369999999</v>
      </c>
      <c r="P54" s="45">
        <f>CWG!P13</f>
        <v>1.2954358871999998</v>
      </c>
      <c r="Q54" s="45">
        <f>CWG!Q13</f>
        <v>2.5661800079999995</v>
      </c>
      <c r="R54" s="45">
        <f>CWG!R13</f>
        <v>3.8638205172000002</v>
      </c>
      <c r="S54" s="45">
        <f>CWG!S13</f>
        <v>8.128882238400001</v>
      </c>
      <c r="T54" s="45">
        <f>CWG!T13</f>
        <v>5.5514586581999996</v>
      </c>
      <c r="U54" s="45">
        <f>CWG!U13</f>
        <v>3.1142260000000004</v>
      </c>
      <c r="V54" s="45">
        <f>CWG!V13</f>
        <v>1.1465609999999999</v>
      </c>
      <c r="W54" s="45">
        <f>CWG!W13</f>
        <v>1.408363</v>
      </c>
      <c r="X54" s="45">
        <f>CWG!X13</f>
        <v>0.44539099999999998</v>
      </c>
      <c r="Y54" s="45">
        <f>CWG!Y13</f>
        <v>0.862178</v>
      </c>
      <c r="Z54" s="45">
        <f>CWG!Z13</f>
        <v>1.755997</v>
      </c>
      <c r="AA54" s="45">
        <f>CWG!AA13</f>
        <v>0.96384800000000004</v>
      </c>
      <c r="AB54" s="45">
        <f>CWG!AB13</f>
        <v>1.456728</v>
      </c>
      <c r="AC54" s="45">
        <f>CWG!AC13</f>
        <v>13.106241028760001</v>
      </c>
      <c r="AD54" s="45">
        <f>CWG!AD13</f>
        <v>0.29813916746000002</v>
      </c>
      <c r="AE54" s="45">
        <f>CWG!AE13</f>
        <v>0.54172500000000001</v>
      </c>
      <c r="AF54" s="45">
        <f>CWG!AF13</f>
        <v>0.235516</v>
      </c>
      <c r="AG54" s="45">
        <f>CWG!AG13</f>
        <v>0.54090129768000006</v>
      </c>
      <c r="AH54" s="45">
        <f>CWG!AH13</f>
        <v>0.44686888716208151</v>
      </c>
      <c r="AI54" s="45">
        <f>CWG!AI13</f>
        <v>7.0251025055532976E-2</v>
      </c>
      <c r="AJ54" s="45">
        <f>CWG!AJ13</f>
        <v>3.3680847754717615E-2</v>
      </c>
      <c r="AK54" s="45">
        <f>CWG!AK13</f>
        <v>5.0071377760083691E-2</v>
      </c>
      <c r="AL54" s="45">
        <f>CWG!AL13</f>
        <v>4.385400341783971E-2</v>
      </c>
      <c r="AM54" s="45">
        <f>CWG!AM13</f>
        <v>5.3608502990061938E-2</v>
      </c>
      <c r="AN54" s="45">
        <f>CWG!AN13</f>
        <v>5.374292350662245E-2</v>
      </c>
      <c r="AO54" s="45">
        <f>CWG!AO13</f>
        <v>5.029315139564719E-2</v>
      </c>
      <c r="AP54" s="45">
        <f>CWG!AP13</f>
        <v>4.6991531085865082E-2</v>
      </c>
      <c r="AQ54" s="45">
        <f>CWG!AQ13</f>
        <v>5.031399181405101E-2</v>
      </c>
      <c r="AR54" s="45">
        <f>CWG!AR13</f>
        <v>4.9698022479207266E-2</v>
      </c>
      <c r="AS54" s="45">
        <f>CWG!AS13</f>
        <v>5.0990020158449535E-2</v>
      </c>
      <c r="AT54" s="45">
        <f>CWG!AT13</f>
        <v>5.0207924056278601E-2</v>
      </c>
      <c r="AU54" s="45">
        <f>CWG!AU13</f>
        <v>4.9657343386644008E-2</v>
      </c>
      <c r="AV54" s="45">
        <f>CWG!AV13</f>
        <v>4.9640297918770296E-2</v>
      </c>
      <c r="AW54" s="45">
        <f>CWG!AW13</f>
        <v>5.0173460378926074E-2</v>
      </c>
      <c r="AX54" s="45">
        <f>CWG!AX13</f>
        <v>5.0038721599869954E-2</v>
      </c>
      <c r="AY54" s="45">
        <f>CWG!AY13</f>
        <v>5.0133809179813707E-2</v>
      </c>
      <c r="AZ54" s="45">
        <f>CWG!AZ13</f>
        <v>4.9943549468097793E-2</v>
      </c>
      <c r="BA54" s="45">
        <f>CWG!BA13</f>
        <v>4.9928726492804817E-2</v>
      </c>
      <c r="BB54" s="45">
        <f>CWG!BB13</f>
        <v>4.9985967709095566E-2</v>
      </c>
      <c r="BC54" s="45">
        <f>CWG!BC13</f>
        <v>5.0043653423902455E-2</v>
      </c>
      <c r="BD54" s="45">
        <f>CWG!BD13</f>
        <v>5.0006154889936358E-2</v>
      </c>
      <c r="BE54" s="45">
        <f>CWG!BE13</f>
        <v>5.0007141254742857E-2</v>
      </c>
      <c r="BF54" s="45">
        <f>CWG!BF13</f>
        <v>4.9981610396767399E-2</v>
      </c>
      <c r="BG54" s="45">
        <f>CWG!BG13</f>
        <v>4.9994328754096408E-2</v>
      </c>
    </row>
    <row r="55" spans="1:59" x14ac:dyDescent="0.2">
      <c r="A55" s="40"/>
      <c r="B55" s="40" t="s">
        <v>136</v>
      </c>
      <c r="C55" s="45">
        <f>'Poultry Fat'!C13</f>
        <v>39.572303513400001</v>
      </c>
      <c r="D55" s="45">
        <f>'Poultry Fat'!D13</f>
        <v>55.001571042599998</v>
      </c>
      <c r="E55" s="45">
        <f>'Poultry Fat'!E13</f>
        <v>61.502119471800007</v>
      </c>
      <c r="F55" s="45">
        <f>'Poultry Fat'!F13</f>
        <v>69.032667299400003</v>
      </c>
      <c r="G55" s="45">
        <f>'Poultry Fat'!G13</f>
        <v>64.012302081000001</v>
      </c>
      <c r="H55" s="45">
        <f>'Poultry Fat'!H13</f>
        <v>86.374223951400012</v>
      </c>
      <c r="I55" s="45">
        <f>'Poultry Fat'!I13</f>
        <v>62.37382701060001</v>
      </c>
      <c r="J55" s="45">
        <f>'Poultry Fat'!J13</f>
        <v>68.121937951199996</v>
      </c>
      <c r="K55" s="45">
        <f>'Poultry Fat'!K13</f>
        <v>83.822153524200004</v>
      </c>
      <c r="L55" s="45">
        <f>'Poultry Fat'!L13</f>
        <v>73.549055928599998</v>
      </c>
      <c r="M55" s="45">
        <f>'Poultry Fat'!M13</f>
        <v>41.8265295084</v>
      </c>
      <c r="N55" s="45">
        <f>'Poultry Fat'!N13</f>
        <v>67.743404353800003</v>
      </c>
      <c r="O55" s="45">
        <f>'Poultry Fat'!O13</f>
        <v>60.450955702200005</v>
      </c>
      <c r="P55" s="45">
        <f>'Poultry Fat'!P13</f>
        <v>207.52239163320002</v>
      </c>
      <c r="Q55" s="45">
        <f>'Poultry Fat'!Q13</f>
        <v>138.796387254</v>
      </c>
      <c r="R55" s="45">
        <f>'Poultry Fat'!R13</f>
        <v>87.461543521799996</v>
      </c>
      <c r="S55" s="45">
        <f>'Poultry Fat'!S13</f>
        <v>100.934209026</v>
      </c>
      <c r="T55" s="45">
        <f>'Poultry Fat'!T13</f>
        <v>134.07430739219998</v>
      </c>
      <c r="U55" s="45">
        <f>'Poultry Fat'!U13</f>
        <v>62.655798164400004</v>
      </c>
      <c r="V55" s="45">
        <f>'Poultry Fat'!V13</f>
        <v>45.963282229199997</v>
      </c>
      <c r="W55" s="45">
        <f>'Poultry Fat'!W13</f>
        <v>48.829952215800013</v>
      </c>
      <c r="X55" s="45">
        <f>'Poultry Fat'!X13</f>
        <v>43.221614310000007</v>
      </c>
      <c r="Y55" s="45">
        <f>'Poultry Fat'!Y13</f>
        <v>53.791674489000002</v>
      </c>
      <c r="Z55" s="45">
        <f>'Poultry Fat'!Z13</f>
        <v>70.774539141600016</v>
      </c>
      <c r="AA55" s="45">
        <f>'Poultry Fat'!AA13</f>
        <v>39.513540281559997</v>
      </c>
      <c r="AB55" s="45">
        <f>'Poultry Fat'!AB13</f>
        <v>28.367571774380004</v>
      </c>
      <c r="AC55" s="45">
        <f>'Poultry Fat'!AC13</f>
        <v>41.889620926879992</v>
      </c>
      <c r="AD55" s="45">
        <f>'Poultry Fat'!AD13</f>
        <v>37.583168925400003</v>
      </c>
      <c r="AE55" s="45">
        <f>'Poultry Fat'!AE13</f>
        <v>37.577144000000004</v>
      </c>
      <c r="AF55" s="45">
        <f>'Poultry Fat'!AF13</f>
        <v>42.354931858480008</v>
      </c>
      <c r="AG55" s="45">
        <f>'Poultry Fat'!AG13</f>
        <v>52.504623649500004</v>
      </c>
      <c r="AH55" s="45">
        <f>'Poultry Fat'!AH13</f>
        <v>48.564523850228248</v>
      </c>
      <c r="AI55" s="45">
        <f>'Poultry Fat'!AI13</f>
        <v>50.494120256173389</v>
      </c>
      <c r="AJ55" s="45">
        <f>'Poultry Fat'!AJ13</f>
        <v>49.670893662138134</v>
      </c>
      <c r="AK55" s="45">
        <f>'Poultry Fat'!AK13</f>
        <v>50.127822989601619</v>
      </c>
      <c r="AL55" s="45">
        <f>'Poultry Fat'!AL13</f>
        <v>49.964674734919392</v>
      </c>
      <c r="AM55" s="45">
        <f>'Poultry Fat'!AM13</f>
        <v>50.219977803601424</v>
      </c>
      <c r="AN55" s="45">
        <f>'Poultry Fat'!AN13</f>
        <v>49.764407098612168</v>
      </c>
      <c r="AO55" s="45">
        <f>'Poultry Fat'!AO13</f>
        <v>50.095497889286783</v>
      </c>
      <c r="AP55" s="45">
        <f>'Poultry Fat'!AP13</f>
        <v>49.949555257774541</v>
      </c>
      <c r="AQ55" s="45">
        <f>'Poultry Fat'!AQ13</f>
        <v>50.034476103204277</v>
      </c>
      <c r="AR55" s="45">
        <f>'Poultry Fat'!AR13</f>
        <v>49.99882255683886</v>
      </c>
      <c r="AS55" s="45">
        <f>'Poultry Fat'!AS13</f>
        <v>50.012782830495837</v>
      </c>
      <c r="AT55" s="45">
        <f>'Poultry Fat'!AT13</f>
        <v>49.968551781143319</v>
      </c>
      <c r="AU55" s="45">
        <f>'Poultry Fat'!AU13</f>
        <v>50.018226927520068</v>
      </c>
      <c r="AV55" s="45">
        <f>'Poultry Fat'!AV13</f>
        <v>49.992837705891375</v>
      </c>
      <c r="AW55" s="45">
        <f>'Poultry Fat'!AW13</f>
        <v>50.006572039840478</v>
      </c>
      <c r="AX55" s="45">
        <f>'Poultry Fat'!AX13</f>
        <v>49.998244360377889</v>
      </c>
      <c r="AY55" s="45">
        <f>'Poultry Fat'!AY13</f>
        <v>49.99979425697822</v>
      </c>
      <c r="AZ55" s="45">
        <f>'Poultry Fat'!AZ13</f>
        <v>49.996886562954622</v>
      </c>
      <c r="BA55" s="45">
        <f>'Poultry Fat'!BA13</f>
        <v>50.0031350581216</v>
      </c>
      <c r="BB55" s="45">
        <f>'Poultry Fat'!BB13</f>
        <v>49.998866985208515</v>
      </c>
      <c r="BC55" s="45">
        <f>'Poultry Fat'!BC13</f>
        <v>50.000926455654565</v>
      </c>
      <c r="BD55" s="45">
        <f>'Poultry Fat'!BD13</f>
        <v>49.999385444728169</v>
      </c>
      <c r="BE55" s="45">
        <f>'Poultry Fat'!BE13</f>
        <v>49.999921863783506</v>
      </c>
      <c r="BF55" s="45">
        <f>'Poultry Fat'!BF13</f>
        <v>49.999840101333497</v>
      </c>
      <c r="BG55" s="45">
        <f>'Poultry Fat'!BG13</f>
        <v>50.000447161499274</v>
      </c>
    </row>
    <row r="56" spans="1:59" ht="12" thickBot="1" x14ac:dyDescent="0.25">
      <c r="A56" s="40"/>
      <c r="B56" s="40" t="s">
        <v>137</v>
      </c>
      <c r="C56" s="45">
        <f>DCO!C13</f>
        <v>0</v>
      </c>
      <c r="D56" s="45">
        <f>DCO!D13</f>
        <v>0</v>
      </c>
      <c r="E56" s="45">
        <f>DCO!E13</f>
        <v>0</v>
      </c>
      <c r="F56" s="45">
        <f>DCO!F13</f>
        <v>0</v>
      </c>
      <c r="G56" s="45">
        <f>DCO!G13</f>
        <v>0</v>
      </c>
      <c r="H56" s="45">
        <f>DCO!H13</f>
        <v>0</v>
      </c>
      <c r="I56" s="45">
        <f>DCO!I13</f>
        <v>0</v>
      </c>
      <c r="J56" s="45">
        <f>DCO!J13</f>
        <v>0</v>
      </c>
      <c r="K56" s="45">
        <f>DCO!K13</f>
        <v>0</v>
      </c>
      <c r="L56" s="45">
        <f>DCO!L13</f>
        <v>0</v>
      </c>
      <c r="M56" s="45">
        <f>DCO!M13</f>
        <v>0</v>
      </c>
      <c r="N56" s="45">
        <f>DCO!N13</f>
        <v>0</v>
      </c>
      <c r="O56" s="45">
        <f>DCO!O13</f>
        <v>0</v>
      </c>
      <c r="P56" s="45">
        <f>DCO!P13</f>
        <v>0</v>
      </c>
      <c r="Q56" s="45">
        <f>DCO!Q13</f>
        <v>0</v>
      </c>
      <c r="R56" s="45">
        <f>DCO!R13</f>
        <v>0</v>
      </c>
      <c r="S56" s="45">
        <f>DCO!S13</f>
        <v>197.46181959839998</v>
      </c>
      <c r="T56" s="45">
        <f>DCO!T13</f>
        <v>207.83302287300003</v>
      </c>
      <c r="U56" s="45">
        <f>DCO!U13</f>
        <v>432.39251286000001</v>
      </c>
      <c r="V56" s="45">
        <f>DCO!V13</f>
        <v>302.20319035619997</v>
      </c>
      <c r="W56" s="45">
        <f>DCO!W13</f>
        <v>209.58194950560002</v>
      </c>
      <c r="X56" s="45">
        <f>DCO!X13</f>
        <v>302.77066005899997</v>
      </c>
      <c r="Y56" s="45">
        <f>DCO!Y13</f>
        <v>435.8517852402</v>
      </c>
      <c r="Z56" s="45">
        <f>DCO!Z13</f>
        <v>372.62410812899998</v>
      </c>
      <c r="AA56" s="45">
        <f>DCO!AA13</f>
        <v>171.78892874880003</v>
      </c>
      <c r="AB56" s="45">
        <f>DCO!AB13</f>
        <v>231.73732917032001</v>
      </c>
      <c r="AC56" s="45">
        <f>DCO!AC13</f>
        <v>181.10217397844002</v>
      </c>
      <c r="AD56" s="45">
        <f>DCO!AD13</f>
        <v>198.51577400060003</v>
      </c>
      <c r="AE56" s="45">
        <f>DCO!AE13</f>
        <v>142.273065</v>
      </c>
      <c r="AF56" s="45">
        <f>DCO!AF13</f>
        <v>72.778751</v>
      </c>
      <c r="AG56" s="45">
        <f>DCO!AG13</f>
        <v>33.338847662020001</v>
      </c>
      <c r="AH56" s="45">
        <f>DCO!AH13</f>
        <v>36.810545403180605</v>
      </c>
      <c r="AI56" s="45">
        <f>DCO!AI13</f>
        <v>10.310085696357753</v>
      </c>
      <c r="AJ56" s="45">
        <f>DCO!AJ13</f>
        <v>9.0883117699447347</v>
      </c>
      <c r="AK56" s="45">
        <f>DCO!AK13</f>
        <v>10</v>
      </c>
      <c r="AL56" s="45">
        <f>DCO!AL13</f>
        <v>10</v>
      </c>
      <c r="AM56" s="45">
        <f>DCO!AM13</f>
        <v>10</v>
      </c>
      <c r="AN56" s="45">
        <f>DCO!AN13</f>
        <v>10</v>
      </c>
      <c r="AO56" s="45">
        <f>DCO!AO13</f>
        <v>10</v>
      </c>
      <c r="AP56" s="45">
        <f>DCO!AP13</f>
        <v>10</v>
      </c>
      <c r="AQ56" s="45">
        <f>DCO!AQ13</f>
        <v>10</v>
      </c>
      <c r="AR56" s="45">
        <f>DCO!AR13</f>
        <v>10</v>
      </c>
      <c r="AS56" s="45">
        <f>DCO!AS13</f>
        <v>10</v>
      </c>
      <c r="AT56" s="45">
        <f>DCO!AT13</f>
        <v>10</v>
      </c>
      <c r="AU56" s="45">
        <f>DCO!AU13</f>
        <v>10</v>
      </c>
      <c r="AV56" s="45">
        <f>DCO!AV13</f>
        <v>10</v>
      </c>
      <c r="AW56" s="45">
        <f>DCO!AW13</f>
        <v>10</v>
      </c>
      <c r="AX56" s="45">
        <f>DCO!AX13</f>
        <v>10</v>
      </c>
      <c r="AY56" s="45">
        <f>DCO!AY13</f>
        <v>10</v>
      </c>
      <c r="AZ56" s="45">
        <f>DCO!AZ13</f>
        <v>10</v>
      </c>
      <c r="BA56" s="45">
        <f>DCO!BA13</f>
        <v>10.213209962470311</v>
      </c>
      <c r="BB56" s="45">
        <f>DCO!BB13</f>
        <v>11.213209962470309</v>
      </c>
      <c r="BC56" s="45">
        <f>DCO!BC13</f>
        <v>12.213209962470312</v>
      </c>
      <c r="BD56" s="45">
        <f>DCO!BD13</f>
        <v>13.213209962470312</v>
      </c>
      <c r="BE56" s="45">
        <f>DCO!BE13</f>
        <v>14.213209962470309</v>
      </c>
      <c r="BF56" s="45">
        <f>DCO!BF13</f>
        <v>15.213209962470312</v>
      </c>
      <c r="BG56" s="45">
        <f>DCO!BG13</f>
        <v>16.213209962470309</v>
      </c>
    </row>
    <row r="57" spans="1:59" x14ac:dyDescent="0.2">
      <c r="A57" s="40"/>
      <c r="B57" s="63" t="s">
        <v>80</v>
      </c>
      <c r="C57" s="64" t="e">
        <f t="shared" ref="C57:BG57" si="15">C50+C27</f>
        <v>#REF!</v>
      </c>
      <c r="D57" s="64" t="e">
        <f t="shared" si="15"/>
        <v>#REF!</v>
      </c>
      <c r="E57" s="64" t="e">
        <f t="shared" si="15"/>
        <v>#REF!</v>
      </c>
      <c r="F57" s="64" t="e">
        <f t="shared" si="15"/>
        <v>#REF!</v>
      </c>
      <c r="G57" s="64" t="e">
        <f t="shared" si="15"/>
        <v>#REF!</v>
      </c>
      <c r="H57" s="64" t="e">
        <f t="shared" si="15"/>
        <v>#REF!</v>
      </c>
      <c r="I57" s="64" t="e">
        <f t="shared" si="15"/>
        <v>#REF!</v>
      </c>
      <c r="J57" s="64" t="e">
        <f t="shared" si="15"/>
        <v>#REF!</v>
      </c>
      <c r="K57" s="64" t="e">
        <f t="shared" si="15"/>
        <v>#REF!</v>
      </c>
      <c r="L57" s="64" t="e">
        <f t="shared" si="15"/>
        <v>#REF!</v>
      </c>
      <c r="M57" s="64" t="e">
        <f t="shared" si="15"/>
        <v>#REF!</v>
      </c>
      <c r="N57" s="64" t="e">
        <f t="shared" si="15"/>
        <v>#REF!</v>
      </c>
      <c r="O57" s="64" t="e">
        <f t="shared" si="15"/>
        <v>#REF!</v>
      </c>
      <c r="P57" s="64" t="e">
        <f t="shared" si="15"/>
        <v>#REF!</v>
      </c>
      <c r="Q57" s="64" t="e">
        <f t="shared" si="15"/>
        <v>#REF!</v>
      </c>
      <c r="R57" s="64" t="e">
        <f t="shared" si="15"/>
        <v>#REF!</v>
      </c>
      <c r="S57" s="64" t="e">
        <f t="shared" si="15"/>
        <v>#REF!</v>
      </c>
      <c r="T57" s="64" t="e">
        <f t="shared" si="15"/>
        <v>#REF!</v>
      </c>
      <c r="U57" s="64" t="e">
        <f t="shared" si="15"/>
        <v>#REF!</v>
      </c>
      <c r="V57" s="64" t="e">
        <f t="shared" si="15"/>
        <v>#REF!</v>
      </c>
      <c r="W57" s="64" t="e">
        <f t="shared" si="15"/>
        <v>#REF!</v>
      </c>
      <c r="X57" s="64" t="e">
        <f t="shared" si="15"/>
        <v>#REF!</v>
      </c>
      <c r="Y57" s="64" t="e">
        <f t="shared" si="15"/>
        <v>#REF!</v>
      </c>
      <c r="Z57" s="64" t="e">
        <f t="shared" si="15"/>
        <v>#REF!</v>
      </c>
      <c r="AA57" s="64" t="e">
        <f t="shared" si="15"/>
        <v>#REF!</v>
      </c>
      <c r="AB57" s="64">
        <f t="shared" si="15"/>
        <v>16187.185174385537</v>
      </c>
      <c r="AC57" s="64">
        <f t="shared" si="15"/>
        <v>15259.583470097125</v>
      </c>
      <c r="AD57" s="64">
        <f t="shared" si="15"/>
        <v>16423.694241887977</v>
      </c>
      <c r="AE57" s="64">
        <f t="shared" si="15"/>
        <v>20833.154935020495</v>
      </c>
      <c r="AF57" s="64">
        <f t="shared" si="15"/>
        <v>24932.251213719959</v>
      </c>
      <c r="AG57" s="65">
        <f t="shared" si="15"/>
        <v>27225.732361171631</v>
      </c>
      <c r="AH57" s="65">
        <f t="shared" si="15"/>
        <v>28268.670805322712</v>
      </c>
      <c r="AI57" s="65">
        <f t="shared" si="15"/>
        <v>32271.27378582504</v>
      </c>
      <c r="AJ57" s="65">
        <f t="shared" si="15"/>
        <v>36519.701375755467</v>
      </c>
      <c r="AK57" s="65">
        <f t="shared" si="15"/>
        <v>37976.715059860559</v>
      </c>
      <c r="AL57" s="65">
        <f t="shared" si="15"/>
        <v>42099.590299064235</v>
      </c>
      <c r="AM57" s="65">
        <f t="shared" si="15"/>
        <v>47538.58378839778</v>
      </c>
      <c r="AN57" s="65">
        <f t="shared" si="15"/>
        <v>52040.909214467225</v>
      </c>
      <c r="AO57" s="65">
        <f t="shared" si="15"/>
        <v>57454.36805295699</v>
      </c>
      <c r="AP57" s="65">
        <f t="shared" si="15"/>
        <v>60932.372684632654</v>
      </c>
      <c r="AQ57" s="65">
        <f t="shared" si="15"/>
        <v>59729.603233569163</v>
      </c>
      <c r="AR57" s="65">
        <f t="shared" si="15"/>
        <v>59870.579178686909</v>
      </c>
      <c r="AS57" s="65">
        <f t="shared" si="15"/>
        <v>61151.317972179473</v>
      </c>
      <c r="AT57" s="65">
        <f t="shared" si="15"/>
        <v>62045.851250900479</v>
      </c>
      <c r="AU57" s="65">
        <f t="shared" si="15"/>
        <v>66301.651019077603</v>
      </c>
      <c r="AV57" s="65">
        <f t="shared" si="15"/>
        <v>68545.344527358189</v>
      </c>
      <c r="AW57" s="65">
        <f t="shared" si="15"/>
        <v>66483.587930463167</v>
      </c>
      <c r="AX57" s="65">
        <f t="shared" si="15"/>
        <v>69306.198382610601</v>
      </c>
      <c r="AY57" s="65">
        <f t="shared" si="15"/>
        <v>72431.667891430407</v>
      </c>
      <c r="AZ57" s="65">
        <f t="shared" si="15"/>
        <v>75893.498125706697</v>
      </c>
      <c r="BA57" s="65">
        <f t="shared" si="15"/>
        <v>78194.247106015231</v>
      </c>
      <c r="BB57" s="65">
        <f t="shared" si="15"/>
        <v>77597.412179057836</v>
      </c>
      <c r="BC57" s="65">
        <f t="shared" si="15"/>
        <v>78888.992298782628</v>
      </c>
      <c r="BD57" s="65">
        <f t="shared" si="15"/>
        <v>78153.207588080739</v>
      </c>
      <c r="BE57" s="65">
        <f t="shared" si="15"/>
        <v>82287.03387473608</v>
      </c>
      <c r="BF57" s="65">
        <f t="shared" si="15"/>
        <v>82330.694981293345</v>
      </c>
      <c r="BG57" s="65">
        <f t="shared" si="15"/>
        <v>84904.787990498604</v>
      </c>
    </row>
    <row r="58" spans="1:59" ht="15" customHeight="1" x14ac:dyDescent="0.2">
      <c r="A58" s="40"/>
      <c r="B58" s="57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</row>
    <row r="59" spans="1:59" x14ac:dyDescent="0.2">
      <c r="A59" s="40"/>
      <c r="B59" s="57" t="s">
        <v>81</v>
      </c>
      <c r="C59" s="45" t="e">
        <f>SUM(C60:C65)</f>
        <v>#REF!</v>
      </c>
      <c r="D59" s="45" t="e">
        <f t="shared" ref="D59:BG59" si="16">SUM(D60:D65)</f>
        <v>#REF!</v>
      </c>
      <c r="E59" s="45" t="e">
        <f t="shared" si="16"/>
        <v>#REF!</v>
      </c>
      <c r="F59" s="45" t="e">
        <f t="shared" si="16"/>
        <v>#REF!</v>
      </c>
      <c r="G59" s="45" t="e">
        <f t="shared" si="16"/>
        <v>#REF!</v>
      </c>
      <c r="H59" s="45" t="e">
        <f t="shared" si="16"/>
        <v>#REF!</v>
      </c>
      <c r="I59" s="45" t="e">
        <f t="shared" si="16"/>
        <v>#REF!</v>
      </c>
      <c r="J59" s="45" t="e">
        <f t="shared" si="16"/>
        <v>#REF!</v>
      </c>
      <c r="K59" s="45" t="e">
        <f t="shared" si="16"/>
        <v>#REF!</v>
      </c>
      <c r="L59" s="45" t="e">
        <f t="shared" si="16"/>
        <v>#REF!</v>
      </c>
      <c r="M59" s="45" t="e">
        <f t="shared" si="16"/>
        <v>#REF!</v>
      </c>
      <c r="N59" s="45" t="e">
        <f t="shared" si="16"/>
        <v>#REF!</v>
      </c>
      <c r="O59" s="45" t="e">
        <f t="shared" si="16"/>
        <v>#REF!</v>
      </c>
      <c r="P59" s="45" t="e">
        <f t="shared" si="16"/>
        <v>#REF!</v>
      </c>
      <c r="Q59" s="45" t="e">
        <f t="shared" si="16"/>
        <v>#REF!</v>
      </c>
      <c r="R59" s="45" t="e">
        <f t="shared" si="16"/>
        <v>#REF!</v>
      </c>
      <c r="S59" s="45" t="e">
        <f t="shared" si="16"/>
        <v>#REF!</v>
      </c>
      <c r="T59" s="45" t="e">
        <f t="shared" si="16"/>
        <v>#REF!</v>
      </c>
      <c r="U59" s="45" t="e">
        <f t="shared" si="16"/>
        <v>#REF!</v>
      </c>
      <c r="V59" s="45" t="e">
        <f t="shared" si="16"/>
        <v>#REF!</v>
      </c>
      <c r="W59" s="45" t="e">
        <f t="shared" si="16"/>
        <v>#REF!</v>
      </c>
      <c r="X59" s="45" t="e">
        <f t="shared" si="16"/>
        <v>#REF!</v>
      </c>
      <c r="Y59" s="45" t="e">
        <f t="shared" si="16"/>
        <v>#REF!</v>
      </c>
      <c r="Z59" s="45" t="e">
        <f t="shared" si="16"/>
        <v>#REF!</v>
      </c>
      <c r="AA59" s="45" t="e">
        <f t="shared" si="16"/>
        <v>#REF!</v>
      </c>
      <c r="AB59" s="45">
        <f t="shared" si="16"/>
        <v>352.53355216141574</v>
      </c>
      <c r="AC59" s="45">
        <f t="shared" si="16"/>
        <v>340.97660519573429</v>
      </c>
      <c r="AD59" s="45">
        <f t="shared" si="16"/>
        <v>341.16863521914502</v>
      </c>
      <c r="AE59" s="45">
        <f t="shared" si="16"/>
        <v>378.97495700338675</v>
      </c>
      <c r="AF59" s="45">
        <f t="shared" si="16"/>
        <v>320.60782661333053</v>
      </c>
      <c r="AG59" s="60">
        <f t="shared" si="16"/>
        <v>288.94908993629002</v>
      </c>
      <c r="AH59" s="60">
        <f t="shared" si="16"/>
        <v>1281.6594386281333</v>
      </c>
      <c r="AI59" s="60">
        <f t="shared" si="16"/>
        <v>2189.0295012179668</v>
      </c>
      <c r="AJ59" s="60">
        <f t="shared" si="16"/>
        <v>3947.4328846983299</v>
      </c>
      <c r="AK59" s="60">
        <f t="shared" si="16"/>
        <v>7365.9412810255799</v>
      </c>
      <c r="AL59" s="60">
        <f t="shared" si="16"/>
        <v>9995.6360642579621</v>
      </c>
      <c r="AM59" s="60">
        <f t="shared" si="16"/>
        <v>12917.600951520151</v>
      </c>
      <c r="AN59" s="60">
        <f t="shared" si="16"/>
        <v>16076.454138266014</v>
      </c>
      <c r="AO59" s="60">
        <f t="shared" si="16"/>
        <v>20041.066075496448</v>
      </c>
      <c r="AP59" s="60">
        <f t="shared" si="16"/>
        <v>25638.548457675588</v>
      </c>
      <c r="AQ59" s="60">
        <f t="shared" si="16"/>
        <v>31586.445370352758</v>
      </c>
      <c r="AR59" s="60">
        <f t="shared" si="16"/>
        <v>37477.65453197719</v>
      </c>
      <c r="AS59" s="60">
        <f t="shared" si="16"/>
        <v>41851.13001884296</v>
      </c>
      <c r="AT59" s="60">
        <f t="shared" si="16"/>
        <v>47671.924971147884</v>
      </c>
      <c r="AU59" s="60">
        <f t="shared" si="16"/>
        <v>53980.116977358601</v>
      </c>
      <c r="AV59" s="60">
        <f t="shared" si="16"/>
        <v>58782.738735558145</v>
      </c>
      <c r="AW59" s="60">
        <f t="shared" si="16"/>
        <v>64261.076560396046</v>
      </c>
      <c r="AX59" s="60">
        <f t="shared" si="16"/>
        <v>69133.8914409805</v>
      </c>
      <c r="AY59" s="60">
        <f t="shared" si="16"/>
        <v>73925.05463293349</v>
      </c>
      <c r="AZ59" s="60">
        <f t="shared" si="16"/>
        <v>78130.363708782796</v>
      </c>
      <c r="BA59" s="60">
        <f t="shared" si="16"/>
        <v>81902.624468018694</v>
      </c>
      <c r="BB59" s="60">
        <f t="shared" si="16"/>
        <v>86935.399795263977</v>
      </c>
      <c r="BC59" s="60">
        <f t="shared" si="16"/>
        <v>91414.691629653869</v>
      </c>
      <c r="BD59" s="60">
        <f t="shared" si="16"/>
        <v>98397.896749274922</v>
      </c>
      <c r="BE59" s="60">
        <f t="shared" si="16"/>
        <v>103510.71919508402</v>
      </c>
      <c r="BF59" s="60">
        <f t="shared" si="16"/>
        <v>110026.45493778387</v>
      </c>
      <c r="BG59" s="60">
        <f t="shared" si="16"/>
        <v>115473.7693642954</v>
      </c>
    </row>
    <row r="60" spans="1:59" x14ac:dyDescent="0.2">
      <c r="A60" s="40"/>
      <c r="B60" s="61" t="s">
        <v>132</v>
      </c>
      <c r="C60" s="62" t="e">
        <f>'Inedible Tallow'!C15</f>
        <v>#REF!</v>
      </c>
      <c r="D60" s="62" t="e">
        <f>'Inedible Tallow'!D15</f>
        <v>#REF!</v>
      </c>
      <c r="E60" s="62" t="e">
        <f>'Inedible Tallow'!E15</f>
        <v>#REF!</v>
      </c>
      <c r="F60" s="62" t="e">
        <f>'Inedible Tallow'!F15</f>
        <v>#REF!</v>
      </c>
      <c r="G60" s="62" t="e">
        <f>'Inedible Tallow'!G15</f>
        <v>#REF!</v>
      </c>
      <c r="H60" s="62" t="e">
        <f>'Inedible Tallow'!H15</f>
        <v>#REF!</v>
      </c>
      <c r="I60" s="62" t="e">
        <f>'Inedible Tallow'!I15</f>
        <v>#REF!</v>
      </c>
      <c r="J60" s="62" t="e">
        <f>'Inedible Tallow'!J15</f>
        <v>#REF!</v>
      </c>
      <c r="K60" s="62" t="e">
        <f>'Inedible Tallow'!K15</f>
        <v>#REF!</v>
      </c>
      <c r="L60" s="62" t="e">
        <f>'Inedible Tallow'!L15</f>
        <v>#REF!</v>
      </c>
      <c r="M60" s="62" t="e">
        <f>'Inedible Tallow'!M15</f>
        <v>#REF!</v>
      </c>
      <c r="N60" s="62" t="e">
        <f>'Inedible Tallow'!N15</f>
        <v>#REF!</v>
      </c>
      <c r="O60" s="62" t="e">
        <f>'Inedible Tallow'!O15</f>
        <v>#REF!</v>
      </c>
      <c r="P60" s="62" t="e">
        <f>'Inedible Tallow'!P15</f>
        <v>#REF!</v>
      </c>
      <c r="Q60" s="62" t="e">
        <f>'Inedible Tallow'!Q15</f>
        <v>#REF!</v>
      </c>
      <c r="R60" s="62" t="e">
        <f>'Inedible Tallow'!R15</f>
        <v>#REF!</v>
      </c>
      <c r="S60" s="62" t="e">
        <f>'Inedible Tallow'!S15</f>
        <v>#REF!</v>
      </c>
      <c r="T60" s="62" t="e">
        <f>'Inedible Tallow'!T15</f>
        <v>#REF!</v>
      </c>
      <c r="U60" s="62" t="e">
        <f>'Inedible Tallow'!U15</f>
        <v>#REF!</v>
      </c>
      <c r="V60" s="62" t="e">
        <f>'Inedible Tallow'!V15</f>
        <v>#REF!</v>
      </c>
      <c r="W60" s="62" t="e">
        <f>'Inedible Tallow'!W15</f>
        <v>#REF!</v>
      </c>
      <c r="X60" s="62" t="e">
        <f>'Inedible Tallow'!X15</f>
        <v>#REF!</v>
      </c>
      <c r="Y60" s="62" t="e">
        <f>'Inedible Tallow'!Y15</f>
        <v>#REF!</v>
      </c>
      <c r="Z60" s="62" t="e">
        <f>'Inedible Tallow'!Z15</f>
        <v>#REF!</v>
      </c>
      <c r="AA60" s="62" t="e">
        <f>'Inedible Tallow'!AA15</f>
        <v>#REF!</v>
      </c>
      <c r="AB60" s="62">
        <f>'Inedible Tallow'!AB15</f>
        <v>100.782</v>
      </c>
      <c r="AC60" s="62">
        <f>'Inedible Tallow'!AC15</f>
        <v>90.846999999999994</v>
      </c>
      <c r="AD60" s="62">
        <f>'Inedible Tallow'!AD15</f>
        <v>93</v>
      </c>
      <c r="AE60" s="62">
        <f>'Inedible Tallow'!AE15</f>
        <v>119.997</v>
      </c>
      <c r="AF60" s="62">
        <f>'Inedible Tallow'!AF15</f>
        <v>82.706000000000003</v>
      </c>
      <c r="AG60" s="62">
        <f>'Inedible Tallow'!AG15</f>
        <v>65.438000000000002</v>
      </c>
      <c r="AH60" s="62">
        <f>'Inedible Tallow'!AH15</f>
        <v>318.30876476377648</v>
      </c>
      <c r="AI60" s="62">
        <f>'Inedible Tallow'!AI15</f>
        <v>1137.5848194295436</v>
      </c>
      <c r="AJ60" s="62">
        <f>'Inedible Tallow'!AJ15</f>
        <v>1509.5153628843632</v>
      </c>
      <c r="AK60" s="62">
        <f>'Inedible Tallow'!AK15</f>
        <v>1957.4838145320998</v>
      </c>
      <c r="AL60" s="62">
        <f>'Inedible Tallow'!AL15</f>
        <v>2539.2011296632963</v>
      </c>
      <c r="AM60" s="62">
        <f>'Inedible Tallow'!AM15</f>
        <v>3250.4879001720374</v>
      </c>
      <c r="AN60" s="62">
        <f>'Inedible Tallow'!AN15</f>
        <v>3873.4219795480635</v>
      </c>
      <c r="AO60" s="62">
        <f>'Inedible Tallow'!AO15</f>
        <v>4671.8618922537353</v>
      </c>
      <c r="AP60" s="62">
        <f>'Inedible Tallow'!AP15</f>
        <v>5551.1238465478191</v>
      </c>
      <c r="AQ60" s="62">
        <f>'Inedible Tallow'!AQ15</f>
        <v>6456.308424220274</v>
      </c>
      <c r="AR60" s="62">
        <f>'Inedible Tallow'!AR15</f>
        <v>7355.276974557326</v>
      </c>
      <c r="AS60" s="62">
        <f>'Inedible Tallow'!AS15</f>
        <v>8296.763610752836</v>
      </c>
      <c r="AT60" s="62">
        <f>'Inedible Tallow'!AT15</f>
        <v>9199.5514133122742</v>
      </c>
      <c r="AU60" s="62">
        <f>'Inedible Tallow'!AU15</f>
        <v>10185.957010738237</v>
      </c>
      <c r="AV60" s="62">
        <f>'Inedible Tallow'!AV15</f>
        <v>11251.90275631763</v>
      </c>
      <c r="AW60" s="62">
        <f>'Inedible Tallow'!AW15</f>
        <v>12231.583653136775</v>
      </c>
      <c r="AX60" s="62">
        <f>'Inedible Tallow'!AX15</f>
        <v>13239.57071627219</v>
      </c>
      <c r="AY60" s="62">
        <f>'Inedible Tallow'!AY15</f>
        <v>14294.20639939477</v>
      </c>
      <c r="AZ60" s="62">
        <f>'Inedible Tallow'!AZ15</f>
        <v>15418.901323154272</v>
      </c>
      <c r="BA60" s="62">
        <f>'Inedible Tallow'!BA15</f>
        <v>16559.280080934979</v>
      </c>
      <c r="BB60" s="62">
        <f>'Inedible Tallow'!BB15</f>
        <v>17707.257216459042</v>
      </c>
      <c r="BC60" s="62">
        <f>'Inedible Tallow'!BC15</f>
        <v>18847.954144082549</v>
      </c>
      <c r="BD60" s="62">
        <f>'Inedible Tallow'!BD15</f>
        <v>20021.375982833408</v>
      </c>
      <c r="BE60" s="62">
        <f>'Inedible Tallow'!BE15</f>
        <v>21243.386237809493</v>
      </c>
      <c r="BF60" s="62">
        <f>'Inedible Tallow'!BF15</f>
        <v>22460.037592923971</v>
      </c>
      <c r="BG60" s="62">
        <f>'Inedible Tallow'!BG15</f>
        <v>23674.389388995445</v>
      </c>
    </row>
    <row r="61" spans="1:59" x14ac:dyDescent="0.2">
      <c r="A61" s="40"/>
      <c r="B61" s="40" t="s">
        <v>133</v>
      </c>
      <c r="C61" s="45">
        <f>'Yellow Grease'!C15</f>
        <v>104.02239198119223</v>
      </c>
      <c r="D61" s="45">
        <f>'Yellow Grease'!D15</f>
        <v>84.869557839917633</v>
      </c>
      <c r="E61" s="45">
        <f>'Yellow Grease'!E15</f>
        <v>82.701599340746085</v>
      </c>
      <c r="F61" s="45">
        <f>'Yellow Grease'!F15</f>
        <v>95.382232490888455</v>
      </c>
      <c r="G61" s="45">
        <f>'Yellow Grease'!G15</f>
        <v>99.102131963525238</v>
      </c>
      <c r="H61" s="45">
        <f>'Yellow Grease'!H15</f>
        <v>89.267075026034973</v>
      </c>
      <c r="I61" s="45">
        <f>'Yellow Grease'!I15</f>
        <v>71.197399136576919</v>
      </c>
      <c r="J61" s="45">
        <f>'Yellow Grease'!J15</f>
        <v>82.486256682034281</v>
      </c>
      <c r="K61" s="45">
        <f>'Yellow Grease'!K15</f>
        <v>61.786998894083453</v>
      </c>
      <c r="L61" s="45">
        <f>'Yellow Grease'!L15</f>
        <v>62.365952199999988</v>
      </c>
      <c r="M61" s="45">
        <f>'Yellow Grease'!M15</f>
        <v>74.212704000000002</v>
      </c>
      <c r="N61" s="45">
        <f>'Yellow Grease'!N15</f>
        <v>68.352831171199995</v>
      </c>
      <c r="O61" s="45">
        <f>'Yellow Grease'!O15</f>
        <v>74.105648118600001</v>
      </c>
      <c r="P61" s="45">
        <f>'Yellow Grease'!P15</f>
        <v>62.688645799999996</v>
      </c>
      <c r="Q61" s="45">
        <f>'Yellow Grease'!Q15</f>
        <v>108.08640440760001</v>
      </c>
      <c r="R61" s="45">
        <f>'Yellow Grease'!R15</f>
        <v>34.79694039999999</v>
      </c>
      <c r="S61" s="45">
        <f>'Yellow Grease'!S15</f>
        <v>20.483886500000004</v>
      </c>
      <c r="T61" s="45">
        <f>'Yellow Grease'!T15</f>
        <v>47.542315290778681</v>
      </c>
      <c r="U61" s="45">
        <f>'Yellow Grease'!U15</f>
        <v>78.797356417204327</v>
      </c>
      <c r="V61" s="45">
        <f>'Yellow Grease'!V15</f>
        <v>47.866547642397805</v>
      </c>
      <c r="W61" s="45">
        <f>'Yellow Grease'!W15</f>
        <v>48.083573577697464</v>
      </c>
      <c r="X61" s="45">
        <f>'Yellow Grease'!X15</f>
        <v>98.060416623635049</v>
      </c>
      <c r="Y61" s="45">
        <f>'Yellow Grease'!Y15</f>
        <v>69.915189524505621</v>
      </c>
      <c r="Z61" s="45">
        <f>'Yellow Grease'!Z15</f>
        <v>78.714340522118704</v>
      </c>
      <c r="AA61" s="45">
        <f>'Yellow Grease'!AA15</f>
        <v>50.661788995814902</v>
      </c>
      <c r="AB61" s="45">
        <f>'Yellow Grease'!AB15</f>
        <v>9.0620000000000012</v>
      </c>
      <c r="AC61" s="45">
        <f>'Yellow Grease'!AC15</f>
        <v>9.0620000000000012</v>
      </c>
      <c r="AD61" s="45">
        <f>'Yellow Grease'!AD15</f>
        <v>9.0620000000000012</v>
      </c>
      <c r="AE61" s="45">
        <f>'Yellow Grease'!AE15</f>
        <v>9.0620000000000012</v>
      </c>
      <c r="AF61" s="45">
        <f>'Yellow Grease'!AF15</f>
        <v>9.0620000000000012</v>
      </c>
      <c r="AG61" s="45">
        <f>'Yellow Grease'!AG15</f>
        <v>9.0620000000000012</v>
      </c>
      <c r="AH61" s="45">
        <f>'Yellow Grease'!AH15</f>
        <v>9.0620000000000012</v>
      </c>
      <c r="AI61" s="45">
        <f>'Yellow Grease'!AI15</f>
        <v>9.0620000000000012</v>
      </c>
      <c r="AJ61" s="45">
        <f>'Yellow Grease'!AJ15</f>
        <v>9.0620000000000012</v>
      </c>
      <c r="AK61" s="45">
        <f>'Yellow Grease'!AK15</f>
        <v>9.0620000000000012</v>
      </c>
      <c r="AL61" s="45">
        <f>'Yellow Grease'!AL15</f>
        <v>9.0620000000000012</v>
      </c>
      <c r="AM61" s="45">
        <f>'Yellow Grease'!AM15</f>
        <v>9.0620000000000012</v>
      </c>
      <c r="AN61" s="45">
        <f>'Yellow Grease'!AN15</f>
        <v>9.0620000000000012</v>
      </c>
      <c r="AO61" s="45">
        <f>'Yellow Grease'!AO15</f>
        <v>9.0620000000000012</v>
      </c>
      <c r="AP61" s="45">
        <f>'Yellow Grease'!AP15</f>
        <v>9.0620000000000012</v>
      </c>
      <c r="AQ61" s="45">
        <f>'Yellow Grease'!AQ15</f>
        <v>9.0620000000000012</v>
      </c>
      <c r="AR61" s="45">
        <f>'Yellow Grease'!AR15</f>
        <v>9.0620000000000012</v>
      </c>
      <c r="AS61" s="45">
        <f>'Yellow Grease'!AS15</f>
        <v>9.0620000000000012</v>
      </c>
      <c r="AT61" s="45">
        <f>'Yellow Grease'!AT15</f>
        <v>9.0620000000000012</v>
      </c>
      <c r="AU61" s="45">
        <f>'Yellow Grease'!AU15</f>
        <v>9.0620000000000012</v>
      </c>
      <c r="AV61" s="45">
        <f>'Yellow Grease'!AV15</f>
        <v>9.0620000000000012</v>
      </c>
      <c r="AW61" s="45">
        <f>'Yellow Grease'!AW15</f>
        <v>9.0620000000000012</v>
      </c>
      <c r="AX61" s="45">
        <f>'Yellow Grease'!AX15</f>
        <v>9.0620000000000012</v>
      </c>
      <c r="AY61" s="45">
        <f>'Yellow Grease'!AY15</f>
        <v>9.0620000000000012</v>
      </c>
      <c r="AZ61" s="45">
        <f>'Yellow Grease'!AZ15</f>
        <v>9.0620000000000012</v>
      </c>
      <c r="BA61" s="45">
        <f>'Yellow Grease'!BA15</f>
        <v>9.0620000000000012</v>
      </c>
      <c r="BB61" s="45">
        <f>'Yellow Grease'!BB15</f>
        <v>9.0620000000000012</v>
      </c>
      <c r="BC61" s="45">
        <f>'Yellow Grease'!BC15</f>
        <v>9.0620000000000012</v>
      </c>
      <c r="BD61" s="45">
        <f>'Yellow Grease'!BD15</f>
        <v>9.0620000000000012</v>
      </c>
      <c r="BE61" s="45">
        <f>'Yellow Grease'!BE15</f>
        <v>9.0620000000000012</v>
      </c>
      <c r="BF61" s="45">
        <f>'Yellow Grease'!BF15</f>
        <v>9.0620000000000012</v>
      </c>
      <c r="BG61" s="45">
        <f>'Yellow Grease'!BG15</f>
        <v>9.0620000000000012</v>
      </c>
    </row>
    <row r="62" spans="1:59" x14ac:dyDescent="0.2">
      <c r="A62" s="40"/>
      <c r="B62" s="40" t="s">
        <v>134</v>
      </c>
      <c r="C62" s="45">
        <f>UCO!C15</f>
        <v>132.29077300781483</v>
      </c>
      <c r="D62" s="45">
        <f>UCO!D15</f>
        <v>112.16838568412425</v>
      </c>
      <c r="E62" s="45">
        <f>UCO!E15</f>
        <v>109.4644614663614</v>
      </c>
      <c r="F62" s="45">
        <f>UCO!F15</f>
        <v>114.19007378621234</v>
      </c>
      <c r="G62" s="45">
        <f>UCO!G15</f>
        <v>124.05378341094512</v>
      </c>
      <c r="H62" s="45">
        <f>UCO!H15</f>
        <v>103.72409947288517</v>
      </c>
      <c r="I62" s="45">
        <f>UCO!I15</f>
        <v>106.92040168671249</v>
      </c>
      <c r="J62" s="45">
        <f>UCO!J15</f>
        <v>121.38104282050747</v>
      </c>
      <c r="K62" s="45">
        <f>UCO!K15</f>
        <v>110.02974175675085</v>
      </c>
      <c r="L62" s="45">
        <f>UCO!L15</f>
        <v>117.86445624792935</v>
      </c>
      <c r="M62" s="45">
        <f>UCO!M15</f>
        <v>124.49629613624634</v>
      </c>
      <c r="N62" s="45">
        <f>UCO!N15</f>
        <v>122.10238781863592</v>
      </c>
      <c r="O62" s="45">
        <f>UCO!O15</f>
        <v>108.03673056373489</v>
      </c>
      <c r="P62" s="45">
        <f>UCO!P15</f>
        <v>102.98652142607303</v>
      </c>
      <c r="Q62" s="45">
        <f>UCO!Q15</f>
        <v>144.09598939997537</v>
      </c>
      <c r="R62" s="45">
        <f>UCO!R15</f>
        <v>100.2511680090069</v>
      </c>
      <c r="S62" s="45">
        <f>UCO!S15</f>
        <v>92.984013182629397</v>
      </c>
      <c r="T62" s="45">
        <f>UCO!T15</f>
        <v>87.96707570462236</v>
      </c>
      <c r="U62" s="45">
        <f>UCO!U15</f>
        <v>104.78900083338131</v>
      </c>
      <c r="V62" s="45">
        <f>UCO!V15</f>
        <v>51.353261903573127</v>
      </c>
      <c r="W62" s="45">
        <f>UCO!W15</f>
        <v>53.768066141284208</v>
      </c>
      <c r="X62" s="45">
        <f>UCO!X15</f>
        <v>59.060658429072987</v>
      </c>
      <c r="Y62" s="45">
        <f>UCO!Y15</f>
        <v>47.433002706579401</v>
      </c>
      <c r="Z62" s="45">
        <f>UCO!Z15</f>
        <v>41.351869935892395</v>
      </c>
      <c r="AA62" s="45">
        <f>UCO!AA15</f>
        <v>26.061126204581129</v>
      </c>
      <c r="AB62" s="45">
        <f>UCO!AB15</f>
        <v>81.558000000000007</v>
      </c>
      <c r="AC62" s="45">
        <f>UCO!AC15</f>
        <v>79.229700000000008</v>
      </c>
      <c r="AD62" s="45">
        <f>UCO!AD15</f>
        <v>81.886499999999998</v>
      </c>
      <c r="AE62" s="45">
        <f>UCO!AE15</f>
        <v>89.079300000000003</v>
      </c>
      <c r="AF62" s="45">
        <f>UCO!AF15</f>
        <v>93.15</v>
      </c>
      <c r="AG62" s="45">
        <f>UCO!AG15</f>
        <v>86.940000000000012</v>
      </c>
      <c r="AH62" s="45">
        <f>UCO!AH15</f>
        <v>718.23893285134227</v>
      </c>
      <c r="AI62" s="45">
        <f>UCO!AI15</f>
        <v>638.89966329445349</v>
      </c>
      <c r="AJ62" s="45">
        <f>UCO!AJ15</f>
        <v>1994.2349358564047</v>
      </c>
      <c r="AK62" s="45">
        <f>UCO!AK15</f>
        <v>4893.6287303635572</v>
      </c>
      <c r="AL62" s="45">
        <f>UCO!AL15</f>
        <v>6853.4629526445178</v>
      </c>
      <c r="AM62" s="45">
        <f>UCO!AM15</f>
        <v>8950.6710912594917</v>
      </c>
      <c r="AN62" s="45">
        <f>UCO!AN15</f>
        <v>11391.919971614097</v>
      </c>
      <c r="AO62" s="45">
        <f>UCO!AO15</f>
        <v>14449.75416231304</v>
      </c>
      <c r="AP62" s="45">
        <f>UCO!AP15</f>
        <v>19063.361374732449</v>
      </c>
      <c r="AQ62" s="45">
        <f>UCO!AQ15</f>
        <v>23993.167724399522</v>
      </c>
      <c r="AR62" s="45">
        <f>UCO!AR15</f>
        <v>28870.95415094179</v>
      </c>
      <c r="AS62" s="45">
        <f>UCO!AS15</f>
        <v>32180.090024205085</v>
      </c>
      <c r="AT62" s="45">
        <f>UCO!AT15</f>
        <v>36964.552117023071</v>
      </c>
      <c r="AU62" s="45">
        <f>UCO!AU15</f>
        <v>42166.225884778833</v>
      </c>
      <c r="AV62" s="45">
        <f>UCO!AV15</f>
        <v>45713.43272184016</v>
      </c>
      <c r="AW62" s="45">
        <f>UCO!AW15</f>
        <v>49972.940892458864</v>
      </c>
      <c r="AX62" s="45">
        <f>UCO!AX15</f>
        <v>53685.673848947852</v>
      </c>
      <c r="AY62" s="45">
        <f>UCO!AY15</f>
        <v>57263.030226743387</v>
      </c>
      <c r="AZ62" s="45">
        <f>UCO!AZ15</f>
        <v>60115.116021051668</v>
      </c>
      <c r="BA62" s="45">
        <f>UCO!BA15</f>
        <v>62597.296769190798</v>
      </c>
      <c r="BB62" s="45">
        <f>UCO!BB15</f>
        <v>66310.659053992946</v>
      </c>
      <c r="BC62" s="45">
        <f>UCO!BC15</f>
        <v>69549.901232365068</v>
      </c>
      <c r="BD62" s="45">
        <f>UCO!BD15</f>
        <v>75244.143415726998</v>
      </c>
      <c r="BE62" s="45">
        <f>UCO!BE15</f>
        <v>79050.909844716574</v>
      </c>
      <c r="BF62" s="45">
        <f>UCO!BF15</f>
        <v>84240.221009444722</v>
      </c>
      <c r="BG62" s="45">
        <f>UCO!BG15</f>
        <v>88226.199179282761</v>
      </c>
    </row>
    <row r="63" spans="1:59" x14ac:dyDescent="0.2">
      <c r="A63" s="40"/>
      <c r="B63" s="40" t="s">
        <v>135</v>
      </c>
      <c r="C63" s="45">
        <f>CWG!C15</f>
        <v>0</v>
      </c>
      <c r="D63" s="45">
        <f>CWG!D15</f>
        <v>0</v>
      </c>
      <c r="E63" s="45">
        <f>CWG!E15</f>
        <v>0</v>
      </c>
      <c r="F63" s="45">
        <f>CWG!F15</f>
        <v>0</v>
      </c>
      <c r="G63" s="45">
        <f>CWG!G15</f>
        <v>0</v>
      </c>
      <c r="H63" s="45">
        <f>CWG!H15</f>
        <v>0</v>
      </c>
      <c r="I63" s="45">
        <f>CWG!I15</f>
        <v>0</v>
      </c>
      <c r="J63" s="45">
        <f>CWG!J15</f>
        <v>0</v>
      </c>
      <c r="K63" s="45">
        <f>CWG!K15</f>
        <v>0</v>
      </c>
      <c r="L63" s="45">
        <f>CWG!L15</f>
        <v>10.390979017560001</v>
      </c>
      <c r="M63" s="45">
        <f>CWG!M15</f>
        <v>8.5963705306200016</v>
      </c>
      <c r="N63" s="45">
        <f>CWG!N15</f>
        <v>9.6175691834200023</v>
      </c>
      <c r="O63" s="45">
        <f>CWG!O15</f>
        <v>9.3183105979800001</v>
      </c>
      <c r="P63" s="45">
        <f>CWG!P15</f>
        <v>9.970618948080002</v>
      </c>
      <c r="Q63" s="45">
        <f>CWG!Q15</f>
        <v>10.156368106080002</v>
      </c>
      <c r="R63" s="45">
        <f>CWG!R15</f>
        <v>11.336998462580002</v>
      </c>
      <c r="S63" s="45">
        <f>CWG!S15</f>
        <v>14.250009242919999</v>
      </c>
      <c r="T63" s="45">
        <f>CWG!T15</f>
        <v>11.257745020879575</v>
      </c>
      <c r="U63" s="45">
        <f>CWG!U15</f>
        <v>10.66030118216711</v>
      </c>
      <c r="V63" s="45">
        <f>CWG!V15</f>
        <v>11.017527753700884</v>
      </c>
      <c r="W63" s="45">
        <f>CWG!W15</f>
        <v>10.93137871471963</v>
      </c>
      <c r="X63" s="45">
        <f>CWG!X15</f>
        <v>12.529860800000002</v>
      </c>
      <c r="Y63" s="45">
        <f>CWG!Y15</f>
        <v>13.109335300000001</v>
      </c>
      <c r="Z63" s="45">
        <f>CWG!Z15</f>
        <v>10.607712900000001</v>
      </c>
      <c r="AA63" s="45">
        <f>CWG!AA15</f>
        <v>12.779887700000002</v>
      </c>
      <c r="AB63" s="45">
        <f>CWG!AB15</f>
        <v>9.7379999999999995</v>
      </c>
      <c r="AC63" s="45">
        <f>CWG!AC15</f>
        <v>9.577</v>
      </c>
      <c r="AD63" s="45">
        <f>CWG!AD15</f>
        <v>6.3150000000000004</v>
      </c>
      <c r="AE63" s="45">
        <f>CWG!AE15</f>
        <v>6.6539999999999999</v>
      </c>
      <c r="AF63" s="45">
        <f>CWG!AF15</f>
        <v>7.2759999999999998</v>
      </c>
      <c r="AG63" s="45">
        <f>CWG!AG15</f>
        <v>9.84</v>
      </c>
      <c r="AH63" s="45">
        <f>CWG!AH15</f>
        <v>9.6080105754946032</v>
      </c>
      <c r="AI63" s="45">
        <f>CWG!AI15</f>
        <v>10.727931434621837</v>
      </c>
      <c r="AJ63" s="45">
        <f>CWG!AJ15</f>
        <v>12.512487554254392</v>
      </c>
      <c r="AK63" s="45">
        <f>CWG!AK15</f>
        <v>11.226730201486788</v>
      </c>
      <c r="AL63" s="45">
        <f>CWG!AL15</f>
        <v>11.581530888928199</v>
      </c>
      <c r="AM63" s="45">
        <f>CWG!AM15</f>
        <v>13.611611498794588</v>
      </c>
      <c r="AN63" s="45">
        <f>CWG!AN15</f>
        <v>10.339362825015598</v>
      </c>
      <c r="AO63" s="45">
        <f>CWG!AO15</f>
        <v>11.72581678410458</v>
      </c>
      <c r="AP63" s="45">
        <f>CWG!AP15</f>
        <v>11.895358352381209</v>
      </c>
      <c r="AQ63" s="45">
        <f>CWG!AQ15</f>
        <v>12.181703222591096</v>
      </c>
      <c r="AR63" s="45">
        <f>CWG!AR15</f>
        <v>13.721114146732532</v>
      </c>
      <c r="AS63" s="45">
        <f>CWG!AS15</f>
        <v>14.552785889565456</v>
      </c>
      <c r="AT63" s="45">
        <f>CWG!AT15</f>
        <v>11.288010259967621</v>
      </c>
      <c r="AU63" s="45">
        <f>CWG!AU15</f>
        <v>10.136479229576622</v>
      </c>
      <c r="AV63" s="45">
        <f>CWG!AV15</f>
        <v>10.251426255539769</v>
      </c>
      <c r="AW63" s="45">
        <f>CWG!AW15</f>
        <v>12.920536367676675</v>
      </c>
      <c r="AX63" s="45">
        <f>CWG!AX15</f>
        <v>13.510918692794633</v>
      </c>
      <c r="AY63" s="45">
        <f>CWG!AY15</f>
        <v>11.134964104676754</v>
      </c>
      <c r="AZ63" s="45">
        <f>CWG!AZ15</f>
        <v>12.105053626827441</v>
      </c>
      <c r="BA63" s="45">
        <f>CWG!BA15</f>
        <v>16.532555408453703</v>
      </c>
      <c r="BB63" s="45">
        <f>CWG!BB15</f>
        <v>14.03018781405234</v>
      </c>
      <c r="BC63" s="45">
        <f>CWG!BC15</f>
        <v>13.110200808570823</v>
      </c>
      <c r="BD63" s="45">
        <f>CWG!BD15</f>
        <v>12.367362885797576</v>
      </c>
      <c r="BE63" s="45">
        <f>CWG!BE15</f>
        <v>10.755579959791504</v>
      </c>
      <c r="BF63" s="45">
        <f>CWG!BF15</f>
        <v>11.966728807854395</v>
      </c>
      <c r="BG63" s="45">
        <f>CWG!BG15</f>
        <v>10.919325545678078</v>
      </c>
    </row>
    <row r="64" spans="1:59" x14ac:dyDescent="0.2">
      <c r="A64" s="40"/>
      <c r="B64" s="40" t="s">
        <v>136</v>
      </c>
      <c r="C64" s="45">
        <f>'Poultry Fat'!C15</f>
        <v>32.862166959604906</v>
      </c>
      <c r="D64" s="45">
        <f>'Poultry Fat'!D15</f>
        <v>36.972448918234093</v>
      </c>
      <c r="E64" s="45">
        <f>'Poultry Fat'!E15</f>
        <v>37.554420814512994</v>
      </c>
      <c r="F64" s="45">
        <f>'Poultry Fat'!F15</f>
        <v>48.462913885055443</v>
      </c>
      <c r="G64" s="45">
        <f>'Poultry Fat'!G15</f>
        <v>52.48109090608817</v>
      </c>
      <c r="H64" s="45">
        <f>'Poultry Fat'!H15</f>
        <v>59.89988911249462</v>
      </c>
      <c r="I64" s="45">
        <f>'Poultry Fat'!I15</f>
        <v>59.782507146331781</v>
      </c>
      <c r="J64" s="45">
        <f>'Poultry Fat'!J15</f>
        <v>64.365496620735257</v>
      </c>
      <c r="K64" s="45">
        <f>'Poultry Fat'!K15</f>
        <v>66.924167689000001</v>
      </c>
      <c r="L64" s="45">
        <f>'Poultry Fat'!L15</f>
        <v>65.26307954939999</v>
      </c>
      <c r="M64" s="45">
        <f>'Poultry Fat'!M15</f>
        <v>83.742062340800004</v>
      </c>
      <c r="N64" s="45">
        <f>'Poultry Fat'!N15</f>
        <v>94.301439972200001</v>
      </c>
      <c r="O64" s="45">
        <f>'Poultry Fat'!O15</f>
        <v>107.28537506839999</v>
      </c>
      <c r="P64" s="45">
        <f>'Poultry Fat'!P15</f>
        <v>106.68831212300003</v>
      </c>
      <c r="Q64" s="45">
        <f>'Poultry Fat'!Q15</f>
        <v>94.368619377800002</v>
      </c>
      <c r="R64" s="45">
        <f>'Poultry Fat'!R15</f>
        <v>97.140359431600004</v>
      </c>
      <c r="S64" s="45">
        <f>'Poultry Fat'!S15</f>
        <v>100.24229317199999</v>
      </c>
      <c r="T64" s="45">
        <f>'Poultry Fat'!T15</f>
        <v>85.040546715374191</v>
      </c>
      <c r="U64" s="45">
        <f>'Poultry Fat'!U15</f>
        <v>104.84780666384802</v>
      </c>
      <c r="V64" s="45">
        <f>'Poultry Fat'!V15</f>
        <v>102.71241224109467</v>
      </c>
      <c r="W64" s="45">
        <f>'Poultry Fat'!W15</f>
        <v>106.20153592981494</v>
      </c>
      <c r="X64" s="45">
        <f>'Poultry Fat'!X15</f>
        <v>176.79080552019997</v>
      </c>
      <c r="Y64" s="45">
        <f>'Poultry Fat'!Y15</f>
        <v>178.22217758919999</v>
      </c>
      <c r="Z64" s="45">
        <f>'Poultry Fat'!Z15</f>
        <v>192.97435249219998</v>
      </c>
      <c r="AA64" s="45">
        <f>'Poultry Fat'!AA15</f>
        <v>135.93111286631998</v>
      </c>
      <c r="AB64" s="45">
        <f>'Poultry Fat'!AB15</f>
        <v>31.498999999999999</v>
      </c>
      <c r="AC64" s="45">
        <f>'Poultry Fat'!AC15</f>
        <v>32.604999999999997</v>
      </c>
      <c r="AD64" s="45">
        <f>'Poultry Fat'!AD15</f>
        <v>29.689</v>
      </c>
      <c r="AE64" s="45">
        <f>'Poultry Fat'!AE15</f>
        <v>31.9</v>
      </c>
      <c r="AF64" s="45">
        <f>'Poultry Fat'!AF15</f>
        <v>35.591000000000001</v>
      </c>
      <c r="AG64" s="45">
        <f>'Poultry Fat'!AG15</f>
        <v>29.704000000000001</v>
      </c>
      <c r="AH64" s="45">
        <f>'Poultry Fat'!AH15</f>
        <v>46.296051502485767</v>
      </c>
      <c r="AI64" s="45">
        <f>'Poultry Fat'!AI15</f>
        <v>68.151475190734629</v>
      </c>
      <c r="AJ64" s="45">
        <f>'Poultry Fat'!AJ15</f>
        <v>49.510603148958836</v>
      </c>
      <c r="AK64" s="45">
        <f>'Poultry Fat'!AK15</f>
        <v>43.878862538840622</v>
      </c>
      <c r="AL64" s="45">
        <f>'Poultry Fat'!AL15</f>
        <v>31.800680380182769</v>
      </c>
      <c r="AM64" s="45">
        <f>'Poultry Fat'!AM15</f>
        <v>37.839016346039699</v>
      </c>
      <c r="AN64" s="45">
        <f>'Poultry Fat'!AN15</f>
        <v>39.34949559519427</v>
      </c>
      <c r="AO64" s="45">
        <f>'Poultry Fat'!AO15</f>
        <v>39.148148420582572</v>
      </c>
      <c r="AP64" s="45">
        <f>'Poultry Fat'!AP15</f>
        <v>39.023784975691058</v>
      </c>
      <c r="AQ64" s="45">
        <f>'Poultry Fat'!AQ15</f>
        <v>32.949394353166014</v>
      </c>
      <c r="AR64" s="45">
        <f>'Poultry Fat'!AR15</f>
        <v>29.818018676756878</v>
      </c>
      <c r="AS64" s="45">
        <f>'Poultry Fat'!AS15</f>
        <v>37.953176063396086</v>
      </c>
      <c r="AT64" s="45">
        <f>'Poultry Fat'!AT15</f>
        <v>36.174573416206641</v>
      </c>
      <c r="AU64" s="45">
        <f>'Poultry Fat'!AU15</f>
        <v>39.409643383860868</v>
      </c>
      <c r="AV64" s="45">
        <f>'Poultry Fat'!AV15</f>
        <v>41.276451238384055</v>
      </c>
      <c r="AW64" s="45">
        <f>'Poultry Fat'!AW15</f>
        <v>41.139192957021294</v>
      </c>
      <c r="AX64" s="45">
        <f>'Poultry Fat'!AX15</f>
        <v>36.181645029743777</v>
      </c>
      <c r="AY64" s="45">
        <f>'Poultry Fat'!AY15</f>
        <v>44.069159972834825</v>
      </c>
      <c r="AZ64" s="45">
        <f>'Poultry Fat'!AZ15</f>
        <v>44.35060562290559</v>
      </c>
      <c r="BA64" s="45">
        <f>'Poultry Fat'!BA15</f>
        <v>50.280993236044225</v>
      </c>
      <c r="BB64" s="45">
        <f>'Poultry Fat'!BB15</f>
        <v>48.379335146202436</v>
      </c>
      <c r="BC64" s="45">
        <f>'Poultry Fat'!BC15</f>
        <v>47.580292224572247</v>
      </c>
      <c r="BD64" s="45">
        <f>'Poultry Fat'!BD15</f>
        <v>45.86686854594069</v>
      </c>
      <c r="BE64" s="45">
        <f>'Poultry Fat'!BE15</f>
        <v>40.708969272863669</v>
      </c>
      <c r="BF64" s="45">
        <f>'Poultry Fat'!BF15</f>
        <v>42.403450595039942</v>
      </c>
      <c r="BG64" s="45">
        <f>'Poultry Fat'!BG15</f>
        <v>45.502936251449398</v>
      </c>
    </row>
    <row r="65" spans="1:59" ht="12" thickBot="1" x14ac:dyDescent="0.25">
      <c r="A65" s="40"/>
      <c r="B65" s="40" t="s">
        <v>137</v>
      </c>
      <c r="C65" s="45">
        <f>DCO!C15</f>
        <v>0</v>
      </c>
      <c r="D65" s="45">
        <f>DCO!D15</f>
        <v>0</v>
      </c>
      <c r="E65" s="45">
        <f>DCO!E15</f>
        <v>0</v>
      </c>
      <c r="F65" s="45">
        <f>DCO!F15</f>
        <v>0</v>
      </c>
      <c r="G65" s="45">
        <f>DCO!G15</f>
        <v>0</v>
      </c>
      <c r="H65" s="45">
        <f>DCO!H15</f>
        <v>0</v>
      </c>
      <c r="I65" s="45">
        <f>DCO!I15</f>
        <v>0</v>
      </c>
      <c r="J65" s="45">
        <f>DCO!J15</f>
        <v>0</v>
      </c>
      <c r="K65" s="45">
        <f>DCO!K15</f>
        <v>0</v>
      </c>
      <c r="L65" s="45">
        <f>DCO!L15</f>
        <v>0</v>
      </c>
      <c r="M65" s="45">
        <f>DCO!M15</f>
        <v>0</v>
      </c>
      <c r="N65" s="45">
        <f>DCO!N15</f>
        <v>0</v>
      </c>
      <c r="O65" s="45">
        <f>DCO!O15</f>
        <v>0</v>
      </c>
      <c r="P65" s="45">
        <f>DCO!P15</f>
        <v>0</v>
      </c>
      <c r="Q65" s="45">
        <f>DCO!Q15</f>
        <v>0</v>
      </c>
      <c r="R65" s="45">
        <f>DCO!R15</f>
        <v>0</v>
      </c>
      <c r="S65" s="45">
        <f>DCO!S15</f>
        <v>50.252367590350275</v>
      </c>
      <c r="T65" s="45">
        <f>DCO!T15</f>
        <v>70.775048212999451</v>
      </c>
      <c r="U65" s="45">
        <f>DCO!U15</f>
        <v>13.915571993042072</v>
      </c>
      <c r="V65" s="45">
        <f>DCO!V15</f>
        <v>12.892923647014385</v>
      </c>
      <c r="W65" s="45">
        <f>DCO!W15</f>
        <v>90.570316123213928</v>
      </c>
      <c r="X65" s="45">
        <f>DCO!X15</f>
        <v>50.125158192538947</v>
      </c>
      <c r="Y65" s="45">
        <f>DCO!Y15</f>
        <v>42.51722441112156</v>
      </c>
      <c r="Z65" s="45">
        <f>DCO!Z15</f>
        <v>139.37484423482545</v>
      </c>
      <c r="AA65" s="45">
        <f>DCO!AA15</f>
        <v>63.384038158095564</v>
      </c>
      <c r="AB65" s="45">
        <f>DCO!AB15</f>
        <v>119.89455216141573</v>
      </c>
      <c r="AC65" s="45">
        <f>DCO!AC15</f>
        <v>119.65590519573431</v>
      </c>
      <c r="AD65" s="45">
        <f>DCO!AD15</f>
        <v>121.216135219145</v>
      </c>
      <c r="AE65" s="45">
        <f>DCO!AE15</f>
        <v>122.28265700338677</v>
      </c>
      <c r="AF65" s="45">
        <f>DCO!AF15</f>
        <v>92.822826613330491</v>
      </c>
      <c r="AG65" s="45">
        <f>DCO!AG15</f>
        <v>87.965089936290028</v>
      </c>
      <c r="AH65" s="45">
        <f>DCO!AH15</f>
        <v>180.14567893503414</v>
      </c>
      <c r="AI65" s="45">
        <f>DCO!AI15</f>
        <v>324.60361186861326</v>
      </c>
      <c r="AJ65" s="45">
        <f>DCO!AJ15</f>
        <v>372.59749525434893</v>
      </c>
      <c r="AK65" s="45">
        <f>DCO!AK15</f>
        <v>450.66114338959528</v>
      </c>
      <c r="AL65" s="45">
        <f>DCO!AL15</f>
        <v>550.52777068103592</v>
      </c>
      <c r="AM65" s="45">
        <f>DCO!AM15</f>
        <v>655.9293322437893</v>
      </c>
      <c r="AN65" s="45">
        <f>DCO!AN15</f>
        <v>752.36132868364325</v>
      </c>
      <c r="AO65" s="45">
        <f>DCO!AO15</f>
        <v>859.51405572498618</v>
      </c>
      <c r="AP65" s="45">
        <f>DCO!AP15</f>
        <v>964.08209306724871</v>
      </c>
      <c r="AQ65" s="45">
        <f>DCO!AQ15</f>
        <v>1082.7761241572052</v>
      </c>
      <c r="AR65" s="45">
        <f>DCO!AR15</f>
        <v>1198.8222736545854</v>
      </c>
      <c r="AS65" s="45">
        <f>DCO!AS15</f>
        <v>1312.7084219320773</v>
      </c>
      <c r="AT65" s="45">
        <f>DCO!AT15</f>
        <v>1451.2968571363676</v>
      </c>
      <c r="AU65" s="45">
        <f>DCO!AU15</f>
        <v>1569.3259592280851</v>
      </c>
      <c r="AV65" s="45">
        <f>DCO!AV15</f>
        <v>1756.8133799064326</v>
      </c>
      <c r="AW65" s="45">
        <f>DCO!AW15</f>
        <v>1993.4302854757102</v>
      </c>
      <c r="AX65" s="45">
        <f>DCO!AX15</f>
        <v>2149.8923120379204</v>
      </c>
      <c r="AY65" s="45">
        <f>DCO!AY15</f>
        <v>2303.5518827178239</v>
      </c>
      <c r="AZ65" s="45">
        <f>DCO!AZ15</f>
        <v>2530.8287053271165</v>
      </c>
      <c r="BA65" s="45">
        <f>DCO!BA15</f>
        <v>2670.1720692484273</v>
      </c>
      <c r="BB65" s="45">
        <f>DCO!BB15</f>
        <v>2846.0120018517368</v>
      </c>
      <c r="BC65" s="45">
        <f>DCO!BC15</f>
        <v>2947.0837601731</v>
      </c>
      <c r="BD65" s="45">
        <f>DCO!BD15</f>
        <v>3065.0811192827791</v>
      </c>
      <c r="BE65" s="45">
        <f>DCO!BE15</f>
        <v>3155.8965633252951</v>
      </c>
      <c r="BF65" s="45">
        <f>DCO!BF15</f>
        <v>3262.764156012287</v>
      </c>
      <c r="BG65" s="45">
        <f>DCO!BG15</f>
        <v>3507.6965342200629</v>
      </c>
    </row>
    <row r="66" spans="1:59" x14ac:dyDescent="0.2">
      <c r="A66" s="40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</row>
    <row r="67" spans="1:59" x14ac:dyDescent="0.2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</row>
    <row r="68" spans="1:59" x14ac:dyDescent="0.2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</row>
    <row r="69" spans="1:59" x14ac:dyDescent="0.2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</row>
    <row r="70" spans="1:59" x14ac:dyDescent="0.2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</row>
    <row r="72" spans="1:59" x14ac:dyDescent="0.2">
      <c r="B72" s="41" t="s">
        <v>83</v>
      </c>
      <c r="C72" s="51" t="e">
        <f t="shared" ref="C72:BG72" si="17">C25</f>
        <v>#REF!</v>
      </c>
      <c r="D72" s="51" t="e">
        <f t="shared" si="17"/>
        <v>#REF!</v>
      </c>
      <c r="E72" s="51" t="e">
        <f t="shared" si="17"/>
        <v>#REF!</v>
      </c>
      <c r="F72" s="51" t="e">
        <f t="shared" si="17"/>
        <v>#REF!</v>
      </c>
      <c r="G72" s="51" t="e">
        <f t="shared" si="17"/>
        <v>#REF!</v>
      </c>
      <c r="H72" s="51" t="e">
        <f t="shared" si="17"/>
        <v>#REF!</v>
      </c>
      <c r="I72" s="51" t="e">
        <f t="shared" si="17"/>
        <v>#REF!</v>
      </c>
      <c r="J72" s="51" t="e">
        <f t="shared" si="17"/>
        <v>#REF!</v>
      </c>
      <c r="K72" s="51" t="e">
        <f t="shared" si="17"/>
        <v>#REF!</v>
      </c>
      <c r="L72" s="51" t="e">
        <f t="shared" si="17"/>
        <v>#REF!</v>
      </c>
      <c r="M72" s="51" t="e">
        <f t="shared" si="17"/>
        <v>#REF!</v>
      </c>
      <c r="N72" s="51" t="e">
        <f t="shared" si="17"/>
        <v>#REF!</v>
      </c>
      <c r="O72" s="51" t="e">
        <f t="shared" si="17"/>
        <v>#REF!</v>
      </c>
      <c r="P72" s="51" t="e">
        <f t="shared" si="17"/>
        <v>#REF!</v>
      </c>
      <c r="Q72" s="51" t="e">
        <f t="shared" si="17"/>
        <v>#REF!</v>
      </c>
      <c r="R72" s="51" t="e">
        <f t="shared" si="17"/>
        <v>#REF!</v>
      </c>
      <c r="S72" s="51" t="e">
        <f t="shared" si="17"/>
        <v>#REF!</v>
      </c>
      <c r="T72" s="51" t="e">
        <f t="shared" si="17"/>
        <v>#REF!</v>
      </c>
      <c r="U72" s="51" t="e">
        <f t="shared" si="17"/>
        <v>#REF!</v>
      </c>
      <c r="V72" s="51" t="e">
        <f t="shared" si="17"/>
        <v>#REF!</v>
      </c>
      <c r="W72" s="51" t="e">
        <f t="shared" si="17"/>
        <v>#REF!</v>
      </c>
      <c r="X72" s="51" t="e">
        <f t="shared" si="17"/>
        <v>#REF!</v>
      </c>
      <c r="Y72" s="51" t="e">
        <f t="shared" si="17"/>
        <v>#REF!</v>
      </c>
      <c r="Z72" s="51" t="e">
        <f t="shared" si="17"/>
        <v>#REF!</v>
      </c>
      <c r="AA72" s="51" t="e">
        <f t="shared" si="17"/>
        <v>#REF!</v>
      </c>
      <c r="AB72" s="51">
        <f t="shared" si="17"/>
        <v>16539.718726546955</v>
      </c>
      <c r="AC72" s="51">
        <f t="shared" si="17"/>
        <v>15600.560075292857</v>
      </c>
      <c r="AD72" s="51">
        <f t="shared" si="17"/>
        <v>16764.86287710712</v>
      </c>
      <c r="AE72" s="51">
        <f t="shared" si="17"/>
        <v>21212.129892023877</v>
      </c>
      <c r="AF72" s="51">
        <f t="shared" si="17"/>
        <v>25252.8590403333</v>
      </c>
      <c r="AG72" s="51">
        <f t="shared" si="17"/>
        <v>27514.681451107921</v>
      </c>
      <c r="AH72" s="51">
        <f t="shared" si="17"/>
        <v>29550.330243950844</v>
      </c>
      <c r="AI72" s="51">
        <f t="shared" si="17"/>
        <v>34460.303287043003</v>
      </c>
      <c r="AJ72" s="51">
        <f t="shared" si="17"/>
        <v>40467.134260453793</v>
      </c>
      <c r="AK72" s="51">
        <f t="shared" si="17"/>
        <v>45342.656340886148</v>
      </c>
      <c r="AL72" s="51">
        <f t="shared" si="17"/>
        <v>52095.226363322196</v>
      </c>
      <c r="AM72" s="51">
        <f t="shared" si="17"/>
        <v>60456.184739917939</v>
      </c>
      <c r="AN72" s="51">
        <f t="shared" si="17"/>
        <v>68117.363352733242</v>
      </c>
      <c r="AO72" s="51">
        <f t="shared" si="17"/>
        <v>77495.434128453431</v>
      </c>
      <c r="AP72" s="51">
        <f t="shared" si="17"/>
        <v>86570.921142308245</v>
      </c>
      <c r="AQ72" s="51">
        <f t="shared" si="17"/>
        <v>91316.048603921925</v>
      </c>
      <c r="AR72" s="51">
        <f t="shared" si="17"/>
        <v>97348.233710664106</v>
      </c>
      <c r="AS72" s="51">
        <f t="shared" si="17"/>
        <v>103002.44799102243</v>
      </c>
      <c r="AT72" s="51">
        <f t="shared" si="17"/>
        <v>109717.77622204836</v>
      </c>
      <c r="AU72" s="51">
        <f t="shared" si="17"/>
        <v>120281.76799643619</v>
      </c>
      <c r="AV72" s="51">
        <f t="shared" si="17"/>
        <v>127328.08326291636</v>
      </c>
      <c r="AW72" s="51">
        <f t="shared" si="17"/>
        <v>130744.66449085923</v>
      </c>
      <c r="AX72" s="51">
        <f t="shared" si="17"/>
        <v>138440.08982359112</v>
      </c>
      <c r="AY72" s="51">
        <f t="shared" si="17"/>
        <v>146356.7225243639</v>
      </c>
      <c r="AZ72" s="51">
        <f t="shared" si="17"/>
        <v>154023.86183448948</v>
      </c>
      <c r="BA72" s="51">
        <f t="shared" si="17"/>
        <v>160096.87157403392</v>
      </c>
      <c r="BB72" s="51">
        <f t="shared" si="17"/>
        <v>164532.81197432181</v>
      </c>
      <c r="BC72" s="51">
        <f t="shared" si="17"/>
        <v>170303.68392843648</v>
      </c>
      <c r="BD72" s="51">
        <f t="shared" si="17"/>
        <v>176551.1043373557</v>
      </c>
      <c r="BE72" s="51">
        <f t="shared" si="17"/>
        <v>185797.75306982009</v>
      </c>
      <c r="BF72" s="51">
        <f t="shared" si="17"/>
        <v>192357.14991907723</v>
      </c>
      <c r="BG72" s="51">
        <f t="shared" si="17"/>
        <v>200378.557354794</v>
      </c>
    </row>
    <row r="73" spans="1:59" x14ac:dyDescent="0.2">
      <c r="B73" s="41" t="s">
        <v>84</v>
      </c>
      <c r="C73" s="51" t="e">
        <f>C59</f>
        <v>#REF!</v>
      </c>
      <c r="D73" s="51" t="e">
        <f t="shared" ref="D73:BG73" si="18">D59</f>
        <v>#REF!</v>
      </c>
      <c r="E73" s="51" t="e">
        <f t="shared" si="18"/>
        <v>#REF!</v>
      </c>
      <c r="F73" s="51" t="e">
        <f t="shared" si="18"/>
        <v>#REF!</v>
      </c>
      <c r="G73" s="51" t="e">
        <f t="shared" si="18"/>
        <v>#REF!</v>
      </c>
      <c r="H73" s="51" t="e">
        <f t="shared" si="18"/>
        <v>#REF!</v>
      </c>
      <c r="I73" s="51" t="e">
        <f t="shared" si="18"/>
        <v>#REF!</v>
      </c>
      <c r="J73" s="51" t="e">
        <f t="shared" si="18"/>
        <v>#REF!</v>
      </c>
      <c r="K73" s="51" t="e">
        <f t="shared" si="18"/>
        <v>#REF!</v>
      </c>
      <c r="L73" s="51" t="e">
        <f t="shared" si="18"/>
        <v>#REF!</v>
      </c>
      <c r="M73" s="51" t="e">
        <f t="shared" si="18"/>
        <v>#REF!</v>
      </c>
      <c r="N73" s="51" t="e">
        <f t="shared" si="18"/>
        <v>#REF!</v>
      </c>
      <c r="O73" s="51" t="e">
        <f t="shared" si="18"/>
        <v>#REF!</v>
      </c>
      <c r="P73" s="51" t="e">
        <f t="shared" si="18"/>
        <v>#REF!</v>
      </c>
      <c r="Q73" s="51" t="e">
        <f t="shared" si="18"/>
        <v>#REF!</v>
      </c>
      <c r="R73" s="51" t="e">
        <f t="shared" si="18"/>
        <v>#REF!</v>
      </c>
      <c r="S73" s="51" t="e">
        <f t="shared" si="18"/>
        <v>#REF!</v>
      </c>
      <c r="T73" s="51" t="e">
        <f t="shared" si="18"/>
        <v>#REF!</v>
      </c>
      <c r="U73" s="51" t="e">
        <f t="shared" si="18"/>
        <v>#REF!</v>
      </c>
      <c r="V73" s="51" t="e">
        <f t="shared" si="18"/>
        <v>#REF!</v>
      </c>
      <c r="W73" s="51" t="e">
        <f t="shared" si="18"/>
        <v>#REF!</v>
      </c>
      <c r="X73" s="51" t="e">
        <f t="shared" si="18"/>
        <v>#REF!</v>
      </c>
      <c r="Y73" s="51" t="e">
        <f t="shared" si="18"/>
        <v>#REF!</v>
      </c>
      <c r="Z73" s="51" t="e">
        <f t="shared" si="18"/>
        <v>#REF!</v>
      </c>
      <c r="AA73" s="51" t="e">
        <f t="shared" si="18"/>
        <v>#REF!</v>
      </c>
      <c r="AB73" s="51">
        <f t="shared" si="18"/>
        <v>352.53355216141574</v>
      </c>
      <c r="AC73" s="51">
        <f t="shared" si="18"/>
        <v>340.97660519573429</v>
      </c>
      <c r="AD73" s="51">
        <f t="shared" si="18"/>
        <v>341.16863521914502</v>
      </c>
      <c r="AE73" s="51">
        <f t="shared" si="18"/>
        <v>378.97495700338675</v>
      </c>
      <c r="AF73" s="51">
        <f t="shared" si="18"/>
        <v>320.60782661333053</v>
      </c>
      <c r="AG73" s="51">
        <f t="shared" si="18"/>
        <v>288.94908993629002</v>
      </c>
      <c r="AH73" s="51">
        <f t="shared" si="18"/>
        <v>1281.6594386281333</v>
      </c>
      <c r="AI73" s="51">
        <f t="shared" si="18"/>
        <v>2189.0295012179668</v>
      </c>
      <c r="AJ73" s="51">
        <f t="shared" si="18"/>
        <v>3947.4328846983299</v>
      </c>
      <c r="AK73" s="51">
        <f t="shared" si="18"/>
        <v>7365.9412810255799</v>
      </c>
      <c r="AL73" s="51">
        <f t="shared" si="18"/>
        <v>9995.6360642579621</v>
      </c>
      <c r="AM73" s="51">
        <f t="shared" si="18"/>
        <v>12917.600951520151</v>
      </c>
      <c r="AN73" s="51">
        <f t="shared" si="18"/>
        <v>16076.454138266014</v>
      </c>
      <c r="AO73" s="51">
        <f t="shared" si="18"/>
        <v>20041.066075496448</v>
      </c>
      <c r="AP73" s="51">
        <f t="shared" si="18"/>
        <v>25638.548457675588</v>
      </c>
      <c r="AQ73" s="51">
        <f t="shared" si="18"/>
        <v>31586.445370352758</v>
      </c>
      <c r="AR73" s="51">
        <f t="shared" si="18"/>
        <v>37477.65453197719</v>
      </c>
      <c r="AS73" s="51">
        <f t="shared" si="18"/>
        <v>41851.13001884296</v>
      </c>
      <c r="AT73" s="51">
        <f t="shared" si="18"/>
        <v>47671.924971147884</v>
      </c>
      <c r="AU73" s="51">
        <f t="shared" si="18"/>
        <v>53980.116977358601</v>
      </c>
      <c r="AV73" s="51">
        <f t="shared" si="18"/>
        <v>58782.738735558145</v>
      </c>
      <c r="AW73" s="51">
        <f t="shared" si="18"/>
        <v>64261.076560396046</v>
      </c>
      <c r="AX73" s="51">
        <f t="shared" si="18"/>
        <v>69133.8914409805</v>
      </c>
      <c r="AY73" s="51">
        <f t="shared" si="18"/>
        <v>73925.05463293349</v>
      </c>
      <c r="AZ73" s="51">
        <f t="shared" si="18"/>
        <v>78130.363708782796</v>
      </c>
      <c r="BA73" s="51">
        <f t="shared" si="18"/>
        <v>81902.624468018694</v>
      </c>
      <c r="BB73" s="51">
        <f t="shared" si="18"/>
        <v>86935.399795263977</v>
      </c>
      <c r="BC73" s="51">
        <f t="shared" si="18"/>
        <v>91414.691629653869</v>
      </c>
      <c r="BD73" s="51">
        <f t="shared" si="18"/>
        <v>98397.896749274922</v>
      </c>
      <c r="BE73" s="51">
        <f t="shared" si="18"/>
        <v>103510.71919508402</v>
      </c>
      <c r="BF73" s="51">
        <f t="shared" si="18"/>
        <v>110026.45493778387</v>
      </c>
      <c r="BG73" s="51">
        <f t="shared" si="18"/>
        <v>115473.7693642954</v>
      </c>
    </row>
    <row r="74" spans="1:59" x14ac:dyDescent="0.2">
      <c r="B74" s="41" t="s">
        <v>85</v>
      </c>
      <c r="C74" s="51" t="e">
        <f>C72-C73</f>
        <v>#REF!</v>
      </c>
      <c r="D74" s="51" t="e">
        <f t="shared" ref="D74:BG74" si="19">D72-D73</f>
        <v>#REF!</v>
      </c>
      <c r="E74" s="51" t="e">
        <f t="shared" si="19"/>
        <v>#REF!</v>
      </c>
      <c r="F74" s="51" t="e">
        <f t="shared" si="19"/>
        <v>#REF!</v>
      </c>
      <c r="G74" s="51" t="e">
        <f t="shared" si="19"/>
        <v>#REF!</v>
      </c>
      <c r="H74" s="51" t="e">
        <f t="shared" si="19"/>
        <v>#REF!</v>
      </c>
      <c r="I74" s="51" t="e">
        <f t="shared" si="19"/>
        <v>#REF!</v>
      </c>
      <c r="J74" s="51" t="e">
        <f t="shared" si="19"/>
        <v>#REF!</v>
      </c>
      <c r="K74" s="51" t="e">
        <f t="shared" si="19"/>
        <v>#REF!</v>
      </c>
      <c r="L74" s="51" t="e">
        <f t="shared" si="19"/>
        <v>#REF!</v>
      </c>
      <c r="M74" s="51" t="e">
        <f t="shared" si="19"/>
        <v>#REF!</v>
      </c>
      <c r="N74" s="51" t="e">
        <f t="shared" si="19"/>
        <v>#REF!</v>
      </c>
      <c r="O74" s="51" t="e">
        <f t="shared" si="19"/>
        <v>#REF!</v>
      </c>
      <c r="P74" s="51" t="e">
        <f t="shared" si="19"/>
        <v>#REF!</v>
      </c>
      <c r="Q74" s="51" t="e">
        <f t="shared" si="19"/>
        <v>#REF!</v>
      </c>
      <c r="R74" s="51" t="e">
        <f t="shared" si="19"/>
        <v>#REF!</v>
      </c>
      <c r="S74" s="51" t="e">
        <f t="shared" si="19"/>
        <v>#REF!</v>
      </c>
      <c r="T74" s="51" t="e">
        <f t="shared" si="19"/>
        <v>#REF!</v>
      </c>
      <c r="U74" s="51" t="e">
        <f t="shared" si="19"/>
        <v>#REF!</v>
      </c>
      <c r="V74" s="51" t="e">
        <f t="shared" si="19"/>
        <v>#REF!</v>
      </c>
      <c r="W74" s="51" t="e">
        <f t="shared" si="19"/>
        <v>#REF!</v>
      </c>
      <c r="X74" s="51" t="e">
        <f t="shared" si="19"/>
        <v>#REF!</v>
      </c>
      <c r="Y74" s="51" t="e">
        <f t="shared" si="19"/>
        <v>#REF!</v>
      </c>
      <c r="Z74" s="51" t="e">
        <f t="shared" si="19"/>
        <v>#REF!</v>
      </c>
      <c r="AA74" s="51" t="e">
        <f t="shared" si="19"/>
        <v>#REF!</v>
      </c>
      <c r="AB74" s="51">
        <f t="shared" si="19"/>
        <v>16187.185174385539</v>
      </c>
      <c r="AC74" s="51">
        <f t="shared" si="19"/>
        <v>15259.583470097123</v>
      </c>
      <c r="AD74" s="51">
        <f t="shared" si="19"/>
        <v>16423.694241887973</v>
      </c>
      <c r="AE74" s="51">
        <f t="shared" si="19"/>
        <v>20833.154935020491</v>
      </c>
      <c r="AF74" s="51">
        <f t="shared" si="19"/>
        <v>24932.25121371997</v>
      </c>
      <c r="AG74" s="51">
        <f t="shared" si="19"/>
        <v>27225.732361171631</v>
      </c>
      <c r="AH74" s="51">
        <f t="shared" si="19"/>
        <v>28268.670805322712</v>
      </c>
      <c r="AI74" s="51">
        <f t="shared" si="19"/>
        <v>32271.273785825037</v>
      </c>
      <c r="AJ74" s="51">
        <f t="shared" si="19"/>
        <v>36519.701375755467</v>
      </c>
      <c r="AK74" s="51">
        <f t="shared" si="19"/>
        <v>37976.715059860566</v>
      </c>
      <c r="AL74" s="51">
        <f t="shared" si="19"/>
        <v>42099.590299064235</v>
      </c>
      <c r="AM74" s="51">
        <f t="shared" si="19"/>
        <v>47538.583788397787</v>
      </c>
      <c r="AN74" s="51">
        <f t="shared" si="19"/>
        <v>52040.909214467232</v>
      </c>
      <c r="AO74" s="51">
        <f t="shared" si="19"/>
        <v>57454.368052956983</v>
      </c>
      <c r="AP74" s="51">
        <f t="shared" si="19"/>
        <v>60932.372684632661</v>
      </c>
      <c r="AQ74" s="51">
        <f t="shared" si="19"/>
        <v>59729.603233569171</v>
      </c>
      <c r="AR74" s="51">
        <f t="shared" si="19"/>
        <v>59870.579178686916</v>
      </c>
      <c r="AS74" s="51">
        <f t="shared" si="19"/>
        <v>61151.317972179473</v>
      </c>
      <c r="AT74" s="51">
        <f t="shared" si="19"/>
        <v>62045.851250900472</v>
      </c>
      <c r="AU74" s="51">
        <f t="shared" si="19"/>
        <v>66301.651019077588</v>
      </c>
      <c r="AV74" s="51">
        <f t="shared" si="19"/>
        <v>68545.344527358218</v>
      </c>
      <c r="AW74" s="51">
        <f t="shared" si="19"/>
        <v>66483.587930463182</v>
      </c>
      <c r="AX74" s="51">
        <f t="shared" si="19"/>
        <v>69306.198382610615</v>
      </c>
      <c r="AY74" s="51">
        <f t="shared" si="19"/>
        <v>72431.667891430407</v>
      </c>
      <c r="AZ74" s="51">
        <f t="shared" si="19"/>
        <v>75893.498125706683</v>
      </c>
      <c r="BA74" s="51">
        <f t="shared" si="19"/>
        <v>78194.247106015231</v>
      </c>
      <c r="BB74" s="51">
        <f t="shared" si="19"/>
        <v>77597.412179057836</v>
      </c>
      <c r="BC74" s="51">
        <f t="shared" si="19"/>
        <v>78888.992298782614</v>
      </c>
      <c r="BD74" s="51">
        <f t="shared" si="19"/>
        <v>78153.207588080782</v>
      </c>
      <c r="BE74" s="51">
        <f t="shared" si="19"/>
        <v>82287.033874736066</v>
      </c>
      <c r="BF74" s="51">
        <f t="shared" si="19"/>
        <v>82330.69498129336</v>
      </c>
      <c r="BG74" s="51">
        <f t="shared" si="19"/>
        <v>84904.787990498604</v>
      </c>
    </row>
    <row r="75" spans="1:59" x14ac:dyDescent="0.2">
      <c r="B75" s="41" t="s">
        <v>86</v>
      </c>
      <c r="C75" s="52" t="e">
        <f>C74-C57</f>
        <v>#REF!</v>
      </c>
      <c r="D75" s="52" t="e">
        <f t="shared" ref="D75:BG75" si="20">D74-D57</f>
        <v>#REF!</v>
      </c>
      <c r="E75" s="52" t="e">
        <f t="shared" si="20"/>
        <v>#REF!</v>
      </c>
      <c r="F75" s="52" t="e">
        <f t="shared" si="20"/>
        <v>#REF!</v>
      </c>
      <c r="G75" s="52" t="e">
        <f t="shared" si="20"/>
        <v>#REF!</v>
      </c>
      <c r="H75" s="52" t="e">
        <f t="shared" si="20"/>
        <v>#REF!</v>
      </c>
      <c r="I75" s="52" t="e">
        <f t="shared" si="20"/>
        <v>#REF!</v>
      </c>
      <c r="J75" s="52" t="e">
        <f t="shared" si="20"/>
        <v>#REF!</v>
      </c>
      <c r="K75" s="52" t="e">
        <f t="shared" si="20"/>
        <v>#REF!</v>
      </c>
      <c r="L75" s="52" t="e">
        <f t="shared" si="20"/>
        <v>#REF!</v>
      </c>
      <c r="M75" s="52" t="e">
        <f t="shared" si="20"/>
        <v>#REF!</v>
      </c>
      <c r="N75" s="52" t="e">
        <f t="shared" si="20"/>
        <v>#REF!</v>
      </c>
      <c r="O75" s="52" t="e">
        <f t="shared" si="20"/>
        <v>#REF!</v>
      </c>
      <c r="P75" s="52" t="e">
        <f t="shared" si="20"/>
        <v>#REF!</v>
      </c>
      <c r="Q75" s="52" t="e">
        <f t="shared" si="20"/>
        <v>#REF!</v>
      </c>
      <c r="R75" s="52" t="e">
        <f t="shared" si="20"/>
        <v>#REF!</v>
      </c>
      <c r="S75" s="52" t="e">
        <f t="shared" si="20"/>
        <v>#REF!</v>
      </c>
      <c r="T75" s="52" t="e">
        <f t="shared" si="20"/>
        <v>#REF!</v>
      </c>
      <c r="U75" s="52" t="e">
        <f t="shared" si="20"/>
        <v>#REF!</v>
      </c>
      <c r="V75" s="52" t="e">
        <f t="shared" si="20"/>
        <v>#REF!</v>
      </c>
      <c r="W75" s="52" t="e">
        <f t="shared" si="20"/>
        <v>#REF!</v>
      </c>
      <c r="X75" s="52" t="e">
        <f t="shared" si="20"/>
        <v>#REF!</v>
      </c>
      <c r="Y75" s="52" t="e">
        <f t="shared" si="20"/>
        <v>#REF!</v>
      </c>
      <c r="Z75" s="52" t="e">
        <f t="shared" si="20"/>
        <v>#REF!</v>
      </c>
      <c r="AA75" s="52" t="e">
        <f t="shared" si="20"/>
        <v>#REF!</v>
      </c>
      <c r="AB75" s="52">
        <f t="shared" si="20"/>
        <v>0</v>
      </c>
      <c r="AC75" s="52">
        <f t="shared" si="20"/>
        <v>0</v>
      </c>
      <c r="AD75" s="52">
        <f t="shared" si="20"/>
        <v>0</v>
      </c>
      <c r="AE75" s="52">
        <f t="shared" si="20"/>
        <v>0</v>
      </c>
      <c r="AF75" s="52">
        <f t="shared" si="20"/>
        <v>0</v>
      </c>
      <c r="AG75" s="52">
        <f t="shared" si="20"/>
        <v>0</v>
      </c>
      <c r="AH75" s="52">
        <f t="shared" si="20"/>
        <v>0</v>
      </c>
      <c r="AI75" s="52">
        <f t="shared" si="20"/>
        <v>0</v>
      </c>
      <c r="AJ75" s="52">
        <f t="shared" si="20"/>
        <v>0</v>
      </c>
      <c r="AK75" s="52">
        <f t="shared" si="20"/>
        <v>0</v>
      </c>
      <c r="AL75" s="52">
        <f t="shared" si="20"/>
        <v>0</v>
      </c>
      <c r="AM75" s="52">
        <f t="shared" si="20"/>
        <v>0</v>
      </c>
      <c r="AN75" s="52">
        <f t="shared" si="20"/>
        <v>0</v>
      </c>
      <c r="AO75" s="52">
        <f t="shared" si="20"/>
        <v>0</v>
      </c>
      <c r="AP75" s="52">
        <f t="shared" si="20"/>
        <v>0</v>
      </c>
      <c r="AQ75" s="52">
        <f t="shared" si="20"/>
        <v>0</v>
      </c>
      <c r="AR75" s="52">
        <f t="shared" si="20"/>
        <v>0</v>
      </c>
      <c r="AS75" s="52">
        <f t="shared" si="20"/>
        <v>0</v>
      </c>
      <c r="AT75" s="52">
        <f t="shared" si="20"/>
        <v>0</v>
      </c>
      <c r="AU75" s="52">
        <f t="shared" si="20"/>
        <v>0</v>
      </c>
      <c r="AV75" s="52">
        <f t="shared" si="20"/>
        <v>0</v>
      </c>
      <c r="AW75" s="52">
        <f t="shared" si="20"/>
        <v>0</v>
      </c>
      <c r="AX75" s="52">
        <f t="shared" si="20"/>
        <v>0</v>
      </c>
      <c r="AY75" s="52">
        <f t="shared" si="20"/>
        <v>0</v>
      </c>
      <c r="AZ75" s="52">
        <f t="shared" si="20"/>
        <v>0</v>
      </c>
      <c r="BA75" s="52">
        <f t="shared" si="20"/>
        <v>0</v>
      </c>
      <c r="BB75" s="52">
        <f t="shared" si="20"/>
        <v>0</v>
      </c>
      <c r="BC75" s="52">
        <f t="shared" si="20"/>
        <v>0</v>
      </c>
      <c r="BD75" s="52">
        <f t="shared" si="20"/>
        <v>0</v>
      </c>
      <c r="BE75" s="52">
        <f t="shared" si="20"/>
        <v>0</v>
      </c>
      <c r="BF75" s="52">
        <f t="shared" si="20"/>
        <v>0</v>
      </c>
      <c r="BG75" s="52">
        <f t="shared" si="20"/>
        <v>0</v>
      </c>
    </row>
    <row r="77" spans="1:59" x14ac:dyDescent="0.2">
      <c r="A77" s="41" t="s">
        <v>125</v>
      </c>
    </row>
    <row r="78" spans="1:59" x14ac:dyDescent="0.2">
      <c r="B78" s="41" t="s">
        <v>150</v>
      </c>
      <c r="AE78" s="51">
        <f>SUM('[5]US EIA'!$K$282:$K$293)</f>
        <v>606.82999999999993</v>
      </c>
      <c r="AF78" s="51">
        <f>SUM('[5]US EIA'!$K$294:$K$305)</f>
        <v>174.06808100000001</v>
      </c>
      <c r="AG78" s="51">
        <f>SUM('[5]US EIA'!$K$306:$K$317)</f>
        <v>215.37661500000002</v>
      </c>
      <c r="AH78" s="51">
        <f>SUM('[5]US EIA'!$K$318:$K$329)</f>
        <v>227.18265132681267</v>
      </c>
      <c r="AI78" s="51">
        <f>SUM('[5]US EIA'!$K$330:$K$341)</f>
        <v>242.26095195183305</v>
      </c>
      <c r="AJ78" s="51">
        <f>SUM('[5]US EIA'!$K$342:$K$353)</f>
        <v>267.50810501317778</v>
      </c>
      <c r="AK78" s="51">
        <f>SUM('[5]US EIA'!$K$354:$K$365)</f>
        <v>169.43146400073377</v>
      </c>
      <c r="AL78" s="51">
        <f>SUM('[5]US EIA'!$K$366:$K$377)</f>
        <v>201.95561903906503</v>
      </c>
      <c r="AM78" s="51">
        <f>SUM('[5]US EIA'!$K$378:$K$389)</f>
        <v>208.82011382708552</v>
      </c>
      <c r="AN78" s="51">
        <f>SUM('[5]US EIA'!$K$390:$K$401)</f>
        <v>210.1919889831031</v>
      </c>
      <c r="AO78" s="51">
        <f>SUM('[5]US EIA'!$K$402:$K$413)</f>
        <v>219.278077819929</v>
      </c>
      <c r="AP78" s="51">
        <f>SUM('[5]US EIA'!$K$414:$K$425)</f>
        <v>197.48870282698414</v>
      </c>
    </row>
    <row r="79" spans="1:59" x14ac:dyDescent="0.2">
      <c r="B79" s="41" t="s">
        <v>151</v>
      </c>
      <c r="AE79" s="51">
        <f t="shared" ref="AE79:AP79" si="21">AE11-SUM(AE12:AE17)-AE78</f>
        <v>1447.2289707393011</v>
      </c>
      <c r="AF79" s="51">
        <f t="shared" si="21"/>
        <v>1562.8353714446798</v>
      </c>
      <c r="AG79" s="51">
        <f t="shared" si="21"/>
        <v>641.97410283680176</v>
      </c>
      <c r="AH79" s="51">
        <f t="shared" si="21"/>
        <v>554.09870352744906</v>
      </c>
      <c r="AI79" s="51">
        <f t="shared" si="21"/>
        <v>1305.8008675372519</v>
      </c>
      <c r="AJ79" s="51">
        <f t="shared" si="21"/>
        <v>1299.4552288522461</v>
      </c>
      <c r="AK79" s="51">
        <f t="shared" si="21"/>
        <v>1304.099624643723</v>
      </c>
      <c r="AL79" s="51">
        <f t="shared" si="21"/>
        <v>1282.9752642390486</v>
      </c>
      <c r="AM79" s="51">
        <f t="shared" si="21"/>
        <v>1169.2876260713742</v>
      </c>
      <c r="AN79" s="51">
        <f t="shared" si="21"/>
        <v>1131.1765205687527</v>
      </c>
      <c r="AO79" s="51">
        <f t="shared" si="21"/>
        <v>1067.3003881020863</v>
      </c>
      <c r="AP79" s="51">
        <f t="shared" si="21"/>
        <v>1067.5894998576296</v>
      </c>
    </row>
    <row r="80" spans="1:59" x14ac:dyDescent="0.2">
      <c r="B80" s="41" t="s">
        <v>152</v>
      </c>
      <c r="AE80" s="51">
        <v>352.1456895853438</v>
      </c>
      <c r="AF80" s="51">
        <v>874.03136020882289</v>
      </c>
      <c r="AG80" s="51">
        <v>405.38327141002918</v>
      </c>
      <c r="AH80" s="51">
        <v>305.93136481586731</v>
      </c>
      <c r="AI80" s="51">
        <v>275.96876884737634</v>
      </c>
      <c r="AJ80" s="51">
        <v>253.62336242047633</v>
      </c>
      <c r="AK80" s="51">
        <v>224.11907432771699</v>
      </c>
      <c r="AL80" s="51">
        <v>199.44919768003672</v>
      </c>
      <c r="AM80" s="51">
        <v>101.97945255096582</v>
      </c>
      <c r="AN80" s="51">
        <v>57.657391016774945</v>
      </c>
      <c r="AO80" s="51">
        <v>33.895806849407975</v>
      </c>
      <c r="AP80" s="51">
        <v>96.580006860502266</v>
      </c>
    </row>
    <row r="82" spans="1:42" x14ac:dyDescent="0.2">
      <c r="A82" s="41" t="s">
        <v>129</v>
      </c>
    </row>
    <row r="83" spans="1:42" x14ac:dyDescent="0.2">
      <c r="B83" s="41" t="s">
        <v>153</v>
      </c>
      <c r="AE83" s="51">
        <v>1095.083281153956</v>
      </c>
      <c r="AF83" s="51">
        <v>688.80401123585318</v>
      </c>
      <c r="AG83" s="51">
        <v>236.59083142677383</v>
      </c>
      <c r="AH83" s="51">
        <v>248.16733871158021</v>
      </c>
      <c r="AI83" s="51">
        <v>1029.8320986898761</v>
      </c>
      <c r="AJ83" s="51">
        <v>1045.8318664317694</v>
      </c>
      <c r="AK83" s="51">
        <v>1079.9805503160069</v>
      </c>
      <c r="AL83" s="51">
        <v>1083.5260665590095</v>
      </c>
      <c r="AM83" s="51">
        <v>1067.3081735204105</v>
      </c>
      <c r="AN83" s="51">
        <v>1073.5191295519767</v>
      </c>
      <c r="AO83" s="51">
        <v>1033.4045812526792</v>
      </c>
      <c r="AP83" s="51">
        <v>971.00949299712693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95DB-B820-4A9A-A6D3-D995A1766FA7}">
  <dimension ref="A1:BT47"/>
  <sheetViews>
    <sheetView workbookViewId="0">
      <pane xSplit="2" ySplit="3" topLeftCell="AB4" activePane="bottomRight" state="frozen"/>
      <selection activeCell="M14" sqref="M14"/>
      <selection pane="topRight" activeCell="M14" sqref="M14"/>
      <selection pane="bottomLeft" activeCell="M14" sqref="M14"/>
      <selection pane="bottomRight" activeCell="M14" sqref="M14"/>
    </sheetView>
  </sheetViews>
  <sheetFormatPr defaultColWidth="9" defaultRowHeight="11.25" x14ac:dyDescent="0.2"/>
  <cols>
    <col min="1" max="1" width="4.1640625" style="41" customWidth="1"/>
    <col min="2" max="2" width="58.33203125" style="41" customWidth="1"/>
    <col min="3" max="27" width="9.1640625" style="41" hidden="1" customWidth="1"/>
    <col min="28" max="31" width="9.1640625" style="41" customWidth="1"/>
    <col min="32" max="40" width="9.1640625" style="41" bestFit="1" customWidth="1"/>
    <col min="41" max="59" width="9.33203125" style="41" customWidth="1"/>
    <col min="60" max="61" width="9" style="41"/>
    <col min="62" max="68" width="9.1640625" style="41" bestFit="1" customWidth="1"/>
    <col min="69" max="71" width="9.6640625" style="41" bestFit="1" customWidth="1"/>
    <col min="72" max="72" width="9.1640625" style="41" bestFit="1" customWidth="1"/>
    <col min="73" max="16384" width="9" style="41"/>
  </cols>
  <sheetData>
    <row r="1" spans="1:7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71" ht="12" thickBot="1" x14ac:dyDescent="0.25">
      <c r="A2" s="40"/>
      <c r="B2" s="40" t="s">
        <v>154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 spans="1:71" ht="12" thickBot="1" x14ac:dyDescent="0.25">
      <c r="A3" s="40"/>
      <c r="B3" s="58"/>
      <c r="C3" s="44">
        <v>1994</v>
      </c>
      <c r="D3" s="44">
        <v>1995</v>
      </c>
      <c r="E3" s="44">
        <v>1996</v>
      </c>
      <c r="F3" s="44">
        <v>1997</v>
      </c>
      <c r="G3" s="44">
        <v>1998</v>
      </c>
      <c r="H3" s="44">
        <v>1999</v>
      </c>
      <c r="I3" s="44">
        <v>2000</v>
      </c>
      <c r="J3" s="44">
        <v>2001</v>
      </c>
      <c r="K3" s="44">
        <v>2002</v>
      </c>
      <c r="L3" s="44">
        <v>2003</v>
      </c>
      <c r="M3" s="44">
        <v>2004</v>
      </c>
      <c r="N3" s="44">
        <v>2005</v>
      </c>
      <c r="O3" s="44">
        <v>2006</v>
      </c>
      <c r="P3" s="44">
        <v>2007</v>
      </c>
      <c r="Q3" s="44">
        <v>2008</v>
      </c>
      <c r="R3" s="44">
        <v>2009</v>
      </c>
      <c r="S3" s="44">
        <v>2010</v>
      </c>
      <c r="T3" s="44">
        <v>2011</v>
      </c>
      <c r="U3" s="44">
        <v>2012</v>
      </c>
      <c r="V3" s="44">
        <v>2013</v>
      </c>
      <c r="W3" s="44">
        <v>2014</v>
      </c>
      <c r="X3" s="44">
        <v>2015</v>
      </c>
      <c r="Y3" s="44">
        <v>2016</v>
      </c>
      <c r="Z3" s="44">
        <v>2017</v>
      </c>
      <c r="AA3" s="44">
        <v>2018</v>
      </c>
      <c r="AB3" s="44">
        <v>2019</v>
      </c>
      <c r="AC3" s="44">
        <v>2020</v>
      </c>
      <c r="AD3" s="44">
        <v>2021</v>
      </c>
      <c r="AE3" s="44">
        <v>2022</v>
      </c>
      <c r="AF3" s="44">
        <v>2023</v>
      </c>
      <c r="AG3" s="44">
        <v>2024</v>
      </c>
      <c r="AH3" s="44">
        <v>2025</v>
      </c>
      <c r="AI3" s="44">
        <v>2026</v>
      </c>
      <c r="AJ3" s="44">
        <v>2027</v>
      </c>
      <c r="AK3" s="44">
        <v>2028</v>
      </c>
      <c r="AL3" s="44">
        <v>2029</v>
      </c>
      <c r="AM3" s="44">
        <v>2030</v>
      </c>
      <c r="AN3" s="44">
        <v>2031</v>
      </c>
      <c r="AO3" s="44">
        <v>2032</v>
      </c>
      <c r="AP3" s="44">
        <v>2033</v>
      </c>
      <c r="AQ3" s="44">
        <v>2034</v>
      </c>
      <c r="AR3" s="44">
        <v>2035</v>
      </c>
      <c r="AS3" s="44">
        <v>2036</v>
      </c>
      <c r="AT3" s="44">
        <v>2037</v>
      </c>
      <c r="AU3" s="44">
        <v>2038</v>
      </c>
      <c r="AV3" s="44">
        <v>2039</v>
      </c>
      <c r="AW3" s="44">
        <v>2040</v>
      </c>
      <c r="AX3" s="44">
        <v>2041</v>
      </c>
      <c r="AY3" s="44">
        <v>2042</v>
      </c>
      <c r="AZ3" s="44">
        <v>2043</v>
      </c>
      <c r="BA3" s="44">
        <v>2044</v>
      </c>
      <c r="BB3" s="44">
        <v>2045</v>
      </c>
      <c r="BC3" s="44">
        <v>2046</v>
      </c>
      <c r="BD3" s="44">
        <v>2047</v>
      </c>
      <c r="BE3" s="44">
        <v>2048</v>
      </c>
      <c r="BF3" s="44">
        <v>2049</v>
      </c>
      <c r="BG3" s="44">
        <v>2050</v>
      </c>
    </row>
    <row r="4" spans="1:71" x14ac:dyDescent="0.2">
      <c r="A4" s="40"/>
      <c r="B4" s="40" t="s">
        <v>70</v>
      </c>
      <c r="C4" s="45">
        <f>'[1]Soy Complex'!AI$486</f>
        <v>5.44</v>
      </c>
      <c r="D4" s="45">
        <f>'[1]Soy Complex'!AJ$486</f>
        <v>1116.8</v>
      </c>
      <c r="E4" s="45">
        <f>'[1]Soy Complex'!AK$486</f>
        <v>1512.6000000000001</v>
      </c>
      <c r="F4" s="45">
        <f>'[1]Soy Complex'!AL$486</f>
        <v>2172.3000000000002</v>
      </c>
      <c r="G4" s="45">
        <f>'[1]Soy Complex'!AM$486</f>
        <v>1787.9</v>
      </c>
      <c r="H4" s="45">
        <f>'[1]Soy Complex'!AN$486</f>
        <v>1505.6</v>
      </c>
      <c r="I4" s="45">
        <f>'[1]Soy Complex'!AO$486</f>
        <v>1993.2</v>
      </c>
      <c r="J4" s="45">
        <f>'[1]Soy Complex'!AP$486</f>
        <v>2436.7999999999997</v>
      </c>
      <c r="K4" s="45">
        <f>'[1]Soy Complex'!AQ$486</f>
        <v>2923.7</v>
      </c>
      <c r="L4" s="45">
        <f>'[1]Soy Complex'!AR$486</f>
        <v>2394.7999999999997</v>
      </c>
      <c r="M4" s="45">
        <f>'[1]Soy Complex'!AS$486</f>
        <v>1950.8</v>
      </c>
      <c r="N4" s="45">
        <f>'[1]Soy Complex'!AT$486</f>
        <v>1560</v>
      </c>
      <c r="O4" s="45">
        <f>'[1]Soy Complex'!AU$486</f>
        <v>2470.556</v>
      </c>
      <c r="P4" s="45">
        <f>'[1]Soy Complex'!AV$486</f>
        <v>3359.7</v>
      </c>
      <c r="Q4" s="45">
        <f>'[1]Soy Complex'!AW$486</f>
        <v>3408</v>
      </c>
      <c r="R4" s="45">
        <f>'[1]Soy Complex'!AX$486</f>
        <v>2992.3</v>
      </c>
      <c r="S4" s="45">
        <f>'[1]Soy Complex'!AY$486</f>
        <v>3221.69</v>
      </c>
      <c r="T4" s="45">
        <f>'[1]Soy Complex'!AZ$486</f>
        <v>3415.395</v>
      </c>
      <c r="U4" s="45">
        <f>'[1]Soy Complex'!BA$486</f>
        <v>2612.8404445890633</v>
      </c>
      <c r="V4" s="45">
        <f>'[1]Soy Complex'!BB$486</f>
        <v>3515.3513224728517</v>
      </c>
      <c r="W4" s="45">
        <f>'[1]Soy Complex'!BC$486</f>
        <v>2234.1364419474753</v>
      </c>
      <c r="X4" s="45">
        <f>'[1]Soy Complex'!BD$486</f>
        <v>1529.2622913757946</v>
      </c>
      <c r="Y4" s="45">
        <f>'[1]Soy Complex'!BE$486</f>
        <v>2110.797</v>
      </c>
      <c r="Z4" s="45">
        <f>'[1]Soy Complex'!BF$486</f>
        <v>2125.6970000000001</v>
      </c>
      <c r="AA4" s="45">
        <f>'[1]Soy Complex'!BG$486</f>
        <v>2239.7840000000001</v>
      </c>
      <c r="AB4" s="45">
        <f>'[1]Soy Complex'!BH$485</f>
        <v>1945.848</v>
      </c>
      <c r="AC4" s="45">
        <f>'[1]Soy Complex'!BI$485</f>
        <v>2134.0639999999999</v>
      </c>
      <c r="AD4" s="45">
        <f>'[1]Soy Complex'!BJ$485</f>
        <v>2110.7860000000001</v>
      </c>
      <c r="AE4" s="45">
        <f>'[1]Soy Complex'!BK$485</f>
        <v>2465.8910000000001</v>
      </c>
      <c r="AF4" s="45">
        <f>'[1]Soy Complex'!BL$485</f>
        <v>2306.1469999999999</v>
      </c>
      <c r="AG4" s="45">
        <f>'[1]Soy Complex'!BM$485</f>
        <v>1823.8340000000001</v>
      </c>
      <c r="AH4" s="45">
        <f>'[1]Soy Complex'!BN$485</f>
        <v>1690.57</v>
      </c>
      <c r="AI4" s="45">
        <f>'[1]Soy Complex'!BO$485</f>
        <v>1235.2194983444124</v>
      </c>
      <c r="AJ4" s="45">
        <f>'[1]Soy Complex'!BP$485</f>
        <v>1798.445198359168</v>
      </c>
      <c r="AK4" s="45">
        <f>'[1]Soy Complex'!BQ$485</f>
        <v>1789.8727482357099</v>
      </c>
      <c r="AL4" s="45">
        <f>'[1]Soy Complex'!BR$485</f>
        <v>1553.7204330678724</v>
      </c>
      <c r="AM4" s="45">
        <f>'[1]Soy Complex'!BS$485</f>
        <v>1637.6404157145039</v>
      </c>
      <c r="AN4" s="45">
        <f>'[1]Soy Complex'!BT$485</f>
        <v>1605.9143661464532</v>
      </c>
      <c r="AO4" s="45">
        <f>'[1]Soy Complex'!BU$485</f>
        <v>1647.9395710025319</v>
      </c>
      <c r="AP4" s="45">
        <f>'[1]Soy Complex'!BV$485</f>
        <v>1918.3526594052482</v>
      </c>
      <c r="AQ4" s="45">
        <f>'[1]Soy Complex'!BW$485</f>
        <v>2573.7799468901617</v>
      </c>
      <c r="AR4" s="45">
        <f>'[1]Soy Complex'!BX$485</f>
        <v>2561.1533650089655</v>
      </c>
      <c r="AS4" s="45">
        <f>'[1]Soy Complex'!BY$485</f>
        <v>1878.3709125891228</v>
      </c>
      <c r="AT4" s="45">
        <f>'[1]Soy Complex'!BZ$485</f>
        <v>1568.685449068128</v>
      </c>
      <c r="AU4" s="45">
        <f>'[1]Soy Complex'!CA$485</f>
        <v>1401.6507009346824</v>
      </c>
      <c r="AV4" s="45">
        <f>'[1]Soy Complex'!CB$485</f>
        <v>396.99184369783325</v>
      </c>
      <c r="AW4" s="45">
        <f>'[1]Soy Complex'!CC$485</f>
        <v>376.05017231920738</v>
      </c>
      <c r="AX4" s="45">
        <f>'[1]Soy Complex'!CD$485</f>
        <v>1257.034424295568</v>
      </c>
      <c r="AY4" s="45">
        <f>'[1]Soy Complex'!CE$485</f>
        <v>1793.1097202150577</v>
      </c>
      <c r="AZ4" s="45">
        <f>'[1]Soy Complex'!CF$485</f>
        <v>1536.6197894509273</v>
      </c>
      <c r="BA4" s="45">
        <f>'[1]Soy Complex'!CG$485</f>
        <v>1695.2169147630962</v>
      </c>
      <c r="BB4" s="45">
        <f>'[1]Soy Complex'!CH$485</f>
        <v>1901.1899310555482</v>
      </c>
      <c r="BC4" s="45">
        <f>'[1]Soy Complex'!CI$485</f>
        <v>1294.8065411780535</v>
      </c>
      <c r="BD4" s="45">
        <f>'[1]Soy Complex'!CJ$485</f>
        <v>2146.6913985639994</v>
      </c>
      <c r="BE4" s="45">
        <f>'[1]Soy Complex'!CK$485</f>
        <v>995.88801183756095</v>
      </c>
      <c r="BF4" s="45">
        <f>'[1]Soy Complex'!CL$485</f>
        <v>2529.5517597215812</v>
      </c>
      <c r="BG4" s="45">
        <f>'[1]Soy Complex'!CM$485</f>
        <v>2253.4324652758924</v>
      </c>
    </row>
    <row r="5" spans="1:71" x14ac:dyDescent="0.2">
      <c r="A5" s="40"/>
      <c r="B5" s="40" t="s">
        <v>71</v>
      </c>
      <c r="C5" s="45">
        <f>SUM('[1]Soy Complex'!AI$279:AI$287,'[1]Soy Complex'!AJ$276:AJ$278)</f>
        <v>4182.01</v>
      </c>
      <c r="D5" s="45">
        <f>SUM('[1]Soy Complex'!AJ$279:AJ$287,'[1]Soy Complex'!AK$276:AK$278)</f>
        <v>29856.399999999998</v>
      </c>
      <c r="E5" s="45">
        <f>SUM('[1]Soy Complex'!AK$279:AK$287,'[1]Soy Complex'!AL$276:AL$278)</f>
        <v>29400.400000000001</v>
      </c>
      <c r="F5" s="45">
        <f>SUM('[1]Soy Complex'!AL$279:AL$287,'[1]Soy Complex'!AM$276:AM$278)</f>
        <v>30680</v>
      </c>
      <c r="G5" s="45">
        <f>SUM('[1]Soy Complex'!AM$279:AM$287,'[1]Soy Complex'!AN$276:AN$278)</f>
        <v>34477.4</v>
      </c>
      <c r="H5" s="45">
        <f>SUM('[1]Soy Complex'!AN$279:AN$287,'[1]Soy Complex'!AO$276:AO$278)</f>
        <v>34597.300000000003</v>
      </c>
      <c r="I5" s="45">
        <f>SUM('[1]Soy Complex'!AO$279:AO$287,'[1]Soy Complex'!AP$276:AP$278)</f>
        <v>33998.799999999996</v>
      </c>
      <c r="J5" s="45">
        <f>SUM('[1]Soy Complex'!AP$279:AP$287,'[1]Soy Complex'!AQ$276:AQ$278)</f>
        <v>35386.699999999997</v>
      </c>
      <c r="K5" s="45">
        <f>SUM('[1]Soy Complex'!AQ$279:AQ$287,'[1]Soy Complex'!AR$276:AR$278)</f>
        <v>36024.700000000004</v>
      </c>
      <c r="L5" s="45">
        <f>SUM('[1]Soy Complex'!AR$279:AR$287,'[1]Soy Complex'!AS$276:AS$278)</f>
        <v>35061</v>
      </c>
      <c r="M5" s="45">
        <f>SUM('[1]Soy Complex'!AS$279:AS$287,'[1]Soy Complex'!AT$276:AT$278)</f>
        <v>32747.4</v>
      </c>
      <c r="N5" s="45">
        <f>SUM('[1]Soy Complex'!AT$279:AT$287,'[1]Soy Complex'!AU$276:AU$278)</f>
        <v>37148.699999999997</v>
      </c>
      <c r="O5" s="45">
        <f>SUM('[1]Soy Complex'!AU$279:AU$287,'[1]Soy Complex'!AV$276:AV$278)</f>
        <v>38950.203889999997</v>
      </c>
      <c r="P5" s="45">
        <f>SUM('[1]Soy Complex'!AV$279:AV$287,'[1]Soy Complex'!AW$276:AW$278)</f>
        <v>39435.438630000004</v>
      </c>
      <c r="Q5" s="45">
        <f>SUM('[1]Soy Complex'!AW$279:AW$287,'[1]Soy Complex'!AX$276:AX$278)</f>
        <v>38595.881580000001</v>
      </c>
      <c r="R5" s="45">
        <f>SUM('[1]Soy Complex'!AX$279:AX$287,'[1]Soy Complex'!AY$276:AY$278)</f>
        <v>36536.255740000008</v>
      </c>
      <c r="S5" s="45">
        <f>SUM('[1]Soy Complex'!AY$279:AY$287,'[1]Soy Complex'!AZ$276:AZ$278)</f>
        <v>37034.090650000013</v>
      </c>
      <c r="T5" s="45">
        <f>SUM('[1]Soy Complex'!AZ$279:AZ$287,'[1]Soy Complex'!BA$276:BA$278)</f>
        <v>35817.086861794727</v>
      </c>
      <c r="U5" s="45">
        <f>SUM('[1]Soy Complex'!BA$279:BA$287,'[1]Soy Complex'!BB$276:BB$278)</f>
        <v>38242.194725603978</v>
      </c>
      <c r="V5" s="45">
        <f>SUM('[1]Soy Complex'!BB$279:BB$287,'[1]Soy Complex'!BC$276:BC$278)</f>
        <v>37521.313214411799</v>
      </c>
      <c r="W5" s="45">
        <f>SUM('[1]Soy Complex'!BC$279:BC$287,'[1]Soy Complex'!BD$276:BD$278)</f>
        <v>37991.835926131826</v>
      </c>
      <c r="X5" s="45">
        <f>SUM('[1]Soy Complex'!BD$279:BD$287,'[1]Soy Complex'!BE$276:BE$278)</f>
        <v>40743.625871001888</v>
      </c>
      <c r="Y5" s="45">
        <f>SUM('[1]Soy Complex'!BE$279:BE$287,'[1]Soy Complex'!BF$276:BF$278)</f>
        <v>42136.082999999999</v>
      </c>
      <c r="Z5" s="45">
        <f>SUM('[1]Soy Complex'!BF$279:BF$287,'[1]Soy Complex'!BG$276:BG$278)</f>
        <v>42311.825000000004</v>
      </c>
      <c r="AA5" s="45">
        <f>SUM('[1]Soy Complex'!BG$279:BG$287,'[1]Soy Complex'!BH$276:BH$278)</f>
        <v>45851.850000000006</v>
      </c>
      <c r="AB5" s="45">
        <f>SUM('[1]Soy Complex'!BH$278:BH$286,'[1]Soy Complex'!BI$275:BI$277)</f>
        <v>24127.266000000007</v>
      </c>
      <c r="AC5" s="45">
        <f>SUM('[1]Soy Complex'!BI$278:BI$286,'[1]Soy Complex'!BJ$275:BJ$277)</f>
        <v>25373.321000000004</v>
      </c>
      <c r="AD5" s="45">
        <f>SUM('[1]Soy Complex'!BJ$278:BJ$286,'[1]Soy Complex'!BK$275:BK$277)</f>
        <v>25207.050999999999</v>
      </c>
      <c r="AE5" s="45">
        <f>SUM('[1]Soy Complex'!BK$278:BK$286,'[1]Soy Complex'!BL$275:BL$277)</f>
        <v>25967.512323896037</v>
      </c>
      <c r="AF5" s="45">
        <f>SUM('[1]Soy Complex'!BL$278:BL$286,'[1]Soy Complex'!BM$275:BM$277)</f>
        <v>26570.463</v>
      </c>
      <c r="AG5" s="45">
        <f>SUM('[1]Soy Complex'!BM$278:BM$286,'[1]Soy Complex'!BN$275:BN$277)</f>
        <v>27664.074825749522</v>
      </c>
      <c r="AH5" s="45">
        <f>SUM('[1]Soy Complex'!BN$278:BN$286,'[1]Soy Complex'!BO$275:BO$277)</f>
        <v>26398.00314666667</v>
      </c>
      <c r="AI5" s="45">
        <f>SUM('[1]Soy Complex'!BO$278:BO$286,'[1]Soy Complex'!BP$275:BP$277)</f>
        <v>28736.449999999997</v>
      </c>
      <c r="AJ5" s="45">
        <f>SUM('[1]Soy Complex'!BP$278:BP$286,'[1]Soy Complex'!BQ$275:BQ$277)</f>
        <v>29014.77</v>
      </c>
      <c r="AK5" s="45">
        <f>SUM('[1]Soy Complex'!BQ$278:BQ$286,'[1]Soy Complex'!BR$275:BR$277)</f>
        <v>29731.489999999998</v>
      </c>
      <c r="AL5" s="45">
        <f>SUM('[1]Soy Complex'!BR$278:BR$286,'[1]Soy Complex'!BS$275:BS$277)</f>
        <v>30729.850000000006</v>
      </c>
      <c r="AM5" s="45">
        <f>SUM('[1]Soy Complex'!BS$278:BS$286,'[1]Soy Complex'!BT$275:BT$277)</f>
        <v>32663.9</v>
      </c>
      <c r="AN5" s="45">
        <f>SUM('[1]Soy Complex'!BT$278:BT$286,'[1]Soy Complex'!BU$275:BU$277)</f>
        <v>33343.300000000003</v>
      </c>
      <c r="AO5" s="45">
        <f>SUM('[1]Soy Complex'!BU$278:BU$286,'[1]Soy Complex'!BV$275:BV$277)</f>
        <v>34956.1</v>
      </c>
      <c r="AP5" s="45">
        <f>SUM('[1]Soy Complex'!BV$278:BV$286,'[1]Soy Complex'!BW$275:BW$277)</f>
        <v>34905.599999999999</v>
      </c>
      <c r="AQ5" s="45">
        <f>SUM('[1]Soy Complex'!BW$278:BW$286,'[1]Soy Complex'!BX$275:BX$277)</f>
        <v>36377.85</v>
      </c>
      <c r="AR5" s="45">
        <f>SUM('[1]Soy Complex'!BX$278:BX$286,'[1]Soy Complex'!BY$275:BY$277)</f>
        <v>36066.050000000003</v>
      </c>
      <c r="AS5" s="45">
        <f>SUM('[1]Soy Complex'!BY$278:BY$286,'[1]Soy Complex'!BZ$275:BZ$277)</f>
        <v>34959.699999999997</v>
      </c>
      <c r="AT5" s="45">
        <f>SUM('[1]Soy Complex'!BZ$278:BZ$286,'[1]Soy Complex'!CA$275:CA$277)</f>
        <v>36843.5</v>
      </c>
      <c r="AU5" s="45">
        <f>SUM('[1]Soy Complex'!CA$278:CA$286,'[1]Soy Complex'!CB$275:CB$277)</f>
        <v>37089.600000000006</v>
      </c>
      <c r="AV5" s="45">
        <f>SUM('[1]Soy Complex'!CB$278:CB$286,'[1]Soy Complex'!CC$275:CC$277)</f>
        <v>37196.699999999997</v>
      </c>
      <c r="AW5" s="45">
        <f>SUM('[1]Soy Complex'!CC$278:CC$286,'[1]Soy Complex'!CD$275:CD$277)</f>
        <v>37055.800000000003</v>
      </c>
      <c r="AX5" s="45">
        <f>SUM('[1]Soy Complex'!CD$278:CD$286,'[1]Soy Complex'!CE$275:CE$277)</f>
        <v>36986.449999999997</v>
      </c>
      <c r="AY5" s="45">
        <f>SUM('[1]Soy Complex'!CE$278:CE$286,'[1]Soy Complex'!CF$275:CF$277)</f>
        <v>36679.300000000003</v>
      </c>
      <c r="AZ5" s="45">
        <f>SUM('[1]Soy Complex'!CF$278:CF$286,'[1]Soy Complex'!CG$275:CG$277)</f>
        <v>36690</v>
      </c>
      <c r="BA5" s="45">
        <f>SUM('[1]Soy Complex'!CG$278:CG$286,'[1]Soy Complex'!CH$275:CH$277)</f>
        <v>36536.100000000006</v>
      </c>
      <c r="BB5" s="45">
        <f>SUM('[1]Soy Complex'!CH$278:CH$286,'[1]Soy Complex'!CI$275:CI$277)</f>
        <v>37125.300000000003</v>
      </c>
      <c r="BC5" s="45">
        <f>SUM('[1]Soy Complex'!CI$278:CI$286,'[1]Soy Complex'!CJ$275:CJ$277)</f>
        <v>38163.400000000009</v>
      </c>
      <c r="BD5" s="45">
        <f>SUM('[1]Soy Complex'!CJ$278:CJ$286,'[1]Soy Complex'!CK$275:CK$277)</f>
        <v>39167.65</v>
      </c>
      <c r="BE5" s="45">
        <f>SUM('[1]Soy Complex'!CK$278:CK$286,'[1]Soy Complex'!CL$275:CL$277)</f>
        <v>40255.75</v>
      </c>
      <c r="BF5" s="45">
        <f>SUM('[1]Soy Complex'!CL$278:CL$286,'[1]Soy Complex'!CM$275:CM$277)</f>
        <v>40125.200000000004</v>
      </c>
      <c r="BG5" s="45">
        <f>SUM('[1]Soy Complex'!CM$278:CM$286,'[1]Soy Complex'!CN$275:CN$277)</f>
        <v>40172.550000000003</v>
      </c>
    </row>
    <row r="6" spans="1:71" x14ac:dyDescent="0.2">
      <c r="A6" s="40"/>
      <c r="B6" s="40" t="s">
        <v>72</v>
      </c>
      <c r="C6" s="45">
        <f>SUM('[1]Soy Complex'!AI$327:AI$335,'[1]Soy Complex'!AJ$324:AJ$326)</f>
        <v>42.827515787199999</v>
      </c>
      <c r="D6" s="45">
        <f>SUM('[1]Soy Complex'!AJ$327:AJ$335,'[1]Soy Complex'!AK$324:AK$326)</f>
        <v>54.4038980184</v>
      </c>
      <c r="E6" s="45">
        <f>SUM('[1]Soy Complex'!AK$327:AK$335,'[1]Soy Complex'!AL$324:AL$326)</f>
        <v>177.01615517039997</v>
      </c>
      <c r="F6" s="45">
        <f>SUM('[1]Soy Complex'!AL$327:AL$335,'[1]Soy Complex'!AM$324:AM$326)</f>
        <v>107.22157050780001</v>
      </c>
      <c r="G6" s="45">
        <f>SUM('[1]Soy Complex'!AM$327:AM$335,'[1]Soy Complex'!AN$324:AN$326)</f>
        <v>113.5704409434</v>
      </c>
      <c r="H6" s="45">
        <f>SUM('[1]Soy Complex'!AN$327:AN$335,'[1]Soy Complex'!AO$324:AO$326)</f>
        <v>162.8530020558</v>
      </c>
      <c r="I6" s="45">
        <f>SUM('[1]Soy Complex'!AO$327:AO$335,'[1]Soy Complex'!AP$324:AP$326)</f>
        <v>153.09578600819998</v>
      </c>
      <c r="J6" s="45">
        <f>SUM('[1]Soy Complex'!AP$327:AP$335,'[1]Soy Complex'!AQ$324:AQ$326)</f>
        <v>132.615729477</v>
      </c>
      <c r="K6" s="45">
        <f>SUM('[1]Soy Complex'!AQ$327:AQ$335,'[1]Soy Complex'!AR$324:AR$326)</f>
        <v>87.49196730540001</v>
      </c>
      <c r="L6" s="45">
        <f>SUM('[1]Soy Complex'!AR$327:AR$335,'[1]Soy Complex'!AS$324:AS$326)</f>
        <v>87.17648589720001</v>
      </c>
      <c r="M6" s="45">
        <f>SUM('[1]Soy Complex'!AS$327:AS$335,'[1]Soy Complex'!AT$324:AT$326)</f>
        <v>664.81522813440017</v>
      </c>
      <c r="N6" s="45">
        <f>SUM('[1]Soy Complex'!AT$327:AT$335,'[1]Soy Complex'!AU$324:AU$326)</f>
        <v>47.456693171999987</v>
      </c>
      <c r="O6" s="45">
        <f>SUM('[1]Soy Complex'!AU$327:AU$335,'[1]Soy Complex'!AV$324:AV$326)</f>
        <v>63.025733735999999</v>
      </c>
      <c r="P6" s="45">
        <f>SUM('[1]Soy Complex'!AV$327:AV$335,'[1]Soy Complex'!AW$324:AW$326)</f>
        <v>81.213865235999975</v>
      </c>
      <c r="Q6" s="45">
        <f>SUM('[1]Soy Complex'!AW$327:AW$335,'[1]Soy Complex'!AX$324:AX$326)</f>
        <v>133.78087220399999</v>
      </c>
      <c r="R6" s="45">
        <f>SUM('[1]Soy Complex'!AX$327:AX$335,'[1]Soy Complex'!AY$324:AY$326)</f>
        <v>184.43647189799998</v>
      </c>
      <c r="S6" s="45">
        <f>SUM('[1]Soy Complex'!AY$327:AY$335,'[1]Soy Complex'!AZ$324:AZ$326)</f>
        <v>213.62346255599999</v>
      </c>
      <c r="T6" s="45">
        <f>SUM('[1]Soy Complex'!AZ$327:AZ$335,'[1]Soy Complex'!BA$324:BA$326)</f>
        <v>312.59996724599995</v>
      </c>
      <c r="U6" s="45">
        <f>SUM('[1]Soy Complex'!BA$327:BA$335,'[1]Soy Complex'!BB$324:BB$326)</f>
        <v>278.87586451199996</v>
      </c>
      <c r="V6" s="45">
        <f>SUM('[1]Soy Complex'!BB$327:BB$335,'[1]Soy Complex'!BC$324:BC$326)</f>
        <v>353.08123640999997</v>
      </c>
      <c r="W6" s="45">
        <f>SUM('[1]Soy Complex'!BC$327:BC$335,'[1]Soy Complex'!BD$324:BD$326)</f>
        <v>323.77890935599999</v>
      </c>
      <c r="X6" s="45">
        <f>SUM('[1]Soy Complex'!BD$327:BD$335,'[1]Soy Complex'!BE$324:BE$326)</f>
        <v>516.29859463399998</v>
      </c>
      <c r="Y6" s="45">
        <f>SUM('[1]Soy Complex'!BE$327:BE$335,'[1]Soy Complex'!BF$324:BF$326)</f>
        <v>582.16724499999998</v>
      </c>
      <c r="Z6" s="45">
        <f>SUM('[1]Soy Complex'!BF$327:BF$335,'[1]Soy Complex'!BG$324:BG$326)</f>
        <v>590.98972100000003</v>
      </c>
      <c r="AA6" s="45">
        <f>SUM('[1]Soy Complex'!BG$327:BG$335,'[1]Soy Complex'!BH$324:BH$326)</f>
        <v>673.792284</v>
      </c>
      <c r="AB6" s="45">
        <f>SUM('[1]Soy Complex'!BH$326:BH$334,'[1]Soy Complex'!BI$323:BI$325)</f>
        <v>374.04684400000002</v>
      </c>
      <c r="AC6" s="45">
        <f>SUM('[1]Soy Complex'!BI$326:BI$334,'[1]Soy Complex'!BJ$323:BJ$325)</f>
        <v>296.97121200000004</v>
      </c>
      <c r="AD6" s="45">
        <f>SUM('[1]Soy Complex'!BJ$326:BJ$334,'[1]Soy Complex'!BK$323:BK$325)</f>
        <v>336.51018800000003</v>
      </c>
      <c r="AE6" s="45">
        <f>SUM('[1]Soy Complex'!BK$326:BK$334,'[1]Soy Complex'!BL$323:BL$325)</f>
        <v>280.30074999999999</v>
      </c>
      <c r="AF6" s="45">
        <f>SUM('[1]Soy Complex'!BL$326:BL$334,'[1]Soy Complex'!BM$323:BM$325)</f>
        <v>427.92187099999995</v>
      </c>
      <c r="AG6" s="45">
        <f>SUM('[1]Soy Complex'!BM$326:BM$334,'[1]Soy Complex'!BN$323:BN$325)</f>
        <v>614.24422761761991</v>
      </c>
      <c r="AH6" s="45">
        <f>SUM('[1]Soy Complex'!BN$326:BN$334,'[1]Soy Complex'!BO$323:BO$325)</f>
        <v>562.93573083128001</v>
      </c>
      <c r="AI6" s="45">
        <f>SUM('[1]Soy Complex'!BO$326:BO$334,'[1]Soy Complex'!BP$323:BP$325)</f>
        <v>500</v>
      </c>
      <c r="AJ6" s="45">
        <f>SUM('[1]Soy Complex'!BP$326:BP$334,'[1]Soy Complex'!BQ$323:BQ$325)</f>
        <v>500</v>
      </c>
      <c r="AK6" s="45">
        <f>SUM('[1]Soy Complex'!BQ$326:BQ$334,'[1]Soy Complex'!BR$323:BR$325)</f>
        <v>482.40000000000003</v>
      </c>
      <c r="AL6" s="45">
        <f>SUM('[1]Soy Complex'!BR$326:BR$334,'[1]Soy Complex'!BS$323:BS$325)</f>
        <v>505.35</v>
      </c>
      <c r="AM6" s="45">
        <f>SUM('[1]Soy Complex'!BS$326:BS$334,'[1]Soy Complex'!BT$323:BT$325)</f>
        <v>503.59999999999991</v>
      </c>
      <c r="AN6" s="45">
        <f>SUM('[1]Soy Complex'!BT$326:BT$334,'[1]Soy Complex'!BU$323:BU$325)</f>
        <v>502.65</v>
      </c>
      <c r="AO6" s="45">
        <f>SUM('[1]Soy Complex'!BU$326:BU$334,'[1]Soy Complex'!BV$323:BV$325)</f>
        <v>498.30000000000007</v>
      </c>
      <c r="AP6" s="45">
        <f>SUM('[1]Soy Complex'!BV$326:BV$334,'[1]Soy Complex'!BW$323:BW$325)</f>
        <v>498.80000000000007</v>
      </c>
      <c r="AQ6" s="45">
        <f>SUM('[1]Soy Complex'!BW$326:BW$334,'[1]Soy Complex'!BX$323:BX$325)</f>
        <v>498.45000000000005</v>
      </c>
      <c r="AR6" s="45">
        <f>SUM('[1]Soy Complex'!BX$326:BX$334,'[1]Soy Complex'!BY$323:BY$325)</f>
        <v>501.75</v>
      </c>
      <c r="AS6" s="45">
        <f>SUM('[1]Soy Complex'!BY$326:BY$334,'[1]Soy Complex'!BZ$323:BZ$325)</f>
        <v>500.34999999999997</v>
      </c>
      <c r="AT6" s="45">
        <f>SUM('[1]Soy Complex'!BZ$326:BZ$334,'[1]Soy Complex'!CA$323:CA$325)</f>
        <v>499.95</v>
      </c>
      <c r="AU6" s="45">
        <f>SUM('[1]Soy Complex'!CA$326:CA$334,'[1]Soy Complex'!CB$323:CB$325)</f>
        <v>499.60000000000008</v>
      </c>
      <c r="AV6" s="45">
        <f>SUM('[1]Soy Complex'!CB$326:CB$334,'[1]Soy Complex'!CC$323:CC$325)</f>
        <v>499.85</v>
      </c>
      <c r="AW6" s="45">
        <f>SUM('[1]Soy Complex'!CC$326:CC$334,'[1]Soy Complex'!CD$323:CD$325)</f>
        <v>500.0499999999999</v>
      </c>
      <c r="AX6" s="45">
        <f>SUM('[1]Soy Complex'!CD$326:CD$334,'[1]Soy Complex'!CE$323:CE$325)</f>
        <v>500.24999999999994</v>
      </c>
      <c r="AY6" s="45">
        <f>SUM('[1]Soy Complex'!CE$326:CE$334,'[1]Soy Complex'!CF$323:CF$325)</f>
        <v>499.9500000000001</v>
      </c>
      <c r="AZ6" s="45">
        <f>SUM('[1]Soy Complex'!CF$326:CF$334,'[1]Soy Complex'!CG$323:CG$325)</f>
        <v>499.95</v>
      </c>
      <c r="BA6" s="45">
        <f>SUM('[1]Soy Complex'!CG$326:CG$334,'[1]Soy Complex'!CH$323:CH$325)</f>
        <v>499.95000000000005</v>
      </c>
      <c r="BB6" s="45">
        <f>SUM('[1]Soy Complex'!CH$326:CH$334,'[1]Soy Complex'!CI$323:CI$325)</f>
        <v>500</v>
      </c>
      <c r="BC6" s="45">
        <f>SUM('[1]Soy Complex'!CI$326:CI$334,'[1]Soy Complex'!CJ$323:CJ$325)</f>
        <v>500.05</v>
      </c>
      <c r="BD6" s="45">
        <f>SUM('[1]Soy Complex'!CJ$326:CJ$334,'[1]Soy Complex'!CK$323:CK$325)</f>
        <v>500.00000000000006</v>
      </c>
      <c r="BE6" s="45">
        <f>SUM('[1]Soy Complex'!CK$326:CK$334,'[1]Soy Complex'!CL$323:CL$325)</f>
        <v>500.00000000000006</v>
      </c>
      <c r="BF6" s="45">
        <f>SUM('[1]Soy Complex'!CL$326:CL$334,'[1]Soy Complex'!CM$323:CM$325)</f>
        <v>500.00000000000006</v>
      </c>
      <c r="BG6" s="45">
        <f>SUM('[1]Soy Complex'!CM$326:CM$334,'[1]Soy Complex'!CN$323:CN$325)</f>
        <v>500</v>
      </c>
    </row>
    <row r="7" spans="1:71" x14ac:dyDescent="0.2">
      <c r="A7" s="40"/>
      <c r="B7" s="61" t="s">
        <v>73</v>
      </c>
      <c r="C7" s="62">
        <f>SUM(C4:C6)</f>
        <v>4230.2775157872002</v>
      </c>
      <c r="D7" s="62">
        <f t="shared" ref="D7:AA7" si="0">SUM(D4:D6)</f>
        <v>31027.603898018398</v>
      </c>
      <c r="E7" s="62">
        <f t="shared" si="0"/>
        <v>31090.0161551704</v>
      </c>
      <c r="F7" s="62">
        <f t="shared" si="0"/>
        <v>32959.521570507801</v>
      </c>
      <c r="G7" s="62">
        <f t="shared" si="0"/>
        <v>36378.870440943399</v>
      </c>
      <c r="H7" s="62">
        <f t="shared" si="0"/>
        <v>36265.753002055804</v>
      </c>
      <c r="I7" s="62">
        <f t="shared" si="0"/>
        <v>36145.095786008191</v>
      </c>
      <c r="J7" s="62">
        <f t="shared" si="0"/>
        <v>37956.115729477002</v>
      </c>
      <c r="K7" s="62">
        <f t="shared" si="0"/>
        <v>39035.891967305404</v>
      </c>
      <c r="L7" s="62">
        <f t="shared" si="0"/>
        <v>37542.976485897205</v>
      </c>
      <c r="M7" s="62">
        <f t="shared" si="0"/>
        <v>35363.015228134405</v>
      </c>
      <c r="N7" s="62">
        <f t="shared" si="0"/>
        <v>38756.156693171994</v>
      </c>
      <c r="O7" s="62">
        <f t="shared" si="0"/>
        <v>41483.785623735996</v>
      </c>
      <c r="P7" s="62">
        <f t="shared" si="0"/>
        <v>42876.352495236002</v>
      </c>
      <c r="Q7" s="62">
        <f t="shared" si="0"/>
        <v>42137.662452204</v>
      </c>
      <c r="R7" s="62">
        <f t="shared" si="0"/>
        <v>39712.99221189801</v>
      </c>
      <c r="S7" s="62">
        <f t="shared" si="0"/>
        <v>40469.404112556018</v>
      </c>
      <c r="T7" s="62">
        <f t="shared" si="0"/>
        <v>39545.081829040726</v>
      </c>
      <c r="U7" s="62">
        <f t="shared" si="0"/>
        <v>41133.911034705045</v>
      </c>
      <c r="V7" s="62">
        <f t="shared" si="0"/>
        <v>41389.74577329465</v>
      </c>
      <c r="W7" s="62">
        <f t="shared" si="0"/>
        <v>40549.751277435302</v>
      </c>
      <c r="X7" s="62">
        <f t="shared" si="0"/>
        <v>42789.186757011681</v>
      </c>
      <c r="Y7" s="62">
        <f t="shared" si="0"/>
        <v>44829.047244999994</v>
      </c>
      <c r="Z7" s="62">
        <f t="shared" si="0"/>
        <v>45028.511721000003</v>
      </c>
      <c r="AA7" s="62">
        <f t="shared" si="0"/>
        <v>48765.426284000008</v>
      </c>
      <c r="AB7" s="62">
        <f>SUM(AB4:AB6)</f>
        <v>26447.160844000009</v>
      </c>
      <c r="AC7" s="62">
        <f t="shared" ref="AC7:BG7" si="1">SUM(AC4:AC6)</f>
        <v>27804.356212000002</v>
      </c>
      <c r="AD7" s="62">
        <f t="shared" si="1"/>
        <v>27654.347188</v>
      </c>
      <c r="AE7" s="62">
        <f t="shared" si="1"/>
        <v>28713.704073896035</v>
      </c>
      <c r="AF7" s="62">
        <f t="shared" si="1"/>
        <v>29304.531870999999</v>
      </c>
      <c r="AG7" s="62">
        <f t="shared" si="1"/>
        <v>30102.153053367139</v>
      </c>
      <c r="AH7" s="62">
        <f t="shared" si="1"/>
        <v>28651.508877497949</v>
      </c>
      <c r="AI7" s="62">
        <f t="shared" si="1"/>
        <v>30471.66949834441</v>
      </c>
      <c r="AJ7" s="62">
        <f t="shared" si="1"/>
        <v>31313.215198359168</v>
      </c>
      <c r="AK7" s="62">
        <f t="shared" si="1"/>
        <v>32003.762748235709</v>
      </c>
      <c r="AL7" s="62">
        <f t="shared" si="1"/>
        <v>32788.920433067877</v>
      </c>
      <c r="AM7" s="62">
        <f t="shared" si="1"/>
        <v>34805.140415714501</v>
      </c>
      <c r="AN7" s="62">
        <f t="shared" si="1"/>
        <v>35451.864366146459</v>
      </c>
      <c r="AO7" s="62">
        <f t="shared" si="1"/>
        <v>37102.339571002536</v>
      </c>
      <c r="AP7" s="62">
        <f t="shared" si="1"/>
        <v>37322.752659405247</v>
      </c>
      <c r="AQ7" s="62">
        <f t="shared" si="1"/>
        <v>39450.07994689016</v>
      </c>
      <c r="AR7" s="62">
        <f t="shared" si="1"/>
        <v>39128.953365008965</v>
      </c>
      <c r="AS7" s="62">
        <f t="shared" si="1"/>
        <v>37338.420912589121</v>
      </c>
      <c r="AT7" s="62">
        <f t="shared" si="1"/>
        <v>38912.135449068126</v>
      </c>
      <c r="AU7" s="62">
        <f t="shared" si="1"/>
        <v>38990.850700934687</v>
      </c>
      <c r="AV7" s="62">
        <f t="shared" si="1"/>
        <v>38093.541843697829</v>
      </c>
      <c r="AW7" s="62">
        <f t="shared" si="1"/>
        <v>37931.900172319212</v>
      </c>
      <c r="AX7" s="62">
        <f t="shared" si="1"/>
        <v>38743.734424295566</v>
      </c>
      <c r="AY7" s="62">
        <f t="shared" si="1"/>
        <v>38972.359720215056</v>
      </c>
      <c r="AZ7" s="62">
        <f t="shared" si="1"/>
        <v>38726.569789450921</v>
      </c>
      <c r="BA7" s="62">
        <f t="shared" si="1"/>
        <v>38731.266914763102</v>
      </c>
      <c r="BB7" s="62">
        <f t="shared" si="1"/>
        <v>39526.489931055548</v>
      </c>
      <c r="BC7" s="62">
        <f t="shared" si="1"/>
        <v>39958.256541178067</v>
      </c>
      <c r="BD7" s="62">
        <f t="shared" si="1"/>
        <v>41814.341398564</v>
      </c>
      <c r="BE7" s="62">
        <f t="shared" si="1"/>
        <v>41751.63801183756</v>
      </c>
      <c r="BF7" s="62">
        <f t="shared" si="1"/>
        <v>43154.751759721585</v>
      </c>
      <c r="BG7" s="62">
        <f t="shared" si="1"/>
        <v>42925.982465275898</v>
      </c>
    </row>
    <row r="8" spans="1:71" x14ac:dyDescent="0.2">
      <c r="A8" s="40"/>
      <c r="B8" s="40" t="s">
        <v>74</v>
      </c>
      <c r="C8" s="45">
        <f t="shared" ref="C8:AA8" si="2">C9+C12</f>
        <v>3451.2985149390001</v>
      </c>
      <c r="D8" s="45">
        <f t="shared" si="2"/>
        <v>23583.133652264605</v>
      </c>
      <c r="E8" s="45">
        <f t="shared" si="2"/>
        <v>25884.958855645607</v>
      </c>
      <c r="F8" s="45">
        <f t="shared" si="2"/>
        <v>27359.230305501402</v>
      </c>
      <c r="G8" s="45">
        <f t="shared" si="2"/>
        <v>29133.446776575493</v>
      </c>
      <c r="H8" s="45">
        <f t="shared" si="2"/>
        <v>30350.66765395039</v>
      </c>
      <c r="I8" s="45">
        <f t="shared" si="2"/>
        <v>30630.711127626706</v>
      </c>
      <c r="J8" s="45">
        <f t="shared" si="2"/>
        <v>31299.093430311357</v>
      </c>
      <c r="K8" s="45">
        <f t="shared" si="2"/>
        <v>32042.556299504544</v>
      </c>
      <c r="L8" s="45">
        <f t="shared" si="2"/>
        <v>32342.241294144456</v>
      </c>
      <c r="M8" s="45">
        <f t="shared" si="2"/>
        <v>32531.377218576905</v>
      </c>
      <c r="N8" s="45">
        <f t="shared" si="2"/>
        <v>33515.412285966224</v>
      </c>
      <c r="O8" s="45">
        <f t="shared" si="2"/>
        <v>34382.7425907008</v>
      </c>
      <c r="P8" s="45">
        <f t="shared" si="2"/>
        <v>36154.860310678203</v>
      </c>
      <c r="Q8" s="45">
        <f t="shared" si="2"/>
        <v>34684.324341296604</v>
      </c>
      <c r="R8" s="45">
        <f t="shared" si="2"/>
        <v>31232.995608636</v>
      </c>
      <c r="S8" s="45">
        <f t="shared" si="2"/>
        <v>29960.058695803393</v>
      </c>
      <c r="T8" s="45">
        <f t="shared" si="2"/>
        <v>33341.5107005561</v>
      </c>
      <c r="U8" s="45">
        <f t="shared" si="2"/>
        <v>34422.024119614463</v>
      </c>
      <c r="V8" s="45">
        <f t="shared" si="2"/>
        <v>36393.734581157245</v>
      </c>
      <c r="W8" s="45">
        <f t="shared" si="2"/>
        <v>36270.079188056465</v>
      </c>
      <c r="X8" s="45">
        <f t="shared" si="2"/>
        <v>36598.232108007156</v>
      </c>
      <c r="Y8" s="45">
        <f t="shared" si="2"/>
        <v>39191.931579936892</v>
      </c>
      <c r="Z8" s="45">
        <f t="shared" si="2"/>
        <v>38605.831377328621</v>
      </c>
      <c r="AA8" s="45">
        <f t="shared" si="2"/>
        <v>42350.580388656854</v>
      </c>
      <c r="AB8" s="45">
        <f>AB14-AB13</f>
        <v>20619.753107000011</v>
      </c>
      <c r="AC8" s="45">
        <f t="shared" ref="AC8:BG8" si="3">AC14-AC13</f>
        <v>20115.967161000004</v>
      </c>
      <c r="AD8" s="45">
        <f t="shared" si="3"/>
        <v>21972.976869999999</v>
      </c>
      <c r="AE8" s="45">
        <f t="shared" si="3"/>
        <v>23532.884391896034</v>
      </c>
      <c r="AF8" s="45">
        <f t="shared" si="3"/>
        <v>26790.021365000001</v>
      </c>
      <c r="AG8" s="45">
        <f t="shared" si="3"/>
        <v>26356.18047348356</v>
      </c>
      <c r="AH8" s="45">
        <f t="shared" si="3"/>
        <v>23740.592240037116</v>
      </c>
      <c r="AI8" s="45">
        <f t="shared" si="3"/>
        <v>24928.224299985242</v>
      </c>
      <c r="AJ8" s="45">
        <f t="shared" si="3"/>
        <v>27048.342450123459</v>
      </c>
      <c r="AK8" s="45">
        <f t="shared" si="3"/>
        <v>27525.042315167837</v>
      </c>
      <c r="AL8" s="45">
        <f t="shared" si="3"/>
        <v>27951.280017353372</v>
      </c>
      <c r="AM8" s="45">
        <f t="shared" si="3"/>
        <v>28924.226049568046</v>
      </c>
      <c r="AN8" s="45">
        <f t="shared" si="3"/>
        <v>30503.924795143925</v>
      </c>
      <c r="AO8" s="45">
        <f t="shared" si="3"/>
        <v>32148.986911597291</v>
      </c>
      <c r="AP8" s="45">
        <f t="shared" si="3"/>
        <v>31758.972712515082</v>
      </c>
      <c r="AQ8" s="45">
        <f t="shared" si="3"/>
        <v>35908.926581881198</v>
      </c>
      <c r="AR8" s="45">
        <f t="shared" si="3"/>
        <v>35755.58245241984</v>
      </c>
      <c r="AS8" s="45">
        <f t="shared" si="3"/>
        <v>32029.735463520992</v>
      </c>
      <c r="AT8" s="45">
        <f t="shared" si="3"/>
        <v>34745.484748133444</v>
      </c>
      <c r="AU8" s="45">
        <f t="shared" si="3"/>
        <v>36633.858857236854</v>
      </c>
      <c r="AV8" s="45">
        <f t="shared" si="3"/>
        <v>35427.491671378622</v>
      </c>
      <c r="AW8" s="45">
        <f t="shared" si="3"/>
        <v>32754.865748023643</v>
      </c>
      <c r="AX8" s="45">
        <f t="shared" si="3"/>
        <v>33035.62470408051</v>
      </c>
      <c r="AY8" s="45">
        <f t="shared" si="3"/>
        <v>33520.739930764132</v>
      </c>
      <c r="AZ8" s="45">
        <f t="shared" si="3"/>
        <v>33116.352874687822</v>
      </c>
      <c r="BA8" s="45">
        <f t="shared" si="3"/>
        <v>32915.076983707557</v>
      </c>
      <c r="BB8" s="45">
        <f t="shared" si="3"/>
        <v>34316.683389877493</v>
      </c>
      <c r="BC8" s="45">
        <f t="shared" si="3"/>
        <v>33896.565142614068</v>
      </c>
      <c r="BD8" s="45">
        <f t="shared" si="3"/>
        <v>36903.45338672644</v>
      </c>
      <c r="BE8" s="45">
        <f t="shared" si="3"/>
        <v>35307.08625211598</v>
      </c>
      <c r="BF8" s="45">
        <f t="shared" si="3"/>
        <v>36986.31929444569</v>
      </c>
      <c r="BG8" s="45">
        <f t="shared" si="3"/>
        <v>36489.791505374043</v>
      </c>
    </row>
    <row r="9" spans="1:71" x14ac:dyDescent="0.2">
      <c r="A9" s="40"/>
      <c r="B9" s="40" t="s">
        <v>75</v>
      </c>
      <c r="C9" s="45">
        <f t="shared" ref="C9:BG9" si="4">SUM(C10:C11)</f>
        <v>152.52000000000001</v>
      </c>
      <c r="D9" s="45">
        <f t="shared" si="4"/>
        <v>0</v>
      </c>
      <c r="E9" s="45">
        <f t="shared" si="4"/>
        <v>0</v>
      </c>
      <c r="F9" s="45">
        <f t="shared" si="4"/>
        <v>0</v>
      </c>
      <c r="G9" s="45">
        <f t="shared" si="4"/>
        <v>0.60284059390127487</v>
      </c>
      <c r="H9" s="45">
        <f t="shared" si="4"/>
        <v>8.1185747921126818</v>
      </c>
      <c r="I9" s="45">
        <f t="shared" si="4"/>
        <v>26.769923067130943</v>
      </c>
      <c r="J9" s="45">
        <f t="shared" si="4"/>
        <v>142.74434430029586</v>
      </c>
      <c r="K9" s="45">
        <f t="shared" si="4"/>
        <v>190.8700466997883</v>
      </c>
      <c r="L9" s="45">
        <f t="shared" si="4"/>
        <v>234.98744993145723</v>
      </c>
      <c r="M9" s="45">
        <f t="shared" si="4"/>
        <v>343.49825668138232</v>
      </c>
      <c r="N9" s="45">
        <f t="shared" si="4"/>
        <v>1239.8209651559234</v>
      </c>
      <c r="O9" s="45">
        <f t="shared" si="4"/>
        <v>3471.9833984130473</v>
      </c>
      <c r="P9" s="45">
        <f t="shared" si="4"/>
        <v>5802.5000000000009</v>
      </c>
      <c r="Q9" s="45">
        <f t="shared" si="4"/>
        <v>6423.3</v>
      </c>
      <c r="R9" s="45">
        <f t="shared" si="4"/>
        <v>3924.7</v>
      </c>
      <c r="S9" s="45">
        <f t="shared" si="4"/>
        <v>2823</v>
      </c>
      <c r="T9" s="45">
        <f t="shared" si="4"/>
        <v>7096</v>
      </c>
      <c r="U9" s="45">
        <f t="shared" si="4"/>
        <v>9259</v>
      </c>
      <c r="V9" s="45">
        <f t="shared" si="4"/>
        <v>10857</v>
      </c>
      <c r="W9" s="45">
        <f t="shared" si="4"/>
        <v>10606.76</v>
      </c>
      <c r="X9" s="45">
        <f t="shared" si="4"/>
        <v>10739.51</v>
      </c>
      <c r="Y9" s="45">
        <f t="shared" si="4"/>
        <v>12819.704325573381</v>
      </c>
      <c r="Z9" s="45">
        <f t="shared" si="4"/>
        <v>13781.338865853124</v>
      </c>
      <c r="AA9" s="45">
        <f t="shared" si="4"/>
        <v>16697.381966154579</v>
      </c>
      <c r="AB9" s="45">
        <f t="shared" si="4"/>
        <v>9403.8696100057659</v>
      </c>
      <c r="AC9" s="45">
        <f t="shared" si="4"/>
        <v>10746.719759278563</v>
      </c>
      <c r="AD9" s="45">
        <f t="shared" si="4"/>
        <v>9183.0668614648421</v>
      </c>
      <c r="AE9" s="45">
        <f t="shared" si="4"/>
        <v>10525.382999999998</v>
      </c>
      <c r="AF9" s="45">
        <f t="shared" si="4"/>
        <v>13020.7371944193</v>
      </c>
      <c r="AG9" s="45">
        <f t="shared" si="4"/>
        <v>13235.547422347299</v>
      </c>
      <c r="AH9" s="45">
        <f t="shared" si="4"/>
        <v>11467.653648322255</v>
      </c>
      <c r="AI9" s="45">
        <f t="shared" si="4"/>
        <v>12084.424299985245</v>
      </c>
      <c r="AJ9" s="45">
        <f t="shared" si="4"/>
        <v>14648.242450123456</v>
      </c>
      <c r="AK9" s="45">
        <f t="shared" si="4"/>
        <v>14417.542315167839</v>
      </c>
      <c r="AL9" s="45">
        <f t="shared" si="4"/>
        <v>14521.930017353368</v>
      </c>
      <c r="AM9" s="45">
        <f t="shared" si="4"/>
        <v>16179.726049568049</v>
      </c>
      <c r="AN9" s="45">
        <f t="shared" si="4"/>
        <v>17229.824795143923</v>
      </c>
      <c r="AO9" s="45">
        <f t="shared" si="4"/>
        <v>19912.336911597286</v>
      </c>
      <c r="AP9" s="45">
        <f t="shared" si="4"/>
        <v>20078.42271251509</v>
      </c>
      <c r="AQ9" s="45">
        <f t="shared" si="4"/>
        <v>21998.376581881195</v>
      </c>
      <c r="AR9" s="45">
        <f t="shared" si="4"/>
        <v>22540.632452419843</v>
      </c>
      <c r="AS9" s="45">
        <f t="shared" si="4"/>
        <v>19152.335463520991</v>
      </c>
      <c r="AT9" s="45">
        <f t="shared" si="4"/>
        <v>21058.884748133441</v>
      </c>
      <c r="AU9" s="45">
        <f t="shared" si="4"/>
        <v>23127.258857236851</v>
      </c>
      <c r="AV9" s="45">
        <f t="shared" si="4"/>
        <v>21767.491671378622</v>
      </c>
      <c r="AW9" s="45">
        <f t="shared" si="4"/>
        <v>19708.265748023641</v>
      </c>
      <c r="AX9" s="45">
        <f t="shared" si="4"/>
        <v>19951.924704080506</v>
      </c>
      <c r="AY9" s="45">
        <f t="shared" si="4"/>
        <v>20259.839930764134</v>
      </c>
      <c r="AZ9" s="45">
        <f t="shared" si="4"/>
        <v>19787.002874687834</v>
      </c>
      <c r="BA9" s="45">
        <f t="shared" si="4"/>
        <v>19564.926983707548</v>
      </c>
      <c r="BB9" s="45">
        <f t="shared" si="4"/>
        <v>20810.583389877487</v>
      </c>
      <c r="BC9" s="45">
        <f t="shared" si="4"/>
        <v>20282.165142614052</v>
      </c>
      <c r="BD9" s="45">
        <f t="shared" si="4"/>
        <v>23197.353386726441</v>
      </c>
      <c r="BE9" s="45">
        <f t="shared" si="4"/>
        <v>21494.78625211598</v>
      </c>
      <c r="BF9" s="45">
        <f t="shared" si="4"/>
        <v>23085.169294445688</v>
      </c>
      <c r="BG9" s="45">
        <f t="shared" si="4"/>
        <v>22492.141505374031</v>
      </c>
      <c r="BJ9" s="41">
        <v>15654</v>
      </c>
      <c r="BK9" s="41">
        <v>16302</v>
      </c>
      <c r="BL9" s="41">
        <v>14512</v>
      </c>
      <c r="BM9" s="41">
        <v>15504</v>
      </c>
      <c r="BN9" s="41">
        <v>17862</v>
      </c>
      <c r="BO9" s="41">
        <v>19133</v>
      </c>
      <c r="BP9" s="41">
        <v>19646</v>
      </c>
      <c r="BQ9" s="41">
        <v>20797</v>
      </c>
      <c r="BR9" s="41">
        <v>21963</v>
      </c>
      <c r="BS9" s="41">
        <v>22128</v>
      </c>
    </row>
    <row r="10" spans="1:71" x14ac:dyDescent="0.2">
      <c r="A10" s="40"/>
      <c r="B10" s="40" t="s">
        <v>76</v>
      </c>
      <c r="C10" s="45">
        <f>SUM('[1]Soy Complex'!AI$407:AI$415,'[1]Soy Complex'!AJ$403:AJ$406)</f>
        <v>48.75</v>
      </c>
      <c r="D10" s="45">
        <f>SUM('[1]Soy Complex'!AJ$407:AJ$415,'[1]Soy Complex'!AK$403:AK$406)</f>
        <v>0</v>
      </c>
      <c r="E10" s="45">
        <f>SUM('[1]Soy Complex'!AK$407:AK$415,'[1]Soy Complex'!AL$403:AL$406)</f>
        <v>0</v>
      </c>
      <c r="F10" s="45">
        <f>SUM('[1]Soy Complex'!AL$407:AL$415,'[1]Soy Complex'!AM$403:AM$406)</f>
        <v>0</v>
      </c>
      <c r="G10" s="45">
        <f>SUM('[1]Soy Complex'!AM$407:AM$415,'[1]Soy Complex'!AN$403:AN$406)</f>
        <v>0.60284059390127487</v>
      </c>
      <c r="H10" s="45">
        <f>SUM('[1]Soy Complex'!AN$407:AN$415,'[1]Soy Complex'!AO$403:AO$406)</f>
        <v>8.1185747921126818</v>
      </c>
      <c r="I10" s="45">
        <f>SUM('[1]Soy Complex'!AO$407:AO$415,'[1]Soy Complex'!AP$403:AP$406)</f>
        <v>26.769923067130943</v>
      </c>
      <c r="J10" s="45">
        <f>SUM('[1]Soy Complex'!AP$407:AP$415,'[1]Soy Complex'!AQ$403:AQ$406)</f>
        <v>142.74434430029586</v>
      </c>
      <c r="K10" s="45">
        <f>SUM('[1]Soy Complex'!AQ$407:AQ$415,'[1]Soy Complex'!AR$403:AR$406)</f>
        <v>190.8700466997883</v>
      </c>
      <c r="L10" s="45">
        <f>SUM('[1]Soy Complex'!AR$407:AR$415,'[1]Soy Complex'!AS$403:AS$406)</f>
        <v>234.98744993145723</v>
      </c>
      <c r="M10" s="45">
        <f>SUM('[1]Soy Complex'!AS$407:AS$415,'[1]Soy Complex'!AT$403:AT$406)</f>
        <v>343.49825668138232</v>
      </c>
      <c r="N10" s="45">
        <f>SUM('[1]Soy Complex'!AT$407:AT$415,'[1]Soy Complex'!AU$403:AU$406)</f>
        <v>1239.8209651559234</v>
      </c>
      <c r="O10" s="45">
        <f>SUM('[1]Soy Complex'!AU$407:AU$415,'[1]Soy Complex'!AV$403:AV$406)</f>
        <v>3471.9833984130473</v>
      </c>
      <c r="P10" s="45">
        <f>SUM('[1]Soy Complex'!AV$407:AV$415,'[1]Soy Complex'!AW$403:AW$406)</f>
        <v>5802.5000000000009</v>
      </c>
      <c r="Q10" s="45">
        <f>SUM('[1]Soy Complex'!AW$407:AW$415,'[1]Soy Complex'!AX$403:AX$406)</f>
        <v>6423.3</v>
      </c>
      <c r="R10" s="45">
        <f>SUM('[1]Soy Complex'!AX$407:AX$415,'[1]Soy Complex'!AY$403:AY$406)</f>
        <v>3924.7</v>
      </c>
      <c r="S10" s="45">
        <f>SUM('[1]Soy Complex'!AY$407:AY$415,'[1]Soy Complex'!AZ$403:AZ$406)</f>
        <v>2823</v>
      </c>
      <c r="T10" s="45">
        <f>SUM('[1]Soy Complex'!AZ$407:AZ$415,'[1]Soy Complex'!BA$403:BA$406)</f>
        <v>7046</v>
      </c>
      <c r="U10" s="45">
        <f>SUM('[1]Soy Complex'!BA$407:BA$415,'[1]Soy Complex'!BB$403:BB$406)</f>
        <v>8924</v>
      </c>
      <c r="V10" s="45">
        <f>SUM('[1]Soy Complex'!BB$407:BB$415,'[1]Soy Complex'!BC$403:BC$406)</f>
        <v>10125</v>
      </c>
      <c r="W10" s="45">
        <f>SUM('[1]Soy Complex'!BC$407:BC$415,'[1]Soy Complex'!BD$403:BD$406)</f>
        <v>9877.76</v>
      </c>
      <c r="X10" s="45">
        <f>SUM('[1]Soy Complex'!BD$407:BD$415,'[1]Soy Complex'!BE$403:BE$406)</f>
        <v>10029.91</v>
      </c>
      <c r="Y10" s="45">
        <f>SUM('[1]Soy Complex'!BE$407:BE$415,'[1]Soy Complex'!BF$403:BF$406)</f>
        <v>11807</v>
      </c>
      <c r="Z10" s="45">
        <f>SUM('[1]Soy Complex'!BF$407:BF$415,'[1]Soy Complex'!BG$403:BG$406)</f>
        <v>12502.57</v>
      </c>
      <c r="AA10" s="45">
        <f>SUM('[1]Soy Complex'!BG$407:BG$415,'[1]Soy Complex'!BH$403:BH$406)</f>
        <v>14836.279999999999</v>
      </c>
      <c r="AB10" s="45">
        <f>SUM('[1]Soy Complex'!BH$406:BH$414,'[1]Soy Complex'!BI$403:BI$405)</f>
        <v>7317.9700000000012</v>
      </c>
      <c r="AC10" s="45">
        <f>SUM('[1]Soy Complex'!BI$406:BI$414,'[1]Soy Complex'!BJ$403:BJ$405)</f>
        <v>8382.7199999999993</v>
      </c>
      <c r="AD10" s="45">
        <f>SUM('[1]Soy Complex'!BJ$406:BJ$414,'[1]Soy Complex'!BK$403:BK$405)</f>
        <v>6400.5502016380979</v>
      </c>
      <c r="AE10" s="45">
        <f>SUM('[1]Soy Complex'!BK$406:BK$414,'[1]Soy Complex'!BL$403:BL$405)</f>
        <v>7100.4959999999992</v>
      </c>
      <c r="AF10" s="45">
        <f>SUM('[1]Soy Complex'!BL$406:BL$414,'[1]Soy Complex'!BM$403:BM$405)</f>
        <v>7332.1859999999997</v>
      </c>
      <c r="AG10" s="45">
        <f>SUM('[1]Soy Complex'!BM$406:BM$414,'[1]Soy Complex'!BN$403:BN$405)</f>
        <v>6629.639144025</v>
      </c>
      <c r="AH10" s="45">
        <f>SUM('[1]Soy Complex'!BN$406:BN$414,'[1]Soy Complex'!BO$403:BO$405)</f>
        <v>6283.9101585168355</v>
      </c>
      <c r="AI10" s="45">
        <f>SUM('[1]Soy Complex'!BO$406:BO$414,'[1]Soy Complex'!BP$403:BP$405)</f>
        <v>5808.9324119875573</v>
      </c>
      <c r="AJ10" s="45">
        <f>SUM('[1]Soy Complex'!BP$406:BP$414,'[1]Soy Complex'!BQ$403:BQ$405)</f>
        <v>5965.2146097605128</v>
      </c>
      <c r="AK10" s="45">
        <f>SUM('[1]Soy Complex'!BQ$406:BQ$414,'[1]Soy Complex'!BR$403:BR$405)</f>
        <v>4699.4925590042239</v>
      </c>
      <c r="AL10" s="45">
        <f>SUM('[1]Soy Complex'!BR$406:BR$414,'[1]Soy Complex'!BS$403:BS$405)</f>
        <v>5173.4858700599034</v>
      </c>
      <c r="AM10" s="45">
        <f>SUM('[1]Soy Complex'!BS$406:BS$414,'[1]Soy Complex'!BT$403:BT$405)</f>
        <v>5065.6927418231116</v>
      </c>
      <c r="AN10" s="45">
        <f>SUM('[1]Soy Complex'!BT$406:BT$414,'[1]Soy Complex'!BU$403:BU$405)</f>
        <v>4936.7882060058346</v>
      </c>
      <c r="AO10" s="45">
        <f>SUM('[1]Soy Complex'!BU$406:BU$414,'[1]Soy Complex'!BV$403:BV$405)</f>
        <v>5086.4129413643632</v>
      </c>
      <c r="AP10" s="45">
        <f>SUM('[1]Soy Complex'!BV$406:BV$414,'[1]Soy Complex'!BW$403:BW$405)</f>
        <v>3392.4688692156246</v>
      </c>
      <c r="AQ10" s="45">
        <f>SUM('[1]Soy Complex'!BW$406:BW$414,'[1]Soy Complex'!BX$403:BX$405)</f>
        <v>4472.9288586760813</v>
      </c>
      <c r="AR10" s="45">
        <f>SUM('[1]Soy Complex'!BX$406:BX$414,'[1]Soy Complex'!BY$403:BY$405)</f>
        <v>4570.2371486333232</v>
      </c>
      <c r="AS10" s="45">
        <f>SUM('[1]Soy Complex'!BY$406:BY$414,'[1]Soy Complex'!BZ$403:BZ$405)</f>
        <v>4252.667439307098</v>
      </c>
      <c r="AT10" s="45">
        <f>SUM('[1]Soy Complex'!BZ$406:BZ$414,'[1]Soy Complex'!CA$403:CA$405)</f>
        <v>3535.0519617474711</v>
      </c>
      <c r="AU10" s="45">
        <f>SUM('[1]Soy Complex'!CA$406:CA$414,'[1]Soy Complex'!CB$403:CB$405)</f>
        <v>3518.6347183578878</v>
      </c>
      <c r="AV10" s="45">
        <f>SUM('[1]Soy Complex'!CB$406:CB$414,'[1]Soy Complex'!CC$403:CC$405)</f>
        <v>3344.8149774117819</v>
      </c>
      <c r="AW10" s="45">
        <f>SUM('[1]Soy Complex'!CC$406:CC$414,'[1]Soy Complex'!CD$403:CD$405)</f>
        <v>1517.9215477769137</v>
      </c>
      <c r="AX10" s="45">
        <f>SUM('[1]Soy Complex'!CD$406:CD$414,'[1]Soy Complex'!CE$403:CE$405)</f>
        <v>1632.9647075008654</v>
      </c>
      <c r="AY10" s="45">
        <f>SUM('[1]Soy Complex'!CE$406:CE$414,'[1]Soy Complex'!CF$403:CF$405)</f>
        <v>1475.3415981898256</v>
      </c>
      <c r="AZ10" s="45">
        <f>SUM('[1]Soy Complex'!CF$406:CF$414,'[1]Soy Complex'!CG$403:CG$405)</f>
        <v>970.83258778639129</v>
      </c>
      <c r="BA10" s="45">
        <f>SUM('[1]Soy Complex'!CG$406:CG$414,'[1]Soy Complex'!CH$403:CH$405)</f>
        <v>870.08737479605293</v>
      </c>
      <c r="BB10" s="45">
        <f>SUM('[1]Soy Complex'!CH$406:CH$414,'[1]Soy Complex'!CI$403:CI$405)</f>
        <v>756.01652738315329</v>
      </c>
      <c r="BC10" s="45">
        <f>SUM('[1]Soy Complex'!CI$406:CI$414,'[1]Soy Complex'!CJ$403:CJ$405)</f>
        <v>625.69537277937013</v>
      </c>
      <c r="BD10" s="45">
        <f>SUM('[1]Soy Complex'!CJ$406:CJ$414,'[1]Soy Complex'!CK$403:CK$405)</f>
        <v>499.89167553384215</v>
      </c>
      <c r="BE10" s="45">
        <f>SUM('[1]Soy Complex'!CK$406:CK$414,'[1]Soy Complex'!CL$403:CL$405)</f>
        <v>463.87827127362277</v>
      </c>
      <c r="BF10" s="45">
        <f>SUM('[1]Soy Complex'!CL$406:CL$414,'[1]Soy Complex'!CM$403:CM$405)</f>
        <v>382.15772480873602</v>
      </c>
      <c r="BG10" s="45">
        <f>SUM('[1]Soy Complex'!CM$406:CM$414,'[1]Soy Complex'!CN$403:CN$405)</f>
        <v>450.99156178100424</v>
      </c>
      <c r="BJ10" s="41">
        <v>7139</v>
      </c>
      <c r="BK10" s="41">
        <v>8418</v>
      </c>
      <c r="BL10" s="41">
        <v>6136</v>
      </c>
      <c r="BM10" s="41">
        <v>5091</v>
      </c>
      <c r="BN10" s="41">
        <v>4796</v>
      </c>
      <c r="BO10" s="41">
        <v>3243</v>
      </c>
      <c r="BP10" s="41">
        <v>3112</v>
      </c>
      <c r="BQ10" s="41">
        <v>2107</v>
      </c>
      <c r="BR10" s="41">
        <v>1787</v>
      </c>
      <c r="BS10" s="41">
        <v>1822</v>
      </c>
    </row>
    <row r="11" spans="1:71" x14ac:dyDescent="0.2">
      <c r="A11" s="40"/>
      <c r="B11" s="40" t="s">
        <v>155</v>
      </c>
      <c r="C11" s="45">
        <f>SUM('[1]Soy Complex'!AI$423:AI$431,'[1]Soy Complex'!AJ$420:AJ$422)+SUM('[1]Soy Complex'!AI455:AI$463,'[1]Soy Complex'!AJ$452:AJ$454)</f>
        <v>103.77000000000001</v>
      </c>
      <c r="D11" s="45">
        <f>SUM('[1]Soy Complex'!AJ$423:AJ$431,'[1]Soy Complex'!AK$420:AK$422)+SUM('[1]Soy Complex'!AJ455:AJ$463,'[1]Soy Complex'!AK$452:AK$454)</f>
        <v>0</v>
      </c>
      <c r="E11" s="45">
        <f>SUM('[1]Soy Complex'!AK$423:AK$431,'[1]Soy Complex'!AL$420:AL$422)+SUM('[1]Soy Complex'!AK455:AK$463,'[1]Soy Complex'!AL$452:AL$454)</f>
        <v>0</v>
      </c>
      <c r="F11" s="45">
        <f>SUM('[1]Soy Complex'!AL$423:AL$431,'[1]Soy Complex'!AM$420:AM$422)+SUM('[1]Soy Complex'!AL455:AL$463,'[1]Soy Complex'!AM$452:AM$454)</f>
        <v>0</v>
      </c>
      <c r="G11" s="45">
        <f>SUM('[1]Soy Complex'!AM$423:AM$431,'[1]Soy Complex'!AN$420:AN$422)+SUM('[1]Soy Complex'!AM455:AM$463,'[1]Soy Complex'!AN$452:AN$454)</f>
        <v>0</v>
      </c>
      <c r="H11" s="45">
        <f>SUM('[1]Soy Complex'!AN$423:AN$431,'[1]Soy Complex'!AO$420:AO$422)+SUM('[1]Soy Complex'!AN455:AN$463,'[1]Soy Complex'!AO$452:AO$454)</f>
        <v>0</v>
      </c>
      <c r="I11" s="45">
        <f>SUM('[1]Soy Complex'!AO$423:AO$431,'[1]Soy Complex'!AP$420:AP$422)+SUM('[1]Soy Complex'!AO455:AO$463,'[1]Soy Complex'!AP$452:AP$454)</f>
        <v>0</v>
      </c>
      <c r="J11" s="45">
        <f>SUM('[1]Soy Complex'!AP$423:AP$431,'[1]Soy Complex'!AQ$420:AQ$422)+SUM('[1]Soy Complex'!AP455:AP$463,'[1]Soy Complex'!AQ$452:AQ$454)</f>
        <v>0</v>
      </c>
      <c r="K11" s="45">
        <f>SUM('[1]Soy Complex'!AQ$423:AQ$431,'[1]Soy Complex'!AR$420:AR$422)+SUM('[1]Soy Complex'!AQ455:AQ$463,'[1]Soy Complex'!AR$452:AR$454)</f>
        <v>0</v>
      </c>
      <c r="L11" s="45">
        <f>SUM('[1]Soy Complex'!AR$423:AR$431,'[1]Soy Complex'!AS$420:AS$422)+SUM('[1]Soy Complex'!AR455:AR$463,'[1]Soy Complex'!AS$452:AS$454)</f>
        <v>0</v>
      </c>
      <c r="M11" s="45">
        <f>SUM('[1]Soy Complex'!AS$423:AS$431,'[1]Soy Complex'!AT$420:AT$422)+SUM('[1]Soy Complex'!AS455:AS$463,'[1]Soy Complex'!AT$452:AT$454)</f>
        <v>0</v>
      </c>
      <c r="N11" s="45">
        <f>SUM('[1]Soy Complex'!AT$423:AT$431,'[1]Soy Complex'!AU$420:AU$422)+SUM('[1]Soy Complex'!AT455:AT$463,'[1]Soy Complex'!AU$452:AU$454)</f>
        <v>0</v>
      </c>
      <c r="O11" s="45">
        <f>SUM('[1]Soy Complex'!AU$423:AU$431,'[1]Soy Complex'!AV$420:AV$422)+SUM('[1]Soy Complex'!AU455:AU$463,'[1]Soy Complex'!AV$452:AV$454)</f>
        <v>0</v>
      </c>
      <c r="P11" s="45">
        <f>SUM('[1]Soy Complex'!AV$423:AV$431,'[1]Soy Complex'!AW$420:AW$422)+SUM('[1]Soy Complex'!AV455:AV$463,'[1]Soy Complex'!AW$452:AW$454)</f>
        <v>0</v>
      </c>
      <c r="Q11" s="45">
        <f>SUM('[1]Soy Complex'!AW$423:AW$431,'[1]Soy Complex'!AX$420:AX$422)+SUM('[1]Soy Complex'!AW455:AW$463,'[1]Soy Complex'!AX$452:AX$454)</f>
        <v>0</v>
      </c>
      <c r="R11" s="45">
        <f>SUM('[1]Soy Complex'!AX$423:AX$431,'[1]Soy Complex'!AY$420:AY$422)+SUM('[1]Soy Complex'!AX455:AX$463,'[1]Soy Complex'!AY$452:AY$454)</f>
        <v>0</v>
      </c>
      <c r="S11" s="45">
        <f>SUM('[1]Soy Complex'!AY$423:AY$431,'[1]Soy Complex'!AZ$420:AZ$422)+SUM('[1]Soy Complex'!AY455:AY$463,'[1]Soy Complex'!AZ$452:AZ$454)</f>
        <v>0</v>
      </c>
      <c r="T11" s="45">
        <f>SUM('[1]Soy Complex'!AZ$423:AZ$431,'[1]Soy Complex'!BA$420:BA$422)+SUM('[1]Soy Complex'!AZ455:AZ$463,'[1]Soy Complex'!BA$452:BA$454)</f>
        <v>50</v>
      </c>
      <c r="U11" s="45">
        <f>SUM('[1]Soy Complex'!BA$423:BA$431,'[1]Soy Complex'!BB$420:BB$422)+SUM('[1]Soy Complex'!BA455:BA$463,'[1]Soy Complex'!BB$452:BB$454)</f>
        <v>335</v>
      </c>
      <c r="V11" s="45">
        <f>SUM('[1]Soy Complex'!BB$423:BB$431,'[1]Soy Complex'!BC$420:BC$422)+SUM('[1]Soy Complex'!BB455:BB$463,'[1]Soy Complex'!BC$452:BC$454)</f>
        <v>732</v>
      </c>
      <c r="W11" s="45">
        <f>SUM('[1]Soy Complex'!BC$423:BC$431,'[1]Soy Complex'!BD$420:BD$422)+SUM('[1]Soy Complex'!BC455:BC$463,'[1]Soy Complex'!BD$452:BD$454)</f>
        <v>729</v>
      </c>
      <c r="X11" s="45">
        <f>SUM('[1]Soy Complex'!BD$423:BD$431,'[1]Soy Complex'!BE$420:BE$422)+SUM('[1]Soy Complex'!BD455:BD$463,'[1]Soy Complex'!BE$452:BE$454)</f>
        <v>709.6</v>
      </c>
      <c r="Y11" s="45">
        <f>SUM('[1]Soy Complex'!BE$423:BE$431,'[1]Soy Complex'!BF$420:BF$422)+SUM('[1]Soy Complex'!BE455:BE$463,'[1]Soy Complex'!BF$452:BF$454)</f>
        <v>1012.7043255733813</v>
      </c>
      <c r="Z11" s="45">
        <f>SUM('[1]Soy Complex'!BF$423:BF$431,'[1]Soy Complex'!BG$420:BG$422)+SUM('[1]Soy Complex'!BF455:BF$463,'[1]Soy Complex'!BG$452:BG$454)</f>
        <v>1278.7688658531242</v>
      </c>
      <c r="AA11" s="45">
        <f>SUM('[1]Soy Complex'!BG$423:BG$431,'[1]Soy Complex'!BH$420:BH$422)+SUM('[1]Soy Complex'!BG455:BG$463,'[1]Soy Complex'!BH$452:BH$454)</f>
        <v>1861.1019661545806</v>
      </c>
      <c r="AB11" s="45">
        <f>SUM('[1]Soy Complex'!BH$422:BH$430,'[1]Soy Complex'!BI$419:BI$421,'[1]Soy Complex'!BH$438:BH$446,'[1]Soy Complex'!BI$435:BI$437,'[1]Soy Complex'!BH$454:BH$462,'[1]Soy Complex'!BI$451:BI$453)</f>
        <v>2085.8996100057643</v>
      </c>
      <c r="AC11" s="45">
        <f>SUM('[1]Soy Complex'!BI$422:BI$430,'[1]Soy Complex'!BJ$419:BJ$421,'[1]Soy Complex'!BI$438:BI$446,'[1]Soy Complex'!BJ$435:BJ$437,'[1]Soy Complex'!BI$454:BI$462,'[1]Soy Complex'!BJ$451:BJ$453)</f>
        <v>2363.9997592785644</v>
      </c>
      <c r="AD11" s="45">
        <f>SUM('[1]Soy Complex'!BJ$422:BJ$430,'[1]Soy Complex'!BK$419:BK$421,'[1]Soy Complex'!BJ$438:BJ$446,'[1]Soy Complex'!BK$435:BK$437,'[1]Soy Complex'!BJ$454:BJ$462,'[1]Soy Complex'!BK$451:BK$453)</f>
        <v>2782.5166598267433</v>
      </c>
      <c r="AE11" s="45">
        <f>SUM('[1]Soy Complex'!BK$422:BK$430,'[1]Soy Complex'!BL$419:BL$421,'[1]Soy Complex'!BK$438:BK$446,'[1]Soy Complex'!BL$435:BL$437,'[1]Soy Complex'!BK$454:BK$462,'[1]Soy Complex'!BL$451:BL$453)</f>
        <v>3424.8869999999997</v>
      </c>
      <c r="AF11" s="45">
        <f>SUM('[1]Soy Complex'!BL$422:BL$430,'[1]Soy Complex'!BM$419:BM$421,'[1]Soy Complex'!BL$438:BL$446,'[1]Soy Complex'!BM$435:BM$437,'[1]Soy Complex'!BL$454:BL$462,'[1]Soy Complex'!BM$451:BM$453)</f>
        <v>5688.5511944193004</v>
      </c>
      <c r="AG11" s="45">
        <f>SUM('[1]Soy Complex'!BM$422:BM$430,'[1]Soy Complex'!BN$419:BN$421,'[1]Soy Complex'!BM$438:BM$446,'[1]Soy Complex'!BN$435:BN$437,'[1]Soy Complex'!BM$454:BM$462,'[1]Soy Complex'!BN$451:BN$453)</f>
        <v>6605.9082783222993</v>
      </c>
      <c r="AH11" s="45">
        <f>SUM('[1]Soy Complex'!BN$422:BN$430,'[1]Soy Complex'!BO$419:BO$421,'[1]Soy Complex'!BN$438:BN$446,'[1]Soy Complex'!BO$435:BO$437,'[1]Soy Complex'!BN$454:BN$462,'[1]Soy Complex'!BO$451:BO$453)</f>
        <v>5183.7434898054189</v>
      </c>
      <c r="AI11" s="45">
        <f>SUM('[1]Soy Complex'!BO$422:BO$430,'[1]Soy Complex'!BP$419:BP$421,'[1]Soy Complex'!BO$438:BO$446,'[1]Soy Complex'!BP$435:BP$437,'[1]Soy Complex'!BO$454:BO$462,'[1]Soy Complex'!BP$451:BP$453)</f>
        <v>6275.4918879976876</v>
      </c>
      <c r="AJ11" s="45">
        <f>SUM('[1]Soy Complex'!BP$422:BP$430,'[1]Soy Complex'!BQ$419:BQ$421,'[1]Soy Complex'!BP$438:BP$446,'[1]Soy Complex'!BQ$435:BQ$437,'[1]Soy Complex'!BP$454:BP$462,'[1]Soy Complex'!BQ$451:BQ$453)</f>
        <v>8683.0278403629436</v>
      </c>
      <c r="AK11" s="45">
        <f>SUM('[1]Soy Complex'!BQ$422:BQ$430,'[1]Soy Complex'!BR$419:BR$421,'[1]Soy Complex'!BQ$438:BQ$446,'[1]Soy Complex'!BR$435:BR$437,'[1]Soy Complex'!BQ$454:BQ$462,'[1]Soy Complex'!BR$451:BR$453)</f>
        <v>9718.0497561636148</v>
      </c>
      <c r="AL11" s="45">
        <f>SUM('[1]Soy Complex'!BR$422:BR$430,'[1]Soy Complex'!BS$419:BS$421,'[1]Soy Complex'!BR$438:BR$446,'[1]Soy Complex'!BS$435:BS$437,'[1]Soy Complex'!BR$454:BR$462,'[1]Soy Complex'!BS$451:BS$453)</f>
        <v>9348.444147293465</v>
      </c>
      <c r="AM11" s="45">
        <f>SUM('[1]Soy Complex'!BS$422:BS$430,'[1]Soy Complex'!BT$419:BT$421,'[1]Soy Complex'!BS$438:BS$446,'[1]Soy Complex'!BT$435:BT$437,'[1]Soy Complex'!BS$454:BS$462,'[1]Soy Complex'!BT$451:BT$453)</f>
        <v>11114.033307744938</v>
      </c>
      <c r="AN11" s="45">
        <f>SUM('[1]Soy Complex'!BT$422:BT$430,'[1]Soy Complex'!BU$419:BU$421,'[1]Soy Complex'!BT$438:BT$446,'[1]Soy Complex'!BU$435:BU$437,'[1]Soy Complex'!BT$454:BT$462,'[1]Soy Complex'!BU$451:BU$453)</f>
        <v>12293.036589138088</v>
      </c>
      <c r="AO11" s="45">
        <f>SUM('[1]Soy Complex'!BU$422:BU$430,'[1]Soy Complex'!BV$419:BV$421,'[1]Soy Complex'!BU$438:BU$446,'[1]Soy Complex'!BV$435:BV$437,'[1]Soy Complex'!BU$454:BU$462,'[1]Soy Complex'!BV$451:BV$453)</f>
        <v>14825.923970232921</v>
      </c>
      <c r="AP11" s="45">
        <f>SUM('[1]Soy Complex'!BV$422:BV$430,'[1]Soy Complex'!BW$419:BW$421,'[1]Soy Complex'!BV$438:BV$446,'[1]Soy Complex'!BW$435:BW$437,'[1]Soy Complex'!BV$454:BV$462,'[1]Soy Complex'!BW$451:BW$453)</f>
        <v>16685.953843299467</v>
      </c>
      <c r="AQ11" s="45">
        <f>SUM('[1]Soy Complex'!BW$422:BW$430,'[1]Soy Complex'!BX$419:BX$421,'[1]Soy Complex'!BW$438:BW$446,'[1]Soy Complex'!BX$435:BX$437,'[1]Soy Complex'!BW$454:BW$462,'[1]Soy Complex'!BX$451:BX$453)</f>
        <v>17525.447723205114</v>
      </c>
      <c r="AR11" s="45">
        <f>SUM('[1]Soy Complex'!BX$422:BX$430,'[1]Soy Complex'!BY$419:BY$421,'[1]Soy Complex'!BX$438:BX$446,'[1]Soy Complex'!BY$435:BY$437,'[1]Soy Complex'!BX$454:BX$462,'[1]Soy Complex'!BY$451:BY$453)</f>
        <v>17970.395303786518</v>
      </c>
      <c r="AS11" s="45">
        <f>SUM('[1]Soy Complex'!BY$422:BY$430,'[1]Soy Complex'!BZ$419:BZ$421,'[1]Soy Complex'!BY$438:BY$446,'[1]Soy Complex'!BZ$435:BZ$437,'[1]Soy Complex'!BY$454:BY$462,'[1]Soy Complex'!BZ$451:BZ$453)</f>
        <v>14899.668024213892</v>
      </c>
      <c r="AT11" s="45">
        <f>SUM('[1]Soy Complex'!BZ$422:BZ$430,'[1]Soy Complex'!CA$419:CA$421,'[1]Soy Complex'!BZ$438:BZ$446,'[1]Soy Complex'!CA$435:CA$437,'[1]Soy Complex'!BZ$454:BZ$462,'[1]Soy Complex'!CA$451:CA$453)</f>
        <v>17523.83278638597</v>
      </c>
      <c r="AU11" s="45">
        <f>SUM('[1]Soy Complex'!CA$422:CA$430,'[1]Soy Complex'!CB$419:CB$421,'[1]Soy Complex'!CA$438:CA$446,'[1]Soy Complex'!CB$435:CB$437,'[1]Soy Complex'!CA$454:CA$462,'[1]Soy Complex'!CB$451:CB$453)</f>
        <v>19608.624138878964</v>
      </c>
      <c r="AV11" s="45">
        <f>SUM('[1]Soy Complex'!CB$422:CB$430,'[1]Soy Complex'!CC$419:CC$421,'[1]Soy Complex'!CB$438:CB$446,'[1]Soy Complex'!CC$435:CC$437,'[1]Soy Complex'!CB$454:CB$462,'[1]Soy Complex'!CC$451:CC$453)</f>
        <v>18422.676693966841</v>
      </c>
      <c r="AW11" s="45">
        <f>SUM('[1]Soy Complex'!CC$422:CC$430,'[1]Soy Complex'!CD$419:CD$421,'[1]Soy Complex'!CC$438:CC$446,'[1]Soy Complex'!CD$435:CD$437,'[1]Soy Complex'!CC$454:CC$462,'[1]Soy Complex'!CD$451:CD$453)</f>
        <v>18190.344200246727</v>
      </c>
      <c r="AX11" s="45">
        <f>SUM('[1]Soy Complex'!CD$422:CD$430,'[1]Soy Complex'!CE$419:CE$421,'[1]Soy Complex'!CD$438:CD$446,'[1]Soy Complex'!CE$435:CE$437,'[1]Soy Complex'!CD$454:CD$462,'[1]Soy Complex'!CE$451:CE$453)</f>
        <v>18318.959996579641</v>
      </c>
      <c r="AY11" s="45">
        <f>SUM('[1]Soy Complex'!CE$422:CE$430,'[1]Soy Complex'!CF$419:CF$421,'[1]Soy Complex'!CE$438:CE$446,'[1]Soy Complex'!CF$435:CF$437,'[1]Soy Complex'!CE$454:CE$462,'[1]Soy Complex'!CF$451:CF$453)</f>
        <v>18784.498332574309</v>
      </c>
      <c r="AZ11" s="45">
        <f>SUM('[1]Soy Complex'!CF$422:CF$430,'[1]Soy Complex'!CG$419:CG$421,'[1]Soy Complex'!CF$438:CF$446,'[1]Soy Complex'!CG$435:CG$437,'[1]Soy Complex'!CF$454:CF$462,'[1]Soy Complex'!CG$451:CG$453)</f>
        <v>18816.170286901444</v>
      </c>
      <c r="BA11" s="45">
        <f>SUM('[1]Soy Complex'!CG$422:CG$430,'[1]Soy Complex'!CH$419:CH$421,'[1]Soy Complex'!CG$438:CG$446,'[1]Soy Complex'!CH$435:CH$437,'[1]Soy Complex'!CG$454:CG$462,'[1]Soy Complex'!CH$451:CH$453)</f>
        <v>18694.839608911494</v>
      </c>
      <c r="BB11" s="45">
        <f>SUM('[1]Soy Complex'!CH$422:CH$430,'[1]Soy Complex'!CI$419:CI$421,'[1]Soy Complex'!CH$438:CH$446,'[1]Soy Complex'!CI$435:CI$437,'[1]Soy Complex'!CH$454:CH$462,'[1]Soy Complex'!CI$451:CI$453)</f>
        <v>20054.566862494336</v>
      </c>
      <c r="BC11" s="45">
        <f>SUM('[1]Soy Complex'!CI$422:CI$430,'[1]Soy Complex'!CJ$419:CJ$421,'[1]Soy Complex'!CI$438:CI$446,'[1]Soy Complex'!CJ$435:CJ$437,'[1]Soy Complex'!CI$454:CI$462,'[1]Soy Complex'!CJ$451:CJ$453)</f>
        <v>19656.469769834683</v>
      </c>
      <c r="BD11" s="45">
        <f>SUM('[1]Soy Complex'!CJ$422:CJ$430,'[1]Soy Complex'!CK$419:CK$421,'[1]Soy Complex'!CJ$438:CJ$446,'[1]Soy Complex'!CK$435:CK$437,'[1]Soy Complex'!CJ$454:CJ$462,'[1]Soy Complex'!CK$451:CK$453)</f>
        <v>22697.461711192598</v>
      </c>
      <c r="BE11" s="45">
        <f>SUM('[1]Soy Complex'!CK$422:CK$430,'[1]Soy Complex'!CL$419:CL$421,'[1]Soy Complex'!CK$438:CK$446,'[1]Soy Complex'!CL$435:CL$437,'[1]Soy Complex'!CK$454:CK$462,'[1]Soy Complex'!CL$451:CL$453)</f>
        <v>21030.907980842359</v>
      </c>
      <c r="BF11" s="45">
        <f>SUM('[1]Soy Complex'!CL$422:CL$430,'[1]Soy Complex'!CM$419:CM$421,'[1]Soy Complex'!CL$438:CL$446,'[1]Soy Complex'!CM$435:CM$437,'[1]Soy Complex'!CL$454:CL$462,'[1]Soy Complex'!CM$451:CM$453)</f>
        <v>22703.011569636954</v>
      </c>
      <c r="BG11" s="45">
        <f>SUM('[1]Soy Complex'!CM$422:CM$430,'[1]Soy Complex'!CN$419:CN$421,'[1]Soy Complex'!CM$438:CM$446,'[1]Soy Complex'!CN$435:CN$437,'[1]Soy Complex'!CM$454:CM$462,'[1]Soy Complex'!CN$451:CN$453)</f>
        <v>22041.149943593027</v>
      </c>
      <c r="BJ11" s="41">
        <v>8080</v>
      </c>
      <c r="BK11" s="41">
        <v>6882</v>
      </c>
      <c r="BL11" s="41">
        <v>7062</v>
      </c>
      <c r="BM11" s="41">
        <v>8086</v>
      </c>
      <c r="BN11" s="41">
        <v>8977</v>
      </c>
      <c r="BO11" s="41">
        <v>9694</v>
      </c>
      <c r="BP11" s="41">
        <v>8186</v>
      </c>
      <c r="BQ11" s="41">
        <v>6710</v>
      </c>
      <c r="BR11" s="41">
        <v>6602</v>
      </c>
      <c r="BS11" s="41">
        <v>6398</v>
      </c>
    </row>
    <row r="12" spans="1:71" x14ac:dyDescent="0.2">
      <c r="A12" s="40"/>
      <c r="B12" s="40" t="s">
        <v>78</v>
      </c>
      <c r="C12" s="45">
        <f>SUM('[1]Soy Complex'!AI$471:AI$479,'[1]Soy Complex'!AJ$468:AJ$470)</f>
        <v>3298.7785149390002</v>
      </c>
      <c r="D12" s="45">
        <f>SUM('[1]Soy Complex'!AJ$471:AJ$479,'[1]Soy Complex'!AK$468:AK$470)</f>
        <v>23583.133652264605</v>
      </c>
      <c r="E12" s="45">
        <f>SUM('[1]Soy Complex'!AK$471:AK$479,'[1]Soy Complex'!AL$468:AL$470)</f>
        <v>25884.958855645607</v>
      </c>
      <c r="F12" s="45">
        <f>SUM('[1]Soy Complex'!AL$471:AL$479,'[1]Soy Complex'!AM$468:AM$470)</f>
        <v>27359.230305501402</v>
      </c>
      <c r="G12" s="45">
        <f>SUM('[1]Soy Complex'!AM$471:AM$479,'[1]Soy Complex'!AN$468:AN$470)</f>
        <v>29132.843935981593</v>
      </c>
      <c r="H12" s="45">
        <f>SUM('[1]Soy Complex'!AN$471:AN$479,'[1]Soy Complex'!AO$468:AO$470)</f>
        <v>30342.549079158278</v>
      </c>
      <c r="I12" s="45">
        <f>SUM('[1]Soy Complex'!AO$471:AO$479,'[1]Soy Complex'!AP$468:AP$470)</f>
        <v>30603.941204559575</v>
      </c>
      <c r="J12" s="45">
        <f>SUM('[1]Soy Complex'!AP$471:AP$479,'[1]Soy Complex'!AQ$468:AQ$470)</f>
        <v>31156.349086011061</v>
      </c>
      <c r="K12" s="45">
        <f>SUM('[1]Soy Complex'!AQ$471:AQ$479,'[1]Soy Complex'!AR$468:AR$470)</f>
        <v>31851.686252804757</v>
      </c>
      <c r="L12" s="45">
        <f>SUM('[1]Soy Complex'!AR$471:AR$479,'[1]Soy Complex'!AS$468:AS$470)</f>
        <v>32107.253844212999</v>
      </c>
      <c r="M12" s="45">
        <f>SUM('[1]Soy Complex'!AS$471:AS$479,'[1]Soy Complex'!AT$468:AT$470)</f>
        <v>32187.878961895523</v>
      </c>
      <c r="N12" s="45">
        <f>SUM('[1]Soy Complex'!AT$471:AT$479,'[1]Soy Complex'!AU$468:AU$470)</f>
        <v>32275.591320810297</v>
      </c>
      <c r="O12" s="45">
        <f>SUM('[1]Soy Complex'!AU$471:AU$479,'[1]Soy Complex'!AV$468:AV$470)</f>
        <v>30910.759192287751</v>
      </c>
      <c r="P12" s="45">
        <f>SUM('[1]Soy Complex'!AV$471:AV$479,'[1]Soy Complex'!AW$468:AW$470)</f>
        <v>30352.360310678199</v>
      </c>
      <c r="Q12" s="45">
        <f>SUM('[1]Soy Complex'!AW$471:AW$479,'[1]Soy Complex'!AX$468:AX$470)</f>
        <v>28261.024341296605</v>
      </c>
      <c r="R12" s="45">
        <f>SUM('[1]Soy Complex'!AX$471:AX$479,'[1]Soy Complex'!AY$468:AY$470)</f>
        <v>27308.295608635999</v>
      </c>
      <c r="S12" s="45">
        <f>SUM('[1]Soy Complex'!AY$471:AY$479,'[1]Soy Complex'!AZ$468:AZ$470)</f>
        <v>27137.058695803393</v>
      </c>
      <c r="T12" s="45">
        <f>SUM('[1]Soy Complex'!AZ$471:AZ$479,'[1]Soy Complex'!BA$468:BA$470)</f>
        <v>26245.5107005561</v>
      </c>
      <c r="U12" s="45">
        <f>SUM('[1]Soy Complex'!BA$471:BA$479,'[1]Soy Complex'!BB$468:BB$470)</f>
        <v>25163.024119614463</v>
      </c>
      <c r="V12" s="45">
        <f>SUM('[1]Soy Complex'!BB$471:BB$479,'[1]Soy Complex'!BC$468:BC$470)</f>
        <v>25536.734581157245</v>
      </c>
      <c r="W12" s="45">
        <f>SUM('[1]Soy Complex'!BC$471:BC$479,'[1]Soy Complex'!BD$468:BD$470)</f>
        <v>25663.319188056466</v>
      </c>
      <c r="X12" s="45">
        <f>SUM('[1]Soy Complex'!BD$471:BD$479,'[1]Soy Complex'!BE$468:BE$470)</f>
        <v>25858.722108007158</v>
      </c>
      <c r="Y12" s="45">
        <f>SUM('[1]Soy Complex'!BE$471:BE$479,'[1]Soy Complex'!BF$468:BF$470)</f>
        <v>26372.227254363508</v>
      </c>
      <c r="Z12" s="45">
        <f>SUM('[1]Soy Complex'!BF$471:BF$479,'[1]Soy Complex'!BG$468:BG$470)</f>
        <v>24824.492511475495</v>
      </c>
      <c r="AA12" s="45">
        <f>SUM('[1]Soy Complex'!BG$471:BG$479,'[1]Soy Complex'!BH$468:BH$470)</f>
        <v>25653.198422502275</v>
      </c>
      <c r="AB12" s="45">
        <f>AB8-AB9</f>
        <v>11215.883496994245</v>
      </c>
      <c r="AC12" s="45">
        <f t="shared" ref="AC12:BG12" si="5">AC8-AC9</f>
        <v>9369.2474017214408</v>
      </c>
      <c r="AD12" s="45">
        <f t="shared" si="5"/>
        <v>12789.910008535157</v>
      </c>
      <c r="AE12" s="45">
        <f t="shared" si="5"/>
        <v>13007.501391896036</v>
      </c>
      <c r="AF12" s="45">
        <f t="shared" si="5"/>
        <v>13769.2841705807</v>
      </c>
      <c r="AG12" s="45">
        <f t="shared" si="5"/>
        <v>13120.633051136261</v>
      </c>
      <c r="AH12" s="45">
        <f t="shared" si="5"/>
        <v>12272.938591714861</v>
      </c>
      <c r="AI12" s="45">
        <f t="shared" si="5"/>
        <v>12843.799999999997</v>
      </c>
      <c r="AJ12" s="45">
        <f t="shared" si="5"/>
        <v>12400.100000000002</v>
      </c>
      <c r="AK12" s="45">
        <f t="shared" si="5"/>
        <v>13107.499999999998</v>
      </c>
      <c r="AL12" s="45">
        <f t="shared" si="5"/>
        <v>13429.350000000004</v>
      </c>
      <c r="AM12" s="45">
        <f t="shared" si="5"/>
        <v>12744.499999999996</v>
      </c>
      <c r="AN12" s="45">
        <f t="shared" si="5"/>
        <v>13274.100000000002</v>
      </c>
      <c r="AO12" s="45">
        <f t="shared" si="5"/>
        <v>12236.650000000005</v>
      </c>
      <c r="AP12" s="45">
        <f t="shared" si="5"/>
        <v>11680.549999999992</v>
      </c>
      <c r="AQ12" s="45">
        <f t="shared" si="5"/>
        <v>13910.550000000003</v>
      </c>
      <c r="AR12" s="45">
        <f t="shared" si="5"/>
        <v>13214.949999999997</v>
      </c>
      <c r="AS12" s="45">
        <f t="shared" si="5"/>
        <v>12877.400000000001</v>
      </c>
      <c r="AT12" s="45">
        <f t="shared" si="5"/>
        <v>13686.600000000002</v>
      </c>
      <c r="AU12" s="45">
        <f t="shared" si="5"/>
        <v>13506.600000000002</v>
      </c>
      <c r="AV12" s="45">
        <f t="shared" si="5"/>
        <v>13660</v>
      </c>
      <c r="AW12" s="45">
        <f t="shared" si="5"/>
        <v>13046.600000000002</v>
      </c>
      <c r="AX12" s="45">
        <f t="shared" si="5"/>
        <v>13083.700000000004</v>
      </c>
      <c r="AY12" s="45">
        <f t="shared" si="5"/>
        <v>13260.899999999998</v>
      </c>
      <c r="AZ12" s="45">
        <f t="shared" si="5"/>
        <v>13329.349999999988</v>
      </c>
      <c r="BA12" s="45">
        <f t="shared" si="5"/>
        <v>13350.150000000009</v>
      </c>
      <c r="BB12" s="45">
        <f t="shared" si="5"/>
        <v>13506.100000000006</v>
      </c>
      <c r="BC12" s="45">
        <f t="shared" si="5"/>
        <v>13614.400000000016</v>
      </c>
      <c r="BD12" s="45">
        <f t="shared" si="5"/>
        <v>13706.099999999999</v>
      </c>
      <c r="BE12" s="45">
        <f t="shared" si="5"/>
        <v>13812.3</v>
      </c>
      <c r="BF12" s="45">
        <f t="shared" si="5"/>
        <v>13901.150000000001</v>
      </c>
      <c r="BG12" s="45">
        <f t="shared" si="5"/>
        <v>13997.650000000012</v>
      </c>
    </row>
    <row r="13" spans="1:71" x14ac:dyDescent="0.2">
      <c r="A13" s="40"/>
      <c r="B13" s="40" t="s">
        <v>79</v>
      </c>
      <c r="C13" s="45">
        <f>SUM('[1]Soy Complex'!AI$343:AI$351,'[1]Soy Complex'!AJ$340:AJ$342)</f>
        <v>876.3890008482</v>
      </c>
      <c r="D13" s="45">
        <f>SUM('[1]Soy Complex'!AJ$343:AJ$351,'[1]Soy Complex'!AK$340:AK$342)</f>
        <v>4859.9302457537997</v>
      </c>
      <c r="E13" s="45">
        <f>SUM('[1]Soy Complex'!AK$343:AK$351,'[1]Soy Complex'!AL$340:AL$342)</f>
        <v>2131.5572995247999</v>
      </c>
      <c r="F13" s="45">
        <f>SUM('[1]Soy Complex'!AL$343:AL$351,'[1]Soy Complex'!AM$340:AM$342)</f>
        <v>4313.1912650064005</v>
      </c>
      <c r="G13" s="45">
        <f>SUM('[1]Soy Complex'!AM$343:AM$351,'[1]Soy Complex'!AN$340:AN$342)</f>
        <v>5911.9721162963997</v>
      </c>
      <c r="H13" s="45">
        <f>SUM('[1]Soy Complex'!AN$343:AN$351,'[1]Soy Complex'!AO$340:AO$342)</f>
        <v>3882.2791558193994</v>
      </c>
      <c r="I13" s="45">
        <f>SUM('[1]Soy Complex'!AO$343:AO$351,'[1]Soy Complex'!AP$340:AP$342)</f>
        <v>2670.9906038886002</v>
      </c>
      <c r="J13" s="45">
        <f>SUM('[1]Soy Complex'!AP$343:AP$351,'[1]Soy Complex'!AQ$340:AQ$342)</f>
        <v>2804.1676301267998</v>
      </c>
      <c r="K13" s="45">
        <f>SUM('[1]Soy Complex'!AQ$343:AQ$351,'[1]Soy Complex'!AR$340:AR$342)</f>
        <v>4934.0630855879999</v>
      </c>
      <c r="L13" s="45">
        <f>SUM('[1]Soy Complex'!AR$343:AR$351,'[1]Soy Complex'!AS$340:AS$342)</f>
        <v>4046.2031632428002</v>
      </c>
      <c r="M13" s="45">
        <f>SUM('[1]Soy Complex'!AS$343:AS$351,'[1]Soy Complex'!AT$340:AT$342)</f>
        <v>1904.8692469967998</v>
      </c>
      <c r="N13" s="45">
        <f>SUM('[1]Soy Complex'!AT$343:AT$351,'[1]Soy Complex'!AU$340:AU$342)</f>
        <v>2419.5162066767998</v>
      </c>
      <c r="O13" s="45">
        <f>SUM('[1]Soy Complex'!AU$343:AU$351,'[1]Soy Complex'!AV$340:AV$342)</f>
        <v>2470.5470330352005</v>
      </c>
      <c r="P13" s="45">
        <f>SUM('[1]Soy Complex'!AV$343:AV$351,'[1]Soy Complex'!AW$340:AW$342)</f>
        <v>3759.7901845577999</v>
      </c>
      <c r="Q13" s="45">
        <f>SUM('[1]Soy Complex'!AW$343:AW$351,'[1]Soy Complex'!AX$340:AX$342)</f>
        <v>5260.8381109073998</v>
      </c>
      <c r="R13" s="45">
        <f>SUM('[1]Soy Complex'!AX$343:AX$351,'[1]Soy Complex'!AY$340:AY$342)</f>
        <v>5075.306603262</v>
      </c>
      <c r="S13" s="45">
        <f>SUM('[1]Soy Complex'!AY$343:AY$351,'[1]Soy Complex'!AZ$340:AZ$342)</f>
        <v>6532.8534167526004</v>
      </c>
      <c r="T13" s="45">
        <f>SUM('[1]Soy Complex'!AZ$343:AZ$351,'[1]Soy Complex'!BA$340:BA$342)</f>
        <v>4991.2295954346</v>
      </c>
      <c r="U13" s="45">
        <f>SUM('[1]Soy Complex'!BA$343:BA$351,'[1]Soy Complex'!BB$340:BB$342)</f>
        <v>3483.6557199822005</v>
      </c>
      <c r="V13" s="45">
        <f>SUM('[1]Soy Complex'!BB$343:BB$351,'[1]Soy Complex'!BC$340:BC$342)</f>
        <v>3904.9627320396003</v>
      </c>
      <c r="W13" s="45">
        <f>SUM('[1]Soy Complex'!BC$343:BC$351,'[1]Soy Complex'!BD$340:BD$342)</f>
        <v>3682.7068252989998</v>
      </c>
      <c r="X13" s="45">
        <f>SUM('[1]Soy Complex'!BD$343:BD$351,'[1]Soy Complex'!BE$340:BE$342)</f>
        <v>3848.80341690658</v>
      </c>
      <c r="Y13" s="45">
        <f>SUM('[1]Soy Complex'!BE$343:BE$351,'[1]Soy Complex'!BF$340:BF$342)</f>
        <v>4304.5916908827803</v>
      </c>
      <c r="Z13" s="45">
        <f>SUM('[1]Soy Complex'!BF$343:BF$351,'[1]Soy Complex'!BG$340:BG$342)</f>
        <v>4616.1657235894208</v>
      </c>
      <c r="AA13" s="45">
        <f>SUM('[1]Soy Complex'!BG$343:BG$351,'[1]Soy Complex'!BH$340:BH$342)</f>
        <v>4768.0968655848801</v>
      </c>
      <c r="AB13" s="45">
        <f>SUM('[1]Soy Complex'!BH$343:BH$351,'[1]Soy Complex'!BI$340:BI$342)</f>
        <v>3693.3437370000001</v>
      </c>
      <c r="AC13" s="45">
        <f>SUM('[1]Soy Complex'!BI$343:BI$351,'[1]Soy Complex'!BJ$340:BJ$342)</f>
        <v>5577.6030509999991</v>
      </c>
      <c r="AD13" s="45">
        <f>SUM('[1]Soy Complex'!BJ$343:BJ$351,'[1]Soy Complex'!BK$340:BK$342)</f>
        <v>3215.4793179999997</v>
      </c>
      <c r="AE13" s="45">
        <f>SUM('[1]Soy Complex'!BK$343:BK$351,'[1]Soy Complex'!BL$340:BL$342)</f>
        <v>2874.6726819999999</v>
      </c>
      <c r="AF13" s="45">
        <f>SUM('[1]Soy Complex'!BL$343:BL$351,'[1]Soy Complex'!BM$340:BM$342)</f>
        <v>690.67650600000013</v>
      </c>
      <c r="AG13" s="45">
        <f>SUM('[1]Soy Complex'!BM$343:BM$351,'[1]Soy Complex'!BN$340:BN$342)</f>
        <v>2055.4025798835801</v>
      </c>
      <c r="AH13" s="45">
        <f>SUM('[1]Soy Complex'!BN$343:BN$351,'[1]Soy Complex'!BO$340:BO$342)</f>
        <v>3675.6971391164197</v>
      </c>
      <c r="AI13" s="45">
        <f>SUM('[1]Soy Complex'!BO$343:BO$351,'[1]Soy Complex'!BP$340:BP$342)</f>
        <v>3745</v>
      </c>
      <c r="AJ13" s="45">
        <f>SUM('[1]Soy Complex'!BP$343:BP$351,'[1]Soy Complex'!BQ$340:BQ$342)</f>
        <v>2475</v>
      </c>
      <c r="AK13" s="45">
        <f>SUM('[1]Soy Complex'!BQ$343:BQ$351,'[1]Soy Complex'!BR$340:BR$342)</f>
        <v>2925</v>
      </c>
      <c r="AL13" s="45">
        <f>SUM('[1]Soy Complex'!BR$343:BR$351,'[1]Soy Complex'!BS$340:BS$342)</f>
        <v>3200</v>
      </c>
      <c r="AM13" s="45">
        <f>SUM('[1]Soy Complex'!BS$343:BS$351,'[1]Soy Complex'!BT$340:BT$342)</f>
        <v>4275</v>
      </c>
      <c r="AN13" s="45">
        <f>SUM('[1]Soy Complex'!BT$343:BT$351,'[1]Soy Complex'!BU$340:BU$342)</f>
        <v>3300</v>
      </c>
      <c r="AO13" s="45">
        <f>SUM('[1]Soy Complex'!BU$343:BU$351,'[1]Soy Complex'!BV$340:BV$342)</f>
        <v>3035</v>
      </c>
      <c r="AP13" s="45">
        <f>SUM('[1]Soy Complex'!BV$343:BV$351,'[1]Soy Complex'!BW$340:BW$342)</f>
        <v>2990</v>
      </c>
      <c r="AQ13" s="45">
        <f>SUM('[1]Soy Complex'!BW$343:BW$351,'[1]Soy Complex'!BX$340:BX$342)</f>
        <v>980</v>
      </c>
      <c r="AR13" s="45">
        <f>SUM('[1]Soy Complex'!BX$343:BX$351,'[1]Soy Complex'!BY$340:BY$342)</f>
        <v>1495</v>
      </c>
      <c r="AS13" s="45">
        <f>SUM('[1]Soy Complex'!BY$343:BY$351,'[1]Soy Complex'!BZ$340:BZ$342)</f>
        <v>3740</v>
      </c>
      <c r="AT13" s="45">
        <f>SUM('[1]Soy Complex'!BZ$343:BZ$351,'[1]Soy Complex'!CA$340:CA$342)</f>
        <v>2765</v>
      </c>
      <c r="AU13" s="45">
        <f>SUM('[1]Soy Complex'!CA$343:CA$351,'[1]Soy Complex'!CB$340:CB$342)</f>
        <v>1960</v>
      </c>
      <c r="AV13" s="45">
        <f>SUM('[1]Soy Complex'!CB$343:CB$351,'[1]Soy Complex'!CC$340:CC$342)</f>
        <v>2290</v>
      </c>
      <c r="AW13" s="45">
        <f>SUM('[1]Soy Complex'!CC$343:CC$351,'[1]Soy Complex'!CD$340:CD$342)</f>
        <v>3920</v>
      </c>
      <c r="AX13" s="45">
        <f>SUM('[1]Soy Complex'!CD$343:CD$351,'[1]Soy Complex'!CE$340:CE$342)</f>
        <v>3915</v>
      </c>
      <c r="AY13" s="45">
        <f>SUM('[1]Soy Complex'!CE$343:CE$351,'[1]Soy Complex'!CF$340:CF$342)</f>
        <v>3915</v>
      </c>
      <c r="AZ13" s="45">
        <f>SUM('[1]Soy Complex'!CF$343:CF$351,'[1]Soy Complex'!CG$340:CG$342)</f>
        <v>3915</v>
      </c>
      <c r="BA13" s="45">
        <f>SUM('[1]Soy Complex'!CG$343:CG$351,'[1]Soy Complex'!CH$340:CH$342)</f>
        <v>3915</v>
      </c>
      <c r="BB13" s="45">
        <f>SUM('[1]Soy Complex'!CH$343:CH$351,'[1]Soy Complex'!CI$340:CI$342)</f>
        <v>3915</v>
      </c>
      <c r="BC13" s="45">
        <f>SUM('[1]Soy Complex'!CI$343:CI$351,'[1]Soy Complex'!CJ$340:CJ$342)</f>
        <v>3915</v>
      </c>
      <c r="BD13" s="45">
        <f>SUM('[1]Soy Complex'!CJ$343:CJ$351,'[1]Soy Complex'!CK$340:CK$342)</f>
        <v>3915</v>
      </c>
      <c r="BE13" s="45">
        <f>SUM('[1]Soy Complex'!CK$343:CK$351,'[1]Soy Complex'!CL$340:CL$342)</f>
        <v>3915</v>
      </c>
      <c r="BF13" s="45">
        <f>SUM('[1]Soy Complex'!CL$343:CL$351,'[1]Soy Complex'!CM$340:CM$342)</f>
        <v>3915</v>
      </c>
      <c r="BG13" s="45">
        <f>SUM('[1]Soy Complex'!CM$343:CM$351,'[1]Soy Complex'!CN$340:CN$342)</f>
        <v>3915</v>
      </c>
      <c r="BJ13" s="51">
        <f t="shared" ref="BJ13:BS15" si="6">AE9-BJ9</f>
        <v>-5128.617000000002</v>
      </c>
      <c r="BK13" s="51">
        <f t="shared" si="6"/>
        <v>-3281.2628055806999</v>
      </c>
      <c r="BL13" s="51">
        <f t="shared" si="6"/>
        <v>-1276.4525776527007</v>
      </c>
      <c r="BM13" s="51">
        <f t="shared" si="6"/>
        <v>-4036.3463516777447</v>
      </c>
      <c r="BN13" s="51">
        <f t="shared" si="6"/>
        <v>-5777.5757000147551</v>
      </c>
      <c r="BO13" s="51">
        <f t="shared" si="6"/>
        <v>-4484.7575498765436</v>
      </c>
      <c r="BP13" s="51">
        <f t="shared" si="6"/>
        <v>-5228.4576848321612</v>
      </c>
      <c r="BQ13" s="51">
        <f t="shared" si="6"/>
        <v>-6275.0699826466316</v>
      </c>
      <c r="BR13" s="51">
        <f t="shared" si="6"/>
        <v>-5783.2739504319507</v>
      </c>
      <c r="BS13" s="51">
        <f t="shared" si="6"/>
        <v>-4898.1752048560775</v>
      </c>
    </row>
    <row r="14" spans="1:71" x14ac:dyDescent="0.2">
      <c r="A14" s="40"/>
      <c r="B14" s="61" t="s">
        <v>80</v>
      </c>
      <c r="C14" s="62">
        <f t="shared" ref="C14:AA14" si="7">C13+C8</f>
        <v>4327.6875157872</v>
      </c>
      <c r="D14" s="62">
        <f t="shared" si="7"/>
        <v>28443.063898018405</v>
      </c>
      <c r="E14" s="62">
        <f t="shared" si="7"/>
        <v>28016.516155170408</v>
      </c>
      <c r="F14" s="62">
        <f t="shared" si="7"/>
        <v>31672.421570507802</v>
      </c>
      <c r="G14" s="62">
        <f t="shared" si="7"/>
        <v>35045.418892871894</v>
      </c>
      <c r="H14" s="62">
        <f t="shared" si="7"/>
        <v>34232.94680976979</v>
      </c>
      <c r="I14" s="62">
        <f t="shared" si="7"/>
        <v>33301.701731515306</v>
      </c>
      <c r="J14" s="62">
        <f t="shared" si="7"/>
        <v>34103.261060438155</v>
      </c>
      <c r="K14" s="62">
        <f t="shared" si="7"/>
        <v>36976.619385092541</v>
      </c>
      <c r="L14" s="62">
        <f t="shared" si="7"/>
        <v>36388.444457387253</v>
      </c>
      <c r="M14" s="62">
        <f t="shared" si="7"/>
        <v>34436.246465573706</v>
      </c>
      <c r="N14" s="62">
        <f t="shared" si="7"/>
        <v>35934.928492643026</v>
      </c>
      <c r="O14" s="62">
        <f t="shared" si="7"/>
        <v>36853.289623736004</v>
      </c>
      <c r="P14" s="62">
        <f t="shared" si="7"/>
        <v>39914.650495236005</v>
      </c>
      <c r="Q14" s="62">
        <f t="shared" si="7"/>
        <v>39945.162452204007</v>
      </c>
      <c r="R14" s="62">
        <f t="shared" si="7"/>
        <v>36308.302211898001</v>
      </c>
      <c r="S14" s="62">
        <f t="shared" si="7"/>
        <v>36492.91211255599</v>
      </c>
      <c r="T14" s="62">
        <f t="shared" si="7"/>
        <v>38332.740295990698</v>
      </c>
      <c r="U14" s="62">
        <f t="shared" si="7"/>
        <v>37905.679839596662</v>
      </c>
      <c r="V14" s="62">
        <f t="shared" si="7"/>
        <v>40298.697313196848</v>
      </c>
      <c r="W14" s="62">
        <f t="shared" si="7"/>
        <v>39952.786013355464</v>
      </c>
      <c r="X14" s="62">
        <f t="shared" si="7"/>
        <v>40447.035524913736</v>
      </c>
      <c r="Y14" s="62">
        <f t="shared" si="7"/>
        <v>43496.523270819671</v>
      </c>
      <c r="Z14" s="62">
        <f t="shared" si="7"/>
        <v>43221.997100918044</v>
      </c>
      <c r="AA14" s="62">
        <f t="shared" si="7"/>
        <v>47118.677254241731</v>
      </c>
      <c r="AB14" s="62">
        <f>AB7-AB15</f>
        <v>24313.096844000011</v>
      </c>
      <c r="AC14" s="62">
        <f t="shared" ref="AC14:BG14" si="8">AC7-AC15</f>
        <v>25693.570212000002</v>
      </c>
      <c r="AD14" s="62">
        <f t="shared" si="8"/>
        <v>25188.456188</v>
      </c>
      <c r="AE14" s="62">
        <f t="shared" si="8"/>
        <v>26407.557073896034</v>
      </c>
      <c r="AF14" s="62">
        <f t="shared" si="8"/>
        <v>27480.697871</v>
      </c>
      <c r="AG14" s="62">
        <f t="shared" si="8"/>
        <v>28411.58305336714</v>
      </c>
      <c r="AH14" s="62">
        <f t="shared" si="8"/>
        <v>27416.289379153535</v>
      </c>
      <c r="AI14" s="62">
        <f t="shared" si="8"/>
        <v>28673.224299985242</v>
      </c>
      <c r="AJ14" s="62">
        <f t="shared" si="8"/>
        <v>29523.342450123459</v>
      </c>
      <c r="AK14" s="62">
        <f t="shared" si="8"/>
        <v>30450.042315167837</v>
      </c>
      <c r="AL14" s="62">
        <f t="shared" si="8"/>
        <v>31151.280017353372</v>
      </c>
      <c r="AM14" s="62">
        <f t="shared" si="8"/>
        <v>33199.226049568046</v>
      </c>
      <c r="AN14" s="62">
        <f t="shared" si="8"/>
        <v>33803.924795143925</v>
      </c>
      <c r="AO14" s="62">
        <f t="shared" si="8"/>
        <v>35183.986911597291</v>
      </c>
      <c r="AP14" s="62">
        <f t="shared" si="8"/>
        <v>34748.972712515082</v>
      </c>
      <c r="AQ14" s="62">
        <f t="shared" si="8"/>
        <v>36888.926581881198</v>
      </c>
      <c r="AR14" s="62">
        <f t="shared" si="8"/>
        <v>37250.58245241984</v>
      </c>
      <c r="AS14" s="62">
        <f t="shared" si="8"/>
        <v>35769.735463520992</v>
      </c>
      <c r="AT14" s="62">
        <f t="shared" si="8"/>
        <v>37510.484748133444</v>
      </c>
      <c r="AU14" s="62">
        <f t="shared" si="8"/>
        <v>38593.858857236854</v>
      </c>
      <c r="AV14" s="62">
        <f t="shared" si="8"/>
        <v>37717.491671378622</v>
      </c>
      <c r="AW14" s="62">
        <f t="shared" si="8"/>
        <v>36674.865748023643</v>
      </c>
      <c r="AX14" s="62">
        <f t="shared" si="8"/>
        <v>36950.62470408051</v>
      </c>
      <c r="AY14" s="62">
        <f t="shared" si="8"/>
        <v>37435.739930764132</v>
      </c>
      <c r="AZ14" s="62">
        <f t="shared" si="8"/>
        <v>37031.352874687822</v>
      </c>
      <c r="BA14" s="62">
        <f t="shared" si="8"/>
        <v>36830.076983707557</v>
      </c>
      <c r="BB14" s="62">
        <f t="shared" si="8"/>
        <v>38231.683389877493</v>
      </c>
      <c r="BC14" s="62">
        <f t="shared" si="8"/>
        <v>37811.565142614068</v>
      </c>
      <c r="BD14" s="62">
        <f t="shared" si="8"/>
        <v>40818.45338672644</v>
      </c>
      <c r="BE14" s="62">
        <f t="shared" si="8"/>
        <v>39222.08625211598</v>
      </c>
      <c r="BF14" s="62">
        <f t="shared" si="8"/>
        <v>40901.31929444569</v>
      </c>
      <c r="BG14" s="62">
        <f t="shared" si="8"/>
        <v>40404.791505374043</v>
      </c>
      <c r="BJ14" s="51">
        <f t="shared" si="6"/>
        <v>-38.504000000000815</v>
      </c>
      <c r="BK14" s="51">
        <f t="shared" si="6"/>
        <v>-1085.8140000000003</v>
      </c>
      <c r="BL14" s="51">
        <f t="shared" si="6"/>
        <v>493.63914402499995</v>
      </c>
      <c r="BM14" s="51">
        <f t="shared" si="6"/>
        <v>1192.9101585168355</v>
      </c>
      <c r="BN14" s="51">
        <f t="shared" si="6"/>
        <v>1012.9324119875573</v>
      </c>
      <c r="BO14" s="51">
        <f t="shared" si="6"/>
        <v>2722.2146097605128</v>
      </c>
      <c r="BP14" s="51">
        <f t="shared" si="6"/>
        <v>1587.4925590042239</v>
      </c>
      <c r="BQ14" s="51">
        <f t="shared" si="6"/>
        <v>3066.4858700599034</v>
      </c>
      <c r="BR14" s="51">
        <f t="shared" si="6"/>
        <v>3278.6927418231116</v>
      </c>
      <c r="BS14" s="51">
        <f t="shared" si="6"/>
        <v>3114.7882060058346</v>
      </c>
    </row>
    <row r="15" spans="1:71" ht="12" thickBot="1" x14ac:dyDescent="0.25">
      <c r="A15" s="40"/>
      <c r="B15" s="40" t="s">
        <v>81</v>
      </c>
      <c r="C15" s="45">
        <f>'[1]Soy Complex'!AJ$486</f>
        <v>1116.8</v>
      </c>
      <c r="D15" s="45">
        <f>'[1]Soy Complex'!AK$486</f>
        <v>1512.6000000000001</v>
      </c>
      <c r="E15" s="45">
        <f>'[1]Soy Complex'!AL$486</f>
        <v>2172.3000000000002</v>
      </c>
      <c r="F15" s="45">
        <f>'[1]Soy Complex'!AM$486</f>
        <v>1787.9</v>
      </c>
      <c r="G15" s="45">
        <f>'[1]Soy Complex'!AN$486</f>
        <v>1505.6</v>
      </c>
      <c r="H15" s="45">
        <f>'[1]Soy Complex'!AO$486</f>
        <v>1993.2</v>
      </c>
      <c r="I15" s="45">
        <f>'[1]Soy Complex'!AP$486</f>
        <v>2436.7999999999997</v>
      </c>
      <c r="J15" s="45">
        <f>'[1]Soy Complex'!AQ$486</f>
        <v>2923.7</v>
      </c>
      <c r="K15" s="45">
        <f>'[1]Soy Complex'!AR$486</f>
        <v>2394.7999999999997</v>
      </c>
      <c r="L15" s="45">
        <f>'[1]Soy Complex'!AS$486</f>
        <v>1950.8</v>
      </c>
      <c r="M15" s="45">
        <f>'[1]Soy Complex'!AT$486</f>
        <v>1560</v>
      </c>
      <c r="N15" s="45">
        <f>'[1]Soy Complex'!AU$486</f>
        <v>2470.556</v>
      </c>
      <c r="O15" s="45">
        <f>'[1]Soy Complex'!AV$486</f>
        <v>3359.7</v>
      </c>
      <c r="P15" s="45">
        <f>'[1]Soy Complex'!AW$486</f>
        <v>3408</v>
      </c>
      <c r="Q15" s="45">
        <f>'[1]Soy Complex'!AX$486</f>
        <v>2992.3</v>
      </c>
      <c r="R15" s="45">
        <f>'[1]Soy Complex'!AY$486</f>
        <v>3221.69</v>
      </c>
      <c r="S15" s="45">
        <f>'[1]Soy Complex'!AZ$486</f>
        <v>3415.395</v>
      </c>
      <c r="T15" s="45">
        <f>'[1]Soy Complex'!BA$486</f>
        <v>2612.8404445890633</v>
      </c>
      <c r="U15" s="45">
        <f>'[1]Soy Complex'!BB$486</f>
        <v>3515.3513224728517</v>
      </c>
      <c r="V15" s="45">
        <f>'[1]Soy Complex'!BC$486</f>
        <v>2234.1364419474753</v>
      </c>
      <c r="W15" s="45">
        <f>'[1]Soy Complex'!BD$486</f>
        <v>1529.2622913757946</v>
      </c>
      <c r="X15" s="45">
        <f>'[1]Soy Complex'!BE$486</f>
        <v>2110.797</v>
      </c>
      <c r="Y15" s="45">
        <f>'[1]Soy Complex'!BF$486</f>
        <v>2125.6970000000001</v>
      </c>
      <c r="Z15" s="45">
        <f>'[1]Soy Complex'!BG$486</f>
        <v>2239.7840000000001</v>
      </c>
      <c r="AA15" s="45">
        <f>'[1]Soy Complex'!BH$486</f>
        <v>2004.7280000000001</v>
      </c>
      <c r="AB15" s="45">
        <f>'[1]Soy Complex'!BI$485</f>
        <v>2134.0639999999999</v>
      </c>
      <c r="AC15" s="45">
        <f>'[1]Soy Complex'!BJ$485</f>
        <v>2110.7860000000001</v>
      </c>
      <c r="AD15" s="45">
        <f>'[1]Soy Complex'!BK$485</f>
        <v>2465.8910000000001</v>
      </c>
      <c r="AE15" s="45">
        <f>'[1]Soy Complex'!BL$485</f>
        <v>2306.1469999999999</v>
      </c>
      <c r="AF15" s="45">
        <f>'[1]Soy Complex'!BM$485</f>
        <v>1823.8340000000001</v>
      </c>
      <c r="AG15" s="45">
        <f>'[1]Soy Complex'!BN$485</f>
        <v>1690.57</v>
      </c>
      <c r="AH15" s="45">
        <f>'[1]Soy Complex'!BO$485</f>
        <v>1235.2194983444124</v>
      </c>
      <c r="AI15" s="45">
        <f>'[1]Soy Complex'!BP$485</f>
        <v>1798.445198359168</v>
      </c>
      <c r="AJ15" s="45">
        <f>'[1]Soy Complex'!BQ$485</f>
        <v>1789.8727482357099</v>
      </c>
      <c r="AK15" s="45">
        <f>'[1]Soy Complex'!BR$485</f>
        <v>1553.7204330678724</v>
      </c>
      <c r="AL15" s="45">
        <f>'[1]Soy Complex'!BS$485</f>
        <v>1637.6404157145039</v>
      </c>
      <c r="AM15" s="45">
        <f>'[1]Soy Complex'!BT$485</f>
        <v>1605.9143661464532</v>
      </c>
      <c r="AN15" s="45">
        <f>'[1]Soy Complex'!BU$485</f>
        <v>1647.9395710025319</v>
      </c>
      <c r="AO15" s="45">
        <f>'[1]Soy Complex'!BV$485</f>
        <v>1918.3526594052482</v>
      </c>
      <c r="AP15" s="45">
        <f>'[1]Soy Complex'!BW$485</f>
        <v>2573.7799468901617</v>
      </c>
      <c r="AQ15" s="45">
        <f>'[1]Soy Complex'!BX$485</f>
        <v>2561.1533650089655</v>
      </c>
      <c r="AR15" s="45">
        <f>'[1]Soy Complex'!BY$485</f>
        <v>1878.3709125891228</v>
      </c>
      <c r="AS15" s="45">
        <f>'[1]Soy Complex'!BZ$485</f>
        <v>1568.685449068128</v>
      </c>
      <c r="AT15" s="45">
        <f>'[1]Soy Complex'!CA$485</f>
        <v>1401.6507009346824</v>
      </c>
      <c r="AU15" s="45">
        <f>'[1]Soy Complex'!CB$485</f>
        <v>396.99184369783325</v>
      </c>
      <c r="AV15" s="45">
        <f>'[1]Soy Complex'!CC$485</f>
        <v>376.05017231920738</v>
      </c>
      <c r="AW15" s="45">
        <f>'[1]Soy Complex'!CD$485</f>
        <v>1257.034424295568</v>
      </c>
      <c r="AX15" s="45">
        <f>'[1]Soy Complex'!CE$485</f>
        <v>1793.1097202150577</v>
      </c>
      <c r="AY15" s="45">
        <f>'[1]Soy Complex'!CF$485</f>
        <v>1536.6197894509273</v>
      </c>
      <c r="AZ15" s="45">
        <f>'[1]Soy Complex'!CG$485</f>
        <v>1695.2169147630962</v>
      </c>
      <c r="BA15" s="45">
        <f>'[1]Soy Complex'!CH$485</f>
        <v>1901.1899310555482</v>
      </c>
      <c r="BB15" s="45">
        <f>'[1]Soy Complex'!CI$485</f>
        <v>1294.8065411780535</v>
      </c>
      <c r="BC15" s="45">
        <f>'[1]Soy Complex'!CJ$485</f>
        <v>2146.6913985639994</v>
      </c>
      <c r="BD15" s="45">
        <f>'[1]Soy Complex'!CK$485</f>
        <v>995.88801183756095</v>
      </c>
      <c r="BE15" s="45">
        <f>'[1]Soy Complex'!CL$485</f>
        <v>2529.5517597215812</v>
      </c>
      <c r="BF15" s="45">
        <f>'[1]Soy Complex'!CM$485</f>
        <v>2253.4324652758924</v>
      </c>
      <c r="BG15" s="45">
        <f>'[1]Soy Complex'!CN$485</f>
        <v>2521.1909599018527</v>
      </c>
      <c r="BJ15" s="51">
        <f t="shared" si="6"/>
        <v>-4655.1130000000003</v>
      </c>
      <c r="BK15" s="51">
        <f t="shared" si="6"/>
        <v>-1193.4488055806996</v>
      </c>
      <c r="BL15" s="51">
        <f t="shared" si="6"/>
        <v>-456.09172167770066</v>
      </c>
      <c r="BM15" s="51">
        <f t="shared" si="6"/>
        <v>-2902.2565101945811</v>
      </c>
      <c r="BN15" s="51">
        <f t="shared" si="6"/>
        <v>-2701.5081120023124</v>
      </c>
      <c r="BO15" s="51">
        <f t="shared" si="6"/>
        <v>-1010.9721596370564</v>
      </c>
      <c r="BP15" s="51">
        <f t="shared" si="6"/>
        <v>1532.0497561636148</v>
      </c>
      <c r="BQ15" s="51">
        <f t="shared" si="6"/>
        <v>2638.444147293465</v>
      </c>
      <c r="BR15" s="51">
        <f t="shared" si="6"/>
        <v>4512.0333077449377</v>
      </c>
      <c r="BS15" s="51">
        <f t="shared" si="6"/>
        <v>5895.0365891380879</v>
      </c>
    </row>
    <row r="16" spans="1:71" x14ac:dyDescent="0.2">
      <c r="A16" s="40"/>
      <c r="B16" s="49" t="s">
        <v>156</v>
      </c>
      <c r="C16" s="69" t="e">
        <f>MEDIAN('[1]Soy Complex'!AI$517:AI$525,'[1]Soy Complex'!AJ$514:AJ$516)</f>
        <v>#REF!</v>
      </c>
      <c r="D16" s="69" t="e">
        <f>MEDIAN('[1]Soy Complex'!AJ$517:AJ$525,'[1]Soy Complex'!AK$514:AK$516)</f>
        <v>#REF!</v>
      </c>
      <c r="E16" s="69" t="e">
        <f>MEDIAN('[1]Soy Complex'!AK$517:AK$525,'[1]Soy Complex'!AL$514:AL$516)</f>
        <v>#REF!</v>
      </c>
      <c r="F16" s="69" t="e">
        <f>MEDIAN('[1]Soy Complex'!AL$517:AL$525,'[1]Soy Complex'!AM$514:AM$516)</f>
        <v>#REF!</v>
      </c>
      <c r="G16" s="69" t="e">
        <f>MEDIAN('[1]Soy Complex'!AM$517:AM$525,'[1]Soy Complex'!AN$514:AN$516)</f>
        <v>#REF!</v>
      </c>
      <c r="H16" s="69" t="e">
        <f>MEDIAN('[1]Soy Complex'!AN$517:AN$525,'[1]Soy Complex'!AO$514:AO$516)</f>
        <v>#REF!</v>
      </c>
      <c r="I16" s="69" t="e">
        <f>MEDIAN('[1]Soy Complex'!AO$517:AO$525,'[1]Soy Complex'!AP$514:AP$516)</f>
        <v>#REF!</v>
      </c>
      <c r="J16" s="69" t="e">
        <f>MEDIAN('[1]Soy Complex'!AP$517:AP$525,'[1]Soy Complex'!AQ$514:AQ$516)</f>
        <v>#REF!</v>
      </c>
      <c r="K16" s="69" t="e">
        <f>MEDIAN('[1]Soy Complex'!AQ$517:AQ$525,'[1]Soy Complex'!AR$514:AR$516)</f>
        <v>#REF!</v>
      </c>
      <c r="L16" s="69" t="e">
        <f>MEDIAN('[1]Soy Complex'!AR$517:AR$525,'[1]Soy Complex'!AS$514:AS$516)</f>
        <v>#REF!</v>
      </c>
      <c r="M16" s="69" t="e">
        <f>MEDIAN('[1]Soy Complex'!AS$517:AS$525,'[1]Soy Complex'!AT$514:AT$516)</f>
        <v>#REF!</v>
      </c>
      <c r="N16" s="69" t="e">
        <f>MEDIAN('[1]Soy Complex'!AT$517:AT$525,'[1]Soy Complex'!AU$514:AU$516)</f>
        <v>#REF!</v>
      </c>
      <c r="O16" s="69" t="e">
        <f>MEDIAN('[1]Soy Complex'!AU$517:AU$525,'[1]Soy Complex'!AV$514:AV$516)</f>
        <v>#REF!</v>
      </c>
      <c r="P16" s="69" t="e">
        <f>MEDIAN('[1]Soy Complex'!AV$517:AV$525,'[1]Soy Complex'!AW$514:AW$516)</f>
        <v>#REF!</v>
      </c>
      <c r="Q16" s="69" t="e">
        <f>MEDIAN('[1]Soy Complex'!AW$517:AW$525,'[1]Soy Complex'!AX$514:AX$516)</f>
        <v>#REF!</v>
      </c>
      <c r="R16" s="69" t="e">
        <f>MEDIAN('[1]Soy Complex'!AX$517:AX$525,'[1]Soy Complex'!AY$514:AY$516)</f>
        <v>#REF!</v>
      </c>
      <c r="S16" s="69" t="e">
        <f>MEDIAN('[1]Soy Complex'!AY$517:AY$525,'[1]Soy Complex'!AZ$514:AZ$516)</f>
        <v>#REF!</v>
      </c>
      <c r="T16" s="69" t="e">
        <f>MEDIAN('[1]Soy Complex'!AZ$517:AZ$525,'[1]Soy Complex'!BA$514:BA$516)</f>
        <v>#REF!</v>
      </c>
      <c r="U16" s="69" t="e">
        <f>MEDIAN('[1]Soy Complex'!BA$517:BA$525,'[1]Soy Complex'!BB$514:BB$516)</f>
        <v>#REF!</v>
      </c>
      <c r="V16" s="69" t="e">
        <f>MEDIAN('[1]Soy Complex'!BB$517:BB$525,'[1]Soy Complex'!BC$514:BC$516)</f>
        <v>#REF!</v>
      </c>
      <c r="W16" s="69" t="e">
        <f>MEDIAN('[1]Soy Complex'!BC$517:BC$525,'[1]Soy Complex'!BD$514:BD$516)</f>
        <v>#REF!</v>
      </c>
      <c r="X16" s="69" t="e">
        <f>MEDIAN('[1]Soy Complex'!BD$517:BD$525,'[1]Soy Complex'!BE$514:BE$516)</f>
        <v>#REF!</v>
      </c>
      <c r="Y16" s="69" t="e">
        <f>MEDIAN('[1]Soy Complex'!BE$517:BE$525,'[1]Soy Complex'!BF$514:BF$516)</f>
        <v>#REF!</v>
      </c>
      <c r="Z16" s="69" t="e">
        <f>MEDIAN('[1]Soy Complex'!BF$517:BF$525,'[1]Soy Complex'!BG$514:BG$516)</f>
        <v>#REF!</v>
      </c>
      <c r="AA16" s="69">
        <f>MEDIAN('[1]Soy Complex'!BG$517:BG$525,'[1]Soy Complex'!BH$514:BH$516)</f>
        <v>29.187756916996051</v>
      </c>
      <c r="AB16" s="69">
        <f>MEDIAN('[1]Soy Complex'!BH$516:BH$524,'[1]Soy Complex'!BI$513:BI$515)</f>
        <v>28.469264069264071</v>
      </c>
      <c r="AC16" s="69">
        <f>MEDIAN('[1]Soy Complex'!BI$516:BI$524,'[1]Soy Complex'!BJ$513:BJ$515)</f>
        <v>31.137744360902254</v>
      </c>
      <c r="AD16" s="69">
        <f>MEDIAN('[1]Soy Complex'!BJ$516:BJ$524,'[1]Soy Complex'!BK$513:BK$515)</f>
        <v>64.747619047619054</v>
      </c>
      <c r="AE16" s="69">
        <f>MEDIAN('[1]Soy Complex'!BK$516:BK$524,'[1]Soy Complex'!BL$513:BL$515)</f>
        <v>74.398095238095237</v>
      </c>
      <c r="AF16" s="69">
        <f>MEDIAN('[1]Soy Complex'!BL$516:BL$524,'[1]Soy Complex'!BM$513:BM$515)</f>
        <v>61.454260651629063</v>
      </c>
      <c r="AG16" s="69">
        <f>MEDIAN('[1]Soy Complex'!BM$516:BM$524,'[1]Soy Complex'!BN$513:BN$515)</f>
        <v>43.996793478260862</v>
      </c>
      <c r="AH16" s="69">
        <f>MEDIAN('[1]Soy Complex'!BN$516:BN$524,'[1]Soy Complex'!BO$513:BO$515)</f>
        <v>44.970737547104278</v>
      </c>
      <c r="AI16" s="69">
        <f>MEDIAN('[1]Soy Complex'!BO$516:BO$524,'[1]Soy Complex'!BP$513:BP$515)</f>
        <v>43.813234662768409</v>
      </c>
      <c r="AJ16" s="69">
        <f>MEDIAN('[1]Soy Complex'!BP$516:BP$524,'[1]Soy Complex'!BQ$513:BQ$515)</f>
        <v>43.0445449291107</v>
      </c>
      <c r="AK16" s="69">
        <f>MEDIAN('[1]Soy Complex'!BQ$516:BQ$524,'[1]Soy Complex'!BR$513:BR$515)</f>
        <v>42.062951095328749</v>
      </c>
      <c r="AL16" s="69">
        <f>MEDIAN('[1]Soy Complex'!BR$516:BR$524,'[1]Soy Complex'!BS$513:BS$515)</f>
        <v>42.521453376957126</v>
      </c>
      <c r="AM16" s="69">
        <f>MEDIAN('[1]Soy Complex'!BS$516:BS$524,'[1]Soy Complex'!BT$513:BT$515)</f>
        <v>47.095237972562259</v>
      </c>
      <c r="AN16" s="69">
        <f>MEDIAN('[1]Soy Complex'!BT$516:BT$524,'[1]Soy Complex'!BU$513:BU$515)</f>
        <v>40.523295290362491</v>
      </c>
      <c r="AO16" s="69">
        <f>MEDIAN('[1]Soy Complex'!BU$516:BU$524,'[1]Soy Complex'!BV$513:BV$515)</f>
        <v>41.030342217613772</v>
      </c>
      <c r="AP16" s="69">
        <f>MEDIAN('[1]Soy Complex'!BV$516:BV$524,'[1]Soy Complex'!BW$513:BW$515)</f>
        <v>55.541049839940634</v>
      </c>
      <c r="AQ16" s="69">
        <f>MEDIAN('[1]Soy Complex'!BW$516:BW$524,'[1]Soy Complex'!BX$513:BX$515)</f>
        <v>58.573378205373615</v>
      </c>
      <c r="AR16" s="69">
        <f>MEDIAN('[1]Soy Complex'!BX$516:BX$524,'[1]Soy Complex'!BY$513:BY$515)</f>
        <v>55.436001027167016</v>
      </c>
      <c r="AS16" s="69">
        <f>MEDIAN('[1]Soy Complex'!BY$516:BY$524,'[1]Soy Complex'!BZ$513:BZ$515)</f>
        <v>45.377203793089464</v>
      </c>
      <c r="AT16" s="69">
        <f>MEDIAN('[1]Soy Complex'!BZ$516:BZ$524,'[1]Soy Complex'!CA$513:CA$515)</f>
        <v>32.855584105442681</v>
      </c>
      <c r="AU16" s="69">
        <f>MEDIAN('[1]Soy Complex'!CA$516:CA$524,'[1]Soy Complex'!CB$513:CB$515)</f>
        <v>29.733124019025137</v>
      </c>
      <c r="AV16" s="69">
        <f>MEDIAN('[1]Soy Complex'!CB$516:CB$524,'[1]Soy Complex'!CC$513:CC$515)</f>
        <v>14.342078714613775</v>
      </c>
      <c r="AW16" s="69">
        <f>MEDIAN('[1]Soy Complex'!CC$516:CC$524,'[1]Soy Complex'!CD$513:CD$515)</f>
        <v>25.306225515990594</v>
      </c>
      <c r="AX16" s="69">
        <f>MEDIAN('[1]Soy Complex'!CD$516:CD$524,'[1]Soy Complex'!CE$513:CE$515)</f>
        <v>39.375133419995898</v>
      </c>
      <c r="AY16" s="69">
        <f>MEDIAN('[1]Soy Complex'!CE$516:CE$524,'[1]Soy Complex'!CF$513:CF$515)</f>
        <v>36.061984914015994</v>
      </c>
      <c r="AZ16" s="69">
        <f>MEDIAN('[1]Soy Complex'!CF$516:CF$524,'[1]Soy Complex'!CG$513:CG$515)</f>
        <v>34.400367239957887</v>
      </c>
      <c r="BA16" s="69">
        <f>MEDIAN('[1]Soy Complex'!CG$516:CG$524,'[1]Soy Complex'!CH$513:CH$515)</f>
        <v>42.313204352852651</v>
      </c>
      <c r="BB16" s="69">
        <f>MEDIAN('[1]Soy Complex'!CH$516:CH$524,'[1]Soy Complex'!CI$513:CI$515)</f>
        <v>45.53639464086389</v>
      </c>
      <c r="BC16" s="69">
        <f>MEDIAN('[1]Soy Complex'!CI$516:CI$524,'[1]Soy Complex'!CJ$513:CJ$515)</f>
        <v>36.395840684417699</v>
      </c>
      <c r="BD16" s="69">
        <f>MEDIAN('[1]Soy Complex'!CJ$516:CJ$524,'[1]Soy Complex'!CK$513:CK$515)</f>
        <v>45.418734971962436</v>
      </c>
      <c r="BE16" s="69">
        <f>MEDIAN('[1]Soy Complex'!CK$516:CK$524,'[1]Soy Complex'!CL$513:CL$515)</f>
        <v>40.528464322257086</v>
      </c>
      <c r="BF16" s="69">
        <f>MEDIAN('[1]Soy Complex'!CL$516:CL$524,'[1]Soy Complex'!CM$513:CM$515)</f>
        <v>58.993802613552198</v>
      </c>
      <c r="BG16" s="69">
        <f>MEDIAN('[1]Soy Complex'!CM$516:CM$524,'[1]Soy Complex'!CN$513:CN$515)</f>
        <v>54.471101210960931</v>
      </c>
      <c r="BJ16" s="51" t="e">
        <f>#REF!-#REF!</f>
        <v>#REF!</v>
      </c>
      <c r="BK16" s="51" t="e">
        <f>#REF!-#REF!</f>
        <v>#REF!</v>
      </c>
      <c r="BL16" s="51" t="e">
        <f>#REF!-#REF!</f>
        <v>#REF!</v>
      </c>
      <c r="BM16" s="51" t="e">
        <f>#REF!-#REF!</f>
        <v>#REF!</v>
      </c>
      <c r="BN16" s="51" t="e">
        <f>#REF!-#REF!</f>
        <v>#REF!</v>
      </c>
      <c r="BO16" s="51" t="e">
        <f>#REF!-#REF!</f>
        <v>#REF!</v>
      </c>
      <c r="BP16" s="51" t="e">
        <f>#REF!-#REF!</f>
        <v>#REF!</v>
      </c>
      <c r="BQ16" s="51" t="e">
        <f>#REF!-#REF!</f>
        <v>#REF!</v>
      </c>
      <c r="BR16" s="51" t="e">
        <f>#REF!-#REF!</f>
        <v>#REF!</v>
      </c>
      <c r="BS16" s="51" t="e">
        <f>#REF!-#REF!</f>
        <v>#REF!</v>
      </c>
    </row>
    <row r="17" spans="1:72" x14ac:dyDescent="0.2">
      <c r="A17" s="40"/>
      <c r="B17" s="40"/>
      <c r="C17" s="45"/>
      <c r="D17" s="45"/>
      <c r="E17" s="45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</row>
    <row r="18" spans="1:72" x14ac:dyDescent="0.2">
      <c r="A18" s="40"/>
      <c r="B18" s="40"/>
      <c r="C18" s="45"/>
      <c r="D18" s="45"/>
      <c r="E18" s="45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J18" s="41">
        <v>10632</v>
      </c>
      <c r="BK18" s="41">
        <v>11710</v>
      </c>
      <c r="BL18" s="41">
        <v>10887</v>
      </c>
      <c r="BM18" s="41">
        <v>10999</v>
      </c>
      <c r="BN18" s="41">
        <v>10930</v>
      </c>
      <c r="BO18" s="41">
        <v>10679</v>
      </c>
      <c r="BP18" s="41">
        <v>10555</v>
      </c>
      <c r="BQ18" s="41">
        <v>10095</v>
      </c>
      <c r="BR18" s="41">
        <v>10205</v>
      </c>
      <c r="BS18" s="41">
        <v>11122</v>
      </c>
    </row>
    <row r="19" spans="1:72" x14ac:dyDescent="0.2">
      <c r="A19" s="40"/>
      <c r="B19" s="40"/>
      <c r="C19" s="45"/>
      <c r="D19" s="45"/>
      <c r="E19" s="45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J19" s="51">
        <f t="shared" ref="BJ19:BS19" si="9">AE12-BJ18</f>
        <v>2375.5013918960358</v>
      </c>
      <c r="BK19" s="51">
        <f t="shared" si="9"/>
        <v>2059.2841705807004</v>
      </c>
      <c r="BL19" s="51">
        <f t="shared" si="9"/>
        <v>2233.6330511362612</v>
      </c>
      <c r="BM19" s="51">
        <f t="shared" si="9"/>
        <v>1273.9385917148611</v>
      </c>
      <c r="BN19" s="51">
        <f t="shared" si="9"/>
        <v>1913.7999999999975</v>
      </c>
      <c r="BO19" s="51">
        <f t="shared" si="9"/>
        <v>1721.1000000000022</v>
      </c>
      <c r="BP19" s="51">
        <f t="shared" si="9"/>
        <v>2552.4999999999982</v>
      </c>
      <c r="BQ19" s="51">
        <f t="shared" si="9"/>
        <v>3334.350000000004</v>
      </c>
      <c r="BR19" s="51">
        <f t="shared" si="9"/>
        <v>2539.4999999999964</v>
      </c>
      <c r="BS19" s="51">
        <f t="shared" si="9"/>
        <v>2152.1000000000022</v>
      </c>
    </row>
    <row r="20" spans="1:72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</row>
    <row r="21" spans="1:72" x14ac:dyDescent="0.2">
      <c r="B21" s="41" t="s">
        <v>83</v>
      </c>
      <c r="C21" s="51">
        <f t="shared" ref="C21:BG21" si="10">C7</f>
        <v>4230.2775157872002</v>
      </c>
      <c r="D21" s="51">
        <f t="shared" si="10"/>
        <v>31027.603898018398</v>
      </c>
      <c r="E21" s="51">
        <f t="shared" si="10"/>
        <v>31090.0161551704</v>
      </c>
      <c r="F21" s="51">
        <f t="shared" si="10"/>
        <v>32959.521570507801</v>
      </c>
      <c r="G21" s="51">
        <f t="shared" si="10"/>
        <v>36378.870440943399</v>
      </c>
      <c r="H21" s="51">
        <f t="shared" si="10"/>
        <v>36265.753002055804</v>
      </c>
      <c r="I21" s="51">
        <f t="shared" si="10"/>
        <v>36145.095786008191</v>
      </c>
      <c r="J21" s="51">
        <f t="shared" si="10"/>
        <v>37956.115729477002</v>
      </c>
      <c r="K21" s="51">
        <f t="shared" si="10"/>
        <v>39035.891967305404</v>
      </c>
      <c r="L21" s="51">
        <f t="shared" si="10"/>
        <v>37542.976485897205</v>
      </c>
      <c r="M21" s="51">
        <f t="shared" si="10"/>
        <v>35363.015228134405</v>
      </c>
      <c r="N21" s="51">
        <f t="shared" si="10"/>
        <v>38756.156693171994</v>
      </c>
      <c r="O21" s="51">
        <f t="shared" si="10"/>
        <v>41483.785623735996</v>
      </c>
      <c r="P21" s="51">
        <f t="shared" si="10"/>
        <v>42876.352495236002</v>
      </c>
      <c r="Q21" s="51">
        <f t="shared" si="10"/>
        <v>42137.662452204</v>
      </c>
      <c r="R21" s="51">
        <f t="shared" si="10"/>
        <v>39712.99221189801</v>
      </c>
      <c r="S21" s="51">
        <f t="shared" si="10"/>
        <v>40469.404112556018</v>
      </c>
      <c r="T21" s="51">
        <f t="shared" si="10"/>
        <v>39545.081829040726</v>
      </c>
      <c r="U21" s="51">
        <f t="shared" si="10"/>
        <v>41133.911034705045</v>
      </c>
      <c r="V21" s="51">
        <f t="shared" si="10"/>
        <v>41389.74577329465</v>
      </c>
      <c r="W21" s="51">
        <f t="shared" si="10"/>
        <v>40549.751277435302</v>
      </c>
      <c r="X21" s="51">
        <f t="shared" si="10"/>
        <v>42789.186757011681</v>
      </c>
      <c r="Y21" s="51">
        <f t="shared" si="10"/>
        <v>44829.047244999994</v>
      </c>
      <c r="Z21" s="51">
        <f t="shared" si="10"/>
        <v>45028.511721000003</v>
      </c>
      <c r="AA21" s="51">
        <f t="shared" si="10"/>
        <v>48765.426284000008</v>
      </c>
      <c r="AB21" s="51">
        <f t="shared" si="10"/>
        <v>26447.160844000009</v>
      </c>
      <c r="AC21" s="51">
        <f t="shared" si="10"/>
        <v>27804.356212000002</v>
      </c>
      <c r="AD21" s="51">
        <f t="shared" si="10"/>
        <v>27654.347188</v>
      </c>
      <c r="AE21" s="51">
        <f t="shared" si="10"/>
        <v>28713.704073896035</v>
      </c>
      <c r="AF21" s="51">
        <f t="shared" si="10"/>
        <v>29304.531870999999</v>
      </c>
      <c r="AG21" s="51">
        <f t="shared" si="10"/>
        <v>30102.153053367139</v>
      </c>
      <c r="AH21" s="51">
        <f t="shared" si="10"/>
        <v>28651.508877497949</v>
      </c>
      <c r="AI21" s="51">
        <f t="shared" si="10"/>
        <v>30471.66949834441</v>
      </c>
      <c r="AJ21" s="51">
        <f t="shared" si="10"/>
        <v>31313.215198359168</v>
      </c>
      <c r="AK21" s="51">
        <f t="shared" si="10"/>
        <v>32003.762748235709</v>
      </c>
      <c r="AL21" s="51">
        <f t="shared" si="10"/>
        <v>32788.920433067877</v>
      </c>
      <c r="AM21" s="51">
        <f t="shared" si="10"/>
        <v>34805.140415714501</v>
      </c>
      <c r="AN21" s="51">
        <f t="shared" si="10"/>
        <v>35451.864366146459</v>
      </c>
      <c r="AO21" s="51">
        <f t="shared" si="10"/>
        <v>37102.339571002536</v>
      </c>
      <c r="AP21" s="51">
        <f t="shared" si="10"/>
        <v>37322.752659405247</v>
      </c>
      <c r="AQ21" s="51">
        <f t="shared" si="10"/>
        <v>39450.07994689016</v>
      </c>
      <c r="AR21" s="51">
        <f t="shared" si="10"/>
        <v>39128.953365008965</v>
      </c>
      <c r="AS21" s="51">
        <f t="shared" si="10"/>
        <v>37338.420912589121</v>
      </c>
      <c r="AT21" s="51">
        <f t="shared" si="10"/>
        <v>38912.135449068126</v>
      </c>
      <c r="AU21" s="51">
        <f t="shared" si="10"/>
        <v>38990.850700934687</v>
      </c>
      <c r="AV21" s="51">
        <f t="shared" si="10"/>
        <v>38093.541843697829</v>
      </c>
      <c r="AW21" s="51">
        <f t="shared" si="10"/>
        <v>37931.900172319212</v>
      </c>
      <c r="AX21" s="51">
        <f t="shared" si="10"/>
        <v>38743.734424295566</v>
      </c>
      <c r="AY21" s="51">
        <f t="shared" si="10"/>
        <v>38972.359720215056</v>
      </c>
      <c r="AZ21" s="51">
        <f t="shared" si="10"/>
        <v>38726.569789450921</v>
      </c>
      <c r="BA21" s="51">
        <f t="shared" si="10"/>
        <v>38731.266914763102</v>
      </c>
      <c r="BB21" s="51">
        <f t="shared" si="10"/>
        <v>39526.489931055548</v>
      </c>
      <c r="BC21" s="51">
        <f t="shared" si="10"/>
        <v>39958.256541178067</v>
      </c>
      <c r="BD21" s="51">
        <f t="shared" si="10"/>
        <v>41814.341398564</v>
      </c>
      <c r="BE21" s="51">
        <f t="shared" si="10"/>
        <v>41751.63801183756</v>
      </c>
      <c r="BF21" s="51">
        <f t="shared" si="10"/>
        <v>43154.751759721585</v>
      </c>
      <c r="BG21" s="51">
        <f t="shared" si="10"/>
        <v>42925.982465275898</v>
      </c>
      <c r="BJ21" s="41">
        <v>1470</v>
      </c>
      <c r="BK21" s="41">
        <v>1560</v>
      </c>
      <c r="BL21" s="41">
        <v>1830</v>
      </c>
      <c r="BM21" s="41">
        <v>1740</v>
      </c>
      <c r="BN21" s="41">
        <v>1000</v>
      </c>
      <c r="BO21" s="41">
        <v>1005</v>
      </c>
      <c r="BP21" s="41">
        <v>995</v>
      </c>
      <c r="BQ21" s="41">
        <v>1000</v>
      </c>
      <c r="BR21" s="41">
        <v>1005</v>
      </c>
      <c r="BS21" s="41">
        <v>995</v>
      </c>
    </row>
    <row r="22" spans="1:72" x14ac:dyDescent="0.2">
      <c r="B22" s="41" t="s">
        <v>84</v>
      </c>
      <c r="C22" s="51">
        <f>C15</f>
        <v>1116.8</v>
      </c>
      <c r="D22" s="51">
        <f t="shared" ref="D22:AD22" si="11">D15</f>
        <v>1512.6000000000001</v>
      </c>
      <c r="E22" s="51">
        <f t="shared" si="11"/>
        <v>2172.3000000000002</v>
      </c>
      <c r="F22" s="51">
        <f t="shared" si="11"/>
        <v>1787.9</v>
      </c>
      <c r="G22" s="51">
        <f t="shared" si="11"/>
        <v>1505.6</v>
      </c>
      <c r="H22" s="51">
        <f t="shared" si="11"/>
        <v>1993.2</v>
      </c>
      <c r="I22" s="51">
        <f t="shared" si="11"/>
        <v>2436.7999999999997</v>
      </c>
      <c r="J22" s="51">
        <f t="shared" si="11"/>
        <v>2923.7</v>
      </c>
      <c r="K22" s="51">
        <f t="shared" si="11"/>
        <v>2394.7999999999997</v>
      </c>
      <c r="L22" s="51">
        <f t="shared" si="11"/>
        <v>1950.8</v>
      </c>
      <c r="M22" s="51">
        <f t="shared" si="11"/>
        <v>1560</v>
      </c>
      <c r="N22" s="51">
        <f t="shared" si="11"/>
        <v>2470.556</v>
      </c>
      <c r="O22" s="51">
        <f t="shared" si="11"/>
        <v>3359.7</v>
      </c>
      <c r="P22" s="51">
        <f t="shared" si="11"/>
        <v>3408</v>
      </c>
      <c r="Q22" s="51">
        <f t="shared" si="11"/>
        <v>2992.3</v>
      </c>
      <c r="R22" s="51">
        <f t="shared" si="11"/>
        <v>3221.69</v>
      </c>
      <c r="S22" s="51">
        <f t="shared" si="11"/>
        <v>3415.395</v>
      </c>
      <c r="T22" s="51">
        <f t="shared" si="11"/>
        <v>2612.8404445890633</v>
      </c>
      <c r="U22" s="51">
        <f t="shared" si="11"/>
        <v>3515.3513224728517</v>
      </c>
      <c r="V22" s="51">
        <f t="shared" si="11"/>
        <v>2234.1364419474753</v>
      </c>
      <c r="W22" s="51">
        <f t="shared" si="11"/>
        <v>1529.2622913757946</v>
      </c>
      <c r="X22" s="51">
        <f t="shared" si="11"/>
        <v>2110.797</v>
      </c>
      <c r="Y22" s="51">
        <f t="shared" si="11"/>
        <v>2125.6970000000001</v>
      </c>
      <c r="Z22" s="51">
        <f t="shared" si="11"/>
        <v>2239.7840000000001</v>
      </c>
      <c r="AA22" s="51">
        <f t="shared" si="11"/>
        <v>2004.7280000000001</v>
      </c>
      <c r="AB22" s="51">
        <f t="shared" si="11"/>
        <v>2134.0639999999999</v>
      </c>
      <c r="AC22" s="51">
        <f>AC15</f>
        <v>2110.7860000000001</v>
      </c>
      <c r="AD22" s="51">
        <f t="shared" si="11"/>
        <v>2465.8910000000001</v>
      </c>
      <c r="AE22" s="51">
        <f>AE15</f>
        <v>2306.1469999999999</v>
      </c>
      <c r="AF22" s="51">
        <f t="shared" ref="AF22:AR22" si="12">AF15</f>
        <v>1823.8340000000001</v>
      </c>
      <c r="AG22" s="51">
        <f t="shared" si="12"/>
        <v>1690.57</v>
      </c>
      <c r="AH22" s="51">
        <f t="shared" si="12"/>
        <v>1235.2194983444124</v>
      </c>
      <c r="AI22" s="51">
        <f t="shared" si="12"/>
        <v>1798.445198359168</v>
      </c>
      <c r="AJ22" s="51">
        <f t="shared" si="12"/>
        <v>1789.8727482357099</v>
      </c>
      <c r="AK22" s="51">
        <f t="shared" si="12"/>
        <v>1553.7204330678724</v>
      </c>
      <c r="AL22" s="51">
        <f t="shared" si="12"/>
        <v>1637.6404157145039</v>
      </c>
      <c r="AM22" s="51">
        <f t="shared" si="12"/>
        <v>1605.9143661464532</v>
      </c>
      <c r="AN22" s="51">
        <f t="shared" si="12"/>
        <v>1647.9395710025319</v>
      </c>
      <c r="AO22" s="51">
        <f t="shared" si="12"/>
        <v>1918.3526594052482</v>
      </c>
      <c r="AP22" s="51">
        <f t="shared" si="12"/>
        <v>2573.7799468901617</v>
      </c>
      <c r="AQ22" s="51">
        <f t="shared" si="12"/>
        <v>2561.1533650089655</v>
      </c>
      <c r="AR22" s="51">
        <f t="shared" si="12"/>
        <v>1878.3709125891228</v>
      </c>
      <c r="AS22" s="51">
        <f>AS15</f>
        <v>1568.685449068128</v>
      </c>
      <c r="AT22" s="51">
        <f>AT15</f>
        <v>1401.6507009346824</v>
      </c>
      <c r="AU22" s="51">
        <f>AU15</f>
        <v>396.99184369783325</v>
      </c>
      <c r="AV22" s="51">
        <f>AV15</f>
        <v>376.05017231920738</v>
      </c>
      <c r="AW22" s="51">
        <f>AW15</f>
        <v>1257.034424295568</v>
      </c>
      <c r="AX22" s="51">
        <f t="shared" ref="AX22:BG22" si="13">AX15</f>
        <v>1793.1097202150577</v>
      </c>
      <c r="AY22" s="51">
        <f t="shared" si="13"/>
        <v>1536.6197894509273</v>
      </c>
      <c r="AZ22" s="51">
        <f t="shared" si="13"/>
        <v>1695.2169147630962</v>
      </c>
      <c r="BA22" s="51">
        <f t="shared" si="13"/>
        <v>1901.1899310555482</v>
      </c>
      <c r="BB22" s="51">
        <f t="shared" si="13"/>
        <v>1294.8065411780535</v>
      </c>
      <c r="BC22" s="51">
        <f t="shared" si="13"/>
        <v>2146.6913985639994</v>
      </c>
      <c r="BD22" s="51">
        <f t="shared" si="13"/>
        <v>995.88801183756095</v>
      </c>
      <c r="BE22" s="51">
        <f t="shared" si="13"/>
        <v>2529.5517597215812</v>
      </c>
      <c r="BF22" s="51">
        <f t="shared" si="13"/>
        <v>2253.4324652758924</v>
      </c>
      <c r="BG22" s="51">
        <f t="shared" si="13"/>
        <v>2521.1909599018527</v>
      </c>
      <c r="BJ22" s="51">
        <f t="shared" ref="BJ22:BS22" si="14">AE13-BJ21</f>
        <v>1404.6726819999999</v>
      </c>
      <c r="BK22" s="51">
        <f t="shared" si="14"/>
        <v>-869.32349399999987</v>
      </c>
      <c r="BL22" s="51">
        <f t="shared" si="14"/>
        <v>225.40257988358007</v>
      </c>
      <c r="BM22" s="51">
        <f t="shared" si="14"/>
        <v>1935.6971391164197</v>
      </c>
      <c r="BN22" s="51">
        <f t="shared" si="14"/>
        <v>2745</v>
      </c>
      <c r="BO22" s="51">
        <f t="shared" si="14"/>
        <v>1470</v>
      </c>
      <c r="BP22" s="51">
        <f t="shared" si="14"/>
        <v>1930</v>
      </c>
      <c r="BQ22" s="51">
        <f t="shared" si="14"/>
        <v>2200</v>
      </c>
      <c r="BR22" s="51">
        <f t="shared" si="14"/>
        <v>3270</v>
      </c>
      <c r="BS22" s="51">
        <f t="shared" si="14"/>
        <v>2305</v>
      </c>
    </row>
    <row r="23" spans="1:72" x14ac:dyDescent="0.2">
      <c r="B23" s="41" t="s">
        <v>85</v>
      </c>
      <c r="C23" s="51">
        <f>C21-C22</f>
        <v>3113.4775157872</v>
      </c>
      <c r="D23" s="51">
        <f t="shared" ref="D23:AR23" si="15">D21-D22</f>
        <v>29515.0038980184</v>
      </c>
      <c r="E23" s="51">
        <f t="shared" si="15"/>
        <v>28917.716155170401</v>
      </c>
      <c r="F23" s="51">
        <f t="shared" si="15"/>
        <v>31171.621570507799</v>
      </c>
      <c r="G23" s="51">
        <f t="shared" si="15"/>
        <v>34873.270440943401</v>
      </c>
      <c r="H23" s="51">
        <f t="shared" si="15"/>
        <v>34272.553002055807</v>
      </c>
      <c r="I23" s="51">
        <f t="shared" si="15"/>
        <v>33708.295786008188</v>
      </c>
      <c r="J23" s="51">
        <f t="shared" si="15"/>
        <v>35032.415729477005</v>
      </c>
      <c r="K23" s="51">
        <f t="shared" si="15"/>
        <v>36641.091967305401</v>
      </c>
      <c r="L23" s="51">
        <f t="shared" si="15"/>
        <v>35592.176485897202</v>
      </c>
      <c r="M23" s="51">
        <f t="shared" si="15"/>
        <v>33803.015228134405</v>
      </c>
      <c r="N23" s="51">
        <f t="shared" si="15"/>
        <v>36285.600693171997</v>
      </c>
      <c r="O23" s="51">
        <f t="shared" si="15"/>
        <v>38124.085623735999</v>
      </c>
      <c r="P23" s="51">
        <f t="shared" si="15"/>
        <v>39468.352495236002</v>
      </c>
      <c r="Q23" s="51">
        <f t="shared" si="15"/>
        <v>39145.362452203997</v>
      </c>
      <c r="R23" s="51">
        <f t="shared" si="15"/>
        <v>36491.302211898008</v>
      </c>
      <c r="S23" s="51">
        <f t="shared" si="15"/>
        <v>37054.009112556021</v>
      </c>
      <c r="T23" s="51">
        <f t="shared" si="15"/>
        <v>36932.241384451663</v>
      </c>
      <c r="U23" s="51">
        <f t="shared" si="15"/>
        <v>37618.559712232192</v>
      </c>
      <c r="V23" s="51">
        <f t="shared" si="15"/>
        <v>39155.609331347172</v>
      </c>
      <c r="W23" s="51">
        <f t="shared" si="15"/>
        <v>39020.488986059507</v>
      </c>
      <c r="X23" s="51">
        <f t="shared" si="15"/>
        <v>40678.389757011682</v>
      </c>
      <c r="Y23" s="51">
        <f t="shared" si="15"/>
        <v>42703.350244999994</v>
      </c>
      <c r="Z23" s="51">
        <f t="shared" si="15"/>
        <v>42788.727721000003</v>
      </c>
      <c r="AA23" s="51">
        <f t="shared" si="15"/>
        <v>46760.698284000006</v>
      </c>
      <c r="AB23" s="51">
        <f t="shared" si="15"/>
        <v>24313.096844000011</v>
      </c>
      <c r="AC23" s="51">
        <f>AC21-AC22</f>
        <v>25693.570212000002</v>
      </c>
      <c r="AD23" s="51">
        <f t="shared" si="15"/>
        <v>25188.456188</v>
      </c>
      <c r="AE23" s="51">
        <f t="shared" si="15"/>
        <v>26407.557073896034</v>
      </c>
      <c r="AF23" s="51">
        <f t="shared" si="15"/>
        <v>27480.697871</v>
      </c>
      <c r="AG23" s="51">
        <f t="shared" si="15"/>
        <v>28411.58305336714</v>
      </c>
      <c r="AH23" s="51">
        <f t="shared" si="15"/>
        <v>27416.289379153535</v>
      </c>
      <c r="AI23" s="51">
        <f t="shared" si="15"/>
        <v>28673.224299985242</v>
      </c>
      <c r="AJ23" s="51">
        <f t="shared" si="15"/>
        <v>29523.342450123459</v>
      </c>
      <c r="AK23" s="51">
        <f t="shared" si="15"/>
        <v>30450.042315167837</v>
      </c>
      <c r="AL23" s="51">
        <f t="shared" si="15"/>
        <v>31151.280017353372</v>
      </c>
      <c r="AM23" s="51">
        <f t="shared" si="15"/>
        <v>33199.226049568046</v>
      </c>
      <c r="AN23" s="51">
        <f t="shared" si="15"/>
        <v>33803.924795143925</v>
      </c>
      <c r="AO23" s="51">
        <f t="shared" si="15"/>
        <v>35183.986911597291</v>
      </c>
      <c r="AP23" s="51">
        <f t="shared" si="15"/>
        <v>34748.972712515082</v>
      </c>
      <c r="AQ23" s="51">
        <f t="shared" si="15"/>
        <v>36888.926581881198</v>
      </c>
      <c r="AR23" s="51">
        <f t="shared" si="15"/>
        <v>37250.58245241984</v>
      </c>
      <c r="AS23" s="51">
        <f>AS21-AS22</f>
        <v>35769.735463520992</v>
      </c>
      <c r="AT23" s="51">
        <f>AT21-AT22</f>
        <v>37510.484748133444</v>
      </c>
      <c r="AU23" s="51">
        <f>AU21-AU22</f>
        <v>38593.858857236854</v>
      </c>
      <c r="AV23" s="51">
        <f>AV21-AV22</f>
        <v>37717.491671378622</v>
      </c>
      <c r="AW23" s="51">
        <f>AW21-AW22</f>
        <v>36674.865748023643</v>
      </c>
      <c r="AX23" s="51">
        <f t="shared" ref="AX23:BG23" si="16">AX21-AX22</f>
        <v>36950.62470408051</v>
      </c>
      <c r="AY23" s="51">
        <f t="shared" si="16"/>
        <v>37435.739930764132</v>
      </c>
      <c r="AZ23" s="51">
        <f t="shared" si="16"/>
        <v>37031.352874687822</v>
      </c>
      <c r="BA23" s="51">
        <f t="shared" si="16"/>
        <v>36830.076983707557</v>
      </c>
      <c r="BB23" s="51">
        <f t="shared" si="16"/>
        <v>38231.683389877493</v>
      </c>
      <c r="BC23" s="51">
        <f t="shared" si="16"/>
        <v>37811.565142614068</v>
      </c>
      <c r="BD23" s="51">
        <f t="shared" si="16"/>
        <v>40818.45338672644</v>
      </c>
      <c r="BE23" s="51">
        <f t="shared" si="16"/>
        <v>39222.08625211598</v>
      </c>
      <c r="BF23" s="51">
        <f t="shared" si="16"/>
        <v>40901.31929444569</v>
      </c>
      <c r="BG23" s="51">
        <f t="shared" si="16"/>
        <v>40404.791505374043</v>
      </c>
    </row>
    <row r="24" spans="1:72" s="70" customFormat="1" x14ac:dyDescent="0.2">
      <c r="B24" s="70" t="s">
        <v>86</v>
      </c>
      <c r="C24" s="52">
        <f>C23-C14</f>
        <v>-1214.21</v>
      </c>
      <c r="D24" s="52">
        <f t="shared" ref="D24:AR24" si="17">D23-D14</f>
        <v>1071.9399999999951</v>
      </c>
      <c r="E24" s="52">
        <f t="shared" si="17"/>
        <v>901.19999999999345</v>
      </c>
      <c r="F24" s="52">
        <f t="shared" si="17"/>
        <v>-500.80000000000291</v>
      </c>
      <c r="G24" s="52">
        <f t="shared" si="17"/>
        <v>-172.14845192849316</v>
      </c>
      <c r="H24" s="52">
        <f t="shared" si="17"/>
        <v>39.606192286017176</v>
      </c>
      <c r="I24" s="52">
        <f t="shared" si="17"/>
        <v>406.5940544928817</v>
      </c>
      <c r="J24" s="52">
        <f t="shared" si="17"/>
        <v>929.15466903884953</v>
      </c>
      <c r="K24" s="52">
        <f t="shared" si="17"/>
        <v>-335.52741778713971</v>
      </c>
      <c r="L24" s="52">
        <f t="shared" si="17"/>
        <v>-796.26797149005142</v>
      </c>
      <c r="M24" s="52">
        <f t="shared" si="17"/>
        <v>-633.23123743930046</v>
      </c>
      <c r="N24" s="52">
        <f t="shared" si="17"/>
        <v>350.67220052897028</v>
      </c>
      <c r="O24" s="52">
        <f t="shared" si="17"/>
        <v>1270.7959999999948</v>
      </c>
      <c r="P24" s="52">
        <f t="shared" si="17"/>
        <v>-446.2980000000025</v>
      </c>
      <c r="Q24" s="52">
        <f t="shared" si="17"/>
        <v>-799.80000000001019</v>
      </c>
      <c r="R24" s="52">
        <f t="shared" si="17"/>
        <v>183.00000000000728</v>
      </c>
      <c r="S24" s="52">
        <f t="shared" si="17"/>
        <v>561.09700000003068</v>
      </c>
      <c r="T24" s="52">
        <f t="shared" si="17"/>
        <v>-1400.4989115390345</v>
      </c>
      <c r="U24" s="52">
        <f t="shared" si="17"/>
        <v>-287.12012736446923</v>
      </c>
      <c r="V24" s="52">
        <f t="shared" si="17"/>
        <v>-1143.087981849676</v>
      </c>
      <c r="W24" s="52">
        <f t="shared" si="17"/>
        <v>-932.29702729595738</v>
      </c>
      <c r="X24" s="52">
        <f t="shared" si="17"/>
        <v>231.35423209794681</v>
      </c>
      <c r="Y24" s="52">
        <f t="shared" si="17"/>
        <v>-793.1730258196767</v>
      </c>
      <c r="Z24" s="52">
        <f t="shared" si="17"/>
        <v>-433.26937991804152</v>
      </c>
      <c r="AA24" s="52">
        <f t="shared" si="17"/>
        <v>-357.97897024172562</v>
      </c>
      <c r="AB24" s="52">
        <f t="shared" si="17"/>
        <v>0</v>
      </c>
      <c r="AC24" s="52">
        <f>AC23-AC14</f>
        <v>0</v>
      </c>
      <c r="AD24" s="52">
        <f t="shared" si="17"/>
        <v>0</v>
      </c>
      <c r="AE24" s="52">
        <f t="shared" si="17"/>
        <v>0</v>
      </c>
      <c r="AF24" s="52">
        <f t="shared" si="17"/>
        <v>0</v>
      </c>
      <c r="AG24" s="52">
        <f t="shared" si="17"/>
        <v>0</v>
      </c>
      <c r="AH24" s="52">
        <f t="shared" si="17"/>
        <v>0</v>
      </c>
      <c r="AI24" s="52">
        <f t="shared" si="17"/>
        <v>0</v>
      </c>
      <c r="AJ24" s="52">
        <f t="shared" si="17"/>
        <v>0</v>
      </c>
      <c r="AK24" s="52">
        <f t="shared" si="17"/>
        <v>0</v>
      </c>
      <c r="AL24" s="52">
        <f t="shared" si="17"/>
        <v>0</v>
      </c>
      <c r="AM24" s="52">
        <f t="shared" si="17"/>
        <v>0</v>
      </c>
      <c r="AN24" s="52">
        <f t="shared" si="17"/>
        <v>0</v>
      </c>
      <c r="AO24" s="52">
        <f t="shared" si="17"/>
        <v>0</v>
      </c>
      <c r="AP24" s="52">
        <f t="shared" si="17"/>
        <v>0</v>
      </c>
      <c r="AQ24" s="52">
        <f t="shared" si="17"/>
        <v>0</v>
      </c>
      <c r="AR24" s="52">
        <f t="shared" si="17"/>
        <v>0</v>
      </c>
      <c r="AS24" s="52">
        <f>AS23-AS14</f>
        <v>0</v>
      </c>
      <c r="AT24" s="52">
        <f>AT23-AT14</f>
        <v>0</v>
      </c>
      <c r="AU24" s="52">
        <f>AU23-AU14</f>
        <v>0</v>
      </c>
      <c r="AV24" s="52">
        <f>AV23-AV14</f>
        <v>0</v>
      </c>
      <c r="AW24" s="52">
        <f>AW23-AW14</f>
        <v>0</v>
      </c>
      <c r="AX24" s="52">
        <f t="shared" ref="AX24:BG24" si="18">AX23-AX14</f>
        <v>0</v>
      </c>
      <c r="AY24" s="52">
        <f t="shared" si="18"/>
        <v>0</v>
      </c>
      <c r="AZ24" s="52">
        <f t="shared" si="18"/>
        <v>0</v>
      </c>
      <c r="BA24" s="52">
        <f t="shared" si="18"/>
        <v>0</v>
      </c>
      <c r="BB24" s="52">
        <f t="shared" si="18"/>
        <v>0</v>
      </c>
      <c r="BC24" s="52">
        <f t="shared" si="18"/>
        <v>0</v>
      </c>
      <c r="BD24" s="52">
        <f t="shared" si="18"/>
        <v>0</v>
      </c>
      <c r="BE24" s="52">
        <f t="shared" si="18"/>
        <v>0</v>
      </c>
      <c r="BF24" s="52">
        <f t="shared" si="18"/>
        <v>0</v>
      </c>
      <c r="BG24" s="52">
        <f t="shared" si="18"/>
        <v>0</v>
      </c>
      <c r="BJ24" s="41">
        <v>1771</v>
      </c>
      <c r="BK24" s="41">
        <v>1034</v>
      </c>
      <c r="BL24" s="41">
        <v>1898</v>
      </c>
      <c r="BM24" s="41">
        <v>1899</v>
      </c>
      <c r="BN24" s="41">
        <v>1437</v>
      </c>
      <c r="BO24" s="41">
        <v>927</v>
      </c>
      <c r="BP24" s="41">
        <v>718</v>
      </c>
      <c r="BQ24" s="41">
        <v>1014</v>
      </c>
      <c r="BR24" s="41">
        <v>1204</v>
      </c>
      <c r="BS24" s="41">
        <v>1208</v>
      </c>
    </row>
    <row r="25" spans="1:72" x14ac:dyDescent="0.2">
      <c r="B25" s="41" t="s">
        <v>79</v>
      </c>
      <c r="C25" s="51">
        <f>C13</f>
        <v>876.3890008482</v>
      </c>
      <c r="D25" s="51">
        <f t="shared" ref="D25:AR25" si="19">D13</f>
        <v>4859.9302457537997</v>
      </c>
      <c r="E25" s="51">
        <f t="shared" si="19"/>
        <v>2131.5572995247999</v>
      </c>
      <c r="F25" s="51">
        <f t="shared" si="19"/>
        <v>4313.1912650064005</v>
      </c>
      <c r="G25" s="51">
        <f t="shared" si="19"/>
        <v>5911.9721162963997</v>
      </c>
      <c r="H25" s="51">
        <f t="shared" si="19"/>
        <v>3882.2791558193994</v>
      </c>
      <c r="I25" s="51">
        <f t="shared" si="19"/>
        <v>2670.9906038886002</v>
      </c>
      <c r="J25" s="51">
        <f t="shared" si="19"/>
        <v>2804.1676301267998</v>
      </c>
      <c r="K25" s="51">
        <f t="shared" si="19"/>
        <v>4934.0630855879999</v>
      </c>
      <c r="L25" s="51">
        <f t="shared" si="19"/>
        <v>4046.2031632428002</v>
      </c>
      <c r="M25" s="51">
        <f t="shared" si="19"/>
        <v>1904.8692469967998</v>
      </c>
      <c r="N25" s="51">
        <f t="shared" si="19"/>
        <v>2419.5162066767998</v>
      </c>
      <c r="O25" s="51">
        <f t="shared" si="19"/>
        <v>2470.5470330352005</v>
      </c>
      <c r="P25" s="51">
        <f t="shared" si="19"/>
        <v>3759.7901845577999</v>
      </c>
      <c r="Q25" s="51">
        <f t="shared" si="19"/>
        <v>5260.8381109073998</v>
      </c>
      <c r="R25" s="51">
        <f t="shared" si="19"/>
        <v>5075.306603262</v>
      </c>
      <c r="S25" s="51">
        <f t="shared" si="19"/>
        <v>6532.8534167526004</v>
      </c>
      <c r="T25" s="51">
        <f t="shared" si="19"/>
        <v>4991.2295954346</v>
      </c>
      <c r="U25" s="51">
        <f t="shared" si="19"/>
        <v>3483.6557199822005</v>
      </c>
      <c r="V25" s="51">
        <f t="shared" si="19"/>
        <v>3904.9627320396003</v>
      </c>
      <c r="W25" s="51">
        <f t="shared" si="19"/>
        <v>3682.7068252989998</v>
      </c>
      <c r="X25" s="51">
        <f t="shared" si="19"/>
        <v>3848.80341690658</v>
      </c>
      <c r="Y25" s="51">
        <f t="shared" si="19"/>
        <v>4304.5916908827803</v>
      </c>
      <c r="Z25" s="51">
        <f t="shared" si="19"/>
        <v>4616.1657235894208</v>
      </c>
      <c r="AA25" s="51">
        <f t="shared" si="19"/>
        <v>4768.0968655848801</v>
      </c>
      <c r="AB25" s="51">
        <f t="shared" si="19"/>
        <v>3693.3437370000001</v>
      </c>
      <c r="AC25" s="51">
        <f>AC13</f>
        <v>5577.6030509999991</v>
      </c>
      <c r="AD25" s="51">
        <f t="shared" si="19"/>
        <v>3215.4793179999997</v>
      </c>
      <c r="AE25" s="51">
        <f t="shared" si="19"/>
        <v>2874.6726819999999</v>
      </c>
      <c r="AF25" s="51">
        <f t="shared" si="19"/>
        <v>690.67650600000013</v>
      </c>
      <c r="AG25" s="51">
        <f t="shared" si="19"/>
        <v>2055.4025798835801</v>
      </c>
      <c r="AH25" s="51">
        <f t="shared" si="19"/>
        <v>3675.6971391164197</v>
      </c>
      <c r="AI25" s="51">
        <f t="shared" si="19"/>
        <v>3745</v>
      </c>
      <c r="AJ25" s="51">
        <f t="shared" si="19"/>
        <v>2475</v>
      </c>
      <c r="AK25" s="51">
        <f t="shared" si="19"/>
        <v>2925</v>
      </c>
      <c r="AL25" s="51">
        <f t="shared" si="19"/>
        <v>3200</v>
      </c>
      <c r="AM25" s="51">
        <f t="shared" si="19"/>
        <v>4275</v>
      </c>
      <c r="AN25" s="51">
        <f t="shared" si="19"/>
        <v>3300</v>
      </c>
      <c r="AO25" s="51">
        <f t="shared" si="19"/>
        <v>3035</v>
      </c>
      <c r="AP25" s="51">
        <f t="shared" si="19"/>
        <v>2990</v>
      </c>
      <c r="AQ25" s="51">
        <f t="shared" si="19"/>
        <v>980</v>
      </c>
      <c r="AR25" s="51">
        <f t="shared" si="19"/>
        <v>1495</v>
      </c>
      <c r="AS25" s="51">
        <f>AS13</f>
        <v>3740</v>
      </c>
      <c r="AT25" s="51">
        <f>AT13</f>
        <v>2765</v>
      </c>
      <c r="AU25" s="51">
        <f>AU13</f>
        <v>1960</v>
      </c>
      <c r="AV25" s="51">
        <f>AV13</f>
        <v>2290</v>
      </c>
      <c r="AW25" s="51">
        <f>AW13</f>
        <v>3920</v>
      </c>
      <c r="AX25" s="51">
        <f t="shared" ref="AX25:BG25" si="20">AX13</f>
        <v>3915</v>
      </c>
      <c r="AY25" s="51">
        <f t="shared" si="20"/>
        <v>3915</v>
      </c>
      <c r="AZ25" s="51">
        <f t="shared" si="20"/>
        <v>3915</v>
      </c>
      <c r="BA25" s="51">
        <f t="shared" si="20"/>
        <v>3915</v>
      </c>
      <c r="BB25" s="51">
        <f t="shared" si="20"/>
        <v>3915</v>
      </c>
      <c r="BC25" s="51">
        <f t="shared" si="20"/>
        <v>3915</v>
      </c>
      <c r="BD25" s="51">
        <f t="shared" si="20"/>
        <v>3915</v>
      </c>
      <c r="BE25" s="51">
        <f t="shared" si="20"/>
        <v>3915</v>
      </c>
      <c r="BF25" s="51">
        <f t="shared" si="20"/>
        <v>3915</v>
      </c>
      <c r="BG25" s="51">
        <f t="shared" si="20"/>
        <v>3915</v>
      </c>
      <c r="BJ25" s="51">
        <f t="shared" ref="BJ25:BS25" si="21">AE15-BJ24</f>
        <v>535.14699999999993</v>
      </c>
      <c r="BK25" s="51">
        <f t="shared" si="21"/>
        <v>789.83400000000006</v>
      </c>
      <c r="BL25" s="51">
        <f t="shared" si="21"/>
        <v>-207.43000000000006</v>
      </c>
      <c r="BM25" s="51">
        <f t="shared" si="21"/>
        <v>-663.78050165558761</v>
      </c>
      <c r="BN25" s="51">
        <f t="shared" si="21"/>
        <v>361.44519835916799</v>
      </c>
      <c r="BO25" s="51">
        <f t="shared" si="21"/>
        <v>862.87274823570988</v>
      </c>
      <c r="BP25" s="51">
        <f t="shared" si="21"/>
        <v>835.72043306787236</v>
      </c>
      <c r="BQ25" s="51">
        <f t="shared" si="21"/>
        <v>623.64041571450389</v>
      </c>
      <c r="BR25" s="51">
        <f t="shared" si="21"/>
        <v>401.91436614645318</v>
      </c>
      <c r="BS25" s="51">
        <f t="shared" si="21"/>
        <v>439.93957100253192</v>
      </c>
    </row>
    <row r="26" spans="1:72" x14ac:dyDescent="0.2">
      <c r="B26" s="41" t="s">
        <v>157</v>
      </c>
      <c r="C26" s="51">
        <f>C23-C25</f>
        <v>2237.0885149390001</v>
      </c>
      <c r="D26" s="51">
        <f t="shared" ref="D26:AR26" si="22">D23-D25</f>
        <v>24655.0736522646</v>
      </c>
      <c r="E26" s="51">
        <f t="shared" si="22"/>
        <v>26786.158855645601</v>
      </c>
      <c r="F26" s="51">
        <f t="shared" si="22"/>
        <v>26858.430305501399</v>
      </c>
      <c r="G26" s="51">
        <f t="shared" si="22"/>
        <v>28961.298324647003</v>
      </c>
      <c r="H26" s="51">
        <f t="shared" si="22"/>
        <v>30390.273846236407</v>
      </c>
      <c r="I26" s="51">
        <f t="shared" si="22"/>
        <v>31037.305182119588</v>
      </c>
      <c r="J26" s="51">
        <f t="shared" si="22"/>
        <v>32228.248099350203</v>
      </c>
      <c r="K26" s="51">
        <f t="shared" si="22"/>
        <v>31707.028881717401</v>
      </c>
      <c r="L26" s="51">
        <f t="shared" si="22"/>
        <v>31545.973322654401</v>
      </c>
      <c r="M26" s="51">
        <f t="shared" si="22"/>
        <v>31898.145981137604</v>
      </c>
      <c r="N26" s="51">
        <f t="shared" si="22"/>
        <v>33866.084486495194</v>
      </c>
      <c r="O26" s="51">
        <f t="shared" si="22"/>
        <v>35653.538590700795</v>
      </c>
      <c r="P26" s="51">
        <f t="shared" si="22"/>
        <v>35708.5623106782</v>
      </c>
      <c r="Q26" s="51">
        <f t="shared" si="22"/>
        <v>33884.524341296594</v>
      </c>
      <c r="R26" s="51">
        <f t="shared" si="22"/>
        <v>31415.995608636007</v>
      </c>
      <c r="S26" s="51">
        <f t="shared" si="22"/>
        <v>30521.15569580342</v>
      </c>
      <c r="T26" s="51">
        <f t="shared" si="22"/>
        <v>31941.011789017062</v>
      </c>
      <c r="U26" s="51">
        <f t="shared" si="22"/>
        <v>34134.903992249994</v>
      </c>
      <c r="V26" s="51">
        <f t="shared" si="22"/>
        <v>35250.646599307569</v>
      </c>
      <c r="W26" s="51">
        <f t="shared" si="22"/>
        <v>35337.782160760507</v>
      </c>
      <c r="X26" s="51">
        <f t="shared" si="22"/>
        <v>36829.586340105103</v>
      </c>
      <c r="Y26" s="51">
        <f t="shared" si="22"/>
        <v>38398.758554117216</v>
      </c>
      <c r="Z26" s="51">
        <f t="shared" si="22"/>
        <v>38172.561997410579</v>
      </c>
      <c r="AA26" s="51">
        <f t="shared" si="22"/>
        <v>41992.601418415128</v>
      </c>
      <c r="AB26" s="51">
        <f t="shared" si="22"/>
        <v>20619.753107000011</v>
      </c>
      <c r="AC26" s="51">
        <f>AC23-AC25</f>
        <v>20115.967161000004</v>
      </c>
      <c r="AD26" s="51">
        <f t="shared" si="22"/>
        <v>21972.976869999999</v>
      </c>
      <c r="AE26" s="51">
        <f t="shared" si="22"/>
        <v>23532.884391896034</v>
      </c>
      <c r="AF26" s="51">
        <f t="shared" si="22"/>
        <v>26790.021365000001</v>
      </c>
      <c r="AG26" s="51">
        <f t="shared" si="22"/>
        <v>26356.18047348356</v>
      </c>
      <c r="AH26" s="51">
        <f t="shared" si="22"/>
        <v>23740.592240037116</v>
      </c>
      <c r="AI26" s="51">
        <f t="shared" si="22"/>
        <v>24928.224299985242</v>
      </c>
      <c r="AJ26" s="51">
        <f t="shared" si="22"/>
        <v>27048.342450123459</v>
      </c>
      <c r="AK26" s="51">
        <f t="shared" si="22"/>
        <v>27525.042315167837</v>
      </c>
      <c r="AL26" s="51">
        <f t="shared" si="22"/>
        <v>27951.280017353372</v>
      </c>
      <c r="AM26" s="51">
        <f t="shared" si="22"/>
        <v>28924.226049568046</v>
      </c>
      <c r="AN26" s="51">
        <f t="shared" si="22"/>
        <v>30503.924795143925</v>
      </c>
      <c r="AO26" s="51">
        <f t="shared" si="22"/>
        <v>32148.986911597291</v>
      </c>
      <c r="AP26" s="51">
        <f t="shared" si="22"/>
        <v>31758.972712515082</v>
      </c>
      <c r="AQ26" s="51">
        <f t="shared" si="22"/>
        <v>35908.926581881198</v>
      </c>
      <c r="AR26" s="51">
        <f t="shared" si="22"/>
        <v>35755.58245241984</v>
      </c>
      <c r="AS26" s="51">
        <f>AS23-AS25</f>
        <v>32029.735463520992</v>
      </c>
      <c r="AT26" s="51">
        <f>AT23-AT25</f>
        <v>34745.484748133444</v>
      </c>
      <c r="AU26" s="51">
        <f>AU23-AU25</f>
        <v>36633.858857236854</v>
      </c>
      <c r="AV26" s="51">
        <f>AV23-AV25</f>
        <v>35427.491671378622</v>
      </c>
      <c r="AW26" s="51">
        <f>AW23-AW25</f>
        <v>32754.865748023643</v>
      </c>
      <c r="AX26" s="51">
        <f t="shared" ref="AX26:BG26" si="23">AX23-AX25</f>
        <v>33035.62470408051</v>
      </c>
      <c r="AY26" s="51">
        <f t="shared" si="23"/>
        <v>33520.739930764132</v>
      </c>
      <c r="AZ26" s="51">
        <f t="shared" si="23"/>
        <v>33116.352874687822</v>
      </c>
      <c r="BA26" s="51">
        <f t="shared" si="23"/>
        <v>32915.076983707557</v>
      </c>
      <c r="BB26" s="51">
        <f t="shared" si="23"/>
        <v>34316.683389877493</v>
      </c>
      <c r="BC26" s="51">
        <f t="shared" si="23"/>
        <v>33896.565142614068</v>
      </c>
      <c r="BD26" s="51">
        <f t="shared" si="23"/>
        <v>36903.45338672644</v>
      </c>
      <c r="BE26" s="51">
        <f t="shared" si="23"/>
        <v>35307.08625211598</v>
      </c>
      <c r="BF26" s="51">
        <f t="shared" si="23"/>
        <v>36986.31929444569</v>
      </c>
      <c r="BG26" s="51">
        <f t="shared" si="23"/>
        <v>36489.791505374043</v>
      </c>
    </row>
    <row r="27" spans="1:72" s="70" customFormat="1" x14ac:dyDescent="0.2">
      <c r="B27" s="70" t="s">
        <v>86</v>
      </c>
      <c r="C27" s="52">
        <f t="shared" ref="C27:BG27" si="24">C26-C8</f>
        <v>-1214.21</v>
      </c>
      <c r="D27" s="52">
        <f t="shared" si="24"/>
        <v>1071.9399999999951</v>
      </c>
      <c r="E27" s="52">
        <f t="shared" si="24"/>
        <v>901.19999999999345</v>
      </c>
      <c r="F27" s="52">
        <f t="shared" si="24"/>
        <v>-500.80000000000291</v>
      </c>
      <c r="G27" s="52">
        <f t="shared" si="24"/>
        <v>-172.14845192848952</v>
      </c>
      <c r="H27" s="52">
        <f t="shared" si="24"/>
        <v>39.606192286017176</v>
      </c>
      <c r="I27" s="52">
        <f t="shared" si="24"/>
        <v>406.5940544928817</v>
      </c>
      <c r="J27" s="52">
        <f t="shared" si="24"/>
        <v>929.1546690388459</v>
      </c>
      <c r="K27" s="52">
        <f t="shared" si="24"/>
        <v>-335.52741778714335</v>
      </c>
      <c r="L27" s="52">
        <f t="shared" si="24"/>
        <v>-796.26797149005506</v>
      </c>
      <c r="M27" s="52">
        <f t="shared" si="24"/>
        <v>-633.23123743930046</v>
      </c>
      <c r="N27" s="52">
        <f t="shared" si="24"/>
        <v>350.67220052897028</v>
      </c>
      <c r="O27" s="52">
        <f t="shared" si="24"/>
        <v>1270.7959999999948</v>
      </c>
      <c r="P27" s="52">
        <f t="shared" si="24"/>
        <v>-446.2980000000025</v>
      </c>
      <c r="Q27" s="52">
        <f t="shared" si="24"/>
        <v>-799.80000000001019</v>
      </c>
      <c r="R27" s="52">
        <f t="shared" si="24"/>
        <v>183.00000000000728</v>
      </c>
      <c r="S27" s="52">
        <f t="shared" si="24"/>
        <v>561.09700000002704</v>
      </c>
      <c r="T27" s="52">
        <f t="shared" si="24"/>
        <v>-1400.4989115390381</v>
      </c>
      <c r="U27" s="52">
        <f t="shared" si="24"/>
        <v>-287.12012736446923</v>
      </c>
      <c r="V27" s="52">
        <f t="shared" si="24"/>
        <v>-1143.087981849676</v>
      </c>
      <c r="W27" s="52">
        <f t="shared" si="24"/>
        <v>-932.29702729595738</v>
      </c>
      <c r="X27" s="52">
        <f t="shared" si="24"/>
        <v>231.35423209794681</v>
      </c>
      <c r="Y27" s="52">
        <f t="shared" si="24"/>
        <v>-793.1730258196767</v>
      </c>
      <c r="Z27" s="52">
        <f t="shared" si="24"/>
        <v>-433.26937991804152</v>
      </c>
      <c r="AA27" s="52">
        <f t="shared" si="24"/>
        <v>-357.97897024172562</v>
      </c>
      <c r="AB27" s="52">
        <f t="shared" si="24"/>
        <v>0</v>
      </c>
      <c r="AC27" s="52">
        <f t="shared" si="24"/>
        <v>0</v>
      </c>
      <c r="AD27" s="52">
        <f t="shared" si="24"/>
        <v>0</v>
      </c>
      <c r="AE27" s="52">
        <f t="shared" si="24"/>
        <v>0</v>
      </c>
      <c r="AF27" s="52">
        <f t="shared" si="24"/>
        <v>0</v>
      </c>
      <c r="AG27" s="52">
        <f t="shared" si="24"/>
        <v>0</v>
      </c>
      <c r="AH27" s="52">
        <f t="shared" si="24"/>
        <v>0</v>
      </c>
      <c r="AI27" s="52">
        <f t="shared" si="24"/>
        <v>0</v>
      </c>
      <c r="AJ27" s="52">
        <f t="shared" si="24"/>
        <v>0</v>
      </c>
      <c r="AK27" s="52">
        <f t="shared" si="24"/>
        <v>0</v>
      </c>
      <c r="AL27" s="52">
        <f t="shared" si="24"/>
        <v>0</v>
      </c>
      <c r="AM27" s="52">
        <f t="shared" si="24"/>
        <v>0</v>
      </c>
      <c r="AN27" s="52">
        <f t="shared" si="24"/>
        <v>0</v>
      </c>
      <c r="AO27" s="52">
        <f t="shared" si="24"/>
        <v>0</v>
      </c>
      <c r="AP27" s="52">
        <f t="shared" si="24"/>
        <v>0</v>
      </c>
      <c r="AQ27" s="52">
        <f t="shared" si="24"/>
        <v>0</v>
      </c>
      <c r="AR27" s="52">
        <f t="shared" si="24"/>
        <v>0</v>
      </c>
      <c r="AS27" s="52">
        <f t="shared" si="24"/>
        <v>0</v>
      </c>
      <c r="AT27" s="52">
        <f t="shared" si="24"/>
        <v>0</v>
      </c>
      <c r="AU27" s="52">
        <f t="shared" si="24"/>
        <v>0</v>
      </c>
      <c r="AV27" s="52">
        <f t="shared" si="24"/>
        <v>0</v>
      </c>
      <c r="AW27" s="52">
        <f t="shared" si="24"/>
        <v>0</v>
      </c>
      <c r="AX27" s="52">
        <f t="shared" si="24"/>
        <v>0</v>
      </c>
      <c r="AY27" s="52">
        <f t="shared" si="24"/>
        <v>0</v>
      </c>
      <c r="AZ27" s="52">
        <f t="shared" si="24"/>
        <v>0</v>
      </c>
      <c r="BA27" s="52">
        <f t="shared" si="24"/>
        <v>0</v>
      </c>
      <c r="BB27" s="52">
        <f t="shared" si="24"/>
        <v>0</v>
      </c>
      <c r="BC27" s="52">
        <f t="shared" si="24"/>
        <v>0</v>
      </c>
      <c r="BD27" s="52">
        <f t="shared" si="24"/>
        <v>0</v>
      </c>
      <c r="BE27" s="52">
        <f t="shared" si="24"/>
        <v>0</v>
      </c>
      <c r="BF27" s="52">
        <f t="shared" si="24"/>
        <v>0</v>
      </c>
      <c r="BG27" s="52">
        <f t="shared" si="24"/>
        <v>0</v>
      </c>
      <c r="BJ27" s="41">
        <v>50.2</v>
      </c>
      <c r="BK27" s="41">
        <v>55.1</v>
      </c>
      <c r="BL27" s="41">
        <v>53.3</v>
      </c>
      <c r="BM27" s="41">
        <v>55.9</v>
      </c>
      <c r="BN27" s="41">
        <v>57.6</v>
      </c>
      <c r="BO27" s="41">
        <v>59.4</v>
      </c>
      <c r="BP27" s="41">
        <v>59</v>
      </c>
      <c r="BQ27" s="41">
        <v>57</v>
      </c>
      <c r="BR27" s="41">
        <v>55.6</v>
      </c>
      <c r="BS27" s="41">
        <v>52.2</v>
      </c>
      <c r="BT27" s="41">
        <v>48.5</v>
      </c>
    </row>
    <row r="28" spans="1:72" x14ac:dyDescent="0.2">
      <c r="B28" s="41" t="s">
        <v>158</v>
      </c>
      <c r="C28" s="51">
        <f t="shared" ref="C28:BG28" si="25">C9</f>
        <v>152.52000000000001</v>
      </c>
      <c r="D28" s="51">
        <f t="shared" si="25"/>
        <v>0</v>
      </c>
      <c r="E28" s="51">
        <f t="shared" si="25"/>
        <v>0</v>
      </c>
      <c r="F28" s="51">
        <f t="shared" si="25"/>
        <v>0</v>
      </c>
      <c r="G28" s="51">
        <f t="shared" si="25"/>
        <v>0.60284059390127487</v>
      </c>
      <c r="H28" s="51">
        <f t="shared" si="25"/>
        <v>8.1185747921126818</v>
      </c>
      <c r="I28" s="51">
        <f t="shared" si="25"/>
        <v>26.769923067130943</v>
      </c>
      <c r="J28" s="51">
        <f t="shared" si="25"/>
        <v>142.74434430029586</v>
      </c>
      <c r="K28" s="51">
        <f t="shared" si="25"/>
        <v>190.8700466997883</v>
      </c>
      <c r="L28" s="51">
        <f t="shared" si="25"/>
        <v>234.98744993145723</v>
      </c>
      <c r="M28" s="51">
        <f t="shared" si="25"/>
        <v>343.49825668138232</v>
      </c>
      <c r="N28" s="51">
        <f t="shared" si="25"/>
        <v>1239.8209651559234</v>
      </c>
      <c r="O28" s="51">
        <f t="shared" si="25"/>
        <v>3471.9833984130473</v>
      </c>
      <c r="P28" s="51">
        <f t="shared" si="25"/>
        <v>5802.5000000000009</v>
      </c>
      <c r="Q28" s="51">
        <f t="shared" si="25"/>
        <v>6423.3</v>
      </c>
      <c r="R28" s="51">
        <f t="shared" si="25"/>
        <v>3924.7</v>
      </c>
      <c r="S28" s="51">
        <f t="shared" si="25"/>
        <v>2823</v>
      </c>
      <c r="T28" s="51">
        <f t="shared" si="25"/>
        <v>7096</v>
      </c>
      <c r="U28" s="51">
        <f t="shared" si="25"/>
        <v>9259</v>
      </c>
      <c r="V28" s="51">
        <f t="shared" si="25"/>
        <v>10857</v>
      </c>
      <c r="W28" s="51">
        <f t="shared" si="25"/>
        <v>10606.76</v>
      </c>
      <c r="X28" s="51">
        <f t="shared" si="25"/>
        <v>10739.51</v>
      </c>
      <c r="Y28" s="51">
        <f t="shared" si="25"/>
        <v>12819.704325573381</v>
      </c>
      <c r="Z28" s="51">
        <f t="shared" si="25"/>
        <v>13781.338865853124</v>
      </c>
      <c r="AA28" s="51">
        <f t="shared" si="25"/>
        <v>16697.381966154579</v>
      </c>
      <c r="AB28" s="51">
        <f t="shared" si="25"/>
        <v>9403.8696100057659</v>
      </c>
      <c r="AC28" s="51">
        <f t="shared" si="25"/>
        <v>10746.719759278563</v>
      </c>
      <c r="AD28" s="51">
        <f t="shared" si="25"/>
        <v>9183.0668614648421</v>
      </c>
      <c r="AE28" s="51">
        <f t="shared" si="25"/>
        <v>10525.382999999998</v>
      </c>
      <c r="AF28" s="51">
        <f t="shared" si="25"/>
        <v>13020.7371944193</v>
      </c>
      <c r="AG28" s="51">
        <f t="shared" si="25"/>
        <v>13235.547422347299</v>
      </c>
      <c r="AH28" s="51">
        <f t="shared" si="25"/>
        <v>11467.653648322255</v>
      </c>
      <c r="AI28" s="51">
        <f t="shared" si="25"/>
        <v>12084.424299985245</v>
      </c>
      <c r="AJ28" s="51">
        <f t="shared" si="25"/>
        <v>14648.242450123456</v>
      </c>
      <c r="AK28" s="51">
        <f t="shared" si="25"/>
        <v>14417.542315167839</v>
      </c>
      <c r="AL28" s="51">
        <f t="shared" si="25"/>
        <v>14521.930017353368</v>
      </c>
      <c r="AM28" s="51">
        <f t="shared" si="25"/>
        <v>16179.726049568049</v>
      </c>
      <c r="AN28" s="51">
        <f t="shared" si="25"/>
        <v>17229.824795143923</v>
      </c>
      <c r="AO28" s="51">
        <f t="shared" si="25"/>
        <v>19912.336911597286</v>
      </c>
      <c r="AP28" s="51">
        <f t="shared" si="25"/>
        <v>20078.42271251509</v>
      </c>
      <c r="AQ28" s="51">
        <f t="shared" si="25"/>
        <v>21998.376581881195</v>
      </c>
      <c r="AR28" s="51">
        <f t="shared" si="25"/>
        <v>22540.632452419843</v>
      </c>
      <c r="AS28" s="51">
        <f t="shared" si="25"/>
        <v>19152.335463520991</v>
      </c>
      <c r="AT28" s="51">
        <f t="shared" si="25"/>
        <v>21058.884748133441</v>
      </c>
      <c r="AU28" s="51">
        <f t="shared" si="25"/>
        <v>23127.258857236851</v>
      </c>
      <c r="AV28" s="51">
        <f t="shared" si="25"/>
        <v>21767.491671378622</v>
      </c>
      <c r="AW28" s="51">
        <f t="shared" si="25"/>
        <v>19708.265748023641</v>
      </c>
      <c r="AX28" s="51">
        <f t="shared" si="25"/>
        <v>19951.924704080506</v>
      </c>
      <c r="AY28" s="51">
        <f t="shared" si="25"/>
        <v>20259.839930764134</v>
      </c>
      <c r="AZ28" s="51">
        <f t="shared" si="25"/>
        <v>19787.002874687834</v>
      </c>
      <c r="BA28" s="51">
        <f t="shared" si="25"/>
        <v>19564.926983707548</v>
      </c>
      <c r="BB28" s="51">
        <f t="shared" si="25"/>
        <v>20810.583389877487</v>
      </c>
      <c r="BC28" s="51">
        <f t="shared" si="25"/>
        <v>20282.165142614052</v>
      </c>
      <c r="BD28" s="51">
        <f t="shared" si="25"/>
        <v>23197.353386726441</v>
      </c>
      <c r="BE28" s="51">
        <f t="shared" si="25"/>
        <v>21494.78625211598</v>
      </c>
      <c r="BF28" s="51">
        <f t="shared" si="25"/>
        <v>23085.169294445688</v>
      </c>
      <c r="BG28" s="51">
        <f t="shared" si="25"/>
        <v>22492.141505374031</v>
      </c>
      <c r="BJ28" s="54">
        <f t="shared" ref="BJ28:BT28" si="26">AD16-BJ27</f>
        <v>14.547619047619051</v>
      </c>
      <c r="BK28" s="54">
        <f t="shared" si="26"/>
        <v>19.298095238095236</v>
      </c>
      <c r="BL28" s="54">
        <f t="shared" si="26"/>
        <v>8.1542606516290661</v>
      </c>
      <c r="BM28" s="54">
        <f t="shared" si="26"/>
        <v>-11.903206521739136</v>
      </c>
      <c r="BN28" s="54">
        <f t="shared" si="26"/>
        <v>-12.629262452895723</v>
      </c>
      <c r="BO28" s="54">
        <f t="shared" si="26"/>
        <v>-15.58676533723159</v>
      </c>
      <c r="BP28" s="54">
        <f t="shared" si="26"/>
        <v>-15.9554550708893</v>
      </c>
      <c r="BQ28" s="54">
        <f t="shared" si="26"/>
        <v>-14.937048904671251</v>
      </c>
      <c r="BR28" s="54">
        <f t="shared" si="26"/>
        <v>-13.078546623042875</v>
      </c>
      <c r="BS28" s="54">
        <f t="shared" si="26"/>
        <v>-5.1047620274377437</v>
      </c>
      <c r="BT28" s="54">
        <f t="shared" si="26"/>
        <v>-7.9767047096375094</v>
      </c>
    </row>
    <row r="29" spans="1:72" x14ac:dyDescent="0.2">
      <c r="B29" s="41" t="s">
        <v>159</v>
      </c>
      <c r="C29" s="51">
        <f>C26-C28</f>
        <v>2084.5685149390001</v>
      </c>
      <c r="D29" s="51">
        <f t="shared" ref="D29:AR29" si="27">D26-D28</f>
        <v>24655.0736522646</v>
      </c>
      <c r="E29" s="51">
        <f t="shared" si="27"/>
        <v>26786.158855645601</v>
      </c>
      <c r="F29" s="51">
        <f t="shared" si="27"/>
        <v>26858.430305501399</v>
      </c>
      <c r="G29" s="51">
        <f t="shared" si="27"/>
        <v>28960.695484053103</v>
      </c>
      <c r="H29" s="51">
        <f t="shared" si="27"/>
        <v>30382.155271444295</v>
      </c>
      <c r="I29" s="51">
        <f t="shared" si="27"/>
        <v>31010.535259052456</v>
      </c>
      <c r="J29" s="51">
        <f t="shared" si="27"/>
        <v>32085.503755049907</v>
      </c>
      <c r="K29" s="51">
        <f t="shared" si="27"/>
        <v>31516.158835017613</v>
      </c>
      <c r="L29" s="51">
        <f t="shared" si="27"/>
        <v>31310.985872722944</v>
      </c>
      <c r="M29" s="51">
        <f t="shared" si="27"/>
        <v>31554.647724456223</v>
      </c>
      <c r="N29" s="51">
        <f t="shared" si="27"/>
        <v>32626.263521339271</v>
      </c>
      <c r="O29" s="51">
        <f t="shared" si="27"/>
        <v>32181.555192287749</v>
      </c>
      <c r="P29" s="51">
        <f t="shared" si="27"/>
        <v>29906.0623106782</v>
      </c>
      <c r="Q29" s="51">
        <f t="shared" si="27"/>
        <v>27461.224341296595</v>
      </c>
      <c r="R29" s="51">
        <f t="shared" si="27"/>
        <v>27491.295608636006</v>
      </c>
      <c r="S29" s="51">
        <f t="shared" si="27"/>
        <v>27698.15569580342</v>
      </c>
      <c r="T29" s="51">
        <f t="shared" si="27"/>
        <v>24845.011789017062</v>
      </c>
      <c r="U29" s="51">
        <f t="shared" si="27"/>
        <v>24875.903992249994</v>
      </c>
      <c r="V29" s="51">
        <f t="shared" si="27"/>
        <v>24393.646599307569</v>
      </c>
      <c r="W29" s="51">
        <f t="shared" si="27"/>
        <v>24731.022160760505</v>
      </c>
      <c r="X29" s="51">
        <f t="shared" si="27"/>
        <v>26090.076340105101</v>
      </c>
      <c r="Y29" s="51">
        <f t="shared" si="27"/>
        <v>25579.054228543835</v>
      </c>
      <c r="Z29" s="51">
        <f t="shared" si="27"/>
        <v>24391.223131557454</v>
      </c>
      <c r="AA29" s="51">
        <f t="shared" si="27"/>
        <v>25295.21945226055</v>
      </c>
      <c r="AB29" s="51">
        <f t="shared" si="27"/>
        <v>11215.883496994245</v>
      </c>
      <c r="AC29" s="51">
        <f>AC26-AC28</f>
        <v>9369.2474017214408</v>
      </c>
      <c r="AD29" s="51">
        <f t="shared" si="27"/>
        <v>12789.910008535157</v>
      </c>
      <c r="AE29" s="51">
        <f t="shared" si="27"/>
        <v>13007.501391896036</v>
      </c>
      <c r="AF29" s="51">
        <f t="shared" si="27"/>
        <v>13769.2841705807</v>
      </c>
      <c r="AG29" s="51">
        <f t="shared" si="27"/>
        <v>13120.633051136261</v>
      </c>
      <c r="AH29" s="51">
        <f t="shared" si="27"/>
        <v>12272.938591714861</v>
      </c>
      <c r="AI29" s="51">
        <f t="shared" si="27"/>
        <v>12843.799999999997</v>
      </c>
      <c r="AJ29" s="51">
        <f t="shared" si="27"/>
        <v>12400.100000000002</v>
      </c>
      <c r="AK29" s="51">
        <f t="shared" si="27"/>
        <v>13107.499999999998</v>
      </c>
      <c r="AL29" s="51">
        <f t="shared" si="27"/>
        <v>13429.350000000004</v>
      </c>
      <c r="AM29" s="51">
        <f t="shared" si="27"/>
        <v>12744.499999999996</v>
      </c>
      <c r="AN29" s="51">
        <f t="shared" si="27"/>
        <v>13274.100000000002</v>
      </c>
      <c r="AO29" s="51">
        <f t="shared" si="27"/>
        <v>12236.650000000005</v>
      </c>
      <c r="AP29" s="51">
        <f t="shared" si="27"/>
        <v>11680.549999999992</v>
      </c>
      <c r="AQ29" s="51">
        <f t="shared" si="27"/>
        <v>13910.550000000003</v>
      </c>
      <c r="AR29" s="51">
        <f t="shared" si="27"/>
        <v>13214.949999999997</v>
      </c>
      <c r="AS29" s="51">
        <f>AS26-AS28</f>
        <v>12877.400000000001</v>
      </c>
      <c r="AT29" s="51">
        <f>AT26-AT28</f>
        <v>13686.600000000002</v>
      </c>
      <c r="AU29" s="51">
        <f>AU26-AU28</f>
        <v>13506.600000000002</v>
      </c>
      <c r="AV29" s="51">
        <f>AV26-AV28</f>
        <v>13660</v>
      </c>
      <c r="AW29" s="51">
        <f>AW26-AW28</f>
        <v>13046.600000000002</v>
      </c>
      <c r="AX29" s="51">
        <f t="shared" ref="AX29:BG29" si="28">AX26-AX28</f>
        <v>13083.700000000004</v>
      </c>
      <c r="AY29" s="51">
        <f t="shared" si="28"/>
        <v>13260.899999999998</v>
      </c>
      <c r="AZ29" s="51">
        <f t="shared" si="28"/>
        <v>13329.349999999988</v>
      </c>
      <c r="BA29" s="51">
        <f t="shared" si="28"/>
        <v>13350.150000000009</v>
      </c>
      <c r="BB29" s="51">
        <f t="shared" si="28"/>
        <v>13506.100000000006</v>
      </c>
      <c r="BC29" s="51">
        <f t="shared" si="28"/>
        <v>13614.400000000016</v>
      </c>
      <c r="BD29" s="51">
        <f t="shared" si="28"/>
        <v>13706.099999999999</v>
      </c>
      <c r="BE29" s="51">
        <f t="shared" si="28"/>
        <v>13812.3</v>
      </c>
      <c r="BF29" s="51">
        <f t="shared" si="28"/>
        <v>13901.150000000001</v>
      </c>
      <c r="BG29" s="51">
        <f t="shared" si="28"/>
        <v>13997.650000000012</v>
      </c>
    </row>
    <row r="30" spans="1:72" s="70" customFormat="1" x14ac:dyDescent="0.2">
      <c r="B30" s="70" t="s">
        <v>86</v>
      </c>
      <c r="C30" s="52">
        <f>C29-C12</f>
        <v>-1214.21</v>
      </c>
      <c r="D30" s="52">
        <f t="shared" ref="D30:AR30" si="29">D29-D12</f>
        <v>1071.9399999999951</v>
      </c>
      <c r="E30" s="52">
        <f t="shared" si="29"/>
        <v>901.19999999999345</v>
      </c>
      <c r="F30" s="52">
        <f t="shared" si="29"/>
        <v>-500.80000000000291</v>
      </c>
      <c r="G30" s="52">
        <f t="shared" si="29"/>
        <v>-172.14845192848952</v>
      </c>
      <c r="H30" s="52">
        <f t="shared" si="29"/>
        <v>39.606192286017176</v>
      </c>
      <c r="I30" s="52">
        <f t="shared" si="29"/>
        <v>406.5940544928817</v>
      </c>
      <c r="J30" s="52">
        <f t="shared" si="29"/>
        <v>929.1546690388459</v>
      </c>
      <c r="K30" s="52">
        <f t="shared" si="29"/>
        <v>-335.52741778714335</v>
      </c>
      <c r="L30" s="52">
        <f t="shared" si="29"/>
        <v>-796.26797149005506</v>
      </c>
      <c r="M30" s="52">
        <f t="shared" si="29"/>
        <v>-633.23123743930046</v>
      </c>
      <c r="N30" s="52">
        <f t="shared" si="29"/>
        <v>350.67220052897392</v>
      </c>
      <c r="O30" s="52">
        <f t="shared" si="29"/>
        <v>1270.7959999999985</v>
      </c>
      <c r="P30" s="52">
        <f t="shared" si="29"/>
        <v>-446.29799999999886</v>
      </c>
      <c r="Q30" s="52">
        <f t="shared" si="29"/>
        <v>-799.80000000001019</v>
      </c>
      <c r="R30" s="52">
        <f t="shared" si="29"/>
        <v>183.00000000000728</v>
      </c>
      <c r="S30" s="52">
        <f t="shared" si="29"/>
        <v>561.09700000002704</v>
      </c>
      <c r="T30" s="52">
        <f t="shared" si="29"/>
        <v>-1400.4989115390381</v>
      </c>
      <c r="U30" s="52">
        <f t="shared" si="29"/>
        <v>-287.12012736446923</v>
      </c>
      <c r="V30" s="52">
        <f t="shared" si="29"/>
        <v>-1143.087981849676</v>
      </c>
      <c r="W30" s="52">
        <f t="shared" si="29"/>
        <v>-932.29702729596102</v>
      </c>
      <c r="X30" s="52">
        <f t="shared" si="29"/>
        <v>231.35423209794317</v>
      </c>
      <c r="Y30" s="52">
        <f t="shared" si="29"/>
        <v>-793.17302581967306</v>
      </c>
      <c r="Z30" s="52">
        <f t="shared" si="29"/>
        <v>-433.26937991804152</v>
      </c>
      <c r="AA30" s="52">
        <f t="shared" si="29"/>
        <v>-357.97897024172562</v>
      </c>
      <c r="AB30" s="52">
        <f t="shared" si="29"/>
        <v>0</v>
      </c>
      <c r="AC30" s="52">
        <f>AC29-AC12</f>
        <v>0</v>
      </c>
      <c r="AD30" s="52">
        <f t="shared" si="29"/>
        <v>0</v>
      </c>
      <c r="AE30" s="52">
        <f t="shared" si="29"/>
        <v>0</v>
      </c>
      <c r="AF30" s="52">
        <f t="shared" si="29"/>
        <v>0</v>
      </c>
      <c r="AG30" s="52">
        <f t="shared" si="29"/>
        <v>0</v>
      </c>
      <c r="AH30" s="52">
        <f t="shared" si="29"/>
        <v>0</v>
      </c>
      <c r="AI30" s="52">
        <f t="shared" si="29"/>
        <v>0</v>
      </c>
      <c r="AJ30" s="52">
        <f t="shared" si="29"/>
        <v>0</v>
      </c>
      <c r="AK30" s="52">
        <f t="shared" si="29"/>
        <v>0</v>
      </c>
      <c r="AL30" s="52">
        <f t="shared" si="29"/>
        <v>0</v>
      </c>
      <c r="AM30" s="52">
        <f t="shared" si="29"/>
        <v>0</v>
      </c>
      <c r="AN30" s="52">
        <f t="shared" si="29"/>
        <v>0</v>
      </c>
      <c r="AO30" s="52">
        <f t="shared" si="29"/>
        <v>0</v>
      </c>
      <c r="AP30" s="52">
        <f t="shared" si="29"/>
        <v>0</v>
      </c>
      <c r="AQ30" s="52">
        <f t="shared" si="29"/>
        <v>0</v>
      </c>
      <c r="AR30" s="52">
        <f t="shared" si="29"/>
        <v>0</v>
      </c>
      <c r="AS30" s="52">
        <f>AS29-AS12</f>
        <v>0</v>
      </c>
      <c r="AT30" s="52">
        <f>AT29-AT12</f>
        <v>0</v>
      </c>
      <c r="AU30" s="52">
        <f>AU29-AU12</f>
        <v>0</v>
      </c>
      <c r="AV30" s="52">
        <f>AV29-AV12</f>
        <v>0</v>
      </c>
      <c r="AW30" s="52">
        <f>AW29-AW12</f>
        <v>0</v>
      </c>
      <c r="AX30" s="52">
        <f t="shared" ref="AX30:BG30" si="30">AX29-AX12</f>
        <v>0</v>
      </c>
      <c r="AY30" s="52">
        <f t="shared" si="30"/>
        <v>0</v>
      </c>
      <c r="AZ30" s="52">
        <f t="shared" si="30"/>
        <v>0</v>
      </c>
      <c r="BA30" s="52">
        <f t="shared" si="30"/>
        <v>0</v>
      </c>
      <c r="BB30" s="52">
        <f t="shared" si="30"/>
        <v>0</v>
      </c>
      <c r="BC30" s="52">
        <f t="shared" si="30"/>
        <v>0</v>
      </c>
      <c r="BD30" s="52">
        <f t="shared" si="30"/>
        <v>0</v>
      </c>
      <c r="BE30" s="52">
        <f t="shared" si="30"/>
        <v>0</v>
      </c>
      <c r="BF30" s="52">
        <f t="shared" si="30"/>
        <v>0</v>
      </c>
      <c r="BG30" s="52">
        <f t="shared" si="30"/>
        <v>0</v>
      </c>
    </row>
    <row r="35" spans="3:3" x14ac:dyDescent="0.2">
      <c r="C35" s="71"/>
    </row>
    <row r="36" spans="3:3" x14ac:dyDescent="0.2">
      <c r="C36" s="71"/>
    </row>
    <row r="38" spans="3:3" x14ac:dyDescent="0.2">
      <c r="C38" s="71"/>
    </row>
    <row r="44" spans="3:3" x14ac:dyDescent="0.2">
      <c r="C44" s="71"/>
    </row>
    <row r="45" spans="3:3" x14ac:dyDescent="0.2">
      <c r="C45" s="71"/>
    </row>
    <row r="46" spans="3:3" x14ac:dyDescent="0.2">
      <c r="C46" s="71"/>
    </row>
    <row r="47" spans="3:3" x14ac:dyDescent="0.2">
      <c r="C47" s="7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D07F-D1A8-4DEA-B32C-88FAB8D40360}">
  <dimension ref="A1:BS30"/>
  <sheetViews>
    <sheetView workbookViewId="0">
      <pane xSplit="2" ySplit="3" topLeftCell="AB4" activePane="bottomRight" state="frozen"/>
      <selection activeCell="M14" sqref="M14"/>
      <selection pane="topRight" activeCell="M14" sqref="M14"/>
      <selection pane="bottomLeft" activeCell="M14" sqref="M14"/>
      <selection pane="bottomRight" activeCell="M14" sqref="M14"/>
    </sheetView>
  </sheetViews>
  <sheetFormatPr defaultColWidth="9" defaultRowHeight="11.25" x14ac:dyDescent="0.2"/>
  <cols>
    <col min="1" max="1" width="4.1640625" style="41" customWidth="1"/>
    <col min="2" max="2" width="58.33203125" style="41" customWidth="1"/>
    <col min="3" max="27" width="9.1640625" style="41" hidden="1" customWidth="1"/>
    <col min="28" max="31" width="9.1640625" style="41" customWidth="1"/>
    <col min="32" max="40" width="9" style="41"/>
    <col min="41" max="49" width="9" style="41" customWidth="1"/>
    <col min="50" max="16384" width="9" style="41"/>
  </cols>
  <sheetData>
    <row r="1" spans="1:7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71" ht="12" thickBot="1" x14ac:dyDescent="0.25">
      <c r="A2" s="40"/>
      <c r="B2" s="40" t="s">
        <v>160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 spans="1:71" ht="12" thickBot="1" x14ac:dyDescent="0.25">
      <c r="A3" s="40"/>
      <c r="B3" s="58"/>
      <c r="C3" s="44">
        <f>SBO!C3</f>
        <v>1994</v>
      </c>
      <c r="D3" s="44">
        <f>SBO!D3</f>
        <v>1995</v>
      </c>
      <c r="E3" s="44">
        <f>SBO!E3</f>
        <v>1996</v>
      </c>
      <c r="F3" s="44">
        <f>SBO!F3</f>
        <v>1997</v>
      </c>
      <c r="G3" s="44">
        <f>SBO!G3</f>
        <v>1998</v>
      </c>
      <c r="H3" s="44">
        <f>SBO!H3</f>
        <v>1999</v>
      </c>
      <c r="I3" s="44">
        <f>SBO!I3</f>
        <v>2000</v>
      </c>
      <c r="J3" s="44">
        <f>SBO!J3</f>
        <v>2001</v>
      </c>
      <c r="K3" s="44">
        <f>SBO!K3</f>
        <v>2002</v>
      </c>
      <c r="L3" s="44">
        <f>SBO!L3</f>
        <v>2003</v>
      </c>
      <c r="M3" s="44">
        <f>SBO!M3</f>
        <v>2004</v>
      </c>
      <c r="N3" s="44">
        <f>SBO!N3</f>
        <v>2005</v>
      </c>
      <c r="O3" s="44">
        <f>SBO!O3</f>
        <v>2006</v>
      </c>
      <c r="P3" s="44">
        <f>SBO!P3</f>
        <v>2007</v>
      </c>
      <c r="Q3" s="44">
        <f>SBO!Q3</f>
        <v>2008</v>
      </c>
      <c r="R3" s="44">
        <f>SBO!R3</f>
        <v>2009</v>
      </c>
      <c r="S3" s="44">
        <f>SBO!S3</f>
        <v>2010</v>
      </c>
      <c r="T3" s="44">
        <f>SBO!T3</f>
        <v>2011</v>
      </c>
      <c r="U3" s="44">
        <f>SBO!U3</f>
        <v>2012</v>
      </c>
      <c r="V3" s="44">
        <f>SBO!V3</f>
        <v>2013</v>
      </c>
      <c r="W3" s="44">
        <f>SBO!W3</f>
        <v>2014</v>
      </c>
      <c r="X3" s="44">
        <f>SBO!X3</f>
        <v>2015</v>
      </c>
      <c r="Y3" s="44">
        <f>SBO!Y3</f>
        <v>2016</v>
      </c>
      <c r="Z3" s="44">
        <f>SBO!Z3</f>
        <v>2017</v>
      </c>
      <c r="AA3" s="44">
        <f>SBO!AA3</f>
        <v>2018</v>
      </c>
      <c r="AB3" s="44">
        <f>SBO!AB3</f>
        <v>2019</v>
      </c>
      <c r="AC3" s="44">
        <f>SBO!AC3</f>
        <v>2020</v>
      </c>
      <c r="AD3" s="44">
        <f>SBO!AD3</f>
        <v>2021</v>
      </c>
      <c r="AE3" s="44">
        <f>SBO!AE3</f>
        <v>2022</v>
      </c>
      <c r="AF3" s="44">
        <f>SBO!AF3</f>
        <v>2023</v>
      </c>
      <c r="AG3" s="44">
        <f>SBO!AG3</f>
        <v>2024</v>
      </c>
      <c r="AH3" s="44">
        <f>SBO!AH3</f>
        <v>2025</v>
      </c>
      <c r="AI3" s="44">
        <f>SBO!AI3</f>
        <v>2026</v>
      </c>
      <c r="AJ3" s="44">
        <f>SBO!AJ3</f>
        <v>2027</v>
      </c>
      <c r="AK3" s="44">
        <f>SBO!AK3</f>
        <v>2028</v>
      </c>
      <c r="AL3" s="44">
        <f>SBO!AL3</f>
        <v>2029</v>
      </c>
      <c r="AM3" s="44">
        <f>SBO!AM3</f>
        <v>2030</v>
      </c>
      <c r="AN3" s="44">
        <f>SBO!AN3</f>
        <v>2031</v>
      </c>
      <c r="AO3" s="44">
        <f>SBO!AO3</f>
        <v>2032</v>
      </c>
      <c r="AP3" s="44">
        <f>SBO!AP3</f>
        <v>2033</v>
      </c>
      <c r="AQ3" s="44">
        <f>SBO!AQ3</f>
        <v>2034</v>
      </c>
      <c r="AR3" s="44">
        <f>SBO!AR3</f>
        <v>2035</v>
      </c>
      <c r="AS3" s="44">
        <f>SBO!AS3</f>
        <v>2036</v>
      </c>
      <c r="AT3" s="44">
        <f>SBO!AT3</f>
        <v>2037</v>
      </c>
      <c r="AU3" s="44">
        <f>SBO!AU3</f>
        <v>2038</v>
      </c>
      <c r="AV3" s="44">
        <f>SBO!AV3</f>
        <v>2039</v>
      </c>
      <c r="AW3" s="44">
        <f>SBO!AW3</f>
        <v>2040</v>
      </c>
      <c r="AX3" s="44">
        <f>SBO!AX3</f>
        <v>2041</v>
      </c>
      <c r="AY3" s="44">
        <f>SBO!AY3</f>
        <v>2042</v>
      </c>
      <c r="AZ3" s="44">
        <f>SBO!AZ3</f>
        <v>2043</v>
      </c>
      <c r="BA3" s="44">
        <f>SBO!BA3</f>
        <v>2044</v>
      </c>
      <c r="BB3" s="44">
        <f>SBO!BB3</f>
        <v>2045</v>
      </c>
      <c r="BC3" s="44">
        <f>SBO!BC3</f>
        <v>2046</v>
      </c>
      <c r="BD3" s="44">
        <f>SBO!BD3</f>
        <v>2047</v>
      </c>
      <c r="BE3" s="44">
        <f>SBO!BE3</f>
        <v>2048</v>
      </c>
      <c r="BF3" s="44">
        <f>SBO!BF3</f>
        <v>2049</v>
      </c>
      <c r="BG3" s="44">
        <f>SBO!BG3</f>
        <v>2050</v>
      </c>
    </row>
    <row r="4" spans="1:71" x14ac:dyDescent="0.2">
      <c r="A4" s="40"/>
      <c r="B4" s="40" t="s">
        <v>70</v>
      </c>
      <c r="C4" s="45">
        <f>'[1]Canola Complex'!AI$405</f>
        <v>72.767383377623332</v>
      </c>
      <c r="D4" s="45">
        <f>'[1]Canola Complex'!AJ$405</f>
        <v>96.311953226490346</v>
      </c>
      <c r="E4" s="45">
        <f>'[1]Canola Complex'!AK$405</f>
        <v>90.430267058273458</v>
      </c>
      <c r="F4" s="45">
        <f>'[1]Canola Complex'!AL$405</f>
        <v>96.42809255299106</v>
      </c>
      <c r="G4" s="45">
        <f>'[1]Canola Complex'!AM$405</f>
        <v>94.810788060510689</v>
      </c>
      <c r="H4" s="45">
        <f>'[1]Canola Complex'!AN$405</f>
        <v>94.61845321377865</v>
      </c>
      <c r="I4" s="45">
        <f>'[1]Canola Complex'!AO$405</f>
        <v>140.89271929739658</v>
      </c>
      <c r="J4" s="45">
        <f>'[1]Canola Complex'!AP$405</f>
        <v>156.98969487136429</v>
      </c>
      <c r="K4" s="45">
        <f>'[1]Canola Complex'!AQ$405</f>
        <v>116.12367659772852</v>
      </c>
      <c r="L4" s="45">
        <f>'[1]Canola Complex'!AR$405</f>
        <v>128.19865848406005</v>
      </c>
      <c r="M4" s="45">
        <f>'[1]Canola Complex'!AS$405</f>
        <v>119.98741846768203</v>
      </c>
      <c r="N4" s="45">
        <f>'[1]Canola Complex'!AT$405</f>
        <v>120.89495458241561</v>
      </c>
      <c r="O4" s="45">
        <f>'[1]Canola Complex'!AU$405</f>
        <v>126.7600890688008</v>
      </c>
      <c r="P4" s="45">
        <f>'[1]Canola Complex'!AV$405</f>
        <v>157.97981700094743</v>
      </c>
      <c r="Q4" s="45">
        <f>'[1]Canola Complex'!AW$405</f>
        <v>243.08272288137238</v>
      </c>
      <c r="R4" s="45">
        <f>'[1]Canola Complex'!AX$405</f>
        <v>171.3046676195107</v>
      </c>
      <c r="S4" s="45">
        <f>'[1]Canola Complex'!AY$405</f>
        <v>206.92741300300347</v>
      </c>
      <c r="T4" s="45">
        <f>'[1]Canola Complex'!AZ$405</f>
        <v>332.17273188026138</v>
      </c>
      <c r="U4" s="45">
        <f>'[1]Canola Complex'!BA$405</f>
        <v>250.5858993415336</v>
      </c>
      <c r="V4" s="45">
        <f>'[1]Canola Complex'!BB$405</f>
        <v>259.51288670091469</v>
      </c>
      <c r="W4" s="45">
        <f>'[1]Canola Complex'!BC$405</f>
        <v>316.13079635438066</v>
      </c>
      <c r="X4" s="45">
        <f>'[1]Canola Complex'!BD$405</f>
        <v>324.83666151920545</v>
      </c>
      <c r="Y4" s="45">
        <f>'[1]Canola Complex'!BE$405</f>
        <v>353.93053512608589</v>
      </c>
      <c r="Z4" s="45">
        <f>'[1]Canola Complex'!BF$405</f>
        <v>510.12775023910501</v>
      </c>
      <c r="AA4" s="45">
        <f>'[1]Canola Complex'!BG$405</f>
        <v>341.08247760222002</v>
      </c>
      <c r="AB4" s="45">
        <f>'[1]Canola Complex'!BH$420</f>
        <v>208.53100000000001</v>
      </c>
      <c r="AC4" s="45">
        <f>'[1]Canola Complex'!BI$420</f>
        <v>130.749</v>
      </c>
      <c r="AD4" s="45">
        <f>'[1]Canola Complex'!BJ$420</f>
        <v>164.60700000000003</v>
      </c>
      <c r="AE4" s="45">
        <f>'[1]Canola Complex'!BK$420</f>
        <v>139.17099999999999</v>
      </c>
      <c r="AF4" s="45">
        <f>'[1]Canola Complex'!BL$420</f>
        <v>190.64299999999997</v>
      </c>
      <c r="AG4" s="45">
        <f>'[1]Canola Complex'!BM$420</f>
        <v>189.72399999999999</v>
      </c>
      <c r="AH4" s="45">
        <f>'[1]Canola Complex'!BN$420</f>
        <v>126.239</v>
      </c>
      <c r="AI4" s="45">
        <f>'[1]Canola Complex'!BO$420</f>
        <v>120.7846464370175</v>
      </c>
      <c r="AJ4" s="45">
        <f>'[1]Canola Complex'!BP$420</f>
        <v>121.33408340879237</v>
      </c>
      <c r="AK4" s="45">
        <f>'[1]Canola Complex'!BQ$420</f>
        <v>108.54123812992293</v>
      </c>
      <c r="AL4" s="45">
        <f>'[1]Canola Complex'!BR$420</f>
        <v>123.27974810831324</v>
      </c>
      <c r="AM4" s="45">
        <f>'[1]Canola Complex'!BS$420</f>
        <v>140.52565544519518</v>
      </c>
      <c r="AN4" s="45">
        <f>'[1]Canola Complex'!BT$420</f>
        <v>125.48956489892885</v>
      </c>
      <c r="AO4" s="45">
        <f>'[1]Canola Complex'!BU$420</f>
        <v>147.85592704629448</v>
      </c>
      <c r="AP4" s="45">
        <f>'[1]Canola Complex'!BV$420</f>
        <v>149.6192873401875</v>
      </c>
      <c r="AQ4" s="45">
        <f>'[1]Canola Complex'!BW$420</f>
        <v>173.54568146562042</v>
      </c>
      <c r="AR4" s="45">
        <f>'[1]Canola Complex'!BX$420</f>
        <v>182.10512320355076</v>
      </c>
      <c r="AS4" s="45">
        <f>'[1]Canola Complex'!BY$420</f>
        <v>157.01435235986526</v>
      </c>
      <c r="AT4" s="45">
        <f>'[1]Canola Complex'!BZ$420</f>
        <v>191.62569078876641</v>
      </c>
      <c r="AU4" s="45">
        <f>'[1]Canola Complex'!CA$420</f>
        <v>201.11034128484175</v>
      </c>
      <c r="AV4" s="45">
        <f>'[1]Canola Complex'!CB$420</f>
        <v>191.35153964968526</v>
      </c>
      <c r="AW4" s="45">
        <f>'[1]Canola Complex'!CC$420</f>
        <v>208.62983941169432</v>
      </c>
      <c r="AX4" s="45">
        <f>'[1]Canola Complex'!CD$420</f>
        <v>205.44965958865066</v>
      </c>
      <c r="AY4" s="45">
        <f>'[1]Canola Complex'!CE$420</f>
        <v>177.1119611853062</v>
      </c>
      <c r="AZ4" s="45">
        <f>'[1]Canola Complex'!CF$420</f>
        <v>184.28132673857363</v>
      </c>
      <c r="BA4" s="45">
        <f>'[1]Canola Complex'!CG$420</f>
        <v>183.30741370397163</v>
      </c>
      <c r="BB4" s="45">
        <f>'[1]Canola Complex'!CH$420</f>
        <v>207.70328163403406</v>
      </c>
      <c r="BC4" s="45">
        <f>'[1]Canola Complex'!CI$420</f>
        <v>220.49116301477852</v>
      </c>
      <c r="BD4" s="45">
        <f>'[1]Canola Complex'!CJ$420</f>
        <v>227.41280903634151</v>
      </c>
      <c r="BE4" s="45">
        <f>'[1]Canola Complex'!CK$420</f>
        <v>215.60840846528276</v>
      </c>
      <c r="BF4" s="45">
        <f>'[1]Canola Complex'!CL$420</f>
        <v>205.00105201175711</v>
      </c>
      <c r="BG4" s="45">
        <f>'[1]Canola Complex'!CM$420</f>
        <v>206.61403238136722</v>
      </c>
    </row>
    <row r="5" spans="1:71" x14ac:dyDescent="0.2">
      <c r="A5" s="40"/>
      <c r="B5" s="40" t="s">
        <v>71</v>
      </c>
      <c r="C5" s="45">
        <f>SUM('[1]Canola Complex'!AI$214:AI$222,'[1]Canola Complex'!AJ$211:AJ$213)</f>
        <v>679.21230914888338</v>
      </c>
      <c r="D5" s="45">
        <f>SUM('[1]Canola Complex'!AJ$214:AJ$222,'[1]Canola Complex'!AK$211:AK$213)</f>
        <v>706.07259207692312</v>
      </c>
      <c r="E5" s="45">
        <f>SUM('[1]Canola Complex'!AK$214:AK$222,'[1]Canola Complex'!AL$211:AL$213)</f>
        <v>699.50522554838722</v>
      </c>
      <c r="F5" s="45">
        <f>SUM('[1]Canola Complex'!AL$214:AL$222,'[1]Canola Complex'!AM$211:AM$213)</f>
        <v>820.63087818610427</v>
      </c>
      <c r="G5" s="45">
        <f>SUM('[1]Canola Complex'!AM$214:AM$222,'[1]Canola Complex'!AN$211:AN$213)</f>
        <v>1098.2901633498757</v>
      </c>
      <c r="H5" s="45">
        <f>SUM('[1]Canola Complex'!AN$214:AN$222,'[1]Canola Complex'!AO$211:AO$213)</f>
        <v>1230.9285380694785</v>
      </c>
      <c r="I5" s="45">
        <f>SUM('[1]Canola Complex'!AO$214:AO$222,'[1]Canola Complex'!AP$211:AP$213)</f>
        <v>1350.9874381265506</v>
      </c>
      <c r="J5" s="45">
        <f>SUM('[1]Canola Complex'!AP$214:AP$222,'[1]Canola Complex'!AQ$211:AQ$213)</f>
        <v>1416.8142781414392</v>
      </c>
      <c r="K5" s="45">
        <f>SUM('[1]Canola Complex'!AQ$214:AQ$222,'[1]Canola Complex'!AR$211:AR$213)</f>
        <v>1180.8103136203476</v>
      </c>
      <c r="L5" s="45">
        <f>SUM('[1]Canola Complex'!AR$214:AR$222,'[1]Canola Complex'!AS$211:AS$213)</f>
        <v>1043.6204612233253</v>
      </c>
      <c r="M5" s="45">
        <f>SUM('[1]Canola Complex'!AS$214:AS$222,'[1]Canola Complex'!AT$211:AT$213)</f>
        <v>1264.9470043399508</v>
      </c>
      <c r="N5" s="45">
        <f>SUM('[1]Canola Complex'!AT$214:AT$222,'[1]Canola Complex'!AU$211:AU$213)</f>
        <v>1607.1256737915637</v>
      </c>
      <c r="O5" s="45">
        <f>SUM('[1]Canola Complex'!AU$214:AU$222,'[1]Canola Complex'!AV$211:AV$213)</f>
        <v>1766.3480698734493</v>
      </c>
      <c r="P5" s="45">
        <f>SUM('[1]Canola Complex'!AV$214:AV$222,'[1]Canola Complex'!AW$211:AW$213)</f>
        <v>1792.732417034739</v>
      </c>
      <c r="Q5" s="45">
        <f>SUM('[1]Canola Complex'!AW$214:AW$222,'[1]Canola Complex'!AX$211:AX$213)</f>
        <v>1949.9361890024818</v>
      </c>
      <c r="R5" s="45">
        <f>SUM('[1]Canola Complex'!AX$214:AX$222,'[1]Canola Complex'!AY$211:AY$213)</f>
        <v>2093.5730563548391</v>
      </c>
      <c r="S5" s="45">
        <f>SUM('[1]Canola Complex'!AY$214:AY$222,'[1]Canola Complex'!AZ$211:AZ$213)</f>
        <v>2056.9807075756826</v>
      </c>
      <c r="T5" s="45">
        <f>SUM('[1]Canola Complex'!AZ$214:AZ$222,'[1]Canola Complex'!BA$211:BA$213)</f>
        <v>2154.9277413200989</v>
      </c>
      <c r="U5" s="45">
        <f>SUM('[1]Canola Complex'!BA$214:BA$222,'[1]Canola Complex'!BB$211:BB$213)</f>
        <v>2133.0100786823823</v>
      </c>
      <c r="V5" s="45">
        <f>SUM('[1]Canola Complex'!BB$214:BB$222,'[1]Canola Complex'!BC$211:BC$213)</f>
        <v>2491.5237389330023</v>
      </c>
      <c r="W5" s="45">
        <f>SUM('[1]Canola Complex'!BC$214:BC$222,'[1]Canola Complex'!BD$211:BD$213)</f>
        <v>3030.5996865263555</v>
      </c>
      <c r="X5" s="45">
        <f>SUM('[1]Canola Complex'!BD$214:BD$222,'[1]Canola Complex'!BE$211:BE$213)</f>
        <v>2879.6831533986019</v>
      </c>
      <c r="Y5" s="45">
        <f>SUM('[1]Canola Complex'!BE$214:BE$222,'[1]Canola Complex'!BF$211:BF$213)</f>
        <v>3203.1400000000003</v>
      </c>
      <c r="Z5" s="45">
        <f>SUM('[1]Canola Complex'!BF$214:BF$222,'[1]Canola Complex'!BG$211:BG$213)</f>
        <v>3260.864</v>
      </c>
      <c r="AA5" s="45">
        <f>SUM('[1]Canola Complex'!BG$214:BG$222,'[1]Canola Complex'!BH$211:BH$213)</f>
        <v>3143.3020000000006</v>
      </c>
      <c r="AB5" s="45">
        <f>SUM('[1]Canola Complex'!BH$214:BH$222,'[1]Canola Complex'!BI$211:BI$213)</f>
        <v>2925.3779999999997</v>
      </c>
      <c r="AC5" s="45">
        <f>SUM('[1]Canola Complex'!BI$214:BI$222,'[1]Canola Complex'!BJ$211:BJ$213)</f>
        <v>3559.308</v>
      </c>
      <c r="AD5" s="45">
        <f>SUM('[1]Canola Complex'!BJ$214:BJ$222,'[1]Canola Complex'!BK$211:BK$213)</f>
        <v>3268.3280000000004</v>
      </c>
      <c r="AE5" s="45">
        <f>SUM('[1]Canola Complex'!BK$214:BK$222,'[1]Canola Complex'!BL$211:BL$213)</f>
        <v>2871.7179999999998</v>
      </c>
      <c r="AF5" s="45">
        <f>SUM('[1]Canola Complex'!BL$214:BL$222,'[1]Canola Complex'!BM$211:BM$213)</f>
        <v>3453.8929999999996</v>
      </c>
      <c r="AG5" s="45">
        <f>SUM('[1]Canola Complex'!BM$214:BM$222,'[1]Canola Complex'!BN$211:BN$213)</f>
        <v>3677.7249999999999</v>
      </c>
      <c r="AH5" s="45">
        <f>SUM('[1]Canola Complex'!BN$214:BN$222,'[1]Canola Complex'!BO$211:BO$213)</f>
        <v>3675.6397353721632</v>
      </c>
      <c r="AI5" s="45">
        <f>SUM('[1]Canola Complex'!BO$214:BO$222,'[1]Canola Complex'!BP$211:BP$213)</f>
        <v>3835.8036384222701</v>
      </c>
      <c r="AJ5" s="45">
        <f>SUM('[1]Canola Complex'!BP$214:BP$222,'[1]Canola Complex'!BQ$211:BQ$213)</f>
        <v>3822.6991378220846</v>
      </c>
      <c r="AK5" s="45">
        <f>SUM('[1]Canola Complex'!BQ$214:BQ$222,'[1]Canola Complex'!BR$211:BR$213)</f>
        <v>3968.7903438205312</v>
      </c>
      <c r="AL5" s="45">
        <f>SUM('[1]Canola Complex'!BR$214:BR$222,'[1]Canola Complex'!BS$211:BS$213)</f>
        <v>4071.9975089441032</v>
      </c>
      <c r="AM5" s="45">
        <f>SUM('[1]Canola Complex'!BS$214:BS$222,'[1]Canola Complex'!BT$211:BT$213)</f>
        <v>4114.9701310745695</v>
      </c>
      <c r="AN5" s="45">
        <f>SUM('[1]Canola Complex'!BT$214:BT$222,'[1]Canola Complex'!BU$211:BU$213)</f>
        <v>4148.8935581458827</v>
      </c>
      <c r="AO5" s="45">
        <f>SUM('[1]Canola Complex'!BU$214:BU$222,'[1]Canola Complex'!BV$211:BV$213)</f>
        <v>4195.5624335138937</v>
      </c>
      <c r="AP5" s="45">
        <f>SUM('[1]Canola Complex'!BV$214:BV$222,'[1]Canola Complex'!BW$211:BW$213)</f>
        <v>4204.9934232854775</v>
      </c>
      <c r="AQ5" s="45">
        <f>SUM('[1]Canola Complex'!BW$214:BW$222,'[1]Canola Complex'!BX$211:BX$213)</f>
        <v>4245.1113297266556</v>
      </c>
      <c r="AR5" s="45">
        <f>SUM('[1]Canola Complex'!BX$214:BX$222,'[1]Canola Complex'!BY$211:BY$213)</f>
        <v>4289.4240221283344</v>
      </c>
      <c r="AS5" s="45">
        <f>SUM('[1]Canola Complex'!BY$214:BY$222,'[1]Canola Complex'!BZ$211:BZ$213)</f>
        <v>4267.5941872450767</v>
      </c>
      <c r="AT5" s="45">
        <f>SUM('[1]Canola Complex'!BZ$214:BZ$222,'[1]Canola Complex'!CA$211:CA$213)</f>
        <v>4316.3421098451163</v>
      </c>
      <c r="AU5" s="45">
        <f>SUM('[1]Canola Complex'!CA$214:CA$222,'[1]Canola Complex'!CB$211:CB$213)</f>
        <v>4393.4250494057478</v>
      </c>
      <c r="AV5" s="45">
        <f>SUM('[1]Canola Complex'!CB$214:CB$222,'[1]Canola Complex'!CC$211:CC$213)</f>
        <v>4392.0493440785167</v>
      </c>
      <c r="AW5" s="45">
        <f>SUM('[1]Canola Complex'!CC$214:CC$222,'[1]Canola Complex'!CD$211:CD$213)</f>
        <v>4466.2984584707829</v>
      </c>
      <c r="AX5" s="45">
        <f>SUM('[1]Canola Complex'!CD$214:CD$222,'[1]Canola Complex'!CE$211:CE$213)</f>
        <v>4528.1211747683483</v>
      </c>
      <c r="AY5" s="45">
        <f>SUM('[1]Canola Complex'!CE$214:CE$222,'[1]Canola Complex'!CF$211:CF$213)</f>
        <v>4542.4904303414705</v>
      </c>
      <c r="AZ5" s="45">
        <f>SUM('[1]Canola Complex'!CF$214:CF$222,'[1]Canola Complex'!CG$211:CG$213)</f>
        <v>4567.0741851676003</v>
      </c>
      <c r="BA5" s="45">
        <f>SUM('[1]Canola Complex'!CG$214:CG$222,'[1]Canola Complex'!CH$211:CH$213)</f>
        <v>4588.3922599971365</v>
      </c>
      <c r="BB5" s="45">
        <f>SUM('[1]Canola Complex'!CH$214:CH$222,'[1]Canola Complex'!CI$211:CI$213)</f>
        <v>4700.3905352211832</v>
      </c>
      <c r="BC5" s="45">
        <f>SUM('[1]Canola Complex'!CI$214:CI$222,'[1]Canola Complex'!CJ$211:CJ$213)</f>
        <v>4836.5444419681762</v>
      </c>
      <c r="BD5" s="45">
        <f>SUM('[1]Canola Complex'!CJ$214:CJ$222,'[1]Canola Complex'!CK$211:CK$213)</f>
        <v>4837.3191994201425</v>
      </c>
      <c r="BE5" s="45">
        <f>SUM('[1]Canola Complex'!CK$214:CK$222,'[1]Canola Complex'!CL$211:CL$213)</f>
        <v>4845.6237978883091</v>
      </c>
      <c r="BF5" s="45">
        <f>SUM('[1]Canola Complex'!CL$214:CL$222,'[1]Canola Complex'!CM$211:CM$213)</f>
        <v>4855.3821523010929</v>
      </c>
      <c r="BG5" s="45">
        <f>SUM('[1]Canola Complex'!CM$214:CM$222,'[1]Canola Complex'!CN$211:CN$213)</f>
        <v>4880.532700601535</v>
      </c>
    </row>
    <row r="6" spans="1:71" x14ac:dyDescent="0.2">
      <c r="A6" s="40"/>
      <c r="B6" s="40" t="s">
        <v>72</v>
      </c>
      <c r="C6" s="45">
        <f>SUM('[1]Canola Complex'!AI$278:AI$286,'[1]Canola Complex'!AJ$275:AJ$277)</f>
        <v>1775.8942302906</v>
      </c>
      <c r="D6" s="45">
        <f>SUM('[1]Canola Complex'!AJ$278:AJ$286,'[1]Canola Complex'!AK$275:AK$277)</f>
        <v>1809.5036926806004</v>
      </c>
      <c r="E6" s="45">
        <f>SUM('[1]Canola Complex'!AK$278:AK$286,'[1]Canola Complex'!AL$275:AL$277)</f>
        <v>2130.9609492738</v>
      </c>
      <c r="F6" s="45">
        <f>SUM('[1]Canola Complex'!AL$278:AL$286,'[1]Canola Complex'!AM$275:AM$277)</f>
        <v>2105.0209258974</v>
      </c>
      <c r="G6" s="45">
        <f>SUM('[1]Canola Complex'!AM$278:AM$286,'[1]Canola Complex'!AN$275:AN$277)</f>
        <v>2133.5465299554003</v>
      </c>
      <c r="H6" s="45">
        <f>SUM('[1]Canola Complex'!AN$278:AN$286,'[1]Canola Complex'!AO$275:AO$277)</f>
        <v>2162.5443640458002</v>
      </c>
      <c r="I6" s="45">
        <f>SUM('[1]Canola Complex'!AO$278:AO$286,'[1]Canola Complex'!AP$275:AP$277)</f>
        <v>2231.1515392992001</v>
      </c>
      <c r="J6" s="45">
        <f>SUM('[1]Canola Complex'!AP$278:AP$286,'[1]Canola Complex'!AQ$275:AQ$277)</f>
        <v>2266.514558028</v>
      </c>
      <c r="K6" s="45">
        <f>SUM('[1]Canola Complex'!AQ$278:AQ$286,'[1]Canola Complex'!AR$275:AR$277)</f>
        <v>2072.9974685742</v>
      </c>
      <c r="L6" s="45">
        <f>SUM('[1]Canola Complex'!AR$278:AR$286,'[1]Canola Complex'!AS$275:AS$277)</f>
        <v>1874.4716856432201</v>
      </c>
      <c r="M6" s="45">
        <f>SUM('[1]Canola Complex'!AS$278:AS$286,'[1]Canola Complex'!AT$275:AT$277)</f>
        <v>2069.3606681832198</v>
      </c>
      <c r="N6" s="45">
        <f>SUM('[1]Canola Complex'!AT$278:AT$286,'[1]Canola Complex'!AU$275:AU$277)</f>
        <v>2011.2317058374197</v>
      </c>
      <c r="O6" s="45">
        <f>SUM('[1]Canola Complex'!AU$278:AU$286,'[1]Canola Complex'!AV$275:AV$277)</f>
        <v>2865.9902766501596</v>
      </c>
      <c r="P6" s="45">
        <f>SUM('[1]Canola Complex'!AV$278:AV$286,'[1]Canola Complex'!AW$275:AW$277)</f>
        <v>3119.0445475884203</v>
      </c>
      <c r="Q6" s="45">
        <f>SUM('[1]Canola Complex'!AW$278:AW$286,'[1]Canola Complex'!AX$275:AX$277)</f>
        <v>4182.6478402418597</v>
      </c>
      <c r="R6" s="45">
        <f>SUM('[1]Canola Complex'!AX$278:AX$286,'[1]Canola Complex'!AY$275:AY$277)</f>
        <v>4292.8479226509808</v>
      </c>
      <c r="S6" s="45">
        <f>SUM('[1]Canola Complex'!AY$278:AY$286,'[1]Canola Complex'!AZ$275:AZ$277)</f>
        <v>4586.1986281669797</v>
      </c>
      <c r="T6" s="45">
        <f>SUM('[1]Canola Complex'!AZ$278:AZ$286,'[1]Canola Complex'!BA$275:BA$277)</f>
        <v>6218.0019447596596</v>
      </c>
      <c r="U6" s="45">
        <f>SUM('[1]Canola Complex'!BA$278:BA$286,'[1]Canola Complex'!BB$275:BB$277)</f>
        <v>6088.9900515340596</v>
      </c>
      <c r="V6" s="45">
        <f>SUM('[1]Canola Complex'!BB$278:BB$286,'[1]Canola Complex'!BC$275:BC$277)</f>
        <v>5272.6806906564998</v>
      </c>
      <c r="W6" s="45">
        <f>SUM('[1]Canola Complex'!BC$278:BC$286,'[1]Canola Complex'!BD$275:BD$277)</f>
        <v>6472.7698161176595</v>
      </c>
      <c r="X6" s="45">
        <f>SUM('[1]Canola Complex'!BD$278:BD$286,'[1]Canola Complex'!BE$275:BE$277)</f>
        <v>7002.2187801651799</v>
      </c>
      <c r="Y6" s="45">
        <f>SUM('[1]Canola Complex'!BE$278:BE$286,'[1]Canola Complex'!BF$275:BF$277)</f>
        <v>7831.2780581593815</v>
      </c>
      <c r="Z6" s="45">
        <f>SUM('[1]Canola Complex'!BF$278:BF$286,'[1]Canola Complex'!BG$275:BG$277)</f>
        <v>8406.1775915856197</v>
      </c>
      <c r="AA6" s="45">
        <f>SUM('[1]Canola Complex'!BG$278:BG$286,'[1]Canola Complex'!BH$275:BH$277)</f>
        <v>7565.0992332932192</v>
      </c>
      <c r="AB6" s="45">
        <f>SUM('[1]Canola Complex'!BH$277:BH$285,'[1]Canola Complex'!BI$274:BI$276)</f>
        <v>4032.7161739999997</v>
      </c>
      <c r="AC6" s="45">
        <f>SUM('[1]Canola Complex'!BI$277:BI$285,'[1]Canola Complex'!BJ$274:BJ$276)</f>
        <v>3895.8628179999996</v>
      </c>
      <c r="AD6" s="45">
        <f>SUM('[1]Canola Complex'!BJ$277:BJ$285,'[1]Canola Complex'!BK$274:BK$276)</f>
        <v>4328.9049629020001</v>
      </c>
      <c r="AE6" s="45">
        <f>SUM('[1]Canola Complex'!BK$277:BK$285,'[1]Canola Complex'!BL$274:BL$276)</f>
        <v>4641.3443995380003</v>
      </c>
      <c r="AF6" s="45">
        <f>SUM('[1]Canola Complex'!BL$277:BL$285,'[1]Canola Complex'!BM$274:BM$276)</f>
        <v>6382.7533760799997</v>
      </c>
      <c r="AG6" s="45">
        <f>SUM('[1]Canola Complex'!BM$277:BM$285,'[1]Canola Complex'!BN$274:BN$276)</f>
        <v>7463.9024063212</v>
      </c>
      <c r="AH6" s="45">
        <f>SUM('[1]Canola Complex'!BN$277:BN$285,'[1]Canola Complex'!BO$274:BO$276)</f>
        <v>6116.7095085867795</v>
      </c>
      <c r="AI6" s="45">
        <f>SUM('[1]Canola Complex'!BO$277:BO$285,'[1]Canola Complex'!BP$274:BP$276)</f>
        <v>6116.4422117834129</v>
      </c>
      <c r="AJ6" s="45">
        <f>SUM('[1]Canola Complex'!BP$277:BP$285,'[1]Canola Complex'!BQ$274:BQ$276)</f>
        <v>6721.2527193521864</v>
      </c>
      <c r="AK6" s="45">
        <f>SUM('[1]Canola Complex'!BQ$277:BQ$285,'[1]Canola Complex'!BR$274:BR$276)</f>
        <v>7097.8991504647047</v>
      </c>
      <c r="AL6" s="45">
        <f>SUM('[1]Canola Complex'!BR$277:BR$285,'[1]Canola Complex'!BS$274:BS$276)</f>
        <v>7507.4174372163088</v>
      </c>
      <c r="AM6" s="45">
        <f>SUM('[1]Canola Complex'!BS$277:BS$285,'[1]Canola Complex'!BT$274:BT$276)</f>
        <v>7966.1722457561209</v>
      </c>
      <c r="AN6" s="45">
        <f>SUM('[1]Canola Complex'!BT$277:BT$285,'[1]Canola Complex'!BU$274:BU$276)</f>
        <v>8255.015650154679</v>
      </c>
      <c r="AO6" s="45">
        <f>SUM('[1]Canola Complex'!BU$277:BU$285,'[1]Canola Complex'!BV$274:BV$276)</f>
        <v>9207.5342007779818</v>
      </c>
      <c r="AP6" s="45">
        <f>SUM('[1]Canola Complex'!BV$277:BV$285,'[1]Canola Complex'!BW$274:BW$276)</f>
        <v>9479.4322834002978</v>
      </c>
      <c r="AQ6" s="45">
        <f>SUM('[1]Canola Complex'!BW$277:BW$285,'[1]Canola Complex'!BX$274:BX$276)</f>
        <v>9655.036775442828</v>
      </c>
      <c r="AR6" s="45">
        <f>SUM('[1]Canola Complex'!BX$277:BX$285,'[1]Canola Complex'!BY$274:BY$276)</f>
        <v>9692.5054910678246</v>
      </c>
      <c r="AS6" s="45">
        <f>SUM('[1]Canola Complex'!BY$277:BY$285,'[1]Canola Complex'!BZ$274:BZ$276)</f>
        <v>9159.2301366174033</v>
      </c>
      <c r="AT6" s="45">
        <f>SUM('[1]Canola Complex'!BZ$277:BZ$285,'[1]Canola Complex'!CA$274:CA$276)</f>
        <v>9352.5128190122214</v>
      </c>
      <c r="AU6" s="45">
        <f>SUM('[1]Canola Complex'!CA$277:CA$285,'[1]Canola Complex'!CB$274:CB$276)</f>
        <v>9922.2281264746653</v>
      </c>
      <c r="AV6" s="45">
        <f>SUM('[1]Canola Complex'!CB$277:CB$285,'[1]Canola Complex'!CC$274:CC$276)</f>
        <v>10096.726706487192</v>
      </c>
      <c r="AW6" s="45">
        <f>SUM('[1]Canola Complex'!CC$277:CC$285,'[1]Canola Complex'!CD$274:CD$276)</f>
        <v>9913.9993240893491</v>
      </c>
      <c r="AX6" s="45">
        <f>SUM('[1]Canola Complex'!CD$277:CD$285,'[1]Canola Complex'!CE$274:CE$276)</f>
        <v>10133.331676680134</v>
      </c>
      <c r="AY6" s="45">
        <f>SUM('[1]Canola Complex'!CE$277:CE$285,'[1]Canola Complex'!CF$274:CF$276)</f>
        <v>10564.187715466913</v>
      </c>
      <c r="AZ6" s="45">
        <f>SUM('[1]Canola Complex'!CF$277:CF$285,'[1]Canola Complex'!CG$274:CG$276)</f>
        <v>10963.742187010166</v>
      </c>
      <c r="BA6" s="45">
        <f>SUM('[1]Canola Complex'!CG$277:CG$285,'[1]Canola Complex'!CH$274:CH$276)</f>
        <v>11195.981303069397</v>
      </c>
      <c r="BB6" s="45">
        <f>SUM('[1]Canola Complex'!CH$277:CH$285,'[1]Canola Complex'!CI$274:CI$276)</f>
        <v>11337.267449159444</v>
      </c>
      <c r="BC6" s="45">
        <f>SUM('[1]Canola Complex'!CI$277:CI$285,'[1]Canola Complex'!CJ$274:CJ$276)</f>
        <v>11440.30421228667</v>
      </c>
      <c r="BD6" s="45">
        <f>SUM('[1]Canola Complex'!CJ$277:CJ$285,'[1]Canola Complex'!CK$274:CK$276)</f>
        <v>11702.726404940529</v>
      </c>
      <c r="BE6" s="45">
        <f>SUM('[1]Canola Complex'!CK$277:CK$285,'[1]Canola Complex'!CL$274:CL$276)</f>
        <v>11972.479141171432</v>
      </c>
      <c r="BF6" s="45">
        <f>SUM('[1]Canola Complex'!CL$277:CL$285,'[1]Canola Complex'!CM$274:CM$276)</f>
        <v>12219.37509009005</v>
      </c>
      <c r="BG6" s="45">
        <f>SUM('[1]Canola Complex'!CM$277:CM$285,'[1]Canola Complex'!CN$274:CN$276)</f>
        <v>12492.321656314172</v>
      </c>
      <c r="BJ6" s="41">
        <v>4102</v>
      </c>
      <c r="BK6" s="41">
        <v>4068</v>
      </c>
      <c r="BL6" s="41">
        <v>4050</v>
      </c>
      <c r="BM6" s="41">
        <v>4338</v>
      </c>
      <c r="BN6" s="41">
        <v>4434</v>
      </c>
      <c r="BO6" s="41">
        <v>4620</v>
      </c>
      <c r="BP6" s="41">
        <v>4594</v>
      </c>
      <c r="BQ6" s="41">
        <v>4550</v>
      </c>
      <c r="BR6" s="41">
        <v>4410</v>
      </c>
      <c r="BS6" s="41">
        <v>4452</v>
      </c>
    </row>
    <row r="7" spans="1:71" x14ac:dyDescent="0.2">
      <c r="A7" s="40"/>
      <c r="B7" s="61" t="s">
        <v>73</v>
      </c>
      <c r="C7" s="62">
        <f>SUM(C4:C6)</f>
        <v>2527.8739228171066</v>
      </c>
      <c r="D7" s="62">
        <f t="shared" ref="D7:BG7" si="0">SUM(D4:D6)</f>
        <v>2611.8882379840138</v>
      </c>
      <c r="E7" s="62">
        <f t="shared" si="0"/>
        <v>2920.8964418804608</v>
      </c>
      <c r="F7" s="62">
        <f t="shared" si="0"/>
        <v>3022.0798966364955</v>
      </c>
      <c r="G7" s="62">
        <f t="shared" si="0"/>
        <v>3326.6474813657869</v>
      </c>
      <c r="H7" s="62">
        <f t="shared" si="0"/>
        <v>3488.0913553290575</v>
      </c>
      <c r="I7" s="62">
        <f t="shared" si="0"/>
        <v>3723.0316967231474</v>
      </c>
      <c r="J7" s="62">
        <f t="shared" si="0"/>
        <v>3840.3185310408035</v>
      </c>
      <c r="K7" s="62">
        <f t="shared" si="0"/>
        <v>3369.9314587922763</v>
      </c>
      <c r="L7" s="62">
        <f t="shared" si="0"/>
        <v>3046.2908053506053</v>
      </c>
      <c r="M7" s="62">
        <f t="shared" si="0"/>
        <v>3454.2950909908527</v>
      </c>
      <c r="N7" s="62">
        <f t="shared" si="0"/>
        <v>3739.2523342113991</v>
      </c>
      <c r="O7" s="62">
        <f t="shared" si="0"/>
        <v>4759.0984355924102</v>
      </c>
      <c r="P7" s="62">
        <f t="shared" si="0"/>
        <v>5069.7567816241062</v>
      </c>
      <c r="Q7" s="62">
        <f t="shared" si="0"/>
        <v>6375.6667521257141</v>
      </c>
      <c r="R7" s="62">
        <f t="shared" si="0"/>
        <v>6557.7256466253311</v>
      </c>
      <c r="S7" s="62">
        <f t="shared" si="0"/>
        <v>6850.1067487456658</v>
      </c>
      <c r="T7" s="62">
        <f t="shared" si="0"/>
        <v>8705.1024179600208</v>
      </c>
      <c r="U7" s="62">
        <f t="shared" si="0"/>
        <v>8472.5860295579751</v>
      </c>
      <c r="V7" s="62">
        <f t="shared" si="0"/>
        <v>8023.7173162904164</v>
      </c>
      <c r="W7" s="62">
        <f t="shared" si="0"/>
        <v>9819.500298998395</v>
      </c>
      <c r="X7" s="62">
        <f t="shared" si="0"/>
        <v>10206.738595082987</v>
      </c>
      <c r="Y7" s="62">
        <f t="shared" si="0"/>
        <v>11388.348593285467</v>
      </c>
      <c r="Z7" s="62">
        <f t="shared" si="0"/>
        <v>12177.169341824725</v>
      </c>
      <c r="AA7" s="62">
        <f t="shared" si="0"/>
        <v>11049.48371089544</v>
      </c>
      <c r="AB7" s="62">
        <f t="shared" si="0"/>
        <v>7166.6251739999989</v>
      </c>
      <c r="AC7" s="62">
        <f t="shared" si="0"/>
        <v>7585.9198179999994</v>
      </c>
      <c r="AD7" s="62">
        <f t="shared" si="0"/>
        <v>7761.8399629020005</v>
      </c>
      <c r="AE7" s="62">
        <f t="shared" si="0"/>
        <v>7652.2333995379995</v>
      </c>
      <c r="AF7" s="62">
        <f t="shared" si="0"/>
        <v>10027.28937608</v>
      </c>
      <c r="AG7" s="62">
        <f t="shared" si="0"/>
        <v>11331.351406321201</v>
      </c>
      <c r="AH7" s="62">
        <f t="shared" si="0"/>
        <v>9918.5882439589423</v>
      </c>
      <c r="AI7" s="62">
        <f t="shared" si="0"/>
        <v>10073.030496642699</v>
      </c>
      <c r="AJ7" s="62">
        <f t="shared" si="0"/>
        <v>10665.285940583064</v>
      </c>
      <c r="AK7" s="62">
        <f t="shared" si="0"/>
        <v>11175.230732415159</v>
      </c>
      <c r="AL7" s="62">
        <f t="shared" si="0"/>
        <v>11702.694694268725</v>
      </c>
      <c r="AM7" s="62">
        <f t="shared" si="0"/>
        <v>12221.668032275886</v>
      </c>
      <c r="AN7" s="62">
        <f t="shared" si="0"/>
        <v>12529.398773199489</v>
      </c>
      <c r="AO7" s="62">
        <f t="shared" si="0"/>
        <v>13550.95256133817</v>
      </c>
      <c r="AP7" s="62">
        <f t="shared" si="0"/>
        <v>13834.044994025964</v>
      </c>
      <c r="AQ7" s="62">
        <f t="shared" si="0"/>
        <v>14073.693786635104</v>
      </c>
      <c r="AR7" s="62">
        <f t="shared" si="0"/>
        <v>14164.034636399709</v>
      </c>
      <c r="AS7" s="62">
        <f t="shared" si="0"/>
        <v>13583.838676222345</v>
      </c>
      <c r="AT7" s="62">
        <f t="shared" si="0"/>
        <v>13860.480619646103</v>
      </c>
      <c r="AU7" s="62">
        <f t="shared" si="0"/>
        <v>14516.763517165255</v>
      </c>
      <c r="AV7" s="62">
        <f t="shared" si="0"/>
        <v>14680.127590215394</v>
      </c>
      <c r="AW7" s="62">
        <f t="shared" si="0"/>
        <v>14588.927621971827</v>
      </c>
      <c r="AX7" s="62">
        <f t="shared" si="0"/>
        <v>14866.902511037133</v>
      </c>
      <c r="AY7" s="62">
        <f t="shared" si="0"/>
        <v>15283.790106993689</v>
      </c>
      <c r="AZ7" s="62">
        <f t="shared" si="0"/>
        <v>15715.097698916339</v>
      </c>
      <c r="BA7" s="62">
        <f t="shared" si="0"/>
        <v>15967.680976770505</v>
      </c>
      <c r="BB7" s="62">
        <f t="shared" si="0"/>
        <v>16245.361266014661</v>
      </c>
      <c r="BC7" s="62">
        <f t="shared" si="0"/>
        <v>16497.339817269625</v>
      </c>
      <c r="BD7" s="62">
        <f t="shared" si="0"/>
        <v>16767.458413397013</v>
      </c>
      <c r="BE7" s="62">
        <f t="shared" si="0"/>
        <v>17033.711347525023</v>
      </c>
      <c r="BF7" s="62">
        <f t="shared" si="0"/>
        <v>17279.758294402898</v>
      </c>
      <c r="BG7" s="62">
        <f t="shared" si="0"/>
        <v>17579.468389297075</v>
      </c>
      <c r="BJ7" s="51">
        <f t="shared" ref="BJ7:BS7" si="1">AE6-BJ6</f>
        <v>539.34439953800029</v>
      </c>
      <c r="BK7" s="51">
        <f t="shared" si="1"/>
        <v>2314.7533760799997</v>
      </c>
      <c r="BL7" s="51">
        <f t="shared" si="1"/>
        <v>3413.9024063212</v>
      </c>
      <c r="BM7" s="51">
        <f t="shared" si="1"/>
        <v>1778.7095085867795</v>
      </c>
      <c r="BN7" s="51">
        <f t="shared" si="1"/>
        <v>1682.4422117834129</v>
      </c>
      <c r="BO7" s="51">
        <f t="shared" si="1"/>
        <v>2101.2527193521864</v>
      </c>
      <c r="BP7" s="51">
        <f t="shared" si="1"/>
        <v>2503.8991504647047</v>
      </c>
      <c r="BQ7" s="51">
        <f t="shared" si="1"/>
        <v>2957.4174372163088</v>
      </c>
      <c r="BR7" s="51">
        <f t="shared" si="1"/>
        <v>3556.1722457561209</v>
      </c>
      <c r="BS7" s="51">
        <f t="shared" si="1"/>
        <v>3803.015650154679</v>
      </c>
    </row>
    <row r="8" spans="1:71" x14ac:dyDescent="0.2">
      <c r="A8" s="40"/>
      <c r="B8" s="40" t="s">
        <v>74</v>
      </c>
      <c r="C8" s="45" t="e">
        <f t="shared" ref="C8:AA8" si="2">C9+C12</f>
        <v>#REF!</v>
      </c>
      <c r="D8" s="45" t="e">
        <f t="shared" si="2"/>
        <v>#REF!</v>
      </c>
      <c r="E8" s="45" t="e">
        <f t="shared" si="2"/>
        <v>#REF!</v>
      </c>
      <c r="F8" s="45" t="e">
        <f t="shared" si="2"/>
        <v>#REF!</v>
      </c>
      <c r="G8" s="45" t="e">
        <f t="shared" si="2"/>
        <v>#REF!</v>
      </c>
      <c r="H8" s="45" t="e">
        <f t="shared" si="2"/>
        <v>#REF!</v>
      </c>
      <c r="I8" s="45" t="e">
        <f t="shared" si="2"/>
        <v>#REF!</v>
      </c>
      <c r="J8" s="45" t="e">
        <f t="shared" si="2"/>
        <v>#REF!</v>
      </c>
      <c r="K8" s="45" t="e">
        <f t="shared" si="2"/>
        <v>#REF!</v>
      </c>
      <c r="L8" s="45" t="e">
        <f t="shared" si="2"/>
        <v>#REF!</v>
      </c>
      <c r="M8" s="45" t="e">
        <f t="shared" si="2"/>
        <v>#REF!</v>
      </c>
      <c r="N8" s="45" t="e">
        <f t="shared" si="2"/>
        <v>#REF!</v>
      </c>
      <c r="O8" s="45" t="e">
        <f t="shared" si="2"/>
        <v>#REF!</v>
      </c>
      <c r="P8" s="45" t="e">
        <f t="shared" si="2"/>
        <v>#REF!</v>
      </c>
      <c r="Q8" s="45" t="e">
        <f t="shared" si="2"/>
        <v>#REF!</v>
      </c>
      <c r="R8" s="45" t="e">
        <f t="shared" si="2"/>
        <v>#REF!</v>
      </c>
      <c r="S8" s="45" t="e">
        <f t="shared" si="2"/>
        <v>#REF!</v>
      </c>
      <c r="T8" s="45" t="e">
        <f t="shared" si="2"/>
        <v>#REF!</v>
      </c>
      <c r="U8" s="45" t="e">
        <f t="shared" si="2"/>
        <v>#REF!</v>
      </c>
      <c r="V8" s="45" t="e">
        <f t="shared" si="2"/>
        <v>#REF!</v>
      </c>
      <c r="W8" s="45" t="e">
        <f t="shared" si="2"/>
        <v>#REF!</v>
      </c>
      <c r="X8" s="45" t="e">
        <f t="shared" si="2"/>
        <v>#REF!</v>
      </c>
      <c r="Y8" s="45" t="e">
        <f t="shared" si="2"/>
        <v>#REF!</v>
      </c>
      <c r="Z8" s="45" t="e">
        <f t="shared" si="2"/>
        <v>#REF!</v>
      </c>
      <c r="AA8" s="45" t="e">
        <f t="shared" si="2"/>
        <v>#REF!</v>
      </c>
      <c r="AB8" s="45">
        <f>AB14-AB13</f>
        <v>6624.6763319999991</v>
      </c>
      <c r="AC8" s="45">
        <f t="shared" ref="AC8:BG8" si="3">AC14-AC13</f>
        <v>6920.8571329999995</v>
      </c>
      <c r="AD8" s="45">
        <f t="shared" si="3"/>
        <v>6949.0070804500001</v>
      </c>
      <c r="AE8" s="45">
        <f t="shared" si="3"/>
        <v>7036.7418843959995</v>
      </c>
      <c r="AF8" s="45">
        <f t="shared" si="3"/>
        <v>9459.7593039399999</v>
      </c>
      <c r="AG8" s="45">
        <f t="shared" si="3"/>
        <v>10907.257789154801</v>
      </c>
      <c r="AH8" s="45">
        <f t="shared" si="3"/>
        <v>9568.1739447819982</v>
      </c>
      <c r="AI8" s="45">
        <f t="shared" si="3"/>
        <v>9712.6238491806416</v>
      </c>
      <c r="AJ8" s="45">
        <f t="shared" si="3"/>
        <v>10317.277020354693</v>
      </c>
      <c r="AK8" s="45">
        <f t="shared" si="3"/>
        <v>10818.429572386667</v>
      </c>
      <c r="AL8" s="45">
        <f t="shared" si="3"/>
        <v>11327.487007774518</v>
      </c>
      <c r="AM8" s="45">
        <f t="shared" si="3"/>
        <v>11859.625941192031</v>
      </c>
      <c r="AN8" s="45">
        <f t="shared" si="3"/>
        <v>12146.26817778103</v>
      </c>
      <c r="AO8" s="45">
        <f t="shared" si="3"/>
        <v>13164.674030936818</v>
      </c>
      <c r="AP8" s="45">
        <f t="shared" si="3"/>
        <v>13424.599648635398</v>
      </c>
      <c r="AQ8" s="45">
        <f t="shared" si="3"/>
        <v>13656.250687314063</v>
      </c>
      <c r="AR8" s="45">
        <f t="shared" si="3"/>
        <v>13771.206657521401</v>
      </c>
      <c r="AS8" s="45">
        <f t="shared" si="3"/>
        <v>13156.268169901441</v>
      </c>
      <c r="AT8" s="45">
        <f t="shared" si="3"/>
        <v>13423.573242762419</v>
      </c>
      <c r="AU8" s="45">
        <f t="shared" si="3"/>
        <v>14089.480912484732</v>
      </c>
      <c r="AV8" s="45">
        <f t="shared" si="3"/>
        <v>14235.739127265328</v>
      </c>
      <c r="AW8" s="45">
        <f t="shared" si="3"/>
        <v>14147.713058623627</v>
      </c>
      <c r="AX8" s="45">
        <f t="shared" si="3"/>
        <v>14453.662443727781</v>
      </c>
      <c r="AY8" s="45">
        <f t="shared" si="3"/>
        <v>14861.503455035428</v>
      </c>
      <c r="AZ8" s="45">
        <f t="shared" si="3"/>
        <v>15291.917766882725</v>
      </c>
      <c r="BA8" s="45">
        <f t="shared" si="3"/>
        <v>15518.209957867406</v>
      </c>
      <c r="BB8" s="45">
        <f t="shared" si="3"/>
        <v>15781.238584804409</v>
      </c>
      <c r="BC8" s="45">
        <f t="shared" si="3"/>
        <v>16024.394508952222</v>
      </c>
      <c r="BD8" s="45">
        <f t="shared" si="3"/>
        <v>16304.422450567534</v>
      </c>
      <c r="BE8" s="45">
        <f t="shared" si="3"/>
        <v>16579.40204290755</v>
      </c>
      <c r="BF8" s="45">
        <f t="shared" si="3"/>
        <v>16821.951629375271</v>
      </c>
      <c r="BG8" s="45">
        <f t="shared" si="3"/>
        <v>17118.722676911406</v>
      </c>
    </row>
    <row r="9" spans="1:71" x14ac:dyDescent="0.2">
      <c r="A9" s="40"/>
      <c r="B9" s="40" t="s">
        <v>75</v>
      </c>
      <c r="C9" s="45" t="e">
        <f>C10+C11+#REF!</f>
        <v>#REF!</v>
      </c>
      <c r="D9" s="45" t="e">
        <f>D10+D11+#REF!</f>
        <v>#REF!</v>
      </c>
      <c r="E9" s="45" t="e">
        <f>E10+E11+#REF!</f>
        <v>#REF!</v>
      </c>
      <c r="F9" s="45" t="e">
        <f>F10+F11+#REF!</f>
        <v>#REF!</v>
      </c>
      <c r="G9" s="45" t="e">
        <f>G10+G11+#REF!</f>
        <v>#REF!</v>
      </c>
      <c r="H9" s="45" t="e">
        <f>H10+H11+#REF!</f>
        <v>#REF!</v>
      </c>
      <c r="I9" s="45" t="e">
        <f>I10+I11+#REF!</f>
        <v>#REF!</v>
      </c>
      <c r="J9" s="45" t="e">
        <f>J10+J11+#REF!</f>
        <v>#REF!</v>
      </c>
      <c r="K9" s="45" t="e">
        <f>K10+K11+#REF!</f>
        <v>#REF!</v>
      </c>
      <c r="L9" s="45" t="e">
        <f>L10+L11+#REF!</f>
        <v>#REF!</v>
      </c>
      <c r="M9" s="45" t="e">
        <f>M10+M11+#REF!</f>
        <v>#REF!</v>
      </c>
      <c r="N9" s="45" t="e">
        <f>N10+N11+#REF!</f>
        <v>#REF!</v>
      </c>
      <c r="O9" s="45" t="e">
        <f>O10+O11+#REF!</f>
        <v>#REF!</v>
      </c>
      <c r="P9" s="45" t="e">
        <f>P10+P11+#REF!</f>
        <v>#REF!</v>
      </c>
      <c r="Q9" s="45" t="e">
        <f>Q10+Q11+#REF!</f>
        <v>#REF!</v>
      </c>
      <c r="R9" s="45" t="e">
        <f>R10+R11+#REF!</f>
        <v>#REF!</v>
      </c>
      <c r="S9" s="45" t="e">
        <f>S10+S11+#REF!</f>
        <v>#REF!</v>
      </c>
      <c r="T9" s="45" t="e">
        <f>T10+T11+#REF!</f>
        <v>#REF!</v>
      </c>
      <c r="U9" s="45" t="e">
        <f>U10+U11+#REF!</f>
        <v>#REF!</v>
      </c>
      <c r="V9" s="45" t="e">
        <f>V10+V11+#REF!</f>
        <v>#REF!</v>
      </c>
      <c r="W9" s="45" t="e">
        <f>W10+W11+#REF!</f>
        <v>#REF!</v>
      </c>
      <c r="X9" s="45" t="e">
        <f>X10+X11+#REF!</f>
        <v>#REF!</v>
      </c>
      <c r="Y9" s="45" t="e">
        <f>Y10+Y11+#REF!</f>
        <v>#REF!</v>
      </c>
      <c r="Z9" s="45" t="e">
        <f>Z10+Z11+#REF!</f>
        <v>#REF!</v>
      </c>
      <c r="AA9" s="45" t="e">
        <f>AA10+AA11+#REF!</f>
        <v>#REF!</v>
      </c>
      <c r="AB9" s="45">
        <f>AB10+AB11</f>
        <v>1230.2568991032126</v>
      </c>
      <c r="AC9" s="45">
        <f t="shared" ref="AC9:BG9" si="4">AC10+AC11</f>
        <v>1217.4562033160075</v>
      </c>
      <c r="AD9" s="45">
        <f t="shared" si="4"/>
        <v>1844.0480362855842</v>
      </c>
      <c r="AE9" s="45">
        <f t="shared" si="4"/>
        <v>1389.9612827899809</v>
      </c>
      <c r="AF9" s="45">
        <f t="shared" si="4"/>
        <v>3382.2688766419997</v>
      </c>
      <c r="AG9" s="45">
        <f t="shared" si="4"/>
        <v>4805.1307146987992</v>
      </c>
      <c r="AH9" s="45">
        <f t="shared" si="4"/>
        <v>3611.3292534451493</v>
      </c>
      <c r="AI9" s="45">
        <f t="shared" si="4"/>
        <v>3707.9015152523612</v>
      </c>
      <c r="AJ9" s="45">
        <f t="shared" si="4"/>
        <v>4817.4990556568519</v>
      </c>
      <c r="AK9" s="45">
        <f t="shared" si="4"/>
        <v>4889.75779614152</v>
      </c>
      <c r="AL9" s="45">
        <f t="shared" si="4"/>
        <v>5207.042299483579</v>
      </c>
      <c r="AM9" s="45">
        <f t="shared" si="4"/>
        <v>5899.2851878386882</v>
      </c>
      <c r="AN9" s="45">
        <f t="shared" si="4"/>
        <v>6513.3758977116831</v>
      </c>
      <c r="AO9" s="45">
        <f t="shared" si="4"/>
        <v>7622.0739729804191</v>
      </c>
      <c r="AP9" s="45">
        <f t="shared" si="4"/>
        <v>7560.7736490884899</v>
      </c>
      <c r="AQ9" s="45">
        <f t="shared" si="4"/>
        <v>7755.393527908137</v>
      </c>
      <c r="AR9" s="45">
        <f t="shared" si="4"/>
        <v>7988.4231187240348</v>
      </c>
      <c r="AS9" s="45">
        <f t="shared" si="4"/>
        <v>6914.5063007611188</v>
      </c>
      <c r="AT9" s="45">
        <f t="shared" si="4"/>
        <v>7353.5314660642362</v>
      </c>
      <c r="AU9" s="45">
        <f t="shared" si="4"/>
        <v>8049.9594200242936</v>
      </c>
      <c r="AV9" s="45">
        <f t="shared" si="4"/>
        <v>8056.0940206645582</v>
      </c>
      <c r="AW9" s="45">
        <f t="shared" si="4"/>
        <v>7632.5978266788889</v>
      </c>
      <c r="AX9" s="45">
        <f t="shared" si="4"/>
        <v>7976.3695761996169</v>
      </c>
      <c r="AY9" s="45">
        <f t="shared" si="4"/>
        <v>8299.6869915400748</v>
      </c>
      <c r="AZ9" s="45">
        <f t="shared" si="4"/>
        <v>8713.7018794833839</v>
      </c>
      <c r="BA9" s="45">
        <f t="shared" si="4"/>
        <v>8838.2819217184042</v>
      </c>
      <c r="BB9" s="45">
        <f t="shared" si="4"/>
        <v>8928.6414608348987</v>
      </c>
      <c r="BC9" s="45">
        <f t="shared" si="4"/>
        <v>8949.0641952875467</v>
      </c>
      <c r="BD9" s="45">
        <f t="shared" si="4"/>
        <v>9263.1440248526796</v>
      </c>
      <c r="BE9" s="45">
        <f t="shared" si="4"/>
        <v>9416.7516310529591</v>
      </c>
      <c r="BF9" s="45">
        <f t="shared" si="4"/>
        <v>9564.89738247489</v>
      </c>
      <c r="BG9" s="45">
        <f t="shared" si="4"/>
        <v>9858.949937951933</v>
      </c>
      <c r="BJ9" s="41">
        <f>1056</f>
        <v>1056</v>
      </c>
      <c r="BK9" s="41">
        <v>840</v>
      </c>
      <c r="BL9" s="41">
        <v>794</v>
      </c>
      <c r="BM9" s="41">
        <v>774</v>
      </c>
      <c r="BN9" s="41">
        <v>725</v>
      </c>
      <c r="BO9" s="41">
        <v>669</v>
      </c>
      <c r="BP9" s="41">
        <v>628</v>
      </c>
      <c r="BQ9" s="41">
        <v>586</v>
      </c>
      <c r="BR9" s="41">
        <v>542</v>
      </c>
      <c r="BS9" s="41">
        <v>468</v>
      </c>
    </row>
    <row r="10" spans="1:71" x14ac:dyDescent="0.2">
      <c r="A10" s="40"/>
      <c r="B10" s="40" t="s">
        <v>76</v>
      </c>
      <c r="C10" s="45">
        <f>SUM('[1]Canola Complex'!AI$342:AI$350,'[1]Canola Complex'!AJ$339:AJ$341)</f>
        <v>0</v>
      </c>
      <c r="D10" s="45">
        <f>SUM('[1]Canola Complex'!AJ$342:AJ$350,'[1]Canola Complex'!AK$339:AK$341)</f>
        <v>0</v>
      </c>
      <c r="E10" s="45">
        <f>SUM('[1]Canola Complex'!AK$342:AK$350,'[1]Canola Complex'!AL$339:AL$341)</f>
        <v>0</v>
      </c>
      <c r="F10" s="45">
        <f>SUM('[1]Canola Complex'!AL$342:AL$350,'[1]Canola Complex'!AM$339:AM$341)</f>
        <v>0</v>
      </c>
      <c r="G10" s="45">
        <f>SUM('[1]Canola Complex'!AM$342:AM$350,'[1]Canola Complex'!AN$339:AN$341)</f>
        <v>0</v>
      </c>
      <c r="H10" s="45">
        <f>SUM('[1]Canola Complex'!AN$342:AN$350,'[1]Canola Complex'!AO$339:AO$341)</f>
        <v>0</v>
      </c>
      <c r="I10" s="45">
        <f>SUM('[1]Canola Complex'!AO$342:AO$350,'[1]Canola Complex'!AP$339:AP$341)</f>
        <v>0</v>
      </c>
      <c r="J10" s="45">
        <f>SUM('[1]Canola Complex'!AP$342:AP$350,'[1]Canola Complex'!AQ$339:AQ$341)</f>
        <v>0</v>
      </c>
      <c r="K10" s="45">
        <f>SUM('[1]Canola Complex'!AQ$342:AQ$350,'[1]Canola Complex'!AR$339:AR$341)</f>
        <v>0</v>
      </c>
      <c r="L10" s="45">
        <f>SUM('[1]Canola Complex'!AR$342:AR$350,'[1]Canola Complex'!AS$339:AS$341)</f>
        <v>0</v>
      </c>
      <c r="M10" s="45">
        <f>SUM('[1]Canola Complex'!AS$342:AS$350,'[1]Canola Complex'!AT$339:AT$341)</f>
        <v>0</v>
      </c>
      <c r="N10" s="45">
        <f>SUM('[1]Canola Complex'!AT$342:AT$350,'[1]Canola Complex'!AU$339:AU$341)</f>
        <v>1.5246188344787306</v>
      </c>
      <c r="O10" s="45">
        <f>SUM('[1]Canola Complex'!AU$342:AU$350,'[1]Canola Complex'!AV$339:AV$341)</f>
        <v>5.0308938363426927</v>
      </c>
      <c r="P10" s="45">
        <f>SUM('[1]Canola Complex'!AV$342:AV$350,'[1]Canola Complex'!AW$339:AW$341)</f>
        <v>329.9</v>
      </c>
      <c r="Q10" s="45">
        <f>SUM('[1]Canola Complex'!AW$342:AW$350,'[1]Canola Complex'!AX$339:AX$341)</f>
        <v>1391.6</v>
      </c>
      <c r="R10" s="45">
        <f>SUM('[1]Canola Complex'!AX$342:AX$350,'[1]Canola Complex'!AY$339:AY$341)</f>
        <v>552.20000000000005</v>
      </c>
      <c r="S10" s="45">
        <f>SUM('[1]Canola Complex'!AY$342:AY$350,'[1]Canola Complex'!AZ$339:AZ$341)</f>
        <v>688</v>
      </c>
      <c r="T10" s="45">
        <f>SUM('[1]Canola Complex'!AZ$342:AZ$350,'[1]Canola Complex'!BA$339:BA$341)</f>
        <v>1488</v>
      </c>
      <c r="U10" s="45">
        <f>SUM('[1]Canola Complex'!BA$342:BA$350,'[1]Canola Complex'!BB$339:BB$341)</f>
        <v>1681</v>
      </c>
      <c r="V10" s="45">
        <f>SUM('[1]Canola Complex'!BB$342:BB$350,'[1]Canola Complex'!BC$339:BC$341)</f>
        <v>1013</v>
      </c>
      <c r="W10" s="45">
        <f>SUM('[1]Canola Complex'!BC$342:BC$350,'[1]Canola Complex'!BD$339:BD$341)</f>
        <v>1919.06</v>
      </c>
      <c r="X10" s="45">
        <f>SUM('[1]Canola Complex'!BD$342:BD$350,'[1]Canola Complex'!BE$339:BE$341)</f>
        <v>1616.35</v>
      </c>
      <c r="Y10" s="45">
        <f>SUM('[1]Canola Complex'!BE$342:BE$350,'[1]Canola Complex'!BF$339:BF$341)</f>
        <v>1998.45</v>
      </c>
      <c r="Z10" s="45">
        <f>SUM('[1]Canola Complex'!BF$342:BF$350,'[1]Canola Complex'!BG$339:BG$341)</f>
        <v>2676.8700000000003</v>
      </c>
      <c r="AA10" s="45">
        <f>SUM('[1]Canola Complex'!BG$342:BG$350,'[1]Canola Complex'!BH$339:BH$341)</f>
        <v>2481.9146712239585</v>
      </c>
      <c r="AB10" s="45">
        <f>SUM('[1]Canola Complex'!BH$341:BH$349,'[1]Canola Complex'!BI$338:BI$340)</f>
        <v>1230.2568991032126</v>
      </c>
      <c r="AC10" s="45">
        <f>SUM('[1]Canola Complex'!BI$341:BI$349,'[1]Canola Complex'!BJ$338:BJ$340)</f>
        <v>1217.4562033160075</v>
      </c>
      <c r="AD10" s="45">
        <f>SUM('[1]Canola Complex'!BJ$341:BJ$349,'[1]Canola Complex'!BK$338:BK$340)</f>
        <v>1844.0480362855842</v>
      </c>
      <c r="AE10" s="45">
        <f>SUM('[1]Canola Complex'!BK$341:BK$349,'[1]Canola Complex'!BL$338:BL$340)</f>
        <v>1338.362088212747</v>
      </c>
      <c r="AF10" s="45">
        <f>SUM('[1]Canola Complex'!BL$341:BL$349,'[1]Canola Complex'!BM$338:BM$340)</f>
        <v>1827.869608445995</v>
      </c>
      <c r="AG10" s="45">
        <f>SUM('[1]Canola Complex'!BM$341:BM$349,'[1]Canola Complex'!BN$338:BN$340)</f>
        <v>1746.5288880000001</v>
      </c>
      <c r="AH10" s="45">
        <f>SUM('[1]Canola Complex'!BN$341:BN$349,'[1]Canola Complex'!BO$338:BO$340)</f>
        <v>1872.9248955648723</v>
      </c>
      <c r="AI10" s="45">
        <f>SUM('[1]Canola Complex'!BO$341:BO$349,'[1]Canola Complex'!BP$338:BP$340)</f>
        <v>1909.2334765183202</v>
      </c>
      <c r="AJ10" s="45">
        <f>SUM('[1]Canola Complex'!BP$341:BP$349,'[1]Canola Complex'!BQ$338:BQ$340)</f>
        <v>1768.6439677452265</v>
      </c>
      <c r="AK10" s="45">
        <f>SUM('[1]Canola Complex'!BQ$341:BQ$349,'[1]Canola Complex'!BR$338:BR$340)</f>
        <v>1436.9424879332039</v>
      </c>
      <c r="AL10" s="45">
        <f>SUM('[1]Canola Complex'!BR$341:BR$349,'[1]Canola Complex'!BS$338:BS$340)</f>
        <v>1659.883154917105</v>
      </c>
      <c r="AM10" s="45">
        <f>SUM('[1]Canola Complex'!BS$341:BS$349,'[1]Canola Complex'!BT$338:BT$340)</f>
        <v>1696.9055744707614</v>
      </c>
      <c r="AN10" s="45">
        <f>SUM('[1]Canola Complex'!BT$341:BT$349,'[1]Canola Complex'!BU$338:BU$340)</f>
        <v>1642.1171094781316</v>
      </c>
      <c r="AO10" s="45">
        <f>SUM('[1]Canola Complex'!BU$341:BU$349,'[1]Canola Complex'!BV$338:BV$340)</f>
        <v>1711.170568446124</v>
      </c>
      <c r="AP10" s="45">
        <f>SUM('[1]Canola Complex'!BV$341:BV$349,'[1]Canola Complex'!BW$338:BW$340)</f>
        <v>1606.2844024399535</v>
      </c>
      <c r="AQ10" s="45">
        <f>SUM('[1]Canola Complex'!BW$341:BW$349,'[1]Canola Complex'!BX$338:BX$340)</f>
        <v>1566.1627984231136</v>
      </c>
      <c r="AR10" s="45">
        <f>SUM('[1]Canola Complex'!BX$341:BX$349,'[1]Canola Complex'!BY$338:BY$340)</f>
        <v>1454.065868812628</v>
      </c>
      <c r="AS10" s="45">
        <f>SUM('[1]Canola Complex'!BY$341:BY$349,'[1]Canola Complex'!BZ$338:BZ$340)</f>
        <v>1003.9410147061013</v>
      </c>
      <c r="AT10" s="45">
        <f>SUM('[1]Canola Complex'!BZ$341:BZ$349,'[1]Canola Complex'!CA$338:CA$340)</f>
        <v>776.9599358819919</v>
      </c>
      <c r="AU10" s="45">
        <f>SUM('[1]Canola Complex'!CA$341:CA$349,'[1]Canola Complex'!CB$338:CB$340)</f>
        <v>723.22828419946632</v>
      </c>
      <c r="AV10" s="45">
        <f>SUM('[1]Canola Complex'!CB$341:CB$349,'[1]Canola Complex'!CC$338:CC$340)</f>
        <v>723.22828419946632</v>
      </c>
      <c r="AW10" s="45">
        <f>SUM('[1]Canola Complex'!CC$341:CC$349,'[1]Canola Complex'!CD$338:CD$340)</f>
        <v>792.60616367054638</v>
      </c>
      <c r="AX10" s="45">
        <f>SUM('[1]Canola Complex'!CD$341:CD$349,'[1]Canola Complex'!CE$338:CE$340)</f>
        <v>792.60616367054638</v>
      </c>
      <c r="AY10" s="45">
        <f>SUM('[1]Canola Complex'!CE$341:CE$349,'[1]Canola Complex'!CF$338:CF$340)</f>
        <v>792.60616367054638</v>
      </c>
      <c r="AZ10" s="45">
        <f>SUM('[1]Canola Complex'!CF$341:CF$349,'[1]Canola Complex'!CG$338:CG$340)</f>
        <v>792.60616367054638</v>
      </c>
      <c r="BA10" s="45">
        <f>SUM('[1]Canola Complex'!CG$341:CG$349,'[1]Canola Complex'!CH$338:CH$340)</f>
        <v>792.60616367054638</v>
      </c>
      <c r="BB10" s="45">
        <f>SUM('[1]Canola Complex'!CH$341:CH$349,'[1]Canola Complex'!CI$338:CI$340)</f>
        <v>792.60616367054638</v>
      </c>
      <c r="BC10" s="45">
        <f>SUM('[1]Canola Complex'!CI$341:CI$349,'[1]Canola Complex'!CJ$338:CJ$340)</f>
        <v>792.60616367054638</v>
      </c>
      <c r="BD10" s="45">
        <f>SUM('[1]Canola Complex'!CJ$341:CJ$349,'[1]Canola Complex'!CK$338:CK$340)</f>
        <v>792.60616367054638</v>
      </c>
      <c r="BE10" s="45">
        <f>SUM('[1]Canola Complex'!CK$341:CK$349,'[1]Canola Complex'!CL$338:CL$340)</f>
        <v>792.60616367054638</v>
      </c>
      <c r="BF10" s="45">
        <f>SUM('[1]Canola Complex'!CL$341:CL$349,'[1]Canola Complex'!CM$338:CM$340)</f>
        <v>792.60616367054638</v>
      </c>
      <c r="BG10" s="45">
        <f>SUM('[1]Canola Complex'!CM$341:CM$349,'[1]Canola Complex'!CN$338:CN$340)</f>
        <v>792.60616367054638</v>
      </c>
      <c r="BJ10" s="51">
        <f t="shared" ref="BJ10:BS10" si="5">AE10-BJ9</f>
        <v>282.36208821274704</v>
      </c>
      <c r="BK10" s="51">
        <f t="shared" si="5"/>
        <v>987.86960844599503</v>
      </c>
      <c r="BL10" s="51">
        <f t="shared" si="5"/>
        <v>952.52888800000005</v>
      </c>
      <c r="BM10" s="51">
        <f t="shared" si="5"/>
        <v>1098.9248955648723</v>
      </c>
      <c r="BN10" s="51">
        <f t="shared" si="5"/>
        <v>1184.2334765183202</v>
      </c>
      <c r="BO10" s="51">
        <f t="shared" si="5"/>
        <v>1099.6439677452265</v>
      </c>
      <c r="BP10" s="51">
        <f t="shared" si="5"/>
        <v>808.94248793320389</v>
      </c>
      <c r="BQ10" s="51">
        <f t="shared" si="5"/>
        <v>1073.883154917105</v>
      </c>
      <c r="BR10" s="51">
        <f t="shared" si="5"/>
        <v>1154.9055744707614</v>
      </c>
      <c r="BS10" s="51">
        <f t="shared" si="5"/>
        <v>1174.1171094781316</v>
      </c>
    </row>
    <row r="11" spans="1:71" x14ac:dyDescent="0.2">
      <c r="A11" s="40"/>
      <c r="B11" s="40" t="s">
        <v>155</v>
      </c>
      <c r="C11" s="45">
        <f>SUM('[1]Canola Complex'!AI$358:AI$366,'[1]Canola Complex'!AJ$355:AJ$357)</f>
        <v>0</v>
      </c>
      <c r="D11" s="45">
        <f>SUM('[1]Canola Complex'!AJ$358:AJ$366,'[1]Canola Complex'!AK$355:AK$357)</f>
        <v>0</v>
      </c>
      <c r="E11" s="45">
        <f>SUM('[1]Canola Complex'!AK$358:AK$366,'[1]Canola Complex'!AL$355:AL$357)</f>
        <v>0</v>
      </c>
      <c r="F11" s="45">
        <f>SUM('[1]Canola Complex'!AL$358:AL$366,'[1]Canola Complex'!AM$355:AM$357)</f>
        <v>0</v>
      </c>
      <c r="G11" s="45">
        <f>SUM('[1]Canola Complex'!AM$358:AM$366,'[1]Canola Complex'!AN$355:AN$357)</f>
        <v>0</v>
      </c>
      <c r="H11" s="45">
        <f>SUM('[1]Canola Complex'!AN$358:AN$366,'[1]Canola Complex'!AO$355:AO$357)</f>
        <v>0</v>
      </c>
      <c r="I11" s="45">
        <f>SUM('[1]Canola Complex'!AO$358:AO$366,'[1]Canola Complex'!AP$355:AP$357)</f>
        <v>0</v>
      </c>
      <c r="J11" s="45">
        <f>SUM('[1]Canola Complex'!AP$358:AP$366,'[1]Canola Complex'!AQ$355:AQ$357)</f>
        <v>0</v>
      </c>
      <c r="K11" s="45">
        <f>SUM('[1]Canola Complex'!AQ$358:AQ$366,'[1]Canola Complex'!AR$355:AR$357)</f>
        <v>0</v>
      </c>
      <c r="L11" s="45">
        <f>SUM('[1]Canola Complex'!AR$358:AR$366,'[1]Canola Complex'!AS$355:AS$357)</f>
        <v>0</v>
      </c>
      <c r="M11" s="45">
        <f>SUM('[1]Canola Complex'!AS$358:AS$366,'[1]Canola Complex'!AT$355:AT$357)</f>
        <v>0</v>
      </c>
      <c r="N11" s="45">
        <f>SUM('[1]Canola Complex'!AT$358:AT$366,'[1]Canola Complex'!AU$355:AU$357)</f>
        <v>0</v>
      </c>
      <c r="O11" s="45">
        <f>SUM('[1]Canola Complex'!AU$358:AU$366,'[1]Canola Complex'!AV$355:AV$357)</f>
        <v>0</v>
      </c>
      <c r="P11" s="45">
        <f>SUM('[1]Canola Complex'!AV$358:AV$366,'[1]Canola Complex'!AW$355:AW$357)</f>
        <v>0</v>
      </c>
      <c r="Q11" s="45">
        <f>SUM('[1]Canola Complex'!AW$358:AW$366,'[1]Canola Complex'!AX$355:AX$357)</f>
        <v>0</v>
      </c>
      <c r="R11" s="45">
        <f>SUM('[1]Canola Complex'!AX$358:AX$366,'[1]Canola Complex'!AY$355:AY$357)</f>
        <v>0</v>
      </c>
      <c r="S11" s="45">
        <f>SUM('[1]Canola Complex'!AY$358:AY$366,'[1]Canola Complex'!AZ$355:AZ$357)</f>
        <v>0</v>
      </c>
      <c r="T11" s="45">
        <f>SUM('[1]Canola Complex'!AZ$358:AZ$366,'[1]Canola Complex'!BA$355:BA$357)</f>
        <v>0</v>
      </c>
      <c r="U11" s="45">
        <f>SUM('[1]Canola Complex'!BA$358:BA$366,'[1]Canola Complex'!BB$355:BB$357)</f>
        <v>0</v>
      </c>
      <c r="V11" s="45">
        <f>SUM('[1]Canola Complex'!BB$358:BB$366,'[1]Canola Complex'!BC$355:BC$357)</f>
        <v>0</v>
      </c>
      <c r="W11" s="45">
        <f>SUM('[1]Canola Complex'!BC$358:BC$366,'[1]Canola Complex'!BD$355:BD$357)</f>
        <v>0</v>
      </c>
      <c r="X11" s="45">
        <f>SUM('[1]Canola Complex'!BD$358:BD$366,'[1]Canola Complex'!BE$355:BE$357)</f>
        <v>0</v>
      </c>
      <c r="Y11" s="45">
        <f>SUM('[1]Canola Complex'!BE$358:BE$366,'[1]Canola Complex'!BF$355:BF$357)</f>
        <v>0</v>
      </c>
      <c r="Z11" s="45">
        <f>SUM('[1]Canola Complex'!BF$358:BF$366,'[1]Canola Complex'!BG$355:BG$357)</f>
        <v>0</v>
      </c>
      <c r="AA11" s="45">
        <f>SUM('[1]Canola Complex'!BG$358:BG$366,'[1]Canola Complex'!BH$355:BH$357)</f>
        <v>0</v>
      </c>
      <c r="AB11" s="45">
        <f>SUM('[1]Canola Complex'!BH$357:BH$365,'[1]Canola Complex'!BI$354:BI$356,'[1]Canola Complex'!BH$373:BH$381,'[1]Canola Complex'!BI$370:BI$372,'[1]Canola Complex'!BH$389:BH$397,'[1]Canola Complex'!BI$386:BI$388)</f>
        <v>0</v>
      </c>
      <c r="AC11" s="45">
        <f>SUM('[1]Canola Complex'!BI$357:BI$365,'[1]Canola Complex'!BJ$354:BJ$356,'[1]Canola Complex'!BI$373:BI$381,'[1]Canola Complex'!BJ$370:BJ$372,'[1]Canola Complex'!BI$389:BI$397,'[1]Canola Complex'!BJ$386:BJ$388)</f>
        <v>0</v>
      </c>
      <c r="AD11" s="45">
        <f>SUM('[1]Canola Complex'!BJ$357:BJ$365,'[1]Canola Complex'!BK$354:BK$356,'[1]Canola Complex'!BJ$373:BJ$381,'[1]Canola Complex'!BK$370:BK$372,'[1]Canola Complex'!BJ$389:BJ$397,'[1]Canola Complex'!BK$386:BK$388)</f>
        <v>0</v>
      </c>
      <c r="AE11" s="45">
        <f>SUM('[1]Canola Complex'!BK$357:BK$365,'[1]Canola Complex'!BL$354:BL$356,'[1]Canola Complex'!BK$373:BK$381,'[1]Canola Complex'!BL$370:BL$372,'[1]Canola Complex'!BK$389:BK$397,'[1]Canola Complex'!BL$386:BL$388)</f>
        <v>51.599194577234002</v>
      </c>
      <c r="AF11" s="45">
        <f>SUM('[1]Canola Complex'!BL$357:BL$365,'[1]Canola Complex'!BM$354:BM$356,'[1]Canola Complex'!BL$373:BL$381,'[1]Canola Complex'!BM$370:BM$372,'[1]Canola Complex'!BL$389:BL$397,'[1]Canola Complex'!BM$386:BM$388)</f>
        <v>1554.3992681960049</v>
      </c>
      <c r="AG11" s="45">
        <f>SUM('[1]Canola Complex'!BM$357:BM$365,'[1]Canola Complex'!BN$354:BN$356,'[1]Canola Complex'!BM$373:BM$381,'[1]Canola Complex'!BN$370:BN$372,'[1]Canola Complex'!BM$389:BM$397,'[1]Canola Complex'!BN$386:BN$388)</f>
        <v>3058.6018266987994</v>
      </c>
      <c r="AH11" s="45">
        <f>SUM('[1]Canola Complex'!BN$357:BN$365,'[1]Canola Complex'!BO$354:BO$356,'[1]Canola Complex'!BN$373:BN$381,'[1]Canola Complex'!BO$370:BO$372,'[1]Canola Complex'!BN$389:BN$397,'[1]Canola Complex'!BO$386:BO$388)</f>
        <v>1738.4043578802771</v>
      </c>
      <c r="AI11" s="45">
        <f>SUM('[1]Canola Complex'!BO$357:BO$365,'[1]Canola Complex'!BP$354:BP$356,'[1]Canola Complex'!BO$373:BO$381,'[1]Canola Complex'!BP$370:BP$372,'[1]Canola Complex'!BO$389:BO$397,'[1]Canola Complex'!BP$386:BP$388)</f>
        <v>1798.6680387340409</v>
      </c>
      <c r="AJ11" s="45">
        <f>SUM('[1]Canola Complex'!BP$357:BP$365,'[1]Canola Complex'!BQ$354:BQ$356,'[1]Canola Complex'!BP$373:BP$381,'[1]Canola Complex'!BQ$370:BQ$372,'[1]Canola Complex'!BP$389:BP$397,'[1]Canola Complex'!BQ$386:BQ$388)</f>
        <v>3048.8550879116256</v>
      </c>
      <c r="AK11" s="45">
        <f>SUM('[1]Canola Complex'!BQ$357:BQ$365,'[1]Canola Complex'!BR$354:BR$356,'[1]Canola Complex'!BQ$373:BQ$381,'[1]Canola Complex'!BR$370:BR$372,'[1]Canola Complex'!BQ$389:BQ$397,'[1]Canola Complex'!BR$386:BR$388)</f>
        <v>3452.8153082083163</v>
      </c>
      <c r="AL11" s="45">
        <f>SUM('[1]Canola Complex'!BR$357:BR$365,'[1]Canola Complex'!BS$354:BS$356,'[1]Canola Complex'!BR$373:BR$381,'[1]Canola Complex'!BS$370:BS$372,'[1]Canola Complex'!BR$389:BR$397,'[1]Canola Complex'!BS$386:BS$388)</f>
        <v>3547.1591445664735</v>
      </c>
      <c r="AM11" s="45">
        <f>SUM('[1]Canola Complex'!BS$357:BS$365,'[1]Canola Complex'!BT$354:BT$356,'[1]Canola Complex'!BS$373:BS$381,'[1]Canola Complex'!BT$370:BT$372,'[1]Canola Complex'!BS$389:BS$397,'[1]Canola Complex'!BT$386:BT$388)</f>
        <v>4202.379613367927</v>
      </c>
      <c r="AN11" s="45">
        <f>SUM('[1]Canola Complex'!BT$357:BT$365,'[1]Canola Complex'!BU$354:BU$356,'[1]Canola Complex'!BT$373:BT$381,'[1]Canola Complex'!BU$370:BU$372,'[1]Canola Complex'!BT$389:BT$397,'[1]Canola Complex'!BU$386:BU$388)</f>
        <v>4871.258788233552</v>
      </c>
      <c r="AO11" s="45">
        <f>SUM('[1]Canola Complex'!BU$357:BU$365,'[1]Canola Complex'!BV$354:BV$356,'[1]Canola Complex'!BU$373:BU$381,'[1]Canola Complex'!BV$370:BV$372,'[1]Canola Complex'!BU$389:BU$397,'[1]Canola Complex'!BV$386:BV$388)</f>
        <v>5910.9034045342951</v>
      </c>
      <c r="AP11" s="45">
        <f>SUM('[1]Canola Complex'!BV$357:BV$365,'[1]Canola Complex'!BW$354:BW$356,'[1]Canola Complex'!BV$373:BV$381,'[1]Canola Complex'!BW$370:BW$372,'[1]Canola Complex'!BV$389:BV$397,'[1]Canola Complex'!BW$386:BW$388)</f>
        <v>5954.4892466485362</v>
      </c>
      <c r="AQ11" s="45">
        <f>SUM('[1]Canola Complex'!BW$357:BW$365,'[1]Canola Complex'!BX$354:BX$356,'[1]Canola Complex'!BW$373:BW$381,'[1]Canola Complex'!BX$370:BX$372,'[1]Canola Complex'!BW$389:BW$397,'[1]Canola Complex'!BX$386:BX$388)</f>
        <v>6189.2307294850234</v>
      </c>
      <c r="AR11" s="45">
        <f>SUM('[1]Canola Complex'!BX$357:BX$365,'[1]Canola Complex'!BY$354:BY$356,'[1]Canola Complex'!BX$373:BX$381,'[1]Canola Complex'!BY$370:BY$372,'[1]Canola Complex'!BX$389:BX$397,'[1]Canola Complex'!BY$386:BY$388)</f>
        <v>6534.3572499114071</v>
      </c>
      <c r="AS11" s="45">
        <f>SUM('[1]Canola Complex'!BY$357:BY$365,'[1]Canola Complex'!BZ$354:BZ$356,'[1]Canola Complex'!BY$373:BY$381,'[1]Canola Complex'!BZ$370:BZ$372,'[1]Canola Complex'!BY$389:BY$397,'[1]Canola Complex'!BZ$386:BZ$388)</f>
        <v>5910.5652860550172</v>
      </c>
      <c r="AT11" s="45">
        <f>SUM('[1]Canola Complex'!BZ$357:BZ$365,'[1]Canola Complex'!CA$354:CA$356,'[1]Canola Complex'!BZ$373:BZ$381,'[1]Canola Complex'!CA$370:CA$372,'[1]Canola Complex'!BZ$389:BZ$397,'[1]Canola Complex'!CA$386:CA$388)</f>
        <v>6576.5715301822447</v>
      </c>
      <c r="AU11" s="45">
        <f>SUM('[1]Canola Complex'!CA$357:CA$365,'[1]Canola Complex'!CB$354:CB$356,'[1]Canola Complex'!CA$373:CA$381,'[1]Canola Complex'!CB$370:CB$372,'[1]Canola Complex'!CA$389:CA$397,'[1]Canola Complex'!CB$386:CB$388)</f>
        <v>7326.7311358248271</v>
      </c>
      <c r="AV11" s="45">
        <f>SUM('[1]Canola Complex'!CB$357:CB$365,'[1]Canola Complex'!CC$354:CC$356,'[1]Canola Complex'!CB$373:CB$381,'[1]Canola Complex'!CC$370:CC$372,'[1]Canola Complex'!CB$389:CB$397,'[1]Canola Complex'!CC$386:CC$388)</f>
        <v>7332.8657364650917</v>
      </c>
      <c r="AW11" s="45">
        <f>SUM('[1]Canola Complex'!CC$357:CC$365,'[1]Canola Complex'!CD$354:CD$356,'[1]Canola Complex'!CC$373:CC$381,'[1]Canola Complex'!CD$370:CD$372,'[1]Canola Complex'!CC$389:CC$397,'[1]Canola Complex'!CD$386:CD$388)</f>
        <v>6839.9916630083426</v>
      </c>
      <c r="AX11" s="45">
        <f>SUM('[1]Canola Complex'!CD$357:CD$365,'[1]Canola Complex'!CE$354:CE$356,'[1]Canola Complex'!CD$373:CD$381,'[1]Canola Complex'!CE$370:CE$372,'[1]Canola Complex'!CD$389:CD$397,'[1]Canola Complex'!CE$386:CE$388)</f>
        <v>7183.7634125290706</v>
      </c>
      <c r="AY11" s="45">
        <f>SUM('[1]Canola Complex'!CE$357:CE$365,'[1]Canola Complex'!CF$354:CF$356,'[1]Canola Complex'!CE$373:CE$381,'[1]Canola Complex'!CF$370:CF$372,'[1]Canola Complex'!CE$389:CE$397,'[1]Canola Complex'!CF$386:CF$388)</f>
        <v>7507.0808278695285</v>
      </c>
      <c r="AZ11" s="45">
        <f>SUM('[1]Canola Complex'!CF$357:CF$365,'[1]Canola Complex'!CG$354:CG$356,'[1]Canola Complex'!CF$373:CF$381,'[1]Canola Complex'!CG$370:CG$372,'[1]Canola Complex'!CF$389:CF$397,'[1]Canola Complex'!CG$386:CG$388)</f>
        <v>7921.0957158128367</v>
      </c>
      <c r="BA11" s="45">
        <f>SUM('[1]Canola Complex'!CG$357:CG$365,'[1]Canola Complex'!CH$354:CH$356,'[1]Canola Complex'!CG$373:CG$381,'[1]Canola Complex'!CH$370:CH$372,'[1]Canola Complex'!CG$389:CG$397,'[1]Canola Complex'!CH$386:CH$388)</f>
        <v>8045.675758047857</v>
      </c>
      <c r="BB11" s="45">
        <f>SUM('[1]Canola Complex'!CH$357:CH$365,'[1]Canola Complex'!CI$354:CI$356,'[1]Canola Complex'!CH$373:CH$381,'[1]Canola Complex'!CI$370:CI$372,'[1]Canola Complex'!CH$389:CH$397,'[1]Canola Complex'!CI$386:CI$388)</f>
        <v>8136.0352971643524</v>
      </c>
      <c r="BC11" s="45">
        <f>SUM('[1]Canola Complex'!CI$357:CI$365,'[1]Canola Complex'!CJ$354:CJ$356,'[1]Canola Complex'!CI$373:CI$381,'[1]Canola Complex'!CJ$370:CJ$372,'[1]Canola Complex'!CI$389:CI$397,'[1]Canola Complex'!CJ$386:CJ$388)</f>
        <v>8156.4580316169995</v>
      </c>
      <c r="BD11" s="45">
        <f>SUM('[1]Canola Complex'!CJ$357:CJ$365,'[1]Canola Complex'!CK$354:CK$356,'[1]Canola Complex'!CJ$373:CJ$381,'[1]Canola Complex'!CK$370:CK$372,'[1]Canola Complex'!CJ$389:CJ$397,'[1]Canola Complex'!CK$386:CK$388)</f>
        <v>8470.5378611821325</v>
      </c>
      <c r="BE11" s="45">
        <f>SUM('[1]Canola Complex'!CK$357:CK$365,'[1]Canola Complex'!CL$354:CL$356,'[1]Canola Complex'!CK$373:CK$381,'[1]Canola Complex'!CL$370:CL$372,'[1]Canola Complex'!CK$389:CK$397,'[1]Canola Complex'!CL$386:CL$388)</f>
        <v>8624.1454673824119</v>
      </c>
      <c r="BF11" s="45">
        <f>SUM('[1]Canola Complex'!CL$357:CL$365,'[1]Canola Complex'!CM$354:CM$356,'[1]Canola Complex'!CL$373:CL$381,'[1]Canola Complex'!CM$370:CM$372,'[1]Canola Complex'!CL$389:CL$397,'[1]Canola Complex'!CM$386:CM$388)</f>
        <v>8772.2912188043429</v>
      </c>
      <c r="BG11" s="45">
        <f>SUM('[1]Canola Complex'!CM$357:CM$365,'[1]Canola Complex'!CN$354:CN$356,'[1]Canola Complex'!CM$373:CM$381,'[1]Canola Complex'!CN$370:CN$372,'[1]Canola Complex'!CM$389:CM$397,'[1]Canola Complex'!CN$386:CN$388)</f>
        <v>9066.3437742813858</v>
      </c>
    </row>
    <row r="12" spans="1:71" x14ac:dyDescent="0.2">
      <c r="A12" s="40"/>
      <c r="B12" s="40" t="s">
        <v>78</v>
      </c>
      <c r="C12" s="45">
        <f>SUM('[1]Canola Complex'!AI$390:AI$398,'[1]Canola Complex'!AJ$387:AJ$389)</f>
        <v>0</v>
      </c>
      <c r="D12" s="45">
        <f>SUM('[1]Canola Complex'!AJ$390:AJ$398,'[1]Canola Complex'!AK$387:AK$389)</f>
        <v>0</v>
      </c>
      <c r="E12" s="45">
        <f>SUM('[1]Canola Complex'!AK$390:AK$398,'[1]Canola Complex'!AL$387:AL$389)</f>
        <v>0</v>
      </c>
      <c r="F12" s="45">
        <f>SUM('[1]Canola Complex'!AL$390:AL$398,'[1]Canola Complex'!AM$387:AM$389)</f>
        <v>0</v>
      </c>
      <c r="G12" s="45">
        <f>SUM('[1]Canola Complex'!AM$390:AM$398,'[1]Canola Complex'!AN$387:AN$389)</f>
        <v>0</v>
      </c>
      <c r="H12" s="45">
        <f>SUM('[1]Canola Complex'!AN$390:AN$398,'[1]Canola Complex'!AO$387:AO$389)</f>
        <v>0</v>
      </c>
      <c r="I12" s="45">
        <f>SUM('[1]Canola Complex'!AO$390:AO$398,'[1]Canola Complex'!AP$387:AP$389)</f>
        <v>0</v>
      </c>
      <c r="J12" s="45">
        <f>SUM('[1]Canola Complex'!AP$390:AP$398,'[1]Canola Complex'!AQ$387:AQ$389)</f>
        <v>0</v>
      </c>
      <c r="K12" s="45">
        <f>SUM('[1]Canola Complex'!AQ$390:AQ$398,'[1]Canola Complex'!AR$387:AR$389)</f>
        <v>0</v>
      </c>
      <c r="L12" s="45">
        <f>SUM('[1]Canola Complex'!AR$390:AR$398,'[1]Canola Complex'!AS$387:AS$389)</f>
        <v>0</v>
      </c>
      <c r="M12" s="45">
        <f>SUM('[1]Canola Complex'!AS$390:AS$398,'[1]Canola Complex'!AT$387:AT$389)</f>
        <v>0</v>
      </c>
      <c r="N12" s="45">
        <f>SUM('[1]Canola Complex'!AT$390:AT$398,'[1]Canola Complex'!AU$387:AU$389)</f>
        <v>0</v>
      </c>
      <c r="O12" s="45">
        <f>SUM('[1]Canola Complex'!AU$390:AU$398,'[1]Canola Complex'!AV$387:AV$389)</f>
        <v>0</v>
      </c>
      <c r="P12" s="45">
        <f>SUM('[1]Canola Complex'!AV$390:AV$398,'[1]Canola Complex'!AW$387:AW$389)</f>
        <v>0</v>
      </c>
      <c r="Q12" s="45">
        <f>SUM('[1]Canola Complex'!AW$390:AW$398,'[1]Canola Complex'!AX$387:AX$389)</f>
        <v>0</v>
      </c>
      <c r="R12" s="45">
        <f>SUM('[1]Canola Complex'!AX$390:AX$398,'[1]Canola Complex'!AY$387:AY$389)</f>
        <v>0</v>
      </c>
      <c r="S12" s="45">
        <f>SUM('[1]Canola Complex'!AY$390:AY$398,'[1]Canola Complex'!AZ$387:AZ$389)</f>
        <v>0</v>
      </c>
      <c r="T12" s="45">
        <f>SUM('[1]Canola Complex'!AZ$390:AZ$398,'[1]Canola Complex'!BA$387:BA$389)</f>
        <v>0</v>
      </c>
      <c r="U12" s="45">
        <f>SUM('[1]Canola Complex'!BA$390:BA$398,'[1]Canola Complex'!BB$387:BB$389)</f>
        <v>0</v>
      </c>
      <c r="V12" s="45">
        <f>SUM('[1]Canola Complex'!BB$390:BB$398,'[1]Canola Complex'!BC$387:BC$389)</f>
        <v>0</v>
      </c>
      <c r="W12" s="45">
        <f>SUM('[1]Canola Complex'!BC$390:BC$398,'[1]Canola Complex'!BD$387:BD$389)</f>
        <v>0</v>
      </c>
      <c r="X12" s="45">
        <f>SUM('[1]Canola Complex'!BD$390:BD$398,'[1]Canola Complex'!BE$387:BE$389)</f>
        <v>0</v>
      </c>
      <c r="Y12" s="45">
        <f>SUM('[1]Canola Complex'!BE$390:BE$398,'[1]Canola Complex'!BF$387:BF$389)</f>
        <v>0</v>
      </c>
      <c r="Z12" s="45">
        <f>SUM('[1]Canola Complex'!BF$390:BF$398,'[1]Canola Complex'!BG$387:BG$389)</f>
        <v>0</v>
      </c>
      <c r="AA12" s="45">
        <f>SUM('[1]Canola Complex'!BG$390:BG$398,'[1]Canola Complex'!BH$387:BH$389)</f>
        <v>0</v>
      </c>
      <c r="AB12" s="45">
        <f>AB8-AB9</f>
        <v>5394.419432896786</v>
      </c>
      <c r="AC12" s="45">
        <f t="shared" ref="AC12:BG12" si="6">AC8-AC9</f>
        <v>5703.4009296839922</v>
      </c>
      <c r="AD12" s="45">
        <f t="shared" si="6"/>
        <v>5104.9590441644159</v>
      </c>
      <c r="AE12" s="45">
        <f t="shared" si="6"/>
        <v>5646.7806016060185</v>
      </c>
      <c r="AF12" s="45">
        <f t="shared" si="6"/>
        <v>6077.4904272980002</v>
      </c>
      <c r="AG12" s="45">
        <f t="shared" si="6"/>
        <v>6102.1270744560015</v>
      </c>
      <c r="AH12" s="45">
        <f t="shared" si="6"/>
        <v>5956.8446913368489</v>
      </c>
      <c r="AI12" s="45">
        <f t="shared" si="6"/>
        <v>6004.7223339282809</v>
      </c>
      <c r="AJ12" s="45">
        <f t="shared" si="6"/>
        <v>5499.7779646978415</v>
      </c>
      <c r="AK12" s="45">
        <f t="shared" si="6"/>
        <v>5928.6717762451472</v>
      </c>
      <c r="AL12" s="45">
        <f t="shared" si="6"/>
        <v>6120.4447082909392</v>
      </c>
      <c r="AM12" s="45">
        <f t="shared" si="6"/>
        <v>5960.3407533533427</v>
      </c>
      <c r="AN12" s="45">
        <f t="shared" si="6"/>
        <v>5632.8922800693472</v>
      </c>
      <c r="AO12" s="45">
        <f t="shared" si="6"/>
        <v>5542.6000579563988</v>
      </c>
      <c r="AP12" s="45">
        <f t="shared" si="6"/>
        <v>5863.825999546908</v>
      </c>
      <c r="AQ12" s="45">
        <f t="shared" si="6"/>
        <v>5900.8571594059258</v>
      </c>
      <c r="AR12" s="45">
        <f t="shared" si="6"/>
        <v>5782.7835387973664</v>
      </c>
      <c r="AS12" s="45">
        <f t="shared" si="6"/>
        <v>6241.7618691403222</v>
      </c>
      <c r="AT12" s="45">
        <f t="shared" si="6"/>
        <v>6070.0417766981827</v>
      </c>
      <c r="AU12" s="45">
        <f t="shared" si="6"/>
        <v>6039.5214924604388</v>
      </c>
      <c r="AV12" s="45">
        <f t="shared" si="6"/>
        <v>6179.6451066007694</v>
      </c>
      <c r="AW12" s="45">
        <f t="shared" si="6"/>
        <v>6515.1152319447383</v>
      </c>
      <c r="AX12" s="45">
        <f t="shared" si="6"/>
        <v>6477.2928675281637</v>
      </c>
      <c r="AY12" s="45">
        <f t="shared" si="6"/>
        <v>6561.8164634953537</v>
      </c>
      <c r="AZ12" s="45">
        <f t="shared" si="6"/>
        <v>6578.2158873993412</v>
      </c>
      <c r="BA12" s="45">
        <f t="shared" si="6"/>
        <v>6679.9280361490019</v>
      </c>
      <c r="BB12" s="45">
        <f t="shared" si="6"/>
        <v>6852.59712396951</v>
      </c>
      <c r="BC12" s="45">
        <f t="shared" si="6"/>
        <v>7075.3303136646755</v>
      </c>
      <c r="BD12" s="45">
        <f t="shared" si="6"/>
        <v>7041.2784257148542</v>
      </c>
      <c r="BE12" s="45">
        <f t="shared" si="6"/>
        <v>7162.6504118545909</v>
      </c>
      <c r="BF12" s="45">
        <f t="shared" si="6"/>
        <v>7257.0542469003813</v>
      </c>
      <c r="BG12" s="45">
        <f t="shared" si="6"/>
        <v>7259.7727389594729</v>
      </c>
      <c r="BJ12" s="51" t="e">
        <f>AE11-#REF!</f>
        <v>#REF!</v>
      </c>
      <c r="BK12" s="51" t="e">
        <f>AF11-#REF!</f>
        <v>#REF!</v>
      </c>
      <c r="BL12" s="51" t="e">
        <f>AG11-#REF!</f>
        <v>#REF!</v>
      </c>
      <c r="BM12" s="51" t="e">
        <f>AH11-#REF!</f>
        <v>#REF!</v>
      </c>
      <c r="BN12" s="51" t="e">
        <f>AI11-#REF!</f>
        <v>#REF!</v>
      </c>
      <c r="BO12" s="51" t="e">
        <f>AJ11-#REF!</f>
        <v>#REF!</v>
      </c>
      <c r="BP12" s="51" t="e">
        <f>AK11-#REF!</f>
        <v>#REF!</v>
      </c>
      <c r="BQ12" s="51" t="e">
        <f>AL11-#REF!</f>
        <v>#REF!</v>
      </c>
      <c r="BR12" s="51" t="e">
        <f>AM11-#REF!</f>
        <v>#REF!</v>
      </c>
      <c r="BS12" s="51" t="e">
        <f>AN11-#REF!</f>
        <v>#REF!</v>
      </c>
    </row>
    <row r="13" spans="1:71" x14ac:dyDescent="0.2">
      <c r="A13" s="40"/>
      <c r="B13" s="40" t="s">
        <v>79</v>
      </c>
      <c r="C13" s="45">
        <f>SUM('[1]Canola Complex'!AI$294:AI$302,'[1]Canola Complex'!AJ$291:AJ$293)</f>
        <v>188.69866761059998</v>
      </c>
      <c r="D13" s="45">
        <f>SUM('[1]Canola Complex'!AJ$294:AJ$302,'[1]Canola Complex'!AK$291:AK$293)</f>
        <v>294.78992841900003</v>
      </c>
      <c r="E13" s="45">
        <f>SUM('[1]Canola Complex'!AK$294:AK$302,'[1]Canola Complex'!AL$291:AL$293)</f>
        <v>295.17287126040009</v>
      </c>
      <c r="F13" s="45">
        <f>SUM('[1]Canola Complex'!AL$294:AL$302,'[1]Canola Complex'!AM$291:AM$293)</f>
        <v>558.74513169720001</v>
      </c>
      <c r="G13" s="45">
        <f>SUM('[1]Canola Complex'!AM$294:AM$302,'[1]Canola Complex'!AN$291:AN$293)</f>
        <v>630.32501925540009</v>
      </c>
      <c r="H13" s="45">
        <f>SUM('[1]Canola Complex'!AN$294:AN$302,'[1]Canola Complex'!AO$291:AO$293)</f>
        <v>465.40496361239997</v>
      </c>
      <c r="I13" s="45">
        <f>SUM('[1]Canola Complex'!AO$294:AO$302,'[1]Canola Complex'!AP$291:AP$293)</f>
        <v>541.8766869264</v>
      </c>
      <c r="J13" s="45">
        <f>SUM('[1]Canola Complex'!AP$294:AP$302,'[1]Canola Complex'!AQ$291:AQ$293)</f>
        <v>397.9007607456</v>
      </c>
      <c r="K13" s="45">
        <f>SUM('[1]Canola Complex'!AQ$294:AQ$302,'[1]Canola Complex'!AR$291:AR$293)</f>
        <v>406.11297769560002</v>
      </c>
      <c r="L13" s="45">
        <f>SUM('[1]Canola Complex'!AR$294:AR$302,'[1]Canola Complex'!AS$291:AS$293)</f>
        <v>314.75123739359998</v>
      </c>
      <c r="M13" s="45">
        <f>SUM('[1]Canola Complex'!AS$294:AS$302,'[1]Canola Complex'!AT$291:AT$293)</f>
        <v>553.44786595559992</v>
      </c>
      <c r="N13" s="45">
        <f>SUM('[1]Canola Complex'!AT$294:AT$302,'[1]Canola Complex'!AU$291:AU$293)</f>
        <v>552.53338874999997</v>
      </c>
      <c r="O13" s="45">
        <f>SUM('[1]Canola Complex'!AU$294:AU$302,'[1]Canola Complex'!AV$291:AV$293)</f>
        <v>1057.2937210709999</v>
      </c>
      <c r="P13" s="45">
        <f>SUM('[1]Canola Complex'!AV$294:AV$302,'[1]Canola Complex'!AW$291:AW$293)</f>
        <v>1054.4801824746</v>
      </c>
      <c r="Q13" s="45">
        <f>SUM('[1]Canola Complex'!AW$294:AW$302,'[1]Canola Complex'!AX$291:AX$293)</f>
        <v>724.2251613282001</v>
      </c>
      <c r="R13" s="45">
        <f>SUM('[1]Canola Complex'!AX$294:AX$302,'[1]Canola Complex'!AY$291:AY$293)</f>
        <v>1054.7039516076002</v>
      </c>
      <c r="S13" s="45">
        <f>SUM('[1]Canola Complex'!AY$294:AY$302,'[1]Canola Complex'!AZ$291:AZ$293)</f>
        <v>1201.3130783052</v>
      </c>
      <c r="T13" s="45">
        <f>SUM('[1]Canola Complex'!AZ$294:AZ$302,'[1]Canola Complex'!BA$291:BA$293)</f>
        <v>903.15845578979997</v>
      </c>
      <c r="U13" s="45">
        <f>SUM('[1]Canola Complex'!BA$294:BA$302,'[1]Canola Complex'!BB$291:BB$293)</f>
        <v>1274.0318735885999</v>
      </c>
      <c r="V13" s="45">
        <f>SUM('[1]Canola Complex'!BB$294:BB$302,'[1]Canola Complex'!BC$291:BC$293)</f>
        <v>713.90179835099991</v>
      </c>
      <c r="W13" s="45">
        <f>SUM('[1]Canola Complex'!BC$294:BC$302,'[1]Canola Complex'!BD$291:BD$293)</f>
        <v>477.25701148440004</v>
      </c>
      <c r="X13" s="45">
        <f>SUM('[1]Canola Complex'!BD$294:BD$302,'[1]Canola Complex'!BE$291:BE$293)</f>
        <v>493.03945945800007</v>
      </c>
      <c r="Y13" s="45">
        <f>SUM('[1]Canola Complex'!BE$294:BE$302,'[1]Canola Complex'!BF$291:BF$293)</f>
        <v>507.88014174440002</v>
      </c>
      <c r="Z13" s="45">
        <f>SUM('[1]Canola Complex'!BF$294:BF$302,'[1]Canola Complex'!BG$291:BG$293)</f>
        <v>483.14541944199999</v>
      </c>
      <c r="AA13" s="45">
        <f>SUM('[1]Canola Complex'!BG$294:BG$302,'[1]Canola Complex'!BH$291:BH$293)</f>
        <v>447.33590771287999</v>
      </c>
      <c r="AB13" s="45">
        <f>SUM('[1]Canola Complex'!BH$294:BH$302,'[1]Canola Complex'!BI$291:BI$293)</f>
        <v>411.19984199999993</v>
      </c>
      <c r="AC13" s="45">
        <f>SUM('[1]Canola Complex'!BI$294:BI$302,'[1]Canola Complex'!BJ$291:BJ$293)</f>
        <v>500.45568500000002</v>
      </c>
      <c r="AD13" s="45">
        <f>SUM('[1]Canola Complex'!BJ$294:BJ$302,'[1]Canola Complex'!BK$291:BK$293)</f>
        <v>673.66188245199987</v>
      </c>
      <c r="AE13" s="45">
        <f>SUM('[1]Canola Complex'!BK$294:BK$302,'[1]Canola Complex'!BL$291:BL$293)</f>
        <v>424.848515142</v>
      </c>
      <c r="AF13" s="45">
        <f>SUM('[1]Canola Complex'!BL$294:BL$302,'[1]Canola Complex'!BM$291:BM$293)</f>
        <v>377.80607213999997</v>
      </c>
      <c r="AG13" s="45">
        <f>SUM('[1]Canola Complex'!BM$294:BM$302,'[1]Canola Complex'!BN$291:BN$293)</f>
        <v>297.85461716639998</v>
      </c>
      <c r="AH13" s="45">
        <f>SUM('[1]Canola Complex'!BN$294:BN$302,'[1]Canola Complex'!BO$291:BO$293)</f>
        <v>229.62965273992648</v>
      </c>
      <c r="AI13" s="45">
        <f>SUM('[1]Canola Complex'!BO$294:BO$302,'[1]Canola Complex'!BP$291:BP$293)</f>
        <v>239.07256405326501</v>
      </c>
      <c r="AJ13" s="45">
        <f>SUM('[1]Canola Complex'!BP$294:BP$302,'[1]Canola Complex'!BQ$291:BQ$293)</f>
        <v>239.46768209844711</v>
      </c>
      <c r="AK13" s="45">
        <f>SUM('[1]Canola Complex'!BQ$294:BQ$302,'[1]Canola Complex'!BR$291:BR$293)</f>
        <v>233.52141192017976</v>
      </c>
      <c r="AL13" s="45">
        <f>SUM('[1]Canola Complex'!BR$294:BR$302,'[1]Canola Complex'!BS$291:BS$293)</f>
        <v>234.68203104901136</v>
      </c>
      <c r="AM13" s="45">
        <f>SUM('[1]Canola Complex'!BS$294:BS$302,'[1]Canola Complex'!BT$291:BT$293)</f>
        <v>236.55252618492563</v>
      </c>
      <c r="AN13" s="45">
        <f>SUM('[1]Canola Complex'!BT$294:BT$302,'[1]Canola Complex'!BU$291:BU$293)</f>
        <v>235.27466837216596</v>
      </c>
      <c r="AO13" s="45">
        <f>SUM('[1]Canola Complex'!BU$294:BU$302,'[1]Canola Complex'!BV$291:BV$293)</f>
        <v>236.6592430611658</v>
      </c>
      <c r="AP13" s="45">
        <f>SUM('[1]Canola Complex'!BV$294:BV$302,'[1]Canola Complex'!BW$291:BW$293)</f>
        <v>235.899663924946</v>
      </c>
      <c r="AQ13" s="45">
        <f>SUM('[1]Canola Complex'!BW$294:BW$302,'[1]Canola Complex'!BX$291:BX$293)</f>
        <v>235.33797611748969</v>
      </c>
      <c r="AR13" s="45">
        <f>SUM('[1]Canola Complex'!BX$294:BX$302,'[1]Canola Complex'!BY$291:BY$293)</f>
        <v>235.81362651844296</v>
      </c>
      <c r="AS13" s="45">
        <f>SUM('[1]Canola Complex'!BY$294:BY$302,'[1]Canola Complex'!BZ$291:BZ$293)</f>
        <v>235.94481553213856</v>
      </c>
      <c r="AT13" s="45">
        <f>SUM('[1]Canola Complex'!BZ$294:BZ$302,'[1]Canola Complex'!CA$291:CA$293)</f>
        <v>235.79703559884209</v>
      </c>
      <c r="AU13" s="45">
        <f>SUM('[1]Canola Complex'!CA$294:CA$302,'[1]Canola Complex'!CB$291:CB$293)</f>
        <v>235.93106503083658</v>
      </c>
      <c r="AV13" s="45">
        <f>SUM('[1]Canola Complex'!CB$294:CB$302,'[1]Canola Complex'!CC$291:CC$293)</f>
        <v>235.75862353837186</v>
      </c>
      <c r="AW13" s="45">
        <f>SUM('[1]Canola Complex'!CC$294:CC$302,'[1]Canola Complex'!CD$291:CD$293)</f>
        <v>235.76490375954995</v>
      </c>
      <c r="AX13" s="45">
        <f>SUM('[1]Canola Complex'!CD$294:CD$302,'[1]Canola Complex'!CE$291:CE$293)</f>
        <v>236.12810612404638</v>
      </c>
      <c r="AY13" s="45">
        <f>SUM('[1]Canola Complex'!CE$294:CE$302,'[1]Canola Complex'!CF$291:CF$293)</f>
        <v>238.00532521968728</v>
      </c>
      <c r="AZ13" s="45">
        <f>SUM('[1]Canola Complex'!CF$294:CF$302,'[1]Canola Complex'!CG$291:CG$293)</f>
        <v>239.87251832964293</v>
      </c>
      <c r="BA13" s="45">
        <f>SUM('[1]Canola Complex'!CG$294:CG$302,'[1]Canola Complex'!CH$291:CH$293)</f>
        <v>241.76773726906563</v>
      </c>
      <c r="BB13" s="45">
        <f>SUM('[1]Canola Complex'!CH$294:CH$302,'[1]Canola Complex'!CI$291:CI$293)</f>
        <v>243.63151819547508</v>
      </c>
      <c r="BC13" s="45">
        <f>SUM('[1]Canola Complex'!CI$294:CI$302,'[1]Canola Complex'!CJ$291:CJ$293)</f>
        <v>245.53249928106152</v>
      </c>
      <c r="BD13" s="45">
        <f>SUM('[1]Canola Complex'!CJ$294:CJ$302,'[1]Canola Complex'!CK$291:CK$293)</f>
        <v>247.42755436419617</v>
      </c>
      <c r="BE13" s="45">
        <f>SUM('[1]Canola Complex'!CK$294:CK$302,'[1]Canola Complex'!CL$291:CL$293)</f>
        <v>249.30825260571351</v>
      </c>
      <c r="BF13" s="45">
        <f>SUM('[1]Canola Complex'!CL$294:CL$302,'[1]Canola Complex'!CM$291:CM$293)</f>
        <v>251.19263264625877</v>
      </c>
      <c r="BG13" s="45">
        <f>SUM('[1]Canola Complex'!CM$294:CM$302,'[1]Canola Complex'!CN$291:CN$293)</f>
        <v>253.07979763066251</v>
      </c>
    </row>
    <row r="14" spans="1:71" x14ac:dyDescent="0.2">
      <c r="A14" s="40"/>
      <c r="B14" s="61" t="s">
        <v>80</v>
      </c>
      <c r="C14" s="62" t="e">
        <f t="shared" ref="C14:AA14" si="7">C13+C8</f>
        <v>#REF!</v>
      </c>
      <c r="D14" s="62" t="e">
        <f t="shared" si="7"/>
        <v>#REF!</v>
      </c>
      <c r="E14" s="62" t="e">
        <f t="shared" si="7"/>
        <v>#REF!</v>
      </c>
      <c r="F14" s="62" t="e">
        <f t="shared" si="7"/>
        <v>#REF!</v>
      </c>
      <c r="G14" s="62" t="e">
        <f t="shared" si="7"/>
        <v>#REF!</v>
      </c>
      <c r="H14" s="62" t="e">
        <f t="shared" si="7"/>
        <v>#REF!</v>
      </c>
      <c r="I14" s="62" t="e">
        <f t="shared" si="7"/>
        <v>#REF!</v>
      </c>
      <c r="J14" s="62" t="e">
        <f t="shared" si="7"/>
        <v>#REF!</v>
      </c>
      <c r="K14" s="62" t="e">
        <f t="shared" si="7"/>
        <v>#REF!</v>
      </c>
      <c r="L14" s="62" t="e">
        <f t="shared" si="7"/>
        <v>#REF!</v>
      </c>
      <c r="M14" s="62" t="e">
        <f t="shared" si="7"/>
        <v>#REF!</v>
      </c>
      <c r="N14" s="62" t="e">
        <f t="shared" si="7"/>
        <v>#REF!</v>
      </c>
      <c r="O14" s="62" t="e">
        <f t="shared" si="7"/>
        <v>#REF!</v>
      </c>
      <c r="P14" s="62" t="e">
        <f t="shared" si="7"/>
        <v>#REF!</v>
      </c>
      <c r="Q14" s="62" t="e">
        <f t="shared" si="7"/>
        <v>#REF!</v>
      </c>
      <c r="R14" s="62" t="e">
        <f t="shared" si="7"/>
        <v>#REF!</v>
      </c>
      <c r="S14" s="62" t="e">
        <f t="shared" si="7"/>
        <v>#REF!</v>
      </c>
      <c r="T14" s="62" t="e">
        <f t="shared" si="7"/>
        <v>#REF!</v>
      </c>
      <c r="U14" s="62" t="e">
        <f t="shared" si="7"/>
        <v>#REF!</v>
      </c>
      <c r="V14" s="62" t="e">
        <f t="shared" si="7"/>
        <v>#REF!</v>
      </c>
      <c r="W14" s="62" t="e">
        <f t="shared" si="7"/>
        <v>#REF!</v>
      </c>
      <c r="X14" s="62" t="e">
        <f t="shared" si="7"/>
        <v>#REF!</v>
      </c>
      <c r="Y14" s="62" t="e">
        <f t="shared" si="7"/>
        <v>#REF!</v>
      </c>
      <c r="Z14" s="62" t="e">
        <f t="shared" si="7"/>
        <v>#REF!</v>
      </c>
      <c r="AA14" s="62" t="e">
        <f t="shared" si="7"/>
        <v>#REF!</v>
      </c>
      <c r="AB14" s="62">
        <f>AB7-AB15</f>
        <v>7035.8761739999991</v>
      </c>
      <c r="AC14" s="62">
        <f t="shared" ref="AC14:BG14" si="8">AC7-AC15</f>
        <v>7421.3128179999994</v>
      </c>
      <c r="AD14" s="62">
        <f t="shared" si="8"/>
        <v>7622.6689629020002</v>
      </c>
      <c r="AE14" s="62">
        <f t="shared" si="8"/>
        <v>7461.5903995379995</v>
      </c>
      <c r="AF14" s="62">
        <f t="shared" si="8"/>
        <v>9837.5653760799996</v>
      </c>
      <c r="AG14" s="62">
        <f t="shared" si="8"/>
        <v>11205.112406321201</v>
      </c>
      <c r="AH14" s="62">
        <f t="shared" si="8"/>
        <v>9797.8035975219245</v>
      </c>
      <c r="AI14" s="62">
        <f t="shared" si="8"/>
        <v>9951.6964132339072</v>
      </c>
      <c r="AJ14" s="62">
        <f t="shared" si="8"/>
        <v>10556.744702453141</v>
      </c>
      <c r="AK14" s="62">
        <f t="shared" si="8"/>
        <v>11051.950984306846</v>
      </c>
      <c r="AL14" s="62">
        <f t="shared" si="8"/>
        <v>11562.169038823529</v>
      </c>
      <c r="AM14" s="62">
        <f t="shared" si="8"/>
        <v>12096.178467376956</v>
      </c>
      <c r="AN14" s="62">
        <f t="shared" si="8"/>
        <v>12381.542846153196</v>
      </c>
      <c r="AO14" s="62">
        <f t="shared" si="8"/>
        <v>13401.333273997983</v>
      </c>
      <c r="AP14" s="62">
        <f t="shared" si="8"/>
        <v>13660.499312560343</v>
      </c>
      <c r="AQ14" s="62">
        <f t="shared" si="8"/>
        <v>13891.588663431552</v>
      </c>
      <c r="AR14" s="62">
        <f t="shared" si="8"/>
        <v>14007.020284039843</v>
      </c>
      <c r="AS14" s="62">
        <f t="shared" si="8"/>
        <v>13392.21298543358</v>
      </c>
      <c r="AT14" s="62">
        <f t="shared" si="8"/>
        <v>13659.370278361261</v>
      </c>
      <c r="AU14" s="62">
        <f t="shared" si="8"/>
        <v>14325.411977515569</v>
      </c>
      <c r="AV14" s="62">
        <f t="shared" si="8"/>
        <v>14471.497750803699</v>
      </c>
      <c r="AW14" s="62">
        <f t="shared" si="8"/>
        <v>14383.477962383176</v>
      </c>
      <c r="AX14" s="62">
        <f t="shared" si="8"/>
        <v>14689.790549851827</v>
      </c>
      <c r="AY14" s="62">
        <f t="shared" si="8"/>
        <v>15099.508780255115</v>
      </c>
      <c r="AZ14" s="62">
        <f t="shared" si="8"/>
        <v>15531.790285212368</v>
      </c>
      <c r="BA14" s="62">
        <f t="shared" si="8"/>
        <v>15759.977695136471</v>
      </c>
      <c r="BB14" s="62">
        <f t="shared" si="8"/>
        <v>16024.870102999883</v>
      </c>
      <c r="BC14" s="62">
        <f t="shared" si="8"/>
        <v>16269.927008233284</v>
      </c>
      <c r="BD14" s="62">
        <f t="shared" si="8"/>
        <v>16551.85000493173</v>
      </c>
      <c r="BE14" s="62">
        <f t="shared" si="8"/>
        <v>16828.710295513265</v>
      </c>
      <c r="BF14" s="62">
        <f t="shared" si="8"/>
        <v>17073.144262021531</v>
      </c>
      <c r="BG14" s="62">
        <f t="shared" si="8"/>
        <v>17371.80247454207</v>
      </c>
      <c r="BJ14" s="41">
        <v>4392</v>
      </c>
      <c r="BK14" s="41">
        <v>4237</v>
      </c>
      <c r="BL14" s="41">
        <v>4241</v>
      </c>
      <c r="BM14" s="41">
        <v>4202</v>
      </c>
      <c r="BN14" s="41">
        <v>4316</v>
      </c>
      <c r="BO14" s="41">
        <v>4503</v>
      </c>
      <c r="BP14" s="41">
        <v>4558</v>
      </c>
      <c r="BQ14" s="41">
        <v>4750</v>
      </c>
      <c r="BR14" s="41">
        <v>4810</v>
      </c>
      <c r="BS14" s="41">
        <v>5001</v>
      </c>
    </row>
    <row r="15" spans="1:71" ht="12" thickBot="1" x14ac:dyDescent="0.25">
      <c r="A15" s="40"/>
      <c r="B15" s="40" t="s">
        <v>81</v>
      </c>
      <c r="C15" s="45">
        <f>'[1]Canola Complex'!AJ$405</f>
        <v>96.311953226490346</v>
      </c>
      <c r="D15" s="45">
        <f>'[1]Canola Complex'!AK$405</f>
        <v>90.430267058273458</v>
      </c>
      <c r="E15" s="45">
        <f>'[1]Canola Complex'!AL$405</f>
        <v>96.42809255299106</v>
      </c>
      <c r="F15" s="45">
        <f>'[1]Canola Complex'!AM$405</f>
        <v>94.810788060510689</v>
      </c>
      <c r="G15" s="45">
        <f>'[1]Canola Complex'!AN$405</f>
        <v>94.61845321377865</v>
      </c>
      <c r="H15" s="45">
        <f>'[1]Canola Complex'!AO$405</f>
        <v>140.89271929739658</v>
      </c>
      <c r="I15" s="45">
        <f>'[1]Canola Complex'!AP$405</f>
        <v>156.98969487136429</v>
      </c>
      <c r="J15" s="45">
        <f>'[1]Canola Complex'!AQ$405</f>
        <v>116.12367659772852</v>
      </c>
      <c r="K15" s="45">
        <f>'[1]Canola Complex'!AR$405</f>
        <v>128.19865848406005</v>
      </c>
      <c r="L15" s="45">
        <f>'[1]Canola Complex'!AS$405</f>
        <v>119.98741846768203</v>
      </c>
      <c r="M15" s="45">
        <f>'[1]Canola Complex'!AT$405</f>
        <v>120.89495458241561</v>
      </c>
      <c r="N15" s="45">
        <f>'[1]Canola Complex'!AU$405</f>
        <v>126.7600890688008</v>
      </c>
      <c r="O15" s="45">
        <f>'[1]Canola Complex'!AV$405</f>
        <v>157.97981700094743</v>
      </c>
      <c r="P15" s="45">
        <f>'[1]Canola Complex'!AW$405</f>
        <v>243.08272288137238</v>
      </c>
      <c r="Q15" s="45">
        <f>'[1]Canola Complex'!AX$405</f>
        <v>171.3046676195107</v>
      </c>
      <c r="R15" s="45">
        <f>'[1]Canola Complex'!AY$405</f>
        <v>206.92741300300347</v>
      </c>
      <c r="S15" s="45">
        <f>'[1]Canola Complex'!AZ$405</f>
        <v>332.17273188026138</v>
      </c>
      <c r="T15" s="45">
        <f>'[1]Canola Complex'!BA$405</f>
        <v>250.5858993415336</v>
      </c>
      <c r="U15" s="45">
        <f>'[1]Canola Complex'!BB$405</f>
        <v>259.51288670091469</v>
      </c>
      <c r="V15" s="45">
        <f>'[1]Canola Complex'!BC$405</f>
        <v>316.13079635438066</v>
      </c>
      <c r="W15" s="45">
        <f>'[1]Canola Complex'!BD$405</f>
        <v>324.83666151920545</v>
      </c>
      <c r="X15" s="45">
        <f>'[1]Canola Complex'!BE$405</f>
        <v>353.93053512608589</v>
      </c>
      <c r="Y15" s="45">
        <f>'[1]Canola Complex'!BF$405</f>
        <v>510.12775023910501</v>
      </c>
      <c r="Z15" s="45">
        <f>'[1]Canola Complex'!BG$405</f>
        <v>341.08247760222002</v>
      </c>
      <c r="AA15" s="45">
        <f>'[1]Canola Complex'!BH$405</f>
        <v>363.95143266666662</v>
      </c>
      <c r="AB15" s="45">
        <f>'[1]Canola Complex'!BI$420</f>
        <v>130.749</v>
      </c>
      <c r="AC15" s="45">
        <f>'[1]Canola Complex'!BJ$420</f>
        <v>164.60700000000003</v>
      </c>
      <c r="AD15" s="45">
        <f>'[1]Canola Complex'!BK$420</f>
        <v>139.17099999999999</v>
      </c>
      <c r="AE15" s="45">
        <f>'[1]Canola Complex'!BL$420</f>
        <v>190.64299999999997</v>
      </c>
      <c r="AF15" s="45">
        <f>'[1]Canola Complex'!BM$420</f>
        <v>189.72399999999999</v>
      </c>
      <c r="AG15" s="45">
        <f>'[1]Canola Complex'!BN$420</f>
        <v>126.239</v>
      </c>
      <c r="AH15" s="45">
        <f>'[1]Canola Complex'!BO$420</f>
        <v>120.7846464370175</v>
      </c>
      <c r="AI15" s="45">
        <f>'[1]Canola Complex'!BP$420</f>
        <v>121.33408340879237</v>
      </c>
      <c r="AJ15" s="45">
        <f>'[1]Canola Complex'!BQ$420</f>
        <v>108.54123812992293</v>
      </c>
      <c r="AK15" s="45">
        <f>'[1]Canola Complex'!BR$420</f>
        <v>123.27974810831324</v>
      </c>
      <c r="AL15" s="45">
        <f>'[1]Canola Complex'!BS$420</f>
        <v>140.52565544519518</v>
      </c>
      <c r="AM15" s="45">
        <f>'[1]Canola Complex'!BT$420</f>
        <v>125.48956489892885</v>
      </c>
      <c r="AN15" s="45">
        <f>'[1]Canola Complex'!BU$420</f>
        <v>147.85592704629448</v>
      </c>
      <c r="AO15" s="45">
        <f>'[1]Canola Complex'!BV$420</f>
        <v>149.6192873401875</v>
      </c>
      <c r="AP15" s="45">
        <f>'[1]Canola Complex'!BW$420</f>
        <v>173.54568146562042</v>
      </c>
      <c r="AQ15" s="45">
        <f>'[1]Canola Complex'!BX$420</f>
        <v>182.10512320355076</v>
      </c>
      <c r="AR15" s="45">
        <f>'[1]Canola Complex'!BY$420</f>
        <v>157.01435235986526</v>
      </c>
      <c r="AS15" s="45">
        <f>'[1]Canola Complex'!BZ$420</f>
        <v>191.62569078876641</v>
      </c>
      <c r="AT15" s="45">
        <f>'[1]Canola Complex'!CA$420</f>
        <v>201.11034128484175</v>
      </c>
      <c r="AU15" s="45">
        <f>'[1]Canola Complex'!CB$420</f>
        <v>191.35153964968526</v>
      </c>
      <c r="AV15" s="45">
        <f>'[1]Canola Complex'!CC$420</f>
        <v>208.62983941169432</v>
      </c>
      <c r="AW15" s="45">
        <f>'[1]Canola Complex'!CD$420</f>
        <v>205.44965958865066</v>
      </c>
      <c r="AX15" s="45">
        <f>'[1]Canola Complex'!CE$420</f>
        <v>177.1119611853062</v>
      </c>
      <c r="AY15" s="45">
        <f>'[1]Canola Complex'!CF$420</f>
        <v>184.28132673857363</v>
      </c>
      <c r="AZ15" s="45">
        <f>'[1]Canola Complex'!CG$420</f>
        <v>183.30741370397163</v>
      </c>
      <c r="BA15" s="45">
        <f>'[1]Canola Complex'!CH$420</f>
        <v>207.70328163403406</v>
      </c>
      <c r="BB15" s="45">
        <f>'[1]Canola Complex'!CI$420</f>
        <v>220.49116301477852</v>
      </c>
      <c r="BC15" s="45">
        <f>'[1]Canola Complex'!CJ$420</f>
        <v>227.41280903634151</v>
      </c>
      <c r="BD15" s="45">
        <f>'[1]Canola Complex'!CK$420</f>
        <v>215.60840846528276</v>
      </c>
      <c r="BE15" s="45">
        <f>'[1]Canola Complex'!CL$420</f>
        <v>205.00105201175711</v>
      </c>
      <c r="BF15" s="45">
        <f>'[1]Canola Complex'!CM$420</f>
        <v>206.61403238136722</v>
      </c>
      <c r="BG15" s="45">
        <f>'[1]Canola Complex'!CN$420</f>
        <v>207.66591475500582</v>
      </c>
      <c r="BJ15" s="51">
        <f t="shared" ref="BJ15:BS15" si="9">AE12-BJ14</f>
        <v>1254.7806016060185</v>
      </c>
      <c r="BK15" s="51">
        <f t="shared" si="9"/>
        <v>1840.4904272980002</v>
      </c>
      <c r="BL15" s="51">
        <f t="shared" si="9"/>
        <v>1861.1270744560015</v>
      </c>
      <c r="BM15" s="51">
        <f t="shared" si="9"/>
        <v>1754.8446913368489</v>
      </c>
      <c r="BN15" s="51">
        <f t="shared" si="9"/>
        <v>1688.7223339282809</v>
      </c>
      <c r="BO15" s="51">
        <f t="shared" si="9"/>
        <v>996.77796469784153</v>
      </c>
      <c r="BP15" s="51">
        <f t="shared" si="9"/>
        <v>1370.6717762451472</v>
      </c>
      <c r="BQ15" s="51">
        <f t="shared" si="9"/>
        <v>1370.4447082909392</v>
      </c>
      <c r="BR15" s="51">
        <f t="shared" si="9"/>
        <v>1150.3407533533427</v>
      </c>
      <c r="BS15" s="51">
        <f t="shared" si="9"/>
        <v>631.89228006934718</v>
      </c>
    </row>
    <row r="16" spans="1:71" x14ac:dyDescent="0.2">
      <c r="A16" s="40"/>
      <c r="B16" s="49" t="s">
        <v>161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69">
        <f>MEDIAN('[1]Canola Complex'!BA$450:BA$458,'[1]Canola Complex'!BB$447:BB$449)</f>
        <v>126.88065009580727</v>
      </c>
      <c r="V16" s="69">
        <f>MEDIAN('[1]Canola Complex'!BB$450:BB$458,'[1]Canola Complex'!BC$447:BC$449)</f>
        <v>97.598736512359409</v>
      </c>
      <c r="W16" s="69">
        <f>MEDIAN('[1]Canola Complex'!BC$450:BC$458,'[1]Canola Complex'!BD$447:BD$449)</f>
        <v>186.58919131736366</v>
      </c>
      <c r="X16" s="69">
        <f>MEDIAN('[1]Canola Complex'!BD$450:BD$458,'[1]Canola Complex'!BE$447:BE$449)</f>
        <v>174.92320011781374</v>
      </c>
      <c r="Y16" s="69">
        <f>MEDIAN('[1]Canola Complex'!BE$450:BE$458,'[1]Canola Complex'!BF$447:BF$449)</f>
        <v>182.9952705169348</v>
      </c>
      <c r="Z16" s="69">
        <f>MEDIAN('[1]Canola Complex'!BF$450:BF$458,'[1]Canola Complex'!BG$447:BG$449)</f>
        <v>218.98899999999998</v>
      </c>
      <c r="AA16" s="69">
        <f>MEDIAN('[1]Canola Complex'!BG$450:BG$458,'[1]Canola Complex'!BH$447:BH$449)</f>
        <v>168.87</v>
      </c>
      <c r="AB16" s="69">
        <f>MEDIAN('[1]Canola Complex'!BH$466:BH$474,'[1]Canola Complex'!BI$463:BI$465)</f>
        <v>39.657150000000001</v>
      </c>
      <c r="AC16" s="69">
        <f>MEDIAN('[1]Canola Complex'!BI$466:BI$474,'[1]Canola Complex'!BJ$463:BJ$465)</f>
        <v>42.509249999999994</v>
      </c>
      <c r="AD16" s="69">
        <f>MEDIAN('[1]Canola Complex'!BJ$466:BJ$474,'[1]Canola Complex'!BK$463:BK$465)</f>
        <v>87.649050000000003</v>
      </c>
      <c r="AE16" s="69">
        <f>MEDIAN('[1]Canola Complex'!BK$466:BK$474,'[1]Canola Complex'!BL$463:BL$465)</f>
        <v>96.874200000000002</v>
      </c>
      <c r="AF16" s="69">
        <f>MEDIAN('[1]Canola Complex'!BL$466:BL$474,'[1]Canola Complex'!BM$463:BM$465)</f>
        <v>73.63024999999999</v>
      </c>
      <c r="AG16" s="69">
        <f>MEDIAN('[1]Canola Complex'!BM$466:BM$474,'[1]Canola Complex'!BN$463:BN$465)</f>
        <v>55.095935045198175</v>
      </c>
      <c r="AH16" s="69">
        <f>MEDIAN('[1]Canola Complex'!BN$466:BN$474,'[1]Canola Complex'!BO$463:BO$465)</f>
        <v>56.172473652894126</v>
      </c>
      <c r="AI16" s="69">
        <f>MEDIAN('[1]Canola Complex'!BO$466:BO$474,'[1]Canola Complex'!BP$463:BP$465)</f>
        <v>54.814049311031937</v>
      </c>
      <c r="AJ16" s="69">
        <f>MEDIAN('[1]Canola Complex'!BP$466:BP$474,'[1]Canola Complex'!BQ$463:BQ$465)</f>
        <v>52.97174148693766</v>
      </c>
      <c r="AK16" s="69">
        <f>MEDIAN('[1]Canola Complex'!BQ$466:BQ$474,'[1]Canola Complex'!BR$463:BR$465)</f>
        <v>51.93484476924553</v>
      </c>
      <c r="AL16" s="69">
        <f>MEDIAN('[1]Canola Complex'!BR$466:BR$474,'[1]Canola Complex'!BS$463:BS$465)</f>
        <v>52.83893487690429</v>
      </c>
      <c r="AM16" s="69">
        <f>MEDIAN('[1]Canola Complex'!BS$466:BS$474,'[1]Canola Complex'!BT$463:BT$465)</f>
        <v>57.412719472509423</v>
      </c>
      <c r="AN16" s="69">
        <f>MEDIAN('[1]Canola Complex'!BT$466:BT$474,'[1]Canola Complex'!BU$463:BU$465)</f>
        <v>50.305223631278295</v>
      </c>
      <c r="AO16" s="69">
        <f>MEDIAN('[1]Canola Complex'!BU$466:BU$474,'[1]Canola Complex'!BV$463:BV$465)</f>
        <v>50.902919094967459</v>
      </c>
      <c r="AP16" s="69">
        <f>MEDIAN('[1]Canola Complex'!BV$466:BV$474,'[1]Canola Complex'!BW$463:BW$465)</f>
        <v>65.460549884649666</v>
      </c>
      <c r="AQ16" s="69">
        <f>MEDIAN('[1]Canola Complex'!BW$466:BW$474,'[1]Canola Complex'!BX$463:BX$465)</f>
        <v>68.49287825008264</v>
      </c>
      <c r="AR16" s="69">
        <f>MEDIAN('[1]Canola Complex'!BX$466:BX$474,'[1]Canola Complex'!BY$463:BY$465)</f>
        <v>65.48372452487601</v>
      </c>
      <c r="AS16" s="69">
        <f>MEDIAN('[1]Canola Complex'!BY$466:BY$474,'[1]Canola Complex'!BZ$463:BZ$465)</f>
        <v>55.424927290798465</v>
      </c>
      <c r="AT16" s="69">
        <f>MEDIAN('[1]Canola Complex'!BZ$466:BZ$474,'[1]Canola Complex'!CA$463:CA$465)</f>
        <v>42.58122987989784</v>
      </c>
      <c r="AU16" s="69">
        <f>MEDIAN('[1]Canola Complex'!CA$466:CA$474,'[1]Canola Complex'!CB$463:CB$465)</f>
        <v>39.780847516734141</v>
      </c>
      <c r="AV16" s="69">
        <f>MEDIAN('[1]Canola Complex'!CB$466:CB$474,'[1]Canola Complex'!CC$463:CC$465)</f>
        <v>24.214878149925237</v>
      </c>
      <c r="AW16" s="69">
        <f>MEDIAN('[1]Canola Complex'!CC$466:CC$474,'[1]Canola Complex'!CD$463:CD$465)</f>
        <v>35.623707015937754</v>
      </c>
      <c r="AX16" s="69">
        <f>MEDIAN('[1]Canola Complex'!CD$466:CD$474,'[1]Canola Complex'!CE$463:CE$465)</f>
        <v>50.223225699424603</v>
      </c>
      <c r="AY16" s="69">
        <f>MEDIAN('[1]Canola Complex'!CE$466:CE$474,'[1]Canola Complex'!CF$463:CF$465)</f>
        <v>47.97513384701864</v>
      </c>
      <c r="AZ16" s="69">
        <f>MEDIAN('[1]Canola Complex'!CF$466:CF$474,'[1]Canola Complex'!CG$463:CG$465)</f>
        <v>46.724716621910794</v>
      </c>
      <c r="BA16" s="69">
        <f>MEDIAN('[1]Canola Complex'!CG$466:CG$474,'[1]Canola Complex'!CH$463:CH$465)</f>
        <v>55.436414975717121</v>
      </c>
      <c r="BB16" s="69">
        <f>MEDIAN('[1]Canola Complex'!CH$466:CH$474,'[1]Canola Complex'!CI$463:CI$465)</f>
        <v>59.603207537656495</v>
      </c>
      <c r="BC16" s="69">
        <f>MEDIAN('[1]Canola Complex'!CI$466:CI$474,'[1]Canola Complex'!CJ$463:CJ$465)</f>
        <v>52.402673713819979</v>
      </c>
      <c r="BD16" s="69">
        <f>MEDIAN('[1]Canola Complex'!CJ$466:CJ$474,'[1]Canola Complex'!CK$463:CK$465)</f>
        <v>61.630195114543589</v>
      </c>
      <c r="BE16" s="69">
        <f>MEDIAN('[1]Canola Complex'!CK$466:CK$474,'[1]Canola Complex'!CL$463:CL$465)</f>
        <v>58.638924066521454</v>
      </c>
      <c r="BF16" s="69">
        <f>MEDIAN('[1]Canola Complex'!CL$466:CL$474,'[1]Canola Complex'!CM$463:CM$465)</f>
        <v>77.079704909428401</v>
      </c>
      <c r="BG16" s="69">
        <f>MEDIAN('[1]Canola Complex'!CM$466:CM$474,'[1]Canola Complex'!CN$463:CN$465)</f>
        <v>73.353887016793692</v>
      </c>
    </row>
    <row r="17" spans="1:71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J17" s="41">
        <f>180</f>
        <v>180</v>
      </c>
      <c r="BK17" s="41">
        <v>247</v>
      </c>
      <c r="BL17" s="41">
        <v>207</v>
      </c>
      <c r="BM17" s="41">
        <v>189</v>
      </c>
      <c r="BN17" s="41">
        <v>202</v>
      </c>
      <c r="BO17" s="41">
        <v>149</v>
      </c>
      <c r="BP17" s="41">
        <v>262</v>
      </c>
      <c r="BQ17" s="41">
        <v>246</v>
      </c>
      <c r="BR17" s="41">
        <v>166</v>
      </c>
      <c r="BS17" s="41">
        <v>248</v>
      </c>
    </row>
    <row r="18" spans="1:71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J18" s="51">
        <f t="shared" ref="BJ18:BS18" si="10">AE15-BJ17</f>
        <v>10.642999999999972</v>
      </c>
      <c r="BK18" s="51">
        <f t="shared" si="10"/>
        <v>-57.27600000000001</v>
      </c>
      <c r="BL18" s="51">
        <f t="shared" si="10"/>
        <v>-80.760999999999996</v>
      </c>
      <c r="BM18" s="51">
        <f t="shared" si="10"/>
        <v>-68.2153535629825</v>
      </c>
      <c r="BN18" s="51">
        <f t="shared" si="10"/>
        <v>-80.665916591207633</v>
      </c>
      <c r="BO18" s="51">
        <f t="shared" si="10"/>
        <v>-40.458761870077069</v>
      </c>
      <c r="BP18" s="51">
        <f t="shared" si="10"/>
        <v>-138.72025189168676</v>
      </c>
      <c r="BQ18" s="51">
        <f t="shared" si="10"/>
        <v>-105.47434455480482</v>
      </c>
      <c r="BR18" s="51">
        <f t="shared" si="10"/>
        <v>-40.510435101071153</v>
      </c>
      <c r="BS18" s="51">
        <f t="shared" si="10"/>
        <v>-100.14407295370552</v>
      </c>
    </row>
    <row r="19" spans="1:71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</row>
    <row r="20" spans="1:71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J20" s="41">
        <v>62.4</v>
      </c>
      <c r="BK20" s="41">
        <v>63.9</v>
      </c>
      <c r="BL20" s="41">
        <v>65.2</v>
      </c>
      <c r="BM20" s="41">
        <v>66.099999999999994</v>
      </c>
      <c r="BN20" s="41">
        <v>68.2</v>
      </c>
      <c r="BO20" s="41">
        <v>65.3</v>
      </c>
      <c r="BP20" s="41">
        <v>61.9</v>
      </c>
      <c r="BQ20" s="41">
        <v>59.1</v>
      </c>
      <c r="BR20" s="41">
        <v>58.8</v>
      </c>
      <c r="BS20" s="41">
        <v>59.8</v>
      </c>
    </row>
    <row r="21" spans="1:71" x14ac:dyDescent="0.2">
      <c r="B21" s="41" t="s">
        <v>83</v>
      </c>
      <c r="C21" s="51">
        <f t="shared" ref="C21:BG21" si="11">C7</f>
        <v>2527.8739228171066</v>
      </c>
      <c r="D21" s="51">
        <f t="shared" si="11"/>
        <v>2611.8882379840138</v>
      </c>
      <c r="E21" s="51">
        <f t="shared" si="11"/>
        <v>2920.8964418804608</v>
      </c>
      <c r="F21" s="51">
        <f t="shared" si="11"/>
        <v>3022.0798966364955</v>
      </c>
      <c r="G21" s="51">
        <f t="shared" si="11"/>
        <v>3326.6474813657869</v>
      </c>
      <c r="H21" s="51">
        <f t="shared" si="11"/>
        <v>3488.0913553290575</v>
      </c>
      <c r="I21" s="51">
        <f t="shared" si="11"/>
        <v>3723.0316967231474</v>
      </c>
      <c r="J21" s="51">
        <f t="shared" si="11"/>
        <v>3840.3185310408035</v>
      </c>
      <c r="K21" s="51">
        <f t="shared" si="11"/>
        <v>3369.9314587922763</v>
      </c>
      <c r="L21" s="51">
        <f t="shared" si="11"/>
        <v>3046.2908053506053</v>
      </c>
      <c r="M21" s="51">
        <f t="shared" si="11"/>
        <v>3454.2950909908527</v>
      </c>
      <c r="N21" s="51">
        <f t="shared" si="11"/>
        <v>3739.2523342113991</v>
      </c>
      <c r="O21" s="51">
        <f t="shared" si="11"/>
        <v>4759.0984355924102</v>
      </c>
      <c r="P21" s="51">
        <f t="shared" si="11"/>
        <v>5069.7567816241062</v>
      </c>
      <c r="Q21" s="51">
        <f t="shared" si="11"/>
        <v>6375.6667521257141</v>
      </c>
      <c r="R21" s="51">
        <f t="shared" si="11"/>
        <v>6557.7256466253311</v>
      </c>
      <c r="S21" s="51">
        <f t="shared" si="11"/>
        <v>6850.1067487456658</v>
      </c>
      <c r="T21" s="51">
        <f t="shared" si="11"/>
        <v>8705.1024179600208</v>
      </c>
      <c r="U21" s="51">
        <f t="shared" si="11"/>
        <v>8472.5860295579751</v>
      </c>
      <c r="V21" s="51">
        <f t="shared" si="11"/>
        <v>8023.7173162904164</v>
      </c>
      <c r="W21" s="51">
        <f t="shared" si="11"/>
        <v>9819.500298998395</v>
      </c>
      <c r="X21" s="51">
        <f t="shared" si="11"/>
        <v>10206.738595082987</v>
      </c>
      <c r="Y21" s="51">
        <f t="shared" si="11"/>
        <v>11388.348593285467</v>
      </c>
      <c r="Z21" s="51">
        <f t="shared" si="11"/>
        <v>12177.169341824725</v>
      </c>
      <c r="AA21" s="51">
        <f t="shared" si="11"/>
        <v>11049.48371089544</v>
      </c>
      <c r="AB21" s="51">
        <f t="shared" si="11"/>
        <v>7166.6251739999989</v>
      </c>
      <c r="AC21" s="51">
        <f t="shared" si="11"/>
        <v>7585.9198179999994</v>
      </c>
      <c r="AD21" s="51">
        <f t="shared" si="11"/>
        <v>7761.8399629020005</v>
      </c>
      <c r="AE21" s="51">
        <f t="shared" si="11"/>
        <v>7652.2333995379995</v>
      </c>
      <c r="AF21" s="51">
        <f t="shared" si="11"/>
        <v>10027.28937608</v>
      </c>
      <c r="AG21" s="51">
        <f t="shared" si="11"/>
        <v>11331.351406321201</v>
      </c>
      <c r="AH21" s="51">
        <f t="shared" si="11"/>
        <v>9918.5882439589423</v>
      </c>
      <c r="AI21" s="51">
        <f t="shared" si="11"/>
        <v>10073.030496642699</v>
      </c>
      <c r="AJ21" s="51">
        <f t="shared" si="11"/>
        <v>10665.285940583064</v>
      </c>
      <c r="AK21" s="51">
        <f t="shared" si="11"/>
        <v>11175.230732415159</v>
      </c>
      <c r="AL21" s="51">
        <f t="shared" si="11"/>
        <v>11702.694694268725</v>
      </c>
      <c r="AM21" s="51">
        <f t="shared" si="11"/>
        <v>12221.668032275886</v>
      </c>
      <c r="AN21" s="51">
        <f t="shared" si="11"/>
        <v>12529.398773199489</v>
      </c>
      <c r="AO21" s="51">
        <f t="shared" si="11"/>
        <v>13550.95256133817</v>
      </c>
      <c r="AP21" s="51">
        <f t="shared" si="11"/>
        <v>13834.044994025964</v>
      </c>
      <c r="AQ21" s="51">
        <f t="shared" si="11"/>
        <v>14073.693786635104</v>
      </c>
      <c r="AR21" s="51">
        <f t="shared" si="11"/>
        <v>14164.034636399709</v>
      </c>
      <c r="AS21" s="51">
        <f t="shared" si="11"/>
        <v>13583.838676222345</v>
      </c>
      <c r="AT21" s="51">
        <f t="shared" si="11"/>
        <v>13860.480619646103</v>
      </c>
      <c r="AU21" s="51">
        <f t="shared" si="11"/>
        <v>14516.763517165255</v>
      </c>
      <c r="AV21" s="51">
        <f t="shared" si="11"/>
        <v>14680.127590215394</v>
      </c>
      <c r="AW21" s="51">
        <f t="shared" si="11"/>
        <v>14588.927621971827</v>
      </c>
      <c r="AX21" s="51">
        <f t="shared" si="11"/>
        <v>14866.902511037133</v>
      </c>
      <c r="AY21" s="51">
        <f t="shared" si="11"/>
        <v>15283.790106993689</v>
      </c>
      <c r="AZ21" s="51">
        <f t="shared" si="11"/>
        <v>15715.097698916339</v>
      </c>
      <c r="BA21" s="51">
        <f t="shared" si="11"/>
        <v>15967.680976770505</v>
      </c>
      <c r="BB21" s="51">
        <f t="shared" si="11"/>
        <v>16245.361266014661</v>
      </c>
      <c r="BC21" s="51">
        <f t="shared" si="11"/>
        <v>16497.339817269625</v>
      </c>
      <c r="BD21" s="51">
        <f t="shared" si="11"/>
        <v>16767.458413397013</v>
      </c>
      <c r="BE21" s="51">
        <f t="shared" si="11"/>
        <v>17033.711347525023</v>
      </c>
      <c r="BF21" s="51">
        <f t="shared" si="11"/>
        <v>17279.758294402898</v>
      </c>
      <c r="BG21" s="51">
        <f t="shared" si="11"/>
        <v>17579.468389297075</v>
      </c>
      <c r="BJ21" s="54">
        <f t="shared" ref="BJ21:BS21" si="12">AE16-BJ20</f>
        <v>34.474200000000003</v>
      </c>
      <c r="BK21" s="54">
        <f t="shared" si="12"/>
        <v>9.730249999999991</v>
      </c>
      <c r="BL21" s="54">
        <f t="shared" si="12"/>
        <v>-10.104064954801828</v>
      </c>
      <c r="BM21" s="54">
        <f t="shared" si="12"/>
        <v>-9.9275263471058679</v>
      </c>
      <c r="BN21" s="54">
        <f t="shared" si="12"/>
        <v>-13.385950688968066</v>
      </c>
      <c r="BO21" s="54">
        <f t="shared" si="12"/>
        <v>-12.328258513062337</v>
      </c>
      <c r="BP21" s="54">
        <f t="shared" si="12"/>
        <v>-9.9651552307544691</v>
      </c>
      <c r="BQ21" s="54">
        <f t="shared" si="12"/>
        <v>-6.2610651230957117</v>
      </c>
      <c r="BR21" s="54">
        <f t="shared" si="12"/>
        <v>-1.3872805274905744</v>
      </c>
      <c r="BS21" s="54">
        <f t="shared" si="12"/>
        <v>-9.4947763687217019</v>
      </c>
    </row>
    <row r="22" spans="1:71" x14ac:dyDescent="0.2">
      <c r="B22" s="41" t="s">
        <v>84</v>
      </c>
      <c r="C22" s="51">
        <f>C15</f>
        <v>96.311953226490346</v>
      </c>
      <c r="D22" s="51">
        <f t="shared" ref="D22:AE22" si="13">D15</f>
        <v>90.430267058273458</v>
      </c>
      <c r="E22" s="51">
        <f t="shared" si="13"/>
        <v>96.42809255299106</v>
      </c>
      <c r="F22" s="51">
        <f t="shared" si="13"/>
        <v>94.810788060510689</v>
      </c>
      <c r="G22" s="51">
        <f t="shared" si="13"/>
        <v>94.61845321377865</v>
      </c>
      <c r="H22" s="51">
        <f t="shared" si="13"/>
        <v>140.89271929739658</v>
      </c>
      <c r="I22" s="51">
        <f t="shared" si="13"/>
        <v>156.98969487136429</v>
      </c>
      <c r="J22" s="51">
        <f t="shared" si="13"/>
        <v>116.12367659772852</v>
      </c>
      <c r="K22" s="51">
        <f t="shared" si="13"/>
        <v>128.19865848406005</v>
      </c>
      <c r="L22" s="51">
        <f t="shared" si="13"/>
        <v>119.98741846768203</v>
      </c>
      <c r="M22" s="51">
        <f t="shared" si="13"/>
        <v>120.89495458241561</v>
      </c>
      <c r="N22" s="51">
        <f t="shared" si="13"/>
        <v>126.7600890688008</v>
      </c>
      <c r="O22" s="51">
        <f t="shared" si="13"/>
        <v>157.97981700094743</v>
      </c>
      <c r="P22" s="51">
        <f t="shared" si="13"/>
        <v>243.08272288137238</v>
      </c>
      <c r="Q22" s="51">
        <f t="shared" si="13"/>
        <v>171.3046676195107</v>
      </c>
      <c r="R22" s="51">
        <f t="shared" si="13"/>
        <v>206.92741300300347</v>
      </c>
      <c r="S22" s="51">
        <f t="shared" si="13"/>
        <v>332.17273188026138</v>
      </c>
      <c r="T22" s="51">
        <f t="shared" si="13"/>
        <v>250.5858993415336</v>
      </c>
      <c r="U22" s="51">
        <f t="shared" si="13"/>
        <v>259.51288670091469</v>
      </c>
      <c r="V22" s="51">
        <f t="shared" si="13"/>
        <v>316.13079635438066</v>
      </c>
      <c r="W22" s="51">
        <f t="shared" si="13"/>
        <v>324.83666151920545</v>
      </c>
      <c r="X22" s="51">
        <f t="shared" si="13"/>
        <v>353.93053512608589</v>
      </c>
      <c r="Y22" s="51">
        <f t="shared" si="13"/>
        <v>510.12775023910501</v>
      </c>
      <c r="Z22" s="51">
        <f t="shared" si="13"/>
        <v>341.08247760222002</v>
      </c>
      <c r="AA22" s="51">
        <f t="shared" si="13"/>
        <v>363.95143266666662</v>
      </c>
      <c r="AB22" s="51">
        <f t="shared" si="13"/>
        <v>130.749</v>
      </c>
      <c r="AC22" s="51">
        <f t="shared" si="13"/>
        <v>164.60700000000003</v>
      </c>
      <c r="AD22" s="51">
        <f t="shared" si="13"/>
        <v>139.17099999999999</v>
      </c>
      <c r="AE22" s="51">
        <f t="shared" si="13"/>
        <v>190.64299999999997</v>
      </c>
      <c r="AF22" s="51">
        <f>AF15</f>
        <v>189.72399999999999</v>
      </c>
      <c r="AG22" s="51">
        <f t="shared" ref="AG22:AU22" si="14">AG15</f>
        <v>126.239</v>
      </c>
      <c r="AH22" s="51">
        <f t="shared" si="14"/>
        <v>120.7846464370175</v>
      </c>
      <c r="AI22" s="51">
        <f t="shared" si="14"/>
        <v>121.33408340879237</v>
      </c>
      <c r="AJ22" s="51">
        <f t="shared" si="14"/>
        <v>108.54123812992293</v>
      </c>
      <c r="AK22" s="51">
        <f t="shared" si="14"/>
        <v>123.27974810831324</v>
      </c>
      <c r="AL22" s="51">
        <f t="shared" si="14"/>
        <v>140.52565544519518</v>
      </c>
      <c r="AM22" s="51">
        <f t="shared" si="14"/>
        <v>125.48956489892885</v>
      </c>
      <c r="AN22" s="51">
        <f t="shared" si="14"/>
        <v>147.85592704629448</v>
      </c>
      <c r="AO22" s="51">
        <f t="shared" si="14"/>
        <v>149.6192873401875</v>
      </c>
      <c r="AP22" s="51">
        <f t="shared" si="14"/>
        <v>173.54568146562042</v>
      </c>
      <c r="AQ22" s="51">
        <f t="shared" si="14"/>
        <v>182.10512320355076</v>
      </c>
      <c r="AR22" s="51">
        <f t="shared" si="14"/>
        <v>157.01435235986526</v>
      </c>
      <c r="AS22" s="51">
        <f t="shared" si="14"/>
        <v>191.62569078876641</v>
      </c>
      <c r="AT22" s="51">
        <f t="shared" si="14"/>
        <v>201.11034128484175</v>
      </c>
      <c r="AU22" s="51">
        <f t="shared" si="14"/>
        <v>191.35153964968526</v>
      </c>
      <c r="AV22" s="51">
        <f>AV15</f>
        <v>208.62983941169432</v>
      </c>
      <c r="AW22" s="51">
        <f>AW15</f>
        <v>205.44965958865066</v>
      </c>
      <c r="AX22" s="51">
        <f t="shared" ref="AX22:BE22" si="15">AX15</f>
        <v>177.1119611853062</v>
      </c>
      <c r="AY22" s="51">
        <f t="shared" si="15"/>
        <v>184.28132673857363</v>
      </c>
      <c r="AZ22" s="51">
        <f t="shared" si="15"/>
        <v>183.30741370397163</v>
      </c>
      <c r="BA22" s="51">
        <f t="shared" si="15"/>
        <v>207.70328163403406</v>
      </c>
      <c r="BB22" s="51">
        <f t="shared" si="15"/>
        <v>220.49116301477852</v>
      </c>
      <c r="BC22" s="51">
        <f t="shared" si="15"/>
        <v>227.41280903634151</v>
      </c>
      <c r="BD22" s="51">
        <f t="shared" si="15"/>
        <v>215.60840846528276</v>
      </c>
      <c r="BE22" s="51">
        <f t="shared" si="15"/>
        <v>205.00105201175711</v>
      </c>
      <c r="BF22" s="51">
        <f>BF15</f>
        <v>206.61403238136722</v>
      </c>
      <c r="BG22" s="51">
        <f>BG15</f>
        <v>207.66591475500582</v>
      </c>
    </row>
    <row r="23" spans="1:71" x14ac:dyDescent="0.2">
      <c r="B23" s="41" t="s">
        <v>85</v>
      </c>
      <c r="C23" s="51">
        <f>C21-C22</f>
        <v>2431.5619695906162</v>
      </c>
      <c r="D23" s="51">
        <f t="shared" ref="D23:AE23" si="16">D21-D22</f>
        <v>2521.4579709257405</v>
      </c>
      <c r="E23" s="51">
        <f t="shared" si="16"/>
        <v>2824.4683493274697</v>
      </c>
      <c r="F23" s="51">
        <f t="shared" si="16"/>
        <v>2927.2691085759848</v>
      </c>
      <c r="G23" s="51">
        <f t="shared" si="16"/>
        <v>3232.0290281520083</v>
      </c>
      <c r="H23" s="51">
        <f t="shared" si="16"/>
        <v>3347.198636031661</v>
      </c>
      <c r="I23" s="51">
        <f t="shared" si="16"/>
        <v>3566.042001851783</v>
      </c>
      <c r="J23" s="51">
        <f t="shared" si="16"/>
        <v>3724.1948544430747</v>
      </c>
      <c r="K23" s="51">
        <f t="shared" si="16"/>
        <v>3241.7328003082162</v>
      </c>
      <c r="L23" s="51">
        <f t="shared" si="16"/>
        <v>2926.3033868829234</v>
      </c>
      <c r="M23" s="51">
        <f t="shared" si="16"/>
        <v>3333.400136408437</v>
      </c>
      <c r="N23" s="51">
        <f t="shared" si="16"/>
        <v>3612.4922451425982</v>
      </c>
      <c r="O23" s="51">
        <f t="shared" si="16"/>
        <v>4601.118618591463</v>
      </c>
      <c r="P23" s="51">
        <f t="shared" si="16"/>
        <v>4826.6740587427339</v>
      </c>
      <c r="Q23" s="51">
        <f t="shared" si="16"/>
        <v>6204.3620845062032</v>
      </c>
      <c r="R23" s="51">
        <f t="shared" si="16"/>
        <v>6350.7982336223276</v>
      </c>
      <c r="S23" s="51">
        <f t="shared" si="16"/>
        <v>6517.9340168654044</v>
      </c>
      <c r="T23" s="51">
        <f t="shared" si="16"/>
        <v>8454.5165186184877</v>
      </c>
      <c r="U23" s="51">
        <f t="shared" si="16"/>
        <v>8213.0731428570598</v>
      </c>
      <c r="V23" s="51">
        <f t="shared" si="16"/>
        <v>7707.586519936036</v>
      </c>
      <c r="W23" s="51">
        <f t="shared" si="16"/>
        <v>9494.6636374791888</v>
      </c>
      <c r="X23" s="51">
        <f t="shared" si="16"/>
        <v>9852.8080599569003</v>
      </c>
      <c r="Y23" s="51">
        <f t="shared" si="16"/>
        <v>10878.220843046362</v>
      </c>
      <c r="Z23" s="51">
        <f t="shared" si="16"/>
        <v>11836.086864222505</v>
      </c>
      <c r="AA23" s="51">
        <f t="shared" si="16"/>
        <v>10685.532278228773</v>
      </c>
      <c r="AB23" s="51">
        <f t="shared" si="16"/>
        <v>7035.8761739999991</v>
      </c>
      <c r="AC23" s="51">
        <f t="shared" si="16"/>
        <v>7421.3128179999994</v>
      </c>
      <c r="AD23" s="51">
        <f t="shared" si="16"/>
        <v>7622.6689629020002</v>
      </c>
      <c r="AE23" s="51">
        <f t="shared" si="16"/>
        <v>7461.5903995379995</v>
      </c>
      <c r="AF23" s="51">
        <f>AF21-AF22</f>
        <v>9837.5653760799996</v>
      </c>
      <c r="AG23" s="51">
        <f t="shared" ref="AG23:AU23" si="17">AG21-AG22</f>
        <v>11205.112406321201</v>
      </c>
      <c r="AH23" s="51">
        <f t="shared" si="17"/>
        <v>9797.8035975219245</v>
      </c>
      <c r="AI23" s="51">
        <f t="shared" si="17"/>
        <v>9951.6964132339072</v>
      </c>
      <c r="AJ23" s="51">
        <f t="shared" si="17"/>
        <v>10556.744702453141</v>
      </c>
      <c r="AK23" s="51">
        <f t="shared" si="17"/>
        <v>11051.950984306846</v>
      </c>
      <c r="AL23" s="51">
        <f t="shared" si="17"/>
        <v>11562.169038823529</v>
      </c>
      <c r="AM23" s="51">
        <f t="shared" si="17"/>
        <v>12096.178467376956</v>
      </c>
      <c r="AN23" s="51">
        <f t="shared" si="17"/>
        <v>12381.542846153196</v>
      </c>
      <c r="AO23" s="51">
        <f t="shared" si="17"/>
        <v>13401.333273997983</v>
      </c>
      <c r="AP23" s="51">
        <f t="shared" si="17"/>
        <v>13660.499312560343</v>
      </c>
      <c r="AQ23" s="51">
        <f t="shared" si="17"/>
        <v>13891.588663431552</v>
      </c>
      <c r="AR23" s="51">
        <f t="shared" si="17"/>
        <v>14007.020284039843</v>
      </c>
      <c r="AS23" s="51">
        <f t="shared" si="17"/>
        <v>13392.21298543358</v>
      </c>
      <c r="AT23" s="51">
        <f t="shared" si="17"/>
        <v>13659.370278361261</v>
      </c>
      <c r="AU23" s="51">
        <f t="shared" si="17"/>
        <v>14325.411977515569</v>
      </c>
      <c r="AV23" s="51">
        <f>AV21-AV22</f>
        <v>14471.497750803699</v>
      </c>
      <c r="AW23" s="51">
        <f>AW21-AW22</f>
        <v>14383.477962383176</v>
      </c>
      <c r="AX23" s="51">
        <f t="shared" ref="AX23:BE23" si="18">AX21-AX22</f>
        <v>14689.790549851827</v>
      </c>
      <c r="AY23" s="51">
        <f t="shared" si="18"/>
        <v>15099.508780255115</v>
      </c>
      <c r="AZ23" s="51">
        <f t="shared" si="18"/>
        <v>15531.790285212368</v>
      </c>
      <c r="BA23" s="51">
        <f t="shared" si="18"/>
        <v>15759.977695136471</v>
      </c>
      <c r="BB23" s="51">
        <f t="shared" si="18"/>
        <v>16024.870102999883</v>
      </c>
      <c r="BC23" s="51">
        <f t="shared" si="18"/>
        <v>16269.927008233284</v>
      </c>
      <c r="BD23" s="51">
        <f t="shared" si="18"/>
        <v>16551.85000493173</v>
      </c>
      <c r="BE23" s="51">
        <f t="shared" si="18"/>
        <v>16828.710295513265</v>
      </c>
      <c r="BF23" s="51">
        <f>BF21-BF22</f>
        <v>17073.144262021531</v>
      </c>
      <c r="BG23" s="51">
        <f>BG21-BG22</f>
        <v>17371.80247454207</v>
      </c>
    </row>
    <row r="24" spans="1:71" x14ac:dyDescent="0.2">
      <c r="B24" s="70" t="s">
        <v>86</v>
      </c>
      <c r="C24" s="52" t="e">
        <f>C23-C14</f>
        <v>#REF!</v>
      </c>
      <c r="D24" s="52" t="e">
        <f t="shared" ref="D24:AE24" si="19">D23-D14</f>
        <v>#REF!</v>
      </c>
      <c r="E24" s="52" t="e">
        <f t="shared" si="19"/>
        <v>#REF!</v>
      </c>
      <c r="F24" s="52" t="e">
        <f t="shared" si="19"/>
        <v>#REF!</v>
      </c>
      <c r="G24" s="52" t="e">
        <f t="shared" si="19"/>
        <v>#REF!</v>
      </c>
      <c r="H24" s="52" t="e">
        <f t="shared" si="19"/>
        <v>#REF!</v>
      </c>
      <c r="I24" s="52" t="e">
        <f t="shared" si="19"/>
        <v>#REF!</v>
      </c>
      <c r="J24" s="52" t="e">
        <f t="shared" si="19"/>
        <v>#REF!</v>
      </c>
      <c r="K24" s="52" t="e">
        <f t="shared" si="19"/>
        <v>#REF!</v>
      </c>
      <c r="L24" s="52" t="e">
        <f t="shared" si="19"/>
        <v>#REF!</v>
      </c>
      <c r="M24" s="52" t="e">
        <f t="shared" si="19"/>
        <v>#REF!</v>
      </c>
      <c r="N24" s="52" t="e">
        <f t="shared" si="19"/>
        <v>#REF!</v>
      </c>
      <c r="O24" s="52" t="e">
        <f t="shared" si="19"/>
        <v>#REF!</v>
      </c>
      <c r="P24" s="52" t="e">
        <f t="shared" si="19"/>
        <v>#REF!</v>
      </c>
      <c r="Q24" s="52" t="e">
        <f t="shared" si="19"/>
        <v>#REF!</v>
      </c>
      <c r="R24" s="52" t="e">
        <f t="shared" si="19"/>
        <v>#REF!</v>
      </c>
      <c r="S24" s="52" t="e">
        <f t="shared" si="19"/>
        <v>#REF!</v>
      </c>
      <c r="T24" s="52" t="e">
        <f t="shared" si="19"/>
        <v>#REF!</v>
      </c>
      <c r="U24" s="52" t="e">
        <f t="shared" si="19"/>
        <v>#REF!</v>
      </c>
      <c r="V24" s="52" t="e">
        <f t="shared" si="19"/>
        <v>#REF!</v>
      </c>
      <c r="W24" s="52" t="e">
        <f t="shared" si="19"/>
        <v>#REF!</v>
      </c>
      <c r="X24" s="52" t="e">
        <f t="shared" si="19"/>
        <v>#REF!</v>
      </c>
      <c r="Y24" s="52" t="e">
        <f t="shared" si="19"/>
        <v>#REF!</v>
      </c>
      <c r="Z24" s="52" t="e">
        <f t="shared" si="19"/>
        <v>#REF!</v>
      </c>
      <c r="AA24" s="52" t="e">
        <f t="shared" si="19"/>
        <v>#REF!</v>
      </c>
      <c r="AB24" s="52">
        <f t="shared" si="19"/>
        <v>0</v>
      </c>
      <c r="AC24" s="52">
        <f t="shared" si="19"/>
        <v>0</v>
      </c>
      <c r="AD24" s="52">
        <f t="shared" si="19"/>
        <v>0</v>
      </c>
      <c r="AE24" s="52">
        <f t="shared" si="19"/>
        <v>0</v>
      </c>
      <c r="AF24" s="52">
        <f>AF23-AF14</f>
        <v>0</v>
      </c>
      <c r="AG24" s="52">
        <f t="shared" ref="AG24:AU24" si="20">AG23-AG14</f>
        <v>0</v>
      </c>
      <c r="AH24" s="52">
        <f t="shared" si="20"/>
        <v>0</v>
      </c>
      <c r="AI24" s="52">
        <f t="shared" si="20"/>
        <v>0</v>
      </c>
      <c r="AJ24" s="52">
        <f t="shared" si="20"/>
        <v>0</v>
      </c>
      <c r="AK24" s="52">
        <f t="shared" si="20"/>
        <v>0</v>
      </c>
      <c r="AL24" s="52">
        <f t="shared" si="20"/>
        <v>0</v>
      </c>
      <c r="AM24" s="52">
        <f t="shared" si="20"/>
        <v>0</v>
      </c>
      <c r="AN24" s="52">
        <f t="shared" si="20"/>
        <v>0</v>
      </c>
      <c r="AO24" s="52">
        <f t="shared" si="20"/>
        <v>0</v>
      </c>
      <c r="AP24" s="52">
        <f t="shared" si="20"/>
        <v>0</v>
      </c>
      <c r="AQ24" s="52">
        <f t="shared" si="20"/>
        <v>0</v>
      </c>
      <c r="AR24" s="52">
        <f t="shared" si="20"/>
        <v>0</v>
      </c>
      <c r="AS24" s="52">
        <f t="shared" si="20"/>
        <v>0</v>
      </c>
      <c r="AT24" s="52">
        <f t="shared" si="20"/>
        <v>0</v>
      </c>
      <c r="AU24" s="52">
        <f t="shared" si="20"/>
        <v>0</v>
      </c>
      <c r="AV24" s="52">
        <f>AV23-AV14</f>
        <v>0</v>
      </c>
      <c r="AW24" s="52">
        <f>AW23-AW14</f>
        <v>0</v>
      </c>
      <c r="AX24" s="52">
        <f t="shared" ref="AX24:BE24" si="21">AX23-AX14</f>
        <v>0</v>
      </c>
      <c r="AY24" s="52">
        <f t="shared" si="21"/>
        <v>0</v>
      </c>
      <c r="AZ24" s="52">
        <f t="shared" si="21"/>
        <v>0</v>
      </c>
      <c r="BA24" s="52">
        <f t="shared" si="21"/>
        <v>0</v>
      </c>
      <c r="BB24" s="52">
        <f t="shared" si="21"/>
        <v>0</v>
      </c>
      <c r="BC24" s="52">
        <f t="shared" si="21"/>
        <v>0</v>
      </c>
      <c r="BD24" s="52">
        <f t="shared" si="21"/>
        <v>0</v>
      </c>
      <c r="BE24" s="52">
        <f t="shared" si="21"/>
        <v>0</v>
      </c>
      <c r="BF24" s="52">
        <f>BF23-BF14</f>
        <v>0</v>
      </c>
      <c r="BG24" s="52">
        <f>BG23-BG14</f>
        <v>0</v>
      </c>
    </row>
    <row r="25" spans="1:71" x14ac:dyDescent="0.2">
      <c r="B25" s="41" t="s">
        <v>79</v>
      </c>
      <c r="C25" s="51">
        <f>C13</f>
        <v>188.69866761059998</v>
      </c>
      <c r="D25" s="51">
        <f t="shared" ref="D25:AE25" si="22">D13</f>
        <v>294.78992841900003</v>
      </c>
      <c r="E25" s="51">
        <f t="shared" si="22"/>
        <v>295.17287126040009</v>
      </c>
      <c r="F25" s="51">
        <f t="shared" si="22"/>
        <v>558.74513169720001</v>
      </c>
      <c r="G25" s="51">
        <f t="shared" si="22"/>
        <v>630.32501925540009</v>
      </c>
      <c r="H25" s="51">
        <f t="shared" si="22"/>
        <v>465.40496361239997</v>
      </c>
      <c r="I25" s="51">
        <f t="shared" si="22"/>
        <v>541.8766869264</v>
      </c>
      <c r="J25" s="51">
        <f t="shared" si="22"/>
        <v>397.9007607456</v>
      </c>
      <c r="K25" s="51">
        <f t="shared" si="22"/>
        <v>406.11297769560002</v>
      </c>
      <c r="L25" s="51">
        <f t="shared" si="22"/>
        <v>314.75123739359998</v>
      </c>
      <c r="M25" s="51">
        <f t="shared" si="22"/>
        <v>553.44786595559992</v>
      </c>
      <c r="N25" s="51">
        <f t="shared" si="22"/>
        <v>552.53338874999997</v>
      </c>
      <c r="O25" s="51">
        <f t="shared" si="22"/>
        <v>1057.2937210709999</v>
      </c>
      <c r="P25" s="51">
        <f t="shared" si="22"/>
        <v>1054.4801824746</v>
      </c>
      <c r="Q25" s="51">
        <f t="shared" si="22"/>
        <v>724.2251613282001</v>
      </c>
      <c r="R25" s="51">
        <f t="shared" si="22"/>
        <v>1054.7039516076002</v>
      </c>
      <c r="S25" s="51">
        <f t="shared" si="22"/>
        <v>1201.3130783052</v>
      </c>
      <c r="T25" s="51">
        <f t="shared" si="22"/>
        <v>903.15845578979997</v>
      </c>
      <c r="U25" s="51">
        <f t="shared" si="22"/>
        <v>1274.0318735885999</v>
      </c>
      <c r="V25" s="51">
        <f t="shared" si="22"/>
        <v>713.90179835099991</v>
      </c>
      <c r="W25" s="51">
        <f t="shared" si="22"/>
        <v>477.25701148440004</v>
      </c>
      <c r="X25" s="51">
        <f t="shared" si="22"/>
        <v>493.03945945800007</v>
      </c>
      <c r="Y25" s="51">
        <f t="shared" si="22"/>
        <v>507.88014174440002</v>
      </c>
      <c r="Z25" s="51">
        <f t="shared" si="22"/>
        <v>483.14541944199999</v>
      </c>
      <c r="AA25" s="51">
        <f t="shared" si="22"/>
        <v>447.33590771287999</v>
      </c>
      <c r="AB25" s="51">
        <f t="shared" si="22"/>
        <v>411.19984199999993</v>
      </c>
      <c r="AC25" s="51">
        <f t="shared" si="22"/>
        <v>500.45568500000002</v>
      </c>
      <c r="AD25" s="51">
        <f t="shared" si="22"/>
        <v>673.66188245199987</v>
      </c>
      <c r="AE25" s="51">
        <f t="shared" si="22"/>
        <v>424.848515142</v>
      </c>
      <c r="AF25" s="51">
        <f>AF13</f>
        <v>377.80607213999997</v>
      </c>
      <c r="AG25" s="51">
        <f t="shared" ref="AG25:AU25" si="23">AG13</f>
        <v>297.85461716639998</v>
      </c>
      <c r="AH25" s="51">
        <f t="shared" si="23"/>
        <v>229.62965273992648</v>
      </c>
      <c r="AI25" s="51">
        <f t="shared" si="23"/>
        <v>239.07256405326501</v>
      </c>
      <c r="AJ25" s="51">
        <f t="shared" si="23"/>
        <v>239.46768209844711</v>
      </c>
      <c r="AK25" s="51">
        <f t="shared" si="23"/>
        <v>233.52141192017976</v>
      </c>
      <c r="AL25" s="51">
        <f t="shared" si="23"/>
        <v>234.68203104901136</v>
      </c>
      <c r="AM25" s="51">
        <f t="shared" si="23"/>
        <v>236.55252618492563</v>
      </c>
      <c r="AN25" s="51">
        <f t="shared" si="23"/>
        <v>235.27466837216596</v>
      </c>
      <c r="AO25" s="51">
        <f t="shared" si="23"/>
        <v>236.6592430611658</v>
      </c>
      <c r="AP25" s="51">
        <f t="shared" si="23"/>
        <v>235.899663924946</v>
      </c>
      <c r="AQ25" s="51">
        <f t="shared" si="23"/>
        <v>235.33797611748969</v>
      </c>
      <c r="AR25" s="51">
        <f t="shared" si="23"/>
        <v>235.81362651844296</v>
      </c>
      <c r="AS25" s="51">
        <f t="shared" si="23"/>
        <v>235.94481553213856</v>
      </c>
      <c r="AT25" s="51">
        <f t="shared" si="23"/>
        <v>235.79703559884209</v>
      </c>
      <c r="AU25" s="51">
        <f t="shared" si="23"/>
        <v>235.93106503083658</v>
      </c>
      <c r="AV25" s="51">
        <f>AV13</f>
        <v>235.75862353837186</v>
      </c>
      <c r="AW25" s="51">
        <f>AW13</f>
        <v>235.76490375954995</v>
      </c>
      <c r="AX25" s="51">
        <f t="shared" ref="AX25:BE25" si="24">AX13</f>
        <v>236.12810612404638</v>
      </c>
      <c r="AY25" s="51">
        <f t="shared" si="24"/>
        <v>238.00532521968728</v>
      </c>
      <c r="AZ25" s="51">
        <f t="shared" si="24"/>
        <v>239.87251832964293</v>
      </c>
      <c r="BA25" s="51">
        <f t="shared" si="24"/>
        <v>241.76773726906563</v>
      </c>
      <c r="BB25" s="51">
        <f t="shared" si="24"/>
        <v>243.63151819547508</v>
      </c>
      <c r="BC25" s="51">
        <f t="shared" si="24"/>
        <v>245.53249928106152</v>
      </c>
      <c r="BD25" s="51">
        <f t="shared" si="24"/>
        <v>247.42755436419617</v>
      </c>
      <c r="BE25" s="51">
        <f t="shared" si="24"/>
        <v>249.30825260571351</v>
      </c>
      <c r="BF25" s="51">
        <f>BF13</f>
        <v>251.19263264625877</v>
      </c>
      <c r="BG25" s="51">
        <f>BG13</f>
        <v>253.07979763066251</v>
      </c>
    </row>
    <row r="26" spans="1:71" x14ac:dyDescent="0.2">
      <c r="B26" s="41" t="s">
        <v>157</v>
      </c>
      <c r="C26" s="51">
        <f>C23-C25</f>
        <v>2242.8633019800163</v>
      </c>
      <c r="D26" s="51">
        <f t="shared" ref="D26:AE26" si="25">D23-D25</f>
        <v>2226.6680425067407</v>
      </c>
      <c r="E26" s="51">
        <f t="shared" si="25"/>
        <v>2529.2954780670698</v>
      </c>
      <c r="F26" s="51">
        <f t="shared" si="25"/>
        <v>2368.5239768787847</v>
      </c>
      <c r="G26" s="51">
        <f t="shared" si="25"/>
        <v>2601.7040088966082</v>
      </c>
      <c r="H26" s="51">
        <f t="shared" si="25"/>
        <v>2881.7936724192609</v>
      </c>
      <c r="I26" s="51">
        <f t="shared" si="25"/>
        <v>3024.165314925383</v>
      </c>
      <c r="J26" s="51">
        <f t="shared" si="25"/>
        <v>3326.2940936974746</v>
      </c>
      <c r="K26" s="51">
        <f t="shared" si="25"/>
        <v>2835.6198226126162</v>
      </c>
      <c r="L26" s="51">
        <f t="shared" si="25"/>
        <v>2611.5521494893233</v>
      </c>
      <c r="M26" s="51">
        <f t="shared" si="25"/>
        <v>2779.9522704528372</v>
      </c>
      <c r="N26" s="51">
        <f t="shared" si="25"/>
        <v>3059.9588563925981</v>
      </c>
      <c r="O26" s="51">
        <f t="shared" si="25"/>
        <v>3543.8248975204633</v>
      </c>
      <c r="P26" s="51">
        <f t="shared" si="25"/>
        <v>3772.1938762681339</v>
      </c>
      <c r="Q26" s="51">
        <f t="shared" si="25"/>
        <v>5480.1369231780027</v>
      </c>
      <c r="R26" s="51">
        <f t="shared" si="25"/>
        <v>5296.0942820147275</v>
      </c>
      <c r="S26" s="51">
        <f t="shared" si="25"/>
        <v>5316.6209385602042</v>
      </c>
      <c r="T26" s="51">
        <f t="shared" si="25"/>
        <v>7551.3580628286873</v>
      </c>
      <c r="U26" s="51">
        <f t="shared" si="25"/>
        <v>6939.0412692684604</v>
      </c>
      <c r="V26" s="51">
        <f t="shared" si="25"/>
        <v>6993.6847215850357</v>
      </c>
      <c r="W26" s="51">
        <f t="shared" si="25"/>
        <v>9017.4066259947886</v>
      </c>
      <c r="X26" s="51">
        <f t="shared" si="25"/>
        <v>9359.7686004989009</v>
      </c>
      <c r="Y26" s="51">
        <f t="shared" si="25"/>
        <v>10370.340701301962</v>
      </c>
      <c r="Z26" s="51">
        <f t="shared" si="25"/>
        <v>11352.941444780505</v>
      </c>
      <c r="AA26" s="51">
        <f t="shared" si="25"/>
        <v>10238.196370515892</v>
      </c>
      <c r="AB26" s="51">
        <f t="shared" si="25"/>
        <v>6624.6763319999991</v>
      </c>
      <c r="AC26" s="51">
        <f t="shared" si="25"/>
        <v>6920.8571329999995</v>
      </c>
      <c r="AD26" s="51">
        <f t="shared" si="25"/>
        <v>6949.0070804500001</v>
      </c>
      <c r="AE26" s="51">
        <f t="shared" si="25"/>
        <v>7036.7418843959995</v>
      </c>
      <c r="AF26" s="51">
        <f>AF23-AF25</f>
        <v>9459.7593039399999</v>
      </c>
      <c r="AG26" s="51">
        <f t="shared" ref="AG26:AU26" si="26">AG23-AG25</f>
        <v>10907.257789154801</v>
      </c>
      <c r="AH26" s="51">
        <f t="shared" si="26"/>
        <v>9568.1739447819982</v>
      </c>
      <c r="AI26" s="51">
        <f t="shared" si="26"/>
        <v>9712.6238491806416</v>
      </c>
      <c r="AJ26" s="51">
        <f t="shared" si="26"/>
        <v>10317.277020354693</v>
      </c>
      <c r="AK26" s="51">
        <f t="shared" si="26"/>
        <v>10818.429572386667</v>
      </c>
      <c r="AL26" s="51">
        <f t="shared" si="26"/>
        <v>11327.487007774518</v>
      </c>
      <c r="AM26" s="51">
        <f t="shared" si="26"/>
        <v>11859.625941192031</v>
      </c>
      <c r="AN26" s="51">
        <f t="shared" si="26"/>
        <v>12146.26817778103</v>
      </c>
      <c r="AO26" s="51">
        <f t="shared" si="26"/>
        <v>13164.674030936818</v>
      </c>
      <c r="AP26" s="51">
        <f t="shared" si="26"/>
        <v>13424.599648635398</v>
      </c>
      <c r="AQ26" s="51">
        <f t="shared" si="26"/>
        <v>13656.250687314063</v>
      </c>
      <c r="AR26" s="51">
        <f t="shared" si="26"/>
        <v>13771.206657521401</v>
      </c>
      <c r="AS26" s="51">
        <f t="shared" si="26"/>
        <v>13156.268169901441</v>
      </c>
      <c r="AT26" s="51">
        <f t="shared" si="26"/>
        <v>13423.573242762419</v>
      </c>
      <c r="AU26" s="51">
        <f t="shared" si="26"/>
        <v>14089.480912484732</v>
      </c>
      <c r="AV26" s="51">
        <f>AV23-AV25</f>
        <v>14235.739127265328</v>
      </c>
      <c r="AW26" s="51">
        <f>AW23-AW25</f>
        <v>14147.713058623627</v>
      </c>
      <c r="AX26" s="51">
        <f t="shared" ref="AX26:BE26" si="27">AX23-AX25</f>
        <v>14453.662443727781</v>
      </c>
      <c r="AY26" s="51">
        <f t="shared" si="27"/>
        <v>14861.503455035428</v>
      </c>
      <c r="AZ26" s="51">
        <f t="shared" si="27"/>
        <v>15291.917766882725</v>
      </c>
      <c r="BA26" s="51">
        <f t="shared" si="27"/>
        <v>15518.209957867406</v>
      </c>
      <c r="BB26" s="51">
        <f t="shared" si="27"/>
        <v>15781.238584804409</v>
      </c>
      <c r="BC26" s="51">
        <f t="shared" si="27"/>
        <v>16024.394508952222</v>
      </c>
      <c r="BD26" s="51">
        <f t="shared" si="27"/>
        <v>16304.422450567534</v>
      </c>
      <c r="BE26" s="51">
        <f t="shared" si="27"/>
        <v>16579.40204290755</v>
      </c>
      <c r="BF26" s="51">
        <f>BF23-BF25</f>
        <v>16821.951629375271</v>
      </c>
      <c r="BG26" s="51">
        <f>BG23-BG25</f>
        <v>17118.722676911406</v>
      </c>
    </row>
    <row r="27" spans="1:71" x14ac:dyDescent="0.2">
      <c r="B27" s="70" t="s">
        <v>86</v>
      </c>
      <c r="C27" s="52" t="e">
        <f t="shared" ref="C27:BG27" si="28">C26-C8</f>
        <v>#REF!</v>
      </c>
      <c r="D27" s="52" t="e">
        <f t="shared" si="28"/>
        <v>#REF!</v>
      </c>
      <c r="E27" s="52" t="e">
        <f t="shared" si="28"/>
        <v>#REF!</v>
      </c>
      <c r="F27" s="52" t="e">
        <f t="shared" si="28"/>
        <v>#REF!</v>
      </c>
      <c r="G27" s="52" t="e">
        <f t="shared" si="28"/>
        <v>#REF!</v>
      </c>
      <c r="H27" s="52" t="e">
        <f t="shared" si="28"/>
        <v>#REF!</v>
      </c>
      <c r="I27" s="52" t="e">
        <f t="shared" si="28"/>
        <v>#REF!</v>
      </c>
      <c r="J27" s="52" t="e">
        <f t="shared" si="28"/>
        <v>#REF!</v>
      </c>
      <c r="K27" s="52" t="e">
        <f t="shared" si="28"/>
        <v>#REF!</v>
      </c>
      <c r="L27" s="52" t="e">
        <f t="shared" si="28"/>
        <v>#REF!</v>
      </c>
      <c r="M27" s="52" t="e">
        <f t="shared" si="28"/>
        <v>#REF!</v>
      </c>
      <c r="N27" s="52" t="e">
        <f t="shared" si="28"/>
        <v>#REF!</v>
      </c>
      <c r="O27" s="52" t="e">
        <f t="shared" si="28"/>
        <v>#REF!</v>
      </c>
      <c r="P27" s="52" t="e">
        <f t="shared" si="28"/>
        <v>#REF!</v>
      </c>
      <c r="Q27" s="52" t="e">
        <f t="shared" si="28"/>
        <v>#REF!</v>
      </c>
      <c r="R27" s="52" t="e">
        <f t="shared" si="28"/>
        <v>#REF!</v>
      </c>
      <c r="S27" s="52" t="e">
        <f t="shared" si="28"/>
        <v>#REF!</v>
      </c>
      <c r="T27" s="52" t="e">
        <f t="shared" si="28"/>
        <v>#REF!</v>
      </c>
      <c r="U27" s="52" t="e">
        <f t="shared" si="28"/>
        <v>#REF!</v>
      </c>
      <c r="V27" s="52" t="e">
        <f t="shared" si="28"/>
        <v>#REF!</v>
      </c>
      <c r="W27" s="52" t="e">
        <f t="shared" si="28"/>
        <v>#REF!</v>
      </c>
      <c r="X27" s="52" t="e">
        <f t="shared" si="28"/>
        <v>#REF!</v>
      </c>
      <c r="Y27" s="52" t="e">
        <f t="shared" si="28"/>
        <v>#REF!</v>
      </c>
      <c r="Z27" s="52" t="e">
        <f t="shared" si="28"/>
        <v>#REF!</v>
      </c>
      <c r="AA27" s="52" t="e">
        <f t="shared" si="28"/>
        <v>#REF!</v>
      </c>
      <c r="AB27" s="52">
        <f t="shared" si="28"/>
        <v>0</v>
      </c>
      <c r="AC27" s="52">
        <f t="shared" si="28"/>
        <v>0</v>
      </c>
      <c r="AD27" s="52">
        <f t="shared" si="28"/>
        <v>0</v>
      </c>
      <c r="AE27" s="52">
        <f t="shared" si="28"/>
        <v>0</v>
      </c>
      <c r="AF27" s="52">
        <f t="shared" si="28"/>
        <v>0</v>
      </c>
      <c r="AG27" s="52">
        <f t="shared" si="28"/>
        <v>0</v>
      </c>
      <c r="AH27" s="52">
        <f t="shared" si="28"/>
        <v>0</v>
      </c>
      <c r="AI27" s="52">
        <f t="shared" si="28"/>
        <v>0</v>
      </c>
      <c r="AJ27" s="52">
        <f t="shared" si="28"/>
        <v>0</v>
      </c>
      <c r="AK27" s="52">
        <f t="shared" si="28"/>
        <v>0</v>
      </c>
      <c r="AL27" s="52">
        <f t="shared" si="28"/>
        <v>0</v>
      </c>
      <c r="AM27" s="52">
        <f t="shared" si="28"/>
        <v>0</v>
      </c>
      <c r="AN27" s="52">
        <f t="shared" si="28"/>
        <v>0</v>
      </c>
      <c r="AO27" s="52">
        <f t="shared" si="28"/>
        <v>0</v>
      </c>
      <c r="AP27" s="52">
        <f t="shared" si="28"/>
        <v>0</v>
      </c>
      <c r="AQ27" s="52">
        <f t="shared" si="28"/>
        <v>0</v>
      </c>
      <c r="AR27" s="52">
        <f t="shared" si="28"/>
        <v>0</v>
      </c>
      <c r="AS27" s="52">
        <f t="shared" si="28"/>
        <v>0</v>
      </c>
      <c r="AT27" s="52">
        <f t="shared" si="28"/>
        <v>0</v>
      </c>
      <c r="AU27" s="52">
        <f t="shared" si="28"/>
        <v>0</v>
      </c>
      <c r="AV27" s="52">
        <f t="shared" si="28"/>
        <v>0</v>
      </c>
      <c r="AW27" s="52">
        <f t="shared" si="28"/>
        <v>0</v>
      </c>
      <c r="AX27" s="52">
        <f t="shared" si="28"/>
        <v>0</v>
      </c>
      <c r="AY27" s="52">
        <f t="shared" si="28"/>
        <v>0</v>
      </c>
      <c r="AZ27" s="52">
        <f t="shared" si="28"/>
        <v>0</v>
      </c>
      <c r="BA27" s="52">
        <f t="shared" si="28"/>
        <v>0</v>
      </c>
      <c r="BB27" s="52">
        <f t="shared" si="28"/>
        <v>0</v>
      </c>
      <c r="BC27" s="52">
        <f t="shared" si="28"/>
        <v>0</v>
      </c>
      <c r="BD27" s="52">
        <f t="shared" si="28"/>
        <v>0</v>
      </c>
      <c r="BE27" s="52">
        <f t="shared" si="28"/>
        <v>0</v>
      </c>
      <c r="BF27" s="52">
        <f t="shared" si="28"/>
        <v>0</v>
      </c>
      <c r="BG27" s="52">
        <f t="shared" si="28"/>
        <v>0</v>
      </c>
    </row>
    <row r="28" spans="1:71" x14ac:dyDescent="0.2">
      <c r="B28" s="41" t="s">
        <v>158</v>
      </c>
      <c r="C28" s="51" t="e">
        <f t="shared" ref="C28:BE28" si="29">C9</f>
        <v>#REF!</v>
      </c>
      <c r="D28" s="51" t="e">
        <f t="shared" si="29"/>
        <v>#REF!</v>
      </c>
      <c r="E28" s="51" t="e">
        <f t="shared" si="29"/>
        <v>#REF!</v>
      </c>
      <c r="F28" s="51" t="e">
        <f t="shared" si="29"/>
        <v>#REF!</v>
      </c>
      <c r="G28" s="51" t="e">
        <f t="shared" si="29"/>
        <v>#REF!</v>
      </c>
      <c r="H28" s="51" t="e">
        <f t="shared" si="29"/>
        <v>#REF!</v>
      </c>
      <c r="I28" s="51" t="e">
        <f t="shared" si="29"/>
        <v>#REF!</v>
      </c>
      <c r="J28" s="51" t="e">
        <f t="shared" si="29"/>
        <v>#REF!</v>
      </c>
      <c r="K28" s="51" t="e">
        <f t="shared" si="29"/>
        <v>#REF!</v>
      </c>
      <c r="L28" s="51" t="e">
        <f t="shared" si="29"/>
        <v>#REF!</v>
      </c>
      <c r="M28" s="51" t="e">
        <f t="shared" si="29"/>
        <v>#REF!</v>
      </c>
      <c r="N28" s="51" t="e">
        <f t="shared" si="29"/>
        <v>#REF!</v>
      </c>
      <c r="O28" s="51" t="e">
        <f t="shared" si="29"/>
        <v>#REF!</v>
      </c>
      <c r="P28" s="51" t="e">
        <f t="shared" si="29"/>
        <v>#REF!</v>
      </c>
      <c r="Q28" s="51" t="e">
        <f t="shared" si="29"/>
        <v>#REF!</v>
      </c>
      <c r="R28" s="51" t="e">
        <f t="shared" si="29"/>
        <v>#REF!</v>
      </c>
      <c r="S28" s="51" t="e">
        <f t="shared" si="29"/>
        <v>#REF!</v>
      </c>
      <c r="T28" s="51" t="e">
        <f t="shared" si="29"/>
        <v>#REF!</v>
      </c>
      <c r="U28" s="51" t="e">
        <f t="shared" si="29"/>
        <v>#REF!</v>
      </c>
      <c r="V28" s="51" t="e">
        <f t="shared" si="29"/>
        <v>#REF!</v>
      </c>
      <c r="W28" s="51" t="e">
        <f t="shared" si="29"/>
        <v>#REF!</v>
      </c>
      <c r="X28" s="51" t="e">
        <f t="shared" si="29"/>
        <v>#REF!</v>
      </c>
      <c r="Y28" s="51" t="e">
        <f t="shared" si="29"/>
        <v>#REF!</v>
      </c>
      <c r="Z28" s="51" t="e">
        <f t="shared" si="29"/>
        <v>#REF!</v>
      </c>
      <c r="AA28" s="51" t="e">
        <f t="shared" si="29"/>
        <v>#REF!</v>
      </c>
      <c r="AB28" s="51">
        <f t="shared" si="29"/>
        <v>1230.2568991032126</v>
      </c>
      <c r="AC28" s="51">
        <f t="shared" si="29"/>
        <v>1217.4562033160075</v>
      </c>
      <c r="AD28" s="51">
        <f t="shared" si="29"/>
        <v>1844.0480362855842</v>
      </c>
      <c r="AE28" s="51">
        <f t="shared" si="29"/>
        <v>1389.9612827899809</v>
      </c>
      <c r="AF28" s="51">
        <f t="shared" si="29"/>
        <v>3382.2688766419997</v>
      </c>
      <c r="AG28" s="51">
        <f t="shared" si="29"/>
        <v>4805.1307146987992</v>
      </c>
      <c r="AH28" s="51">
        <f t="shared" si="29"/>
        <v>3611.3292534451493</v>
      </c>
      <c r="AI28" s="51">
        <f t="shared" si="29"/>
        <v>3707.9015152523612</v>
      </c>
      <c r="AJ28" s="51">
        <f t="shared" si="29"/>
        <v>4817.4990556568519</v>
      </c>
      <c r="AK28" s="51">
        <f t="shared" si="29"/>
        <v>4889.75779614152</v>
      </c>
      <c r="AL28" s="51">
        <f t="shared" si="29"/>
        <v>5207.042299483579</v>
      </c>
      <c r="AM28" s="51">
        <f t="shared" si="29"/>
        <v>5899.2851878386882</v>
      </c>
      <c r="AN28" s="51">
        <f t="shared" si="29"/>
        <v>6513.3758977116831</v>
      </c>
      <c r="AO28" s="51">
        <f t="shared" si="29"/>
        <v>7622.0739729804191</v>
      </c>
      <c r="AP28" s="51">
        <f t="shared" si="29"/>
        <v>7560.7736490884899</v>
      </c>
      <c r="AQ28" s="51">
        <f t="shared" si="29"/>
        <v>7755.393527908137</v>
      </c>
      <c r="AR28" s="51">
        <f t="shared" si="29"/>
        <v>7988.4231187240348</v>
      </c>
      <c r="AS28" s="51">
        <f t="shared" si="29"/>
        <v>6914.5063007611188</v>
      </c>
      <c r="AT28" s="51">
        <f t="shared" si="29"/>
        <v>7353.5314660642362</v>
      </c>
      <c r="AU28" s="51">
        <f t="shared" si="29"/>
        <v>8049.9594200242936</v>
      </c>
      <c r="AV28" s="51">
        <f t="shared" si="29"/>
        <v>8056.0940206645582</v>
      </c>
      <c r="AW28" s="51">
        <f t="shared" si="29"/>
        <v>7632.5978266788889</v>
      </c>
      <c r="AX28" s="51">
        <f t="shared" si="29"/>
        <v>7976.3695761996169</v>
      </c>
      <c r="AY28" s="51">
        <f t="shared" si="29"/>
        <v>8299.6869915400748</v>
      </c>
      <c r="AZ28" s="51">
        <f t="shared" si="29"/>
        <v>8713.7018794833839</v>
      </c>
      <c r="BA28" s="51">
        <f t="shared" si="29"/>
        <v>8838.2819217184042</v>
      </c>
      <c r="BB28" s="51">
        <f t="shared" si="29"/>
        <v>8928.6414608348987</v>
      </c>
      <c r="BC28" s="51">
        <f t="shared" si="29"/>
        <v>8949.0641952875467</v>
      </c>
      <c r="BD28" s="51">
        <f t="shared" si="29"/>
        <v>9263.1440248526796</v>
      </c>
      <c r="BE28" s="51">
        <f t="shared" si="29"/>
        <v>9416.7516310529591</v>
      </c>
      <c r="BF28" s="51">
        <f>BF9</f>
        <v>9564.89738247489</v>
      </c>
      <c r="BG28" s="51">
        <f>BG9</f>
        <v>9858.949937951933</v>
      </c>
    </row>
    <row r="29" spans="1:71" x14ac:dyDescent="0.2">
      <c r="B29" s="41" t="s">
        <v>159</v>
      </c>
      <c r="C29" s="51" t="e">
        <f>C26-C28</f>
        <v>#REF!</v>
      </c>
      <c r="D29" s="51" t="e">
        <f t="shared" ref="D29:AE29" si="30">D26-D28</f>
        <v>#REF!</v>
      </c>
      <c r="E29" s="51" t="e">
        <f t="shared" si="30"/>
        <v>#REF!</v>
      </c>
      <c r="F29" s="51" t="e">
        <f t="shared" si="30"/>
        <v>#REF!</v>
      </c>
      <c r="G29" s="51" t="e">
        <f t="shared" si="30"/>
        <v>#REF!</v>
      </c>
      <c r="H29" s="51" t="e">
        <f t="shared" si="30"/>
        <v>#REF!</v>
      </c>
      <c r="I29" s="51" t="e">
        <f t="shared" si="30"/>
        <v>#REF!</v>
      </c>
      <c r="J29" s="51" t="e">
        <f t="shared" si="30"/>
        <v>#REF!</v>
      </c>
      <c r="K29" s="51" t="e">
        <f t="shared" si="30"/>
        <v>#REF!</v>
      </c>
      <c r="L29" s="51" t="e">
        <f t="shared" si="30"/>
        <v>#REF!</v>
      </c>
      <c r="M29" s="51" t="e">
        <f t="shared" si="30"/>
        <v>#REF!</v>
      </c>
      <c r="N29" s="51" t="e">
        <f t="shared" si="30"/>
        <v>#REF!</v>
      </c>
      <c r="O29" s="51" t="e">
        <f t="shared" si="30"/>
        <v>#REF!</v>
      </c>
      <c r="P29" s="51" t="e">
        <f t="shared" si="30"/>
        <v>#REF!</v>
      </c>
      <c r="Q29" s="51" t="e">
        <f t="shared" si="30"/>
        <v>#REF!</v>
      </c>
      <c r="R29" s="51" t="e">
        <f t="shared" si="30"/>
        <v>#REF!</v>
      </c>
      <c r="S29" s="51" t="e">
        <f t="shared" si="30"/>
        <v>#REF!</v>
      </c>
      <c r="T29" s="51" t="e">
        <f t="shared" si="30"/>
        <v>#REF!</v>
      </c>
      <c r="U29" s="51" t="e">
        <f t="shared" si="30"/>
        <v>#REF!</v>
      </c>
      <c r="V29" s="51" t="e">
        <f t="shared" si="30"/>
        <v>#REF!</v>
      </c>
      <c r="W29" s="51" t="e">
        <f t="shared" si="30"/>
        <v>#REF!</v>
      </c>
      <c r="X29" s="51" t="e">
        <f t="shared" si="30"/>
        <v>#REF!</v>
      </c>
      <c r="Y29" s="51" t="e">
        <f t="shared" si="30"/>
        <v>#REF!</v>
      </c>
      <c r="Z29" s="51" t="e">
        <f t="shared" si="30"/>
        <v>#REF!</v>
      </c>
      <c r="AA29" s="51" t="e">
        <f t="shared" si="30"/>
        <v>#REF!</v>
      </c>
      <c r="AB29" s="51">
        <f t="shared" si="30"/>
        <v>5394.419432896786</v>
      </c>
      <c r="AC29" s="51">
        <f t="shared" si="30"/>
        <v>5703.4009296839922</v>
      </c>
      <c r="AD29" s="51">
        <f t="shared" si="30"/>
        <v>5104.9590441644159</v>
      </c>
      <c r="AE29" s="51">
        <f t="shared" si="30"/>
        <v>5646.7806016060185</v>
      </c>
      <c r="AF29" s="51">
        <f>AF26-AF28</f>
        <v>6077.4904272980002</v>
      </c>
      <c r="AG29" s="51">
        <f t="shared" ref="AG29:AU29" si="31">AG26-AG28</f>
        <v>6102.1270744560015</v>
      </c>
      <c r="AH29" s="51">
        <f t="shared" si="31"/>
        <v>5956.8446913368489</v>
      </c>
      <c r="AI29" s="51">
        <f t="shared" si="31"/>
        <v>6004.7223339282809</v>
      </c>
      <c r="AJ29" s="51">
        <f t="shared" si="31"/>
        <v>5499.7779646978415</v>
      </c>
      <c r="AK29" s="51">
        <f t="shared" si="31"/>
        <v>5928.6717762451472</v>
      </c>
      <c r="AL29" s="51">
        <f t="shared" si="31"/>
        <v>6120.4447082909392</v>
      </c>
      <c r="AM29" s="51">
        <f t="shared" si="31"/>
        <v>5960.3407533533427</v>
      </c>
      <c r="AN29" s="51">
        <f t="shared" si="31"/>
        <v>5632.8922800693472</v>
      </c>
      <c r="AO29" s="51">
        <f t="shared" si="31"/>
        <v>5542.6000579563988</v>
      </c>
      <c r="AP29" s="51">
        <f t="shared" si="31"/>
        <v>5863.825999546908</v>
      </c>
      <c r="AQ29" s="51">
        <f t="shared" si="31"/>
        <v>5900.8571594059258</v>
      </c>
      <c r="AR29" s="51">
        <f t="shared" si="31"/>
        <v>5782.7835387973664</v>
      </c>
      <c r="AS29" s="51">
        <f t="shared" si="31"/>
        <v>6241.7618691403222</v>
      </c>
      <c r="AT29" s="51">
        <f t="shared" si="31"/>
        <v>6070.0417766981827</v>
      </c>
      <c r="AU29" s="51">
        <f t="shared" si="31"/>
        <v>6039.5214924604388</v>
      </c>
      <c r="AV29" s="51">
        <f>AV26-AV28</f>
        <v>6179.6451066007694</v>
      </c>
      <c r="AW29" s="51">
        <f>AW26-AW28</f>
        <v>6515.1152319447383</v>
      </c>
      <c r="AX29" s="51">
        <f t="shared" ref="AX29:BE29" si="32">AX26-AX28</f>
        <v>6477.2928675281637</v>
      </c>
      <c r="AY29" s="51">
        <f t="shared" si="32"/>
        <v>6561.8164634953537</v>
      </c>
      <c r="AZ29" s="51">
        <f t="shared" si="32"/>
        <v>6578.2158873993412</v>
      </c>
      <c r="BA29" s="51">
        <f t="shared" si="32"/>
        <v>6679.9280361490019</v>
      </c>
      <c r="BB29" s="51">
        <f t="shared" si="32"/>
        <v>6852.59712396951</v>
      </c>
      <c r="BC29" s="51">
        <f t="shared" si="32"/>
        <v>7075.3303136646755</v>
      </c>
      <c r="BD29" s="51">
        <f t="shared" si="32"/>
        <v>7041.2784257148542</v>
      </c>
      <c r="BE29" s="51">
        <f t="shared" si="32"/>
        <v>7162.6504118545909</v>
      </c>
      <c r="BF29" s="51">
        <f>BF26-BF28</f>
        <v>7257.0542469003813</v>
      </c>
      <c r="BG29" s="51">
        <f>BG26-BG28</f>
        <v>7259.7727389594729</v>
      </c>
    </row>
    <row r="30" spans="1:71" x14ac:dyDescent="0.2">
      <c r="B30" s="70" t="s">
        <v>86</v>
      </c>
      <c r="C30" s="52" t="e">
        <f>C29-C12</f>
        <v>#REF!</v>
      </c>
      <c r="D30" s="52" t="e">
        <f t="shared" ref="D30:AE30" si="33">D29-D12</f>
        <v>#REF!</v>
      </c>
      <c r="E30" s="52" t="e">
        <f t="shared" si="33"/>
        <v>#REF!</v>
      </c>
      <c r="F30" s="52" t="e">
        <f t="shared" si="33"/>
        <v>#REF!</v>
      </c>
      <c r="G30" s="52" t="e">
        <f t="shared" si="33"/>
        <v>#REF!</v>
      </c>
      <c r="H30" s="52" t="e">
        <f t="shared" si="33"/>
        <v>#REF!</v>
      </c>
      <c r="I30" s="52" t="e">
        <f t="shared" si="33"/>
        <v>#REF!</v>
      </c>
      <c r="J30" s="52" t="e">
        <f t="shared" si="33"/>
        <v>#REF!</v>
      </c>
      <c r="K30" s="52" t="e">
        <f t="shared" si="33"/>
        <v>#REF!</v>
      </c>
      <c r="L30" s="52" t="e">
        <f t="shared" si="33"/>
        <v>#REF!</v>
      </c>
      <c r="M30" s="52" t="e">
        <f t="shared" si="33"/>
        <v>#REF!</v>
      </c>
      <c r="N30" s="52" t="e">
        <f t="shared" si="33"/>
        <v>#REF!</v>
      </c>
      <c r="O30" s="52" t="e">
        <f t="shared" si="33"/>
        <v>#REF!</v>
      </c>
      <c r="P30" s="52" t="e">
        <f t="shared" si="33"/>
        <v>#REF!</v>
      </c>
      <c r="Q30" s="52" t="e">
        <f t="shared" si="33"/>
        <v>#REF!</v>
      </c>
      <c r="R30" s="52" t="e">
        <f t="shared" si="33"/>
        <v>#REF!</v>
      </c>
      <c r="S30" s="52" t="e">
        <f t="shared" si="33"/>
        <v>#REF!</v>
      </c>
      <c r="T30" s="52" t="e">
        <f t="shared" si="33"/>
        <v>#REF!</v>
      </c>
      <c r="U30" s="52" t="e">
        <f t="shared" si="33"/>
        <v>#REF!</v>
      </c>
      <c r="V30" s="52" t="e">
        <f t="shared" si="33"/>
        <v>#REF!</v>
      </c>
      <c r="W30" s="52" t="e">
        <f t="shared" si="33"/>
        <v>#REF!</v>
      </c>
      <c r="X30" s="52" t="e">
        <f t="shared" si="33"/>
        <v>#REF!</v>
      </c>
      <c r="Y30" s="52" t="e">
        <f t="shared" si="33"/>
        <v>#REF!</v>
      </c>
      <c r="Z30" s="52" t="e">
        <f t="shared" si="33"/>
        <v>#REF!</v>
      </c>
      <c r="AA30" s="52" t="e">
        <f t="shared" si="33"/>
        <v>#REF!</v>
      </c>
      <c r="AB30" s="52">
        <f t="shared" si="33"/>
        <v>0</v>
      </c>
      <c r="AC30" s="52">
        <f t="shared" si="33"/>
        <v>0</v>
      </c>
      <c r="AD30" s="52">
        <f t="shared" si="33"/>
        <v>0</v>
      </c>
      <c r="AE30" s="52">
        <f t="shared" si="33"/>
        <v>0</v>
      </c>
      <c r="AF30" s="52">
        <f>AF29-AF12</f>
        <v>0</v>
      </c>
      <c r="AG30" s="52">
        <f t="shared" ref="AG30:AU30" si="34">AG29-AG12</f>
        <v>0</v>
      </c>
      <c r="AH30" s="52">
        <f t="shared" si="34"/>
        <v>0</v>
      </c>
      <c r="AI30" s="52">
        <f t="shared" si="34"/>
        <v>0</v>
      </c>
      <c r="AJ30" s="52">
        <f t="shared" si="34"/>
        <v>0</v>
      </c>
      <c r="AK30" s="52">
        <f t="shared" si="34"/>
        <v>0</v>
      </c>
      <c r="AL30" s="52">
        <f t="shared" si="34"/>
        <v>0</v>
      </c>
      <c r="AM30" s="52">
        <f t="shared" si="34"/>
        <v>0</v>
      </c>
      <c r="AN30" s="52">
        <f t="shared" si="34"/>
        <v>0</v>
      </c>
      <c r="AO30" s="52">
        <f t="shared" si="34"/>
        <v>0</v>
      </c>
      <c r="AP30" s="52">
        <f t="shared" si="34"/>
        <v>0</v>
      </c>
      <c r="AQ30" s="52">
        <f t="shared" si="34"/>
        <v>0</v>
      </c>
      <c r="AR30" s="52">
        <f t="shared" si="34"/>
        <v>0</v>
      </c>
      <c r="AS30" s="52">
        <f t="shared" si="34"/>
        <v>0</v>
      </c>
      <c r="AT30" s="52">
        <f t="shared" si="34"/>
        <v>0</v>
      </c>
      <c r="AU30" s="52">
        <f t="shared" si="34"/>
        <v>0</v>
      </c>
      <c r="AV30" s="52">
        <f>AV29-AV12</f>
        <v>0</v>
      </c>
      <c r="AW30" s="52">
        <f>AW29-AW12</f>
        <v>0</v>
      </c>
      <c r="AX30" s="52">
        <f t="shared" ref="AX30:BE30" si="35">AX29-AX12</f>
        <v>0</v>
      </c>
      <c r="AY30" s="52">
        <f t="shared" si="35"/>
        <v>0</v>
      </c>
      <c r="AZ30" s="52">
        <f t="shared" si="35"/>
        <v>0</v>
      </c>
      <c r="BA30" s="52">
        <f t="shared" si="35"/>
        <v>0</v>
      </c>
      <c r="BB30" s="52">
        <f t="shared" si="35"/>
        <v>0</v>
      </c>
      <c r="BC30" s="52">
        <f t="shared" si="35"/>
        <v>0</v>
      </c>
      <c r="BD30" s="52">
        <f t="shared" si="35"/>
        <v>0</v>
      </c>
      <c r="BE30" s="52">
        <f t="shared" si="35"/>
        <v>0</v>
      </c>
      <c r="BF30" s="52">
        <f>BF29-BF12</f>
        <v>0</v>
      </c>
      <c r="BG30" s="52">
        <f>BG29-BG12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8EB7-3A88-44D5-AEF3-BE48A1B65819}">
  <dimension ref="A1:BK32"/>
  <sheetViews>
    <sheetView zoomScaleNormal="100" workbookViewId="0">
      <pane xSplit="18" ySplit="3" topLeftCell="AB4" activePane="bottomRight" state="frozen"/>
      <selection activeCell="M14" sqref="M14"/>
      <selection pane="topRight" activeCell="M14" sqref="M14"/>
      <selection pane="bottomLeft" activeCell="M14" sqref="M14"/>
      <selection pane="bottomRight" activeCell="M14" sqref="M14"/>
    </sheetView>
  </sheetViews>
  <sheetFormatPr defaultColWidth="9" defaultRowHeight="11.25" x14ac:dyDescent="0.2"/>
  <cols>
    <col min="1" max="1" width="4.1640625" style="41" customWidth="1"/>
    <col min="2" max="2" width="58.33203125" style="41" customWidth="1"/>
    <col min="3" max="18" width="1.5" style="41" hidden="1" customWidth="1"/>
    <col min="19" max="27" width="9.33203125" style="41" hidden="1" customWidth="1"/>
    <col min="28" max="28" width="9.33203125" style="41" customWidth="1"/>
    <col min="29" max="29" width="9" style="41" customWidth="1"/>
    <col min="30" max="40" width="9" style="41"/>
    <col min="41" max="49" width="9" style="41" customWidth="1"/>
    <col min="50" max="16384" width="9" style="41"/>
  </cols>
  <sheetData>
    <row r="1" spans="1:63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63" ht="12" thickBot="1" x14ac:dyDescent="0.25">
      <c r="A2" s="40"/>
      <c r="B2" s="40" t="s">
        <v>162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 spans="1:63" ht="12" thickBot="1" x14ac:dyDescent="0.25">
      <c r="A3" s="40"/>
      <c r="B3" s="58"/>
      <c r="C3" s="44">
        <f>SBO!C3</f>
        <v>1994</v>
      </c>
      <c r="D3" s="44">
        <f>SBO!D3</f>
        <v>1995</v>
      </c>
      <c r="E3" s="44">
        <f>SBO!E3</f>
        <v>1996</v>
      </c>
      <c r="F3" s="44">
        <f>SBO!F3</f>
        <v>1997</v>
      </c>
      <c r="G3" s="44">
        <f>SBO!G3</f>
        <v>1998</v>
      </c>
      <c r="H3" s="44">
        <f>SBO!H3</f>
        <v>1999</v>
      </c>
      <c r="I3" s="44">
        <f>SBO!I3</f>
        <v>2000</v>
      </c>
      <c r="J3" s="44">
        <f>SBO!J3</f>
        <v>2001</v>
      </c>
      <c r="K3" s="44">
        <f>SBO!K3</f>
        <v>2002</v>
      </c>
      <c r="L3" s="44">
        <f>SBO!L3</f>
        <v>2003</v>
      </c>
      <c r="M3" s="44">
        <f>SBO!M3</f>
        <v>2004</v>
      </c>
      <c r="N3" s="44">
        <f>SBO!N3</f>
        <v>2005</v>
      </c>
      <c r="O3" s="44">
        <f>SBO!O3</f>
        <v>2006</v>
      </c>
      <c r="P3" s="44">
        <f>SBO!P3</f>
        <v>2007</v>
      </c>
      <c r="Q3" s="44">
        <f>SBO!Q3</f>
        <v>2008</v>
      </c>
      <c r="R3" s="44">
        <f>SBO!R3</f>
        <v>2009</v>
      </c>
      <c r="S3" s="44">
        <f>SBO!S3</f>
        <v>2010</v>
      </c>
      <c r="T3" s="44">
        <f>SBO!T3</f>
        <v>2011</v>
      </c>
      <c r="U3" s="44">
        <f>SBO!U3</f>
        <v>2012</v>
      </c>
      <c r="V3" s="44">
        <f>SBO!V3</f>
        <v>2013</v>
      </c>
      <c r="W3" s="44">
        <f>SBO!W3</f>
        <v>2014</v>
      </c>
      <c r="X3" s="44">
        <f>SBO!X3</f>
        <v>2015</v>
      </c>
      <c r="Y3" s="44">
        <f>SBO!Y3</f>
        <v>2016</v>
      </c>
      <c r="Z3" s="44">
        <f>SBO!Z3</f>
        <v>2017</v>
      </c>
      <c r="AA3" s="44">
        <f>SBO!AA3</f>
        <v>2018</v>
      </c>
      <c r="AB3" s="44">
        <f>SBO!AB3</f>
        <v>2019</v>
      </c>
      <c r="AC3" s="44">
        <f>SBO!AC3</f>
        <v>2020</v>
      </c>
      <c r="AD3" s="44">
        <f>SBO!AD3</f>
        <v>2021</v>
      </c>
      <c r="AE3" s="44">
        <f>SBO!AE3</f>
        <v>2022</v>
      </c>
      <c r="AF3" s="44">
        <f>SBO!AF3</f>
        <v>2023</v>
      </c>
      <c r="AG3" s="44">
        <f>SBO!AG3</f>
        <v>2024</v>
      </c>
      <c r="AH3" s="44">
        <f>SBO!AH3</f>
        <v>2025</v>
      </c>
      <c r="AI3" s="44">
        <f>SBO!AI3</f>
        <v>2026</v>
      </c>
      <c r="AJ3" s="44">
        <f>SBO!AJ3</f>
        <v>2027</v>
      </c>
      <c r="AK3" s="44">
        <f>SBO!AK3</f>
        <v>2028</v>
      </c>
      <c r="AL3" s="44">
        <f>SBO!AL3</f>
        <v>2029</v>
      </c>
      <c r="AM3" s="44">
        <f>SBO!AM3</f>
        <v>2030</v>
      </c>
      <c r="AN3" s="44">
        <f>SBO!AN3</f>
        <v>2031</v>
      </c>
      <c r="AO3" s="44">
        <f>SBO!AO3</f>
        <v>2032</v>
      </c>
      <c r="AP3" s="44">
        <f>SBO!AP3</f>
        <v>2033</v>
      </c>
      <c r="AQ3" s="44">
        <f>SBO!AQ3</f>
        <v>2034</v>
      </c>
      <c r="AR3" s="44">
        <f>SBO!AR3</f>
        <v>2035</v>
      </c>
      <c r="AS3" s="44">
        <f>SBO!AS3</f>
        <v>2036</v>
      </c>
      <c r="AT3" s="44">
        <f>SBO!AT3</f>
        <v>2037</v>
      </c>
      <c r="AU3" s="44">
        <f>SBO!AU3</f>
        <v>2038</v>
      </c>
      <c r="AV3" s="44">
        <f>SBO!AV3</f>
        <v>2039</v>
      </c>
      <c r="AW3" s="44">
        <f>SBO!AW3</f>
        <v>2040</v>
      </c>
      <c r="AX3" s="44">
        <f>SBO!AX3</f>
        <v>2041</v>
      </c>
      <c r="AY3" s="44">
        <f>SBO!AY3</f>
        <v>2042</v>
      </c>
      <c r="AZ3" s="44">
        <f>SBO!AZ3</f>
        <v>2043</v>
      </c>
      <c r="BA3" s="44">
        <f>SBO!BA3</f>
        <v>2044</v>
      </c>
      <c r="BB3" s="44">
        <f>SBO!BB3</f>
        <v>2045</v>
      </c>
      <c r="BC3" s="44">
        <f>SBO!BC3</f>
        <v>2046</v>
      </c>
      <c r="BD3" s="44">
        <f>SBO!BD3</f>
        <v>2047</v>
      </c>
      <c r="BE3" s="44">
        <f>SBO!BE3</f>
        <v>2048</v>
      </c>
      <c r="BF3" s="44">
        <f>SBO!BF3</f>
        <v>2049</v>
      </c>
      <c r="BG3" s="44">
        <f>SBO!BG3</f>
        <v>2050</v>
      </c>
    </row>
    <row r="4" spans="1:63" x14ac:dyDescent="0.2">
      <c r="A4" s="40"/>
      <c r="B4" s="40" t="s">
        <v>70</v>
      </c>
      <c r="C4" s="45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5">
        <f>'[1]Distillers'' Corn Oil Complex'!R$169</f>
        <v>47.357756737744459</v>
      </c>
      <c r="T4" s="45">
        <f>'[1]Distillers'' Corn Oil Complex'!S$169</f>
        <v>50.252367590350275</v>
      </c>
      <c r="U4" s="45">
        <f>'[1]Distillers'' Corn Oil Complex'!T$169</f>
        <v>70.775048212999451</v>
      </c>
      <c r="V4" s="45">
        <f>'[1]Distillers'' Corn Oil Complex'!U$169</f>
        <v>13.915571993042072</v>
      </c>
      <c r="W4" s="45">
        <f>'[1]Distillers'' Corn Oil Complex'!V$169</f>
        <v>12.892923647014385</v>
      </c>
      <c r="X4" s="45">
        <f>'[1]Distillers'' Corn Oil Complex'!W$169</f>
        <v>90.570316123213928</v>
      </c>
      <c r="Y4" s="45">
        <f>'[1]Distillers'' Corn Oil Complex'!X$169</f>
        <v>50.125158192538947</v>
      </c>
      <c r="Z4" s="45">
        <f>'[1]Distillers'' Corn Oil Complex'!Y$169</f>
        <v>42.51722441112156</v>
      </c>
      <c r="AA4" s="45">
        <f>'[1]Distillers'' Corn Oil Complex'!Z$169</f>
        <v>139.37484423482545</v>
      </c>
      <c r="AB4" s="45">
        <f>'[1]Distillers'' Corn Oil Complex'!AA$185</f>
        <v>111.34637299438275</v>
      </c>
      <c r="AC4" s="45">
        <f>'[1]Distillers'' Corn Oil Complex'!AB$185</f>
        <v>119.89455216141573</v>
      </c>
      <c r="AD4" s="45">
        <f>'[1]Distillers'' Corn Oil Complex'!AC$185</f>
        <v>119.65590519573431</v>
      </c>
      <c r="AE4" s="45">
        <f>'[1]Distillers'' Corn Oil Complex'!AD$185</f>
        <v>121.216135219145</v>
      </c>
      <c r="AF4" s="45">
        <f>'[1]Distillers'' Corn Oil Complex'!AE$185</f>
        <v>122.28265700338677</v>
      </c>
      <c r="AG4" s="45">
        <f>'[1]Distillers'' Corn Oil Complex'!AF$185</f>
        <v>92.822826613330491</v>
      </c>
      <c r="AH4" s="45">
        <f>'[1]Distillers'' Corn Oil Complex'!AG$185</f>
        <v>87.965089936290028</v>
      </c>
      <c r="AI4" s="60">
        <f>'[1]Distillers'' Corn Oil Complex'!AH$185</f>
        <v>180.14567893503414</v>
      </c>
      <c r="AJ4" s="60">
        <f>'[1]Distillers'' Corn Oil Complex'!AI$185</f>
        <v>324.60361186861326</v>
      </c>
      <c r="AK4" s="60">
        <f>'[1]Distillers'' Corn Oil Complex'!AJ$185</f>
        <v>372.59749525434893</v>
      </c>
      <c r="AL4" s="60">
        <f>'[1]Distillers'' Corn Oil Complex'!AK$185</f>
        <v>450.66114338959528</v>
      </c>
      <c r="AM4" s="60">
        <f>'[1]Distillers'' Corn Oil Complex'!AL$185</f>
        <v>550.52777068103592</v>
      </c>
      <c r="AN4" s="60">
        <f>'[1]Distillers'' Corn Oil Complex'!AM$185</f>
        <v>655.9293322437893</v>
      </c>
      <c r="AO4" s="60">
        <f>'[1]Distillers'' Corn Oil Complex'!AN$185</f>
        <v>752.36132868364325</v>
      </c>
      <c r="AP4" s="60">
        <f>'[1]Distillers'' Corn Oil Complex'!AO$185</f>
        <v>859.51405572498618</v>
      </c>
      <c r="AQ4" s="60">
        <f>'[1]Distillers'' Corn Oil Complex'!AP$185</f>
        <v>964.08209306724871</v>
      </c>
      <c r="AR4" s="60">
        <f>'[1]Distillers'' Corn Oil Complex'!AQ$185</f>
        <v>1082.7761241572052</v>
      </c>
      <c r="AS4" s="60">
        <f>'[1]Distillers'' Corn Oil Complex'!AR$185</f>
        <v>1198.8222736545854</v>
      </c>
      <c r="AT4" s="60">
        <f>'[1]Distillers'' Corn Oil Complex'!AS$185</f>
        <v>1312.7084219320773</v>
      </c>
      <c r="AU4" s="60">
        <f>'[1]Distillers'' Corn Oil Complex'!AT$185</f>
        <v>1451.2968571363676</v>
      </c>
      <c r="AV4" s="60">
        <f>'[1]Distillers'' Corn Oil Complex'!AU$185</f>
        <v>1569.3259592280851</v>
      </c>
      <c r="AW4" s="60">
        <f>'[1]Distillers'' Corn Oil Complex'!AV$185</f>
        <v>1756.8133799064326</v>
      </c>
      <c r="AX4" s="60">
        <f>'[1]Distillers'' Corn Oil Complex'!AW$185</f>
        <v>1993.4302854757102</v>
      </c>
      <c r="AY4" s="60">
        <f>'[1]Distillers'' Corn Oil Complex'!AX$185</f>
        <v>2149.8923120379204</v>
      </c>
      <c r="AZ4" s="60">
        <f>'[1]Distillers'' Corn Oil Complex'!AY$185</f>
        <v>2303.5518827178239</v>
      </c>
      <c r="BA4" s="60">
        <f>'[1]Distillers'' Corn Oil Complex'!AZ$185</f>
        <v>2530.8287053271165</v>
      </c>
      <c r="BB4" s="60">
        <f>'[1]Distillers'' Corn Oil Complex'!BA$185</f>
        <v>2670.1720692484273</v>
      </c>
      <c r="BC4" s="60">
        <f>'[1]Distillers'' Corn Oil Complex'!BB$185</f>
        <v>2846.0120018517368</v>
      </c>
      <c r="BD4" s="60">
        <f>'[1]Distillers'' Corn Oil Complex'!BC$185</f>
        <v>2947.0837601731</v>
      </c>
      <c r="BE4" s="60">
        <f>'[1]Distillers'' Corn Oil Complex'!BD$185</f>
        <v>3065.0811192827791</v>
      </c>
      <c r="BF4" s="60">
        <f>'[1]Distillers'' Corn Oil Complex'!BE$185</f>
        <v>3155.8965633252951</v>
      </c>
      <c r="BG4" s="60">
        <f>'[1]Distillers'' Corn Oil Complex'!BF$185</f>
        <v>3262.764156012287</v>
      </c>
    </row>
    <row r="5" spans="1:63" x14ac:dyDescent="0.2">
      <c r="A5" s="40"/>
      <c r="B5" s="40" t="s">
        <v>71</v>
      </c>
      <c r="C5" s="45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5">
        <f>SUM('[1]Distillers'' Corn Oil Complex'!R$26:R$34,'[1]Distillers'' Corn Oil Complex'!S$23:S$25)</f>
        <v>1028.0111365193804</v>
      </c>
      <c r="T5" s="45">
        <f>SUM('[1]Distillers'' Corn Oil Complex'!S$26:S$34,'[1]Distillers'' Corn Oil Complex'!T$23:T$25)</f>
        <v>1350.8957866881744</v>
      </c>
      <c r="U5" s="45">
        <f>SUM('[1]Distillers'' Corn Oil Complex'!T$26:T$34,'[1]Distillers'' Corn Oil Complex'!U$23:U$25)</f>
        <v>1559.1827225402171</v>
      </c>
      <c r="V5" s="45">
        <f>SUM('[1]Distillers'' Corn Oil Complex'!U$26:U$34,'[1]Distillers'' Corn Oil Complex'!V$23:V$25)</f>
        <v>1877.4406123807353</v>
      </c>
      <c r="W5" s="45">
        <f>SUM('[1]Distillers'' Corn Oil Complex'!V$26:V$34,'[1]Distillers'' Corn Oil Complex'!W$23:W$25)</f>
        <v>2445.9968827995522</v>
      </c>
      <c r="X5" s="45">
        <f>SUM('[1]Distillers'' Corn Oil Complex'!W$26:W$34,'[1]Distillers'' Corn Oil Complex'!X$23:X$25)</f>
        <v>2770.8938205888012</v>
      </c>
      <c r="Y5" s="45">
        <f>SUM('[1]Distillers'' Corn Oil Complex'!X$26:X$34,'[1]Distillers'' Corn Oil Complex'!Y$23:Y$25)</f>
        <v>3318.7547064860305</v>
      </c>
      <c r="Z5" s="45">
        <f>SUM('[1]Distillers'' Corn Oil Complex'!Y$26:Y$34,'[1]Distillers'' Corn Oil Complex'!Z$23:Z$25)</f>
        <v>3866.6687720666682</v>
      </c>
      <c r="AA5" s="45">
        <f>SUM('[1]Distillers'' Corn Oil Complex'!Z$26:Z$34,'[1]Distillers'' Corn Oil Complex'!AA$23:AA$25)</f>
        <v>4103.5957897845874</v>
      </c>
      <c r="AB5" s="45">
        <f>SUM('[1]Distillers'' Corn Oil Complex'!AA$26:AA$34,'[1]Distillers'' Corn Oil Complex'!AB$23:AB$25)</f>
        <v>4124.9657270070202</v>
      </c>
      <c r="AC5" s="45">
        <f>SUM('[1]Distillers'' Corn Oil Complex'!AB$26:AB$34,'[1]Distillers'' Corn Oil Complex'!AC$23:AC$25)</f>
        <v>3809.5107453488781</v>
      </c>
      <c r="AD5" s="45">
        <f>SUM('[1]Distillers'' Corn Oil Complex'!AC$26:AC$34,'[1]Distillers'' Corn Oil Complex'!AD$23:AD$25)</f>
        <v>4097.0277375894484</v>
      </c>
      <c r="AE5" s="45">
        <f>SUM('[1]Distillers'' Corn Oil Complex'!AD$26:AD$34,'[1]Distillers'' Corn Oil Complex'!AE$23:AE$25)</f>
        <v>4103.7251894771998</v>
      </c>
      <c r="AF5" s="45">
        <f>SUM('[1]Distillers'' Corn Oil Complex'!AE$26:AE$34,'[1]Distillers'' Corn Oil Complex'!AF$23:AF$25)</f>
        <v>4248.6090480617013</v>
      </c>
      <c r="AG5" s="45">
        <f>SUM('[1]Distillers'' Corn Oil Complex'!AF$26:AF$34,'[1]Distillers'' Corn Oil Complex'!AG$23:AG$25)</f>
        <v>4456.254297781521</v>
      </c>
      <c r="AH5" s="60">
        <f>SUM('[1]Distillers'' Corn Oil Complex'!AG$26:AG$34,'[1]Distillers'' Corn Oil Complex'!AH$23:AH$25)</f>
        <v>4478.2364390664734</v>
      </c>
      <c r="AI5" s="60">
        <f>SUM('[1]Distillers'' Corn Oil Complex'!AH$26:AH$34,'[1]Distillers'' Corn Oil Complex'!AI$23:AI$25)</f>
        <v>4499.2835832457704</v>
      </c>
      <c r="AJ5" s="60">
        <f>SUM('[1]Distillers'' Corn Oil Complex'!AI$26:AI$34,'[1]Distillers'' Corn Oil Complex'!AJ$23:AJ$25)</f>
        <v>4564.0358028308547</v>
      </c>
      <c r="AK5" s="60">
        <f>SUM('[1]Distillers'' Corn Oil Complex'!AJ$26:AJ$34,'[1]Distillers'' Corn Oil Complex'!AK$23:AK$25)</f>
        <v>4685.6733813342516</v>
      </c>
      <c r="AL5" s="60">
        <f>SUM('[1]Distillers'' Corn Oil Complex'!AK$26:AK$34,'[1]Distillers'' Corn Oil Complex'!AL$23:AL$25)</f>
        <v>4778.5276885615358</v>
      </c>
      <c r="AM5" s="60">
        <f>SUM('[1]Distillers'' Corn Oil Complex'!AL$26:AL$34,'[1]Distillers'' Corn Oil Complex'!AM$23:AM$25)</f>
        <v>5104.2167714306297</v>
      </c>
      <c r="AN5" s="60">
        <f>SUM('[1]Distillers'' Corn Oil Complex'!AM$26:AM$34,'[1]Distillers'' Corn Oil Complex'!AN$23:AN$25)</f>
        <v>5223.2811019084338</v>
      </c>
      <c r="AO5" s="60">
        <f>SUM('[1]Distillers'' Corn Oil Complex'!AN$26:AN$34,'[1]Distillers'' Corn Oil Complex'!AO$23:AO$25)</f>
        <v>5229.7916756970981</v>
      </c>
      <c r="AP5" s="60">
        <f>SUM('[1]Distillers'' Corn Oil Complex'!AO$26:AO$34,'[1]Distillers'' Corn Oil Complex'!AP$23:AP$25)</f>
        <v>5355.9385475834424</v>
      </c>
      <c r="AQ5" s="60">
        <f>SUM('[1]Distillers'' Corn Oil Complex'!AP$26:AP$34,'[1]Distillers'' Corn Oil Complex'!AQ$23:AQ$25)</f>
        <v>5476.0701928108283</v>
      </c>
      <c r="AR5" s="60">
        <f>SUM('[1]Distillers'' Corn Oil Complex'!AQ$26:AQ$34,'[1]Distillers'' Corn Oil Complex'!AR$23:AR$25)</f>
        <v>5603.0147635656631</v>
      </c>
      <c r="AS5" s="60">
        <f>SUM('[1]Distillers'' Corn Oil Complex'!AR$26:AR$34,'[1]Distillers'' Corn Oil Complex'!AS$23:AS$25)</f>
        <v>5736.5942829812257</v>
      </c>
      <c r="AT5" s="60">
        <f>SUM('[1]Distillers'' Corn Oil Complex'!AS$26:AS$34,'[1]Distillers'' Corn Oil Complex'!AT$23:AT$25)</f>
        <v>5868.2225955231188</v>
      </c>
      <c r="AU5" s="60">
        <f>SUM('[1]Distillers'' Corn Oil Complex'!AT$26:AT$34,'[1]Distillers'' Corn Oil Complex'!AU$23:AU$25)</f>
        <v>6005.9125830758703</v>
      </c>
      <c r="AV5" s="60">
        <f>SUM('[1]Distillers'' Corn Oil Complex'!AU$26:AU$34,'[1]Distillers'' Corn Oil Complex'!AV$23:AV$25)</f>
        <v>6145.3965052467784</v>
      </c>
      <c r="AW5" s="60">
        <f>SUM('[1]Distillers'' Corn Oil Complex'!AV$26:AV$34,'[1]Distillers'' Corn Oil Complex'!AW$23:AW$25)</f>
        <v>6288.8773962305622</v>
      </c>
      <c r="AX5" s="60">
        <f>SUM('[1]Distillers'' Corn Oil Complex'!AW$26:AW$34,'[1]Distillers'' Corn Oil Complex'!AX$23:AX$25)</f>
        <v>6436.0348261446752</v>
      </c>
      <c r="AY5" s="60">
        <f>SUM('[1]Distillers'' Corn Oil Complex'!AX$26:AX$34,'[1]Distillers'' Corn Oil Complex'!AY$23:AY$25)</f>
        <v>6858.9520798256599</v>
      </c>
      <c r="AZ5" s="60">
        <f>SUM('[1]Distillers'' Corn Oil Complex'!AY$26:AY$34,'[1]Distillers'' Corn Oil Complex'!AZ$23:AZ$25)</f>
        <v>7046.960547016457</v>
      </c>
      <c r="BA5" s="60">
        <f>SUM('[1]Distillers'' Corn Oil Complex'!AZ$26:AZ$34,'[1]Distillers'' Corn Oil Complex'!BA$23:BA$25)</f>
        <v>7270.8863772361183</v>
      </c>
      <c r="BB5" s="60">
        <f>SUM('[1]Distillers'' Corn Oil Complex'!BA$26:BA$34,'[1]Distillers'' Corn Oil Complex'!BB$23:BB$25)</f>
        <v>7513.3832247619648</v>
      </c>
      <c r="BC5" s="60">
        <f>SUM('[1]Distillers'' Corn Oil Complex'!BB$26:BB$34,'[1]Distillers'' Corn Oil Complex'!BC$23:BC$25)</f>
        <v>7777.4574661547567</v>
      </c>
      <c r="BD5" s="60">
        <f>SUM('[1]Distillers'' Corn Oil Complex'!BC$26:BC$34,'[1]Distillers'' Corn Oil Complex'!BD$23:BD$25)</f>
        <v>8067.2608092207593</v>
      </c>
      <c r="BE5" s="60">
        <f>SUM('[1]Distillers'' Corn Oil Complex'!BD$26:BD$34,'[1]Distillers'' Corn Oil Complex'!BE$23:BE$25)</f>
        <v>8327.3733660347461</v>
      </c>
      <c r="BF5" s="60">
        <f>SUM('[1]Distillers'' Corn Oil Complex'!BE$26:BE$34,'[1]Distillers'' Corn Oil Complex'!BF$23:BF$25)</f>
        <v>8603.1137171318078</v>
      </c>
      <c r="BG5" s="60">
        <f>SUM('[1]Distillers'' Corn Oil Complex'!BF$26:BF$34,'[1]Distillers'' Corn Oil Complex'!BG$23:BG$25)</f>
        <v>8829.9871335154567</v>
      </c>
    </row>
    <row r="6" spans="1:63" x14ac:dyDescent="0.2">
      <c r="A6" s="40"/>
      <c r="B6" s="40" t="s">
        <v>72</v>
      </c>
      <c r="C6" s="45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5">
        <f>SUM('[1]Distillers'' Corn Oil Complex'!R$42:R$50,'[1]Distillers'' Corn Oil Complex'!S$39:S$41)</f>
        <v>0</v>
      </c>
      <c r="T6" s="45">
        <f>SUM('[1]Distillers'' Corn Oil Complex'!S$42:S$50,'[1]Distillers'' Corn Oil Complex'!T$39:T$41)</f>
        <v>0</v>
      </c>
      <c r="U6" s="45">
        <f>SUM('[1]Distillers'' Corn Oil Complex'!T$42:T$50,'[1]Distillers'' Corn Oil Complex'!U$39:U$41)</f>
        <v>0</v>
      </c>
      <c r="V6" s="45">
        <f>SUM('[1]Distillers'' Corn Oil Complex'!U$42:U$50,'[1]Distillers'' Corn Oil Complex'!V$39:V$41)</f>
        <v>0</v>
      </c>
      <c r="W6" s="45">
        <f>SUM('[1]Distillers'' Corn Oil Complex'!V$42:V$50,'[1]Distillers'' Corn Oil Complex'!W$39:W$41)</f>
        <v>0</v>
      </c>
      <c r="X6" s="45">
        <f>SUM('[1]Distillers'' Corn Oil Complex'!W$42:W$50,'[1]Distillers'' Corn Oil Complex'!X$39:X$41)</f>
        <v>0</v>
      </c>
      <c r="Y6" s="45">
        <f>SUM('[1]Distillers'' Corn Oil Complex'!X$42:X$50,'[1]Distillers'' Corn Oil Complex'!Y$39:Y$41)</f>
        <v>0</v>
      </c>
      <c r="Z6" s="45">
        <f>SUM('[1]Distillers'' Corn Oil Complex'!Y$42:Y$50,'[1]Distillers'' Corn Oil Complex'!Z$39:Z$41)</f>
        <v>0</v>
      </c>
      <c r="AA6" s="45">
        <f>SUM('[1]Distillers'' Corn Oil Complex'!Z$42:Z$50,'[1]Distillers'' Corn Oil Complex'!AA$39:AA$41)</f>
        <v>0</v>
      </c>
      <c r="AB6" s="45">
        <f>SUM('[1]Distillers'' Corn Oil Complex'!AA$42:AA$50,'[1]Distillers'' Corn Oil Complex'!AB$39:AB$41)</f>
        <v>0</v>
      </c>
      <c r="AC6" s="45">
        <f>SUM('[1]Distillers'' Corn Oil Complex'!AB$42:AB$50,'[1]Distillers'' Corn Oil Complex'!AC$39:AC$41)</f>
        <v>0</v>
      </c>
      <c r="AD6" s="45">
        <f>SUM('[1]Distillers'' Corn Oil Complex'!AC$42:AC$50,'[1]Distillers'' Corn Oil Complex'!AD$39:AD$41)</f>
        <v>0</v>
      </c>
      <c r="AE6" s="45">
        <f>SUM('[1]Distillers'' Corn Oil Complex'!AD$42:AD$50,'[1]Distillers'' Corn Oil Complex'!AE$39:AE$41)</f>
        <v>0</v>
      </c>
      <c r="AF6" s="45">
        <f>SUM('[1]Distillers'' Corn Oil Complex'!AE$42:AE$50,'[1]Distillers'' Corn Oil Complex'!AF$39:AF$41)</f>
        <v>0</v>
      </c>
      <c r="AG6" s="45">
        <f>SUM('[1]Distillers'' Corn Oil Complex'!AF$42:AF$50,'[1]Distillers'' Corn Oil Complex'!AG$39:AG$41)</f>
        <v>0</v>
      </c>
      <c r="AH6" s="60">
        <f>SUM('[1]Distillers'' Corn Oil Complex'!AG$42:AG$50,'[1]Distillers'' Corn Oil Complex'!AH$39:AH$41)</f>
        <v>0</v>
      </c>
      <c r="AI6" s="60">
        <f>SUM('[1]Distillers'' Corn Oil Complex'!AH$42:AH$50,'[1]Distillers'' Corn Oil Complex'!AI$39:AI$41)</f>
        <v>0</v>
      </c>
      <c r="AJ6" s="60">
        <f>SUM('[1]Distillers'' Corn Oil Complex'!AI$42:AI$50,'[1]Distillers'' Corn Oil Complex'!AJ$39:AJ$41)</f>
        <v>0</v>
      </c>
      <c r="AK6" s="60">
        <f>SUM('[1]Distillers'' Corn Oil Complex'!AJ$42:AJ$50,'[1]Distillers'' Corn Oil Complex'!AK$39:AK$41)</f>
        <v>0</v>
      </c>
      <c r="AL6" s="60">
        <f>SUM('[1]Distillers'' Corn Oil Complex'!AK$42:AK$50,'[1]Distillers'' Corn Oil Complex'!AL$39:AL$41)</f>
        <v>0</v>
      </c>
      <c r="AM6" s="60">
        <f>SUM('[1]Distillers'' Corn Oil Complex'!AL$42:AL$50,'[1]Distillers'' Corn Oil Complex'!AM$39:AM$41)</f>
        <v>0</v>
      </c>
      <c r="AN6" s="60">
        <f>SUM('[1]Distillers'' Corn Oil Complex'!AM$42:AM$50,'[1]Distillers'' Corn Oil Complex'!AN$39:AN$41)</f>
        <v>0</v>
      </c>
      <c r="AO6" s="60">
        <f>SUM('[1]Distillers'' Corn Oil Complex'!AN$42:AN$50,'[1]Distillers'' Corn Oil Complex'!AO$39:AO$41)</f>
        <v>0</v>
      </c>
      <c r="AP6" s="60">
        <f>SUM('[1]Distillers'' Corn Oil Complex'!AO$42:AO$50,'[1]Distillers'' Corn Oil Complex'!AP$39:AP$41)</f>
        <v>0</v>
      </c>
      <c r="AQ6" s="60">
        <f>SUM('[1]Distillers'' Corn Oil Complex'!AP$42:AP$50,'[1]Distillers'' Corn Oil Complex'!AQ$39:AQ$41)</f>
        <v>0</v>
      </c>
      <c r="AR6" s="60">
        <f>SUM('[1]Distillers'' Corn Oil Complex'!AQ$42:AQ$50,'[1]Distillers'' Corn Oil Complex'!AR$39:AR$41)</f>
        <v>0</v>
      </c>
      <c r="AS6" s="60">
        <f>SUM('[1]Distillers'' Corn Oil Complex'!AR$42:AR$50,'[1]Distillers'' Corn Oil Complex'!AS$39:AS$41)</f>
        <v>0</v>
      </c>
      <c r="AT6" s="60">
        <f>SUM('[1]Distillers'' Corn Oil Complex'!AS$42:AS$50,'[1]Distillers'' Corn Oil Complex'!AT$39:AT$41)</f>
        <v>0</v>
      </c>
      <c r="AU6" s="60">
        <f>SUM('[1]Distillers'' Corn Oil Complex'!AT$42:AT$50,'[1]Distillers'' Corn Oil Complex'!AU$39:AU$41)</f>
        <v>0</v>
      </c>
      <c r="AV6" s="60">
        <f>SUM('[1]Distillers'' Corn Oil Complex'!AU$42:AU$50,'[1]Distillers'' Corn Oil Complex'!AV$39:AV$41)</f>
        <v>0</v>
      </c>
      <c r="AW6" s="60">
        <f>SUM('[1]Distillers'' Corn Oil Complex'!AV$42:AV$50,'[1]Distillers'' Corn Oil Complex'!AW$39:AW$41)</f>
        <v>0</v>
      </c>
      <c r="AX6" s="60">
        <f>SUM('[1]Distillers'' Corn Oil Complex'!AW$42:AW$50,'[1]Distillers'' Corn Oil Complex'!AX$39:AX$41)</f>
        <v>0</v>
      </c>
      <c r="AY6" s="60">
        <f>SUM('[1]Distillers'' Corn Oil Complex'!AX$42:AX$50,'[1]Distillers'' Corn Oil Complex'!AY$39:AY$41)</f>
        <v>0</v>
      </c>
      <c r="AZ6" s="60">
        <f>SUM('[1]Distillers'' Corn Oil Complex'!AY$42:AY$50,'[1]Distillers'' Corn Oil Complex'!AZ$39:AZ$41)</f>
        <v>0</v>
      </c>
      <c r="BA6" s="60">
        <f>SUM('[1]Distillers'' Corn Oil Complex'!AZ$42:AZ$50,'[1]Distillers'' Corn Oil Complex'!BA$39:BA$41)</f>
        <v>0</v>
      </c>
      <c r="BB6" s="60">
        <f>SUM('[1]Distillers'' Corn Oil Complex'!BA$42:BA$50,'[1]Distillers'' Corn Oil Complex'!BB$39:BB$41)</f>
        <v>0</v>
      </c>
      <c r="BC6" s="60">
        <f>SUM('[1]Distillers'' Corn Oil Complex'!BB$42:BB$50,'[1]Distillers'' Corn Oil Complex'!BC$39:BC$41)</f>
        <v>0</v>
      </c>
      <c r="BD6" s="60">
        <f>SUM('[1]Distillers'' Corn Oil Complex'!BC$42:BC$50,'[1]Distillers'' Corn Oil Complex'!BD$39:BD$41)</f>
        <v>0</v>
      </c>
      <c r="BE6" s="60">
        <f>SUM('[1]Distillers'' Corn Oil Complex'!BD$42:BD$50,'[1]Distillers'' Corn Oil Complex'!BE$39:BE$41)</f>
        <v>0</v>
      </c>
      <c r="BF6" s="60">
        <f>SUM('[1]Distillers'' Corn Oil Complex'!BE$42:BE$50,'[1]Distillers'' Corn Oil Complex'!BF$39:BF$41)</f>
        <v>0</v>
      </c>
      <c r="BG6" s="60">
        <f>SUM('[1]Distillers'' Corn Oil Complex'!BF$42:BF$50,'[1]Distillers'' Corn Oil Complex'!BG$39:BG$41)</f>
        <v>0</v>
      </c>
    </row>
    <row r="7" spans="1:63" x14ac:dyDescent="0.2">
      <c r="A7" s="40"/>
      <c r="B7" s="61" t="s">
        <v>73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>
        <f>SUM(S4:S6)</f>
        <v>1075.3688932571249</v>
      </c>
      <c r="T7" s="62">
        <f t="shared" ref="T7:BG7" si="0">SUM(T4:T6)</f>
        <v>1401.1481542785248</v>
      </c>
      <c r="U7" s="62">
        <f t="shared" si="0"/>
        <v>1629.9577707532167</v>
      </c>
      <c r="V7" s="62">
        <f t="shared" si="0"/>
        <v>1891.3561843737773</v>
      </c>
      <c r="W7" s="62">
        <f t="shared" si="0"/>
        <v>2458.8898064465666</v>
      </c>
      <c r="X7" s="62">
        <f t="shared" si="0"/>
        <v>2861.4641367120153</v>
      </c>
      <c r="Y7" s="62">
        <f t="shared" si="0"/>
        <v>3368.8798646785694</v>
      </c>
      <c r="Z7" s="62">
        <f t="shared" si="0"/>
        <v>3909.1859964777896</v>
      </c>
      <c r="AA7" s="62">
        <f t="shared" si="0"/>
        <v>4242.9706340194125</v>
      </c>
      <c r="AB7" s="62">
        <f t="shared" si="0"/>
        <v>4236.3121000014025</v>
      </c>
      <c r="AC7" s="62">
        <f t="shared" si="0"/>
        <v>3929.4052975102941</v>
      </c>
      <c r="AD7" s="62">
        <f t="shared" si="0"/>
        <v>4216.6836427851831</v>
      </c>
      <c r="AE7" s="62">
        <f t="shared" si="0"/>
        <v>4224.941324696345</v>
      </c>
      <c r="AF7" s="62">
        <f t="shared" si="0"/>
        <v>4370.891705065088</v>
      </c>
      <c r="AG7" s="62">
        <f t="shared" si="0"/>
        <v>4549.0771243948511</v>
      </c>
      <c r="AH7" s="62">
        <f t="shared" si="0"/>
        <v>4566.201529002763</v>
      </c>
      <c r="AI7" s="62">
        <f t="shared" si="0"/>
        <v>4679.4292621808045</v>
      </c>
      <c r="AJ7" s="62">
        <f t="shared" si="0"/>
        <v>4888.639414699468</v>
      </c>
      <c r="AK7" s="62">
        <f t="shared" si="0"/>
        <v>5058.2708765886009</v>
      </c>
      <c r="AL7" s="62">
        <f t="shared" si="0"/>
        <v>5229.1888319511309</v>
      </c>
      <c r="AM7" s="62">
        <f t="shared" si="0"/>
        <v>5654.7445421116654</v>
      </c>
      <c r="AN7" s="62">
        <f t="shared" si="0"/>
        <v>5879.2104341522227</v>
      </c>
      <c r="AO7" s="62">
        <f t="shared" si="0"/>
        <v>5982.1530043807415</v>
      </c>
      <c r="AP7" s="62">
        <f t="shared" si="0"/>
        <v>6215.4526033084285</v>
      </c>
      <c r="AQ7" s="62">
        <f t="shared" si="0"/>
        <v>6440.1522858780772</v>
      </c>
      <c r="AR7" s="62">
        <f t="shared" si="0"/>
        <v>6685.7908877228683</v>
      </c>
      <c r="AS7" s="62">
        <f t="shared" si="0"/>
        <v>6935.4165566358115</v>
      </c>
      <c r="AT7" s="62">
        <f t="shared" si="0"/>
        <v>7180.9310174551956</v>
      </c>
      <c r="AU7" s="62">
        <f t="shared" si="0"/>
        <v>7457.2094402122384</v>
      </c>
      <c r="AV7" s="62">
        <f t="shared" si="0"/>
        <v>7714.722464474864</v>
      </c>
      <c r="AW7" s="62">
        <f t="shared" si="0"/>
        <v>8045.6907761369948</v>
      </c>
      <c r="AX7" s="62">
        <f t="shared" si="0"/>
        <v>8429.4651116203859</v>
      </c>
      <c r="AY7" s="62">
        <f t="shared" si="0"/>
        <v>9008.8443918635803</v>
      </c>
      <c r="AZ7" s="62">
        <f t="shared" si="0"/>
        <v>9350.5124297342809</v>
      </c>
      <c r="BA7" s="62">
        <f t="shared" si="0"/>
        <v>9801.7150825632343</v>
      </c>
      <c r="BB7" s="62">
        <f t="shared" si="0"/>
        <v>10183.555294010392</v>
      </c>
      <c r="BC7" s="62">
        <f t="shared" si="0"/>
        <v>10623.469468006493</v>
      </c>
      <c r="BD7" s="62">
        <f t="shared" si="0"/>
        <v>11014.344569393859</v>
      </c>
      <c r="BE7" s="62">
        <f t="shared" si="0"/>
        <v>11392.454485317525</v>
      </c>
      <c r="BF7" s="62">
        <f t="shared" si="0"/>
        <v>11759.010280457103</v>
      </c>
      <c r="BG7" s="62">
        <f t="shared" si="0"/>
        <v>12092.751289527743</v>
      </c>
    </row>
    <row r="8" spans="1:63" x14ac:dyDescent="0.2">
      <c r="A8" s="40"/>
      <c r="B8" s="40" t="s">
        <v>74</v>
      </c>
      <c r="C8" s="45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5" t="e">
        <f t="shared" ref="S8:AA8" si="1">S9+S12</f>
        <v>#REF!</v>
      </c>
      <c r="T8" s="45" t="e">
        <f t="shared" si="1"/>
        <v>#REF!</v>
      </c>
      <c r="U8" s="45" t="e">
        <f t="shared" si="1"/>
        <v>#REF!</v>
      </c>
      <c r="V8" s="45" t="e">
        <f t="shared" si="1"/>
        <v>#REF!</v>
      </c>
      <c r="W8" s="45" t="e">
        <f t="shared" si="1"/>
        <v>#REF!</v>
      </c>
      <c r="X8" s="45" t="e">
        <f t="shared" si="1"/>
        <v>#REF!</v>
      </c>
      <c r="Y8" s="45" t="e">
        <f t="shared" si="1"/>
        <v>#REF!</v>
      </c>
      <c r="Z8" s="45" t="e">
        <f t="shared" si="1"/>
        <v>#REF!</v>
      </c>
      <c r="AA8" s="45" t="e">
        <f t="shared" si="1"/>
        <v>#REF!</v>
      </c>
      <c r="AB8" s="60">
        <f>AB14-AB13</f>
        <v>3884.6802186696664</v>
      </c>
      <c r="AC8" s="60">
        <f t="shared" ref="AC8:BG8" si="2">AC14-AC13</f>
        <v>3628.6472183361197</v>
      </c>
      <c r="AD8" s="60">
        <f t="shared" si="2"/>
        <v>3896.9517335654377</v>
      </c>
      <c r="AE8" s="60">
        <f t="shared" si="2"/>
        <v>3960.3856026929584</v>
      </c>
      <c r="AF8" s="60">
        <f t="shared" si="2"/>
        <v>4205.2901274517581</v>
      </c>
      <c r="AG8" s="60">
        <f t="shared" si="2"/>
        <v>4427.7731867965413</v>
      </c>
      <c r="AH8" s="60">
        <f t="shared" si="2"/>
        <v>4349.2453046645487</v>
      </c>
      <c r="AI8" s="60">
        <f t="shared" si="2"/>
        <v>4344.5155646158337</v>
      </c>
      <c r="AJ8" s="60">
        <f t="shared" si="2"/>
        <v>4506.9536076751738</v>
      </c>
      <c r="AK8" s="60">
        <f t="shared" si="2"/>
        <v>4597.6097331990059</v>
      </c>
      <c r="AL8" s="60">
        <f t="shared" si="2"/>
        <v>4668.6610612700952</v>
      </c>
      <c r="AM8" s="60">
        <f t="shared" si="2"/>
        <v>4988.8152098678765</v>
      </c>
      <c r="AN8" s="60">
        <f t="shared" si="2"/>
        <v>5116.8491054685792</v>
      </c>
      <c r="AO8" s="60">
        <f t="shared" si="2"/>
        <v>5112.6389486557555</v>
      </c>
      <c r="AP8" s="60">
        <f t="shared" si="2"/>
        <v>5241.3705102411795</v>
      </c>
      <c r="AQ8" s="60">
        <f t="shared" si="2"/>
        <v>5347.376161720872</v>
      </c>
      <c r="AR8" s="60">
        <f t="shared" si="2"/>
        <v>5476.9686140682825</v>
      </c>
      <c r="AS8" s="60">
        <f t="shared" si="2"/>
        <v>5612.7081347037347</v>
      </c>
      <c r="AT8" s="60">
        <f t="shared" si="2"/>
        <v>5719.6341603188284</v>
      </c>
      <c r="AU8" s="60">
        <f t="shared" si="2"/>
        <v>5877.8834809841537</v>
      </c>
      <c r="AV8" s="60">
        <f t="shared" si="2"/>
        <v>5947.9090845684314</v>
      </c>
      <c r="AW8" s="60">
        <f t="shared" si="2"/>
        <v>6042.2604906612851</v>
      </c>
      <c r="AX8" s="60">
        <f t="shared" si="2"/>
        <v>6269.5727995824654</v>
      </c>
      <c r="AY8" s="60">
        <f t="shared" si="2"/>
        <v>6695.2925091457564</v>
      </c>
      <c r="AZ8" s="60">
        <f t="shared" si="2"/>
        <v>6809.6837244071648</v>
      </c>
      <c r="BA8" s="60">
        <f t="shared" si="2"/>
        <v>7121.329803352337</v>
      </c>
      <c r="BB8" s="60">
        <f t="shared" si="2"/>
        <v>7326.3300821961839</v>
      </c>
      <c r="BC8" s="60">
        <f t="shared" si="2"/>
        <v>7664.1724978709226</v>
      </c>
      <c r="BD8" s="60">
        <f t="shared" si="2"/>
        <v>7936.0502401486101</v>
      </c>
      <c r="BE8" s="60">
        <f t="shared" si="2"/>
        <v>8222.3447120297587</v>
      </c>
      <c r="BF8" s="60">
        <f t="shared" si="2"/>
        <v>8481.0329144823463</v>
      </c>
      <c r="BG8" s="60">
        <f t="shared" si="2"/>
        <v>8568.8415453452089</v>
      </c>
    </row>
    <row r="9" spans="1:63" x14ac:dyDescent="0.2">
      <c r="A9" s="40"/>
      <c r="B9" s="40" t="s">
        <v>75</v>
      </c>
      <c r="C9" s="45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5" t="e">
        <f>S10+S11+#REF!</f>
        <v>#REF!</v>
      </c>
      <c r="T9" s="45" t="e">
        <f>T10+T11+#REF!</f>
        <v>#REF!</v>
      </c>
      <c r="U9" s="45" t="e">
        <f>U10+U11+#REF!</f>
        <v>#REF!</v>
      </c>
      <c r="V9" s="45" t="e">
        <f>V10+V11+#REF!</f>
        <v>#REF!</v>
      </c>
      <c r="W9" s="45" t="e">
        <f>W10+W11+#REF!</f>
        <v>#REF!</v>
      </c>
      <c r="X9" s="45" t="e">
        <f>X10+X11+#REF!</f>
        <v>#REF!</v>
      </c>
      <c r="Y9" s="45" t="e">
        <f>Y10+Y11+#REF!</f>
        <v>#REF!</v>
      </c>
      <c r="Z9" s="45" t="e">
        <f>Z10+Z11+#REF!</f>
        <v>#REF!</v>
      </c>
      <c r="AA9" s="45" t="e">
        <f>AA10+AA11+#REF!</f>
        <v>#REF!</v>
      </c>
      <c r="AB9" s="45">
        <f>AB10+AB11</f>
        <v>3143.9531902020963</v>
      </c>
      <c r="AC9" s="45">
        <f t="shared" ref="AC9:BG9" si="3">AC10+AC11</f>
        <v>2917.1805655446778</v>
      </c>
      <c r="AD9" s="45">
        <f t="shared" si="3"/>
        <v>2844.2742798765325</v>
      </c>
      <c r="AE9" s="45">
        <f t="shared" si="3"/>
        <v>3697.3998169258293</v>
      </c>
      <c r="AF9" s="45">
        <f t="shared" si="3"/>
        <v>4248.4125594907118</v>
      </c>
      <c r="AG9" s="45">
        <f t="shared" si="3"/>
        <v>4399.618970450153</v>
      </c>
      <c r="AH9" s="45">
        <f t="shared" si="3"/>
        <v>4168.7262291026746</v>
      </c>
      <c r="AI9" s="45">
        <f t="shared" si="3"/>
        <v>4023.6061579840116</v>
      </c>
      <c r="AJ9" s="45">
        <f t="shared" si="3"/>
        <v>4164.7029756933716</v>
      </c>
      <c r="AK9" s="45">
        <f t="shared" si="3"/>
        <v>4047.2638723011596</v>
      </c>
      <c r="AL9" s="45">
        <f t="shared" si="3"/>
        <v>4226.3655315471206</v>
      </c>
      <c r="AM9" s="45">
        <f t="shared" si="3"/>
        <v>4228.9956882860743</v>
      </c>
      <c r="AN9" s="45">
        <f t="shared" si="3"/>
        <v>4204.0022126350032</v>
      </c>
      <c r="AO9" s="45">
        <f t="shared" si="3"/>
        <v>4426.5416930289084</v>
      </c>
      <c r="AP9" s="45">
        <f t="shared" si="3"/>
        <v>4178.8096951530797</v>
      </c>
      <c r="AQ9" s="45">
        <f t="shared" si="3"/>
        <v>4187.2098285330203</v>
      </c>
      <c r="AR9" s="45">
        <f t="shared" si="3"/>
        <v>4352.2343148972459</v>
      </c>
      <c r="AS9" s="45">
        <f t="shared" si="3"/>
        <v>4405.8591547297747</v>
      </c>
      <c r="AT9" s="45">
        <f t="shared" si="3"/>
        <v>4661.7691670982122</v>
      </c>
      <c r="AU9" s="45">
        <f t="shared" si="3"/>
        <v>4832.1366391863294</v>
      </c>
      <c r="AV9" s="45">
        <f t="shared" si="3"/>
        <v>4376.5988823613625</v>
      </c>
      <c r="AW9" s="45">
        <f t="shared" si="3"/>
        <v>2260.7995465192457</v>
      </c>
      <c r="AX9" s="45">
        <f t="shared" si="3"/>
        <v>2490.0459118974545</v>
      </c>
      <c r="AY9" s="45">
        <f t="shared" si="3"/>
        <v>3696.8555999463601</v>
      </c>
      <c r="AZ9" s="45">
        <f t="shared" si="3"/>
        <v>3524.5132939963587</v>
      </c>
      <c r="BA9" s="45">
        <f t="shared" si="3"/>
        <v>3300.5959393417306</v>
      </c>
      <c r="BB9" s="45">
        <f t="shared" si="3"/>
        <v>3534.1199885887163</v>
      </c>
      <c r="BC9" s="45">
        <f t="shared" si="3"/>
        <v>3627.1777803096288</v>
      </c>
      <c r="BD9" s="45">
        <f t="shared" si="3"/>
        <v>3762.679393614289</v>
      </c>
      <c r="BE9" s="45">
        <f t="shared" si="3"/>
        <v>3874.8487878047517</v>
      </c>
      <c r="BF9" s="45">
        <f t="shared" si="3"/>
        <v>4025.5302439265483</v>
      </c>
      <c r="BG9" s="45">
        <f t="shared" si="3"/>
        <v>4230.2322467915301</v>
      </c>
    </row>
    <row r="10" spans="1:63" x14ac:dyDescent="0.2">
      <c r="A10" s="40"/>
      <c r="B10" s="40" t="s">
        <v>76</v>
      </c>
      <c r="C10" s="45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5">
        <f>SUM('[1]Distillers'' Corn Oil Complex'!R$106:R$114,'[1]Distillers'' Corn Oil Complex'!S$103:S$105)</f>
        <v>112</v>
      </c>
      <c r="T10" s="45">
        <f>SUM('[1]Distillers'' Corn Oil Complex'!S$106:S$114,'[1]Distillers'' Corn Oil Complex'!T$103:T$105)</f>
        <v>305</v>
      </c>
      <c r="U10" s="45">
        <f>SUM('[1]Distillers'' Corn Oil Complex'!T$106:T$114,'[1]Distillers'' Corn Oil Complex'!U$103:U$105)</f>
        <v>645</v>
      </c>
      <c r="V10" s="45">
        <f>SUM('[1]Distillers'' Corn Oil Complex'!U$106:U$114,'[1]Distillers'' Corn Oil Complex'!V$103:V$105)</f>
        <v>1066</v>
      </c>
      <c r="W10" s="45">
        <f>SUM('[1]Distillers'' Corn Oil Complex'!V$106:V$114,'[1]Distillers'' Corn Oil Complex'!W$103:W$105)</f>
        <v>970.31000000000006</v>
      </c>
      <c r="X10" s="45">
        <f>SUM('[1]Distillers'' Corn Oil Complex'!W$106:W$114,'[1]Distillers'' Corn Oil Complex'!X$103:X$105)</f>
        <v>1044</v>
      </c>
      <c r="Y10" s="45">
        <f>SUM('[1]Distillers'' Corn Oil Complex'!X$106:X$114,'[1]Distillers'' Corn Oil Complex'!Y$103:Y$105)</f>
        <v>1306.3799999999999</v>
      </c>
      <c r="Z10" s="45">
        <f>SUM('[1]Distillers'' Corn Oil Complex'!Y$106:Y$114,'[1]Distillers'' Corn Oil Complex'!Z$103:Z$105)</f>
        <v>1578.93</v>
      </c>
      <c r="AA10" s="45">
        <f>SUM('[1]Distillers'' Corn Oil Complex'!Z$106:Z$114,'[1]Distillers'' Corn Oil Complex'!AA$103:AA$105)</f>
        <v>2084.9700000000003</v>
      </c>
      <c r="AB10" s="45">
        <f>SUM('[1]Distillers'' Corn Oil Complex'!AA$106:AA$114,'[1]Distillers'' Corn Oil Complex'!AB$103:AB$105)</f>
        <v>1759.7199999999998</v>
      </c>
      <c r="AC10" s="45">
        <f>SUM('[1]Distillers'' Corn Oil Complex'!AB$106:AB$114,'[1]Distillers'' Corn Oil Complex'!AC$103:AC$105)</f>
        <v>1516.6799999999998</v>
      </c>
      <c r="AD10" s="45">
        <f>SUM('[1]Distillers'' Corn Oil Complex'!AC$106:AC$114,'[1]Distillers'' Corn Oil Complex'!AD$103:AD$105)</f>
        <v>1378.6412410560351</v>
      </c>
      <c r="AE10" s="45">
        <f>SUM('[1]Distillers'' Corn Oil Complex'!AD$106:AD$114,'[1]Distillers'' Corn Oil Complex'!AE$103:AE$105)</f>
        <v>1706.4142806375555</v>
      </c>
      <c r="AF10" s="45">
        <f>SUM('[1]Distillers'' Corn Oil Complex'!AE$106:AE$114,'[1]Distillers'' Corn Oil Complex'!AF$103:AF$105)</f>
        <v>1047.2329999999999</v>
      </c>
      <c r="AG10" s="45">
        <f>SUM('[1]Distillers'' Corn Oil Complex'!AF$106:AF$114,'[1]Distillers'' Corn Oil Complex'!AG$103:AG$105)</f>
        <v>924.94060899294038</v>
      </c>
      <c r="AH10" s="45">
        <f>SUM('[1]Distillers'' Corn Oil Complex'!AG$106:AG$114,'[1]Distillers'' Corn Oil Complex'!AH$103:AH$105)</f>
        <v>1028.1342215105531</v>
      </c>
      <c r="AI10" s="45">
        <f>SUM('[1]Distillers'' Corn Oil Complex'!AH$106:AH$114,'[1]Distillers'' Corn Oil Complex'!AI$103:AI$105)</f>
        <v>853.31391696834044</v>
      </c>
      <c r="AJ10" s="45">
        <f>SUM('[1]Distillers'' Corn Oil Complex'!AI$106:AI$114,'[1]Distillers'' Corn Oil Complex'!AJ$103:AJ$105)</f>
        <v>917.52380512241461</v>
      </c>
      <c r="AK10" s="45">
        <f>SUM('[1]Distillers'' Corn Oil Complex'!AJ$106:AJ$114,'[1]Distillers'' Corn Oil Complex'!AK$103:AK$105)</f>
        <v>642.53407930220851</v>
      </c>
      <c r="AL10" s="45">
        <f>SUM('[1]Distillers'' Corn Oil Complex'!AK$106:AK$114,'[1]Distillers'' Corn Oil Complex'!AL$103:AL$105)</f>
        <v>708.14392978040075</v>
      </c>
      <c r="AM10" s="45">
        <f>SUM('[1]Distillers'' Corn Oil Complex'!AL$106:AL$114,'[1]Distillers'' Corn Oil Complex'!AM$103:AM$105)</f>
        <v>702.79728727606835</v>
      </c>
      <c r="AN10" s="45">
        <f>SUM('[1]Distillers'' Corn Oil Complex'!AM$106:AM$114,'[1]Distillers'' Corn Oil Complex'!AN$103:AN$105)</f>
        <v>665.38287944836827</v>
      </c>
      <c r="AO10" s="45">
        <f>SUM('[1]Distillers'' Corn Oil Complex'!AN$106:AN$114,'[1]Distillers'' Corn Oil Complex'!AO$103:AO$105)</f>
        <v>679.7672267151994</v>
      </c>
      <c r="AP10" s="45">
        <f>SUM('[1]Distillers'' Corn Oil Complex'!AO$106:AO$114,'[1]Distillers'' Corn Oil Complex'!AP$103:AP$105)</f>
        <v>607.42546648913844</v>
      </c>
      <c r="AQ10" s="45">
        <f>SUM('[1]Distillers'' Corn Oil Complex'!AP$106:AP$114,'[1]Distillers'' Corn Oil Complex'!AQ$103:AQ$105)</f>
        <v>571.03017156788269</v>
      </c>
      <c r="AR10" s="45">
        <f>SUM('[1]Distillers'' Corn Oil Complex'!AQ$106:AQ$114,'[1]Distillers'' Corn Oil Complex'!AR$103:AR$105)</f>
        <v>538.24291186653807</v>
      </c>
      <c r="AS10" s="45">
        <f>SUM('[1]Distillers'' Corn Oil Complex'!AR$106:AR$114,'[1]Distillers'' Corn Oil Complex'!AS$103:AS$105)</f>
        <v>432.76420926986657</v>
      </c>
      <c r="AT10" s="45">
        <f>SUM('[1]Distillers'' Corn Oil Complex'!AS$106:AS$114,'[1]Distillers'' Corn Oil Complex'!AT$103:AT$105)</f>
        <v>337.84790083768246</v>
      </c>
      <c r="AU10" s="45">
        <f>SUM('[1]Distillers'' Corn Oil Complex'!AT$106:AT$114,'[1]Distillers'' Corn Oil Complex'!AU$103:AU$105)</f>
        <v>319.16488038916481</v>
      </c>
      <c r="AV10" s="45">
        <f>SUM('[1]Distillers'' Corn Oil Complex'!AU$106:AU$114,'[1]Distillers'' Corn Oil Complex'!AV$103:AV$105)</f>
        <v>281.53947688581434</v>
      </c>
      <c r="AW10" s="45">
        <f>SUM('[1]Distillers'' Corn Oil Complex'!AV$106:AV$114,'[1]Distillers'' Corn Oil Complex'!AW$103:AW$105)</f>
        <v>249.6716555406787</v>
      </c>
      <c r="AX10" s="45">
        <f>SUM('[1]Distillers'' Corn Oil Complex'!AW$106:AW$114,'[1]Distillers'' Corn Oil Complex'!AX$103:AX$105)</f>
        <v>222.68036926264449</v>
      </c>
      <c r="AY10" s="45">
        <f>SUM('[1]Distillers'' Corn Oil Complex'!AX$106:AX$114,'[1]Distillers'' Corn Oil Complex'!AY$103:AY$105)</f>
        <v>199.81939213299822</v>
      </c>
      <c r="AZ10" s="45">
        <f>SUM('[1]Distillers'' Corn Oil Complex'!AY$106:AY$114,'[1]Distillers'' Corn Oil Complex'!AZ$103:AZ$105)</f>
        <v>180.45668855752885</v>
      </c>
      <c r="BA10" s="45">
        <f>SUM('[1]Distillers'' Corn Oil Complex'!AZ$106:AZ$114,'[1]Distillers'' Corn Oil Complex'!BA$103:BA$105)</f>
        <v>164.05693942933866</v>
      </c>
      <c r="BB10" s="45">
        <f>SUM('[1]Distillers'' Corn Oil Complex'!BA$106:BA$114,'[1]Distillers'' Corn Oil Complex'!BB$103:BB$105)</f>
        <v>150.16674220459203</v>
      </c>
      <c r="BC10" s="45">
        <f>SUM('[1]Distillers'' Corn Oil Complex'!BB$106:BB$114,'[1]Distillers'' Corn Oil Complex'!BC$103:BC$105)</f>
        <v>138.40207571888885</v>
      </c>
      <c r="BD10" s="45">
        <f>SUM('[1]Distillers'' Corn Oil Complex'!BC$106:BC$114,'[1]Distillers'' Corn Oil Complex'!BD$103:BD$105)</f>
        <v>128.43768318504905</v>
      </c>
      <c r="BE10" s="45">
        <f>SUM('[1]Distillers'' Corn Oil Complex'!BD$106:BD$114,'[1]Distillers'' Corn Oil Complex'!BE$103:BE$105)</f>
        <v>119.99807984490327</v>
      </c>
      <c r="BF10" s="45">
        <f>SUM('[1]Distillers'' Corn Oil Complex'!BE$106:BE$114,'[1]Distillers'' Corn Oil Complex'!BF$103:BF$105)</f>
        <v>112.8499366643623</v>
      </c>
      <c r="BG10" s="45">
        <f>SUM('[1]Distillers'' Corn Oil Complex'!BF$106:BF$114,'[1]Distillers'' Corn Oil Complex'!BG$103:BG$105)</f>
        <v>106.7956295043967</v>
      </c>
    </row>
    <row r="11" spans="1:63" x14ac:dyDescent="0.2">
      <c r="A11" s="40"/>
      <c r="B11" s="40" t="s">
        <v>155</v>
      </c>
      <c r="C11" s="45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5">
        <f>SUM('[1]Distillers'' Corn Oil Complex'!R$122:R$130,'[1]Distillers'' Corn Oil Complex'!S$119:S$121)+SUM('[1]Distillers'' Corn Oil Complex'!R$326:R$334,'[1]Distillers'' Corn Oil Complex'!S$323:S$325)</f>
        <v>0</v>
      </c>
      <c r="T11" s="45">
        <f>SUM('[1]Distillers'' Corn Oil Complex'!S$122:S$130,'[1]Distillers'' Corn Oil Complex'!T$119:T$121)+SUM('[1]Distillers'' Corn Oil Complex'!S$326:S$334,'[1]Distillers'' Corn Oil Complex'!T$323:T$325)</f>
        <v>48.990154776095714</v>
      </c>
      <c r="U11" s="45">
        <f>SUM('[1]Distillers'' Corn Oil Complex'!T$122:T$130,'[1]Distillers'' Corn Oil Complex'!U$119:U$121)+SUM('[1]Distillers'' Corn Oil Complex'!T$326:T$334,'[1]Distillers'' Corn Oil Complex'!U$323:U$325)</f>
        <v>131.23175329790462</v>
      </c>
      <c r="V11" s="45">
        <f>SUM('[1]Distillers'' Corn Oil Complex'!U$122:U$130,'[1]Distillers'' Corn Oil Complex'!V$119:V$121)+SUM('[1]Distillers'' Corn Oil Complex'!U$326:U$334,'[1]Distillers'' Corn Oil Complex'!V$323:V$325)</f>
        <v>235.0925654267925</v>
      </c>
      <c r="W11" s="45">
        <f>SUM('[1]Distillers'' Corn Oil Complex'!V$122:V$130,'[1]Distillers'' Corn Oil Complex'!W$119:W$121)+SUM('[1]Distillers'' Corn Oil Complex'!V$326:V$334,'[1]Distillers'' Corn Oil Complex'!W$323:W$325)</f>
        <v>494.40139274452753</v>
      </c>
      <c r="X11" s="45">
        <f>SUM('[1]Distillers'' Corn Oil Complex'!W$122:W$130,'[1]Distillers'' Corn Oil Complex'!X$119:X$121)+SUM('[1]Distillers'' Corn Oil Complex'!W$326:W$334,'[1]Distillers'' Corn Oil Complex'!X$323:X$325)</f>
        <v>1574.4436850709255</v>
      </c>
      <c r="Y11" s="45">
        <f>SUM('[1]Distillers'' Corn Oil Complex'!X$122:X$130,'[1]Distillers'' Corn Oil Complex'!Y$119:Y$121)+SUM('[1]Distillers'' Corn Oil Complex'!X$326:X$334,'[1]Distillers'' Corn Oil Complex'!Y$323:Y$325)</f>
        <v>1515.3293702406647</v>
      </c>
      <c r="Z11" s="45">
        <f>SUM('[1]Distillers'' Corn Oil Complex'!Y$122:Y$130,'[1]Distillers'' Corn Oil Complex'!Z$119:Z$121)+SUM('[1]Distillers'' Corn Oil Complex'!Y$326:Y$334,'[1]Distillers'' Corn Oil Complex'!Z$323:Z$325)</f>
        <v>1316.0989276390414</v>
      </c>
      <c r="AA11" s="45">
        <f>SUM('[1]Distillers'' Corn Oil Complex'!Z$122:Z$130,'[1]Distillers'' Corn Oil Complex'!AA$119:AA$121)+SUM('[1]Distillers'' Corn Oil Complex'!Z$326:Z$334,'[1]Distillers'' Corn Oil Complex'!AA$323:AA$325)</f>
        <v>996.12317071411587</v>
      </c>
      <c r="AB11" s="45">
        <f>SUM('[1]Distillers'' Corn Oil Complex'!AA$122:AA$130,'[1]Distillers'' Corn Oil Complex'!AB$119:AB$121)+SUM('[1]Distillers'' Corn Oil Complex'!AA$326:AA$334,'[1]Distillers'' Corn Oil Complex'!AB$323:AB$325,'[1]Distillers'' Corn Oil Complex'!AA$138:AA$146,'[1]Distillers'' Corn Oil Complex'!AB$135:AB$137)</f>
        <v>1384.2331902020967</v>
      </c>
      <c r="AC11" s="45">
        <f>SUM('[1]Distillers'' Corn Oil Complex'!AB$122:AB$130,'[1]Distillers'' Corn Oil Complex'!AC$119:AC$121)+SUM('[1]Distillers'' Corn Oil Complex'!AB$326:AB$334,'[1]Distillers'' Corn Oil Complex'!AC$323:AC$325,'[1]Distillers'' Corn Oil Complex'!AB$138:AB$146,'[1]Distillers'' Corn Oil Complex'!AC$135:AC$137)</f>
        <v>1400.500565544678</v>
      </c>
      <c r="AD11" s="45">
        <f>SUM('[1]Distillers'' Corn Oil Complex'!AC$122:AC$130,'[1]Distillers'' Corn Oil Complex'!AD$119:AD$121)+SUM('[1]Distillers'' Corn Oil Complex'!AC$326:AC$334,'[1]Distillers'' Corn Oil Complex'!AD$323:AD$325,'[1]Distillers'' Corn Oil Complex'!AC$138:AC$146,'[1]Distillers'' Corn Oil Complex'!AD$135:AD$137)</f>
        <v>1465.6330388204974</v>
      </c>
      <c r="AE11" s="45">
        <f>SUM('[1]Distillers'' Corn Oil Complex'!AD$122:AD$130,'[1]Distillers'' Corn Oil Complex'!AE$119:AE$121)+SUM('[1]Distillers'' Corn Oil Complex'!AD$326:AD$334,'[1]Distillers'' Corn Oil Complex'!AE$323:AE$325,'[1]Distillers'' Corn Oil Complex'!AD$138:AD$146,'[1]Distillers'' Corn Oil Complex'!AE$135:AE$137)</f>
        <v>1990.9855362882738</v>
      </c>
      <c r="AF11" s="45">
        <f>SUM('[1]Distillers'' Corn Oil Complex'!AE$122:AE$130,'[1]Distillers'' Corn Oil Complex'!AF$119:AF$121)+SUM('[1]Distillers'' Corn Oil Complex'!AE$326:AE$334,'[1]Distillers'' Corn Oil Complex'!AF$323:AF$325,'[1]Distillers'' Corn Oil Complex'!AE$138:AE$146,'[1]Distillers'' Corn Oil Complex'!AF$135:AF$137)</f>
        <v>3201.1795594907117</v>
      </c>
      <c r="AG11" s="45">
        <f>SUM('[1]Distillers'' Corn Oil Complex'!AF$122:AF$130,'[1]Distillers'' Corn Oil Complex'!AG$119:AG$121)+SUM('[1]Distillers'' Corn Oil Complex'!AF$326:AF$334,'[1]Distillers'' Corn Oil Complex'!AG$323:AG$325,'[1]Distillers'' Corn Oil Complex'!AF$138:AF$146,'[1]Distillers'' Corn Oil Complex'!AG$135:AG$137)</f>
        <v>3474.6783614572128</v>
      </c>
      <c r="AH11" s="45">
        <f>SUM('[1]Distillers'' Corn Oil Complex'!AG$122:AG$130,'[1]Distillers'' Corn Oil Complex'!AH$119:AH$121)+SUM('[1]Distillers'' Corn Oil Complex'!AG$326:AG$334,'[1]Distillers'' Corn Oil Complex'!AH$323:AH$325,'[1]Distillers'' Corn Oil Complex'!AG$138:AG$146,'[1]Distillers'' Corn Oil Complex'!AH$135:AH$137)</f>
        <v>3140.5920075921213</v>
      </c>
      <c r="AI11" s="45">
        <f>SUM('[1]Distillers'' Corn Oil Complex'!AH$122:AH$130,'[1]Distillers'' Corn Oil Complex'!AI$119:AI$121)+SUM('[1]Distillers'' Corn Oil Complex'!AH$326:AH$334,'[1]Distillers'' Corn Oil Complex'!AI$323:AI$325,'[1]Distillers'' Corn Oil Complex'!AH$138:AH$146,'[1]Distillers'' Corn Oil Complex'!AI$135:AI$137)</f>
        <v>3170.2922410156712</v>
      </c>
      <c r="AJ11" s="45">
        <f>SUM('[1]Distillers'' Corn Oil Complex'!AI$122:AI$130,'[1]Distillers'' Corn Oil Complex'!AJ$119:AJ$121)+SUM('[1]Distillers'' Corn Oil Complex'!AI$326:AI$334,'[1]Distillers'' Corn Oil Complex'!AJ$323:AJ$325,'[1]Distillers'' Corn Oil Complex'!AI$138:AI$146,'[1]Distillers'' Corn Oil Complex'!AJ$135:AJ$137)</f>
        <v>3247.1791705709566</v>
      </c>
      <c r="AK11" s="45">
        <f>SUM('[1]Distillers'' Corn Oil Complex'!AJ$122:AJ$130,'[1]Distillers'' Corn Oil Complex'!AK$119:AK$121)+SUM('[1]Distillers'' Corn Oil Complex'!AJ$326:AJ$334,'[1]Distillers'' Corn Oil Complex'!AK$323:AK$325,'[1]Distillers'' Corn Oil Complex'!AJ$138:AJ$146,'[1]Distillers'' Corn Oil Complex'!AK$135:AK$137)</f>
        <v>3404.7297929989513</v>
      </c>
      <c r="AL11" s="45">
        <f>SUM('[1]Distillers'' Corn Oil Complex'!AK$122:AK$130,'[1]Distillers'' Corn Oil Complex'!AL$119:AL$121)+SUM('[1]Distillers'' Corn Oil Complex'!AK$326:AK$334,'[1]Distillers'' Corn Oil Complex'!AL$323:AL$325,'[1]Distillers'' Corn Oil Complex'!AK$138:AK$146,'[1]Distillers'' Corn Oil Complex'!AL$135:AL$137)</f>
        <v>3518.2216017667197</v>
      </c>
      <c r="AM11" s="45">
        <f>SUM('[1]Distillers'' Corn Oil Complex'!AL$122:AL$130,'[1]Distillers'' Corn Oil Complex'!AM$119:AM$121)+SUM('[1]Distillers'' Corn Oil Complex'!AL$326:AL$334,'[1]Distillers'' Corn Oil Complex'!AM$323:AM$325,'[1]Distillers'' Corn Oil Complex'!AL$138:AL$146,'[1]Distillers'' Corn Oil Complex'!AM$135:AM$137)</f>
        <v>3526.1984010100059</v>
      </c>
      <c r="AN11" s="45">
        <f>SUM('[1]Distillers'' Corn Oil Complex'!AM$122:AM$130,'[1]Distillers'' Corn Oil Complex'!AN$119:AN$121)+SUM('[1]Distillers'' Corn Oil Complex'!AM$326:AM$334,'[1]Distillers'' Corn Oil Complex'!AN$323:AN$325,'[1]Distillers'' Corn Oil Complex'!AM$138:AM$146,'[1]Distillers'' Corn Oil Complex'!AN$135:AN$137)</f>
        <v>3538.6193331866348</v>
      </c>
      <c r="AO11" s="45">
        <f>SUM('[1]Distillers'' Corn Oil Complex'!AN$122:AN$130,'[1]Distillers'' Corn Oil Complex'!AO$119:AO$121)+SUM('[1]Distillers'' Corn Oil Complex'!AN$326:AN$334,'[1]Distillers'' Corn Oil Complex'!AO$323:AO$325,'[1]Distillers'' Corn Oil Complex'!AN$138:AN$146,'[1]Distillers'' Corn Oil Complex'!AO$135:AO$137)</f>
        <v>3746.7744663137091</v>
      </c>
      <c r="AP11" s="45">
        <f>SUM('[1]Distillers'' Corn Oil Complex'!AO$122:AO$130,'[1]Distillers'' Corn Oil Complex'!AP$119:AP$121)+SUM('[1]Distillers'' Corn Oil Complex'!AO$326:AO$334,'[1]Distillers'' Corn Oil Complex'!AP$323:AP$325,'[1]Distillers'' Corn Oil Complex'!AO$138:AO$146,'[1]Distillers'' Corn Oil Complex'!AP$135:AP$137)</f>
        <v>3571.384228663941</v>
      </c>
      <c r="AQ11" s="45">
        <f>SUM('[1]Distillers'' Corn Oil Complex'!AP$122:AP$130,'[1]Distillers'' Corn Oil Complex'!AQ$119:AQ$121)+SUM('[1]Distillers'' Corn Oil Complex'!AP$326:AP$334,'[1]Distillers'' Corn Oil Complex'!AQ$323:AQ$325,'[1]Distillers'' Corn Oil Complex'!AP$138:AP$146,'[1]Distillers'' Corn Oil Complex'!AQ$135:AQ$137)</f>
        <v>3616.1796569651374</v>
      </c>
      <c r="AR11" s="45">
        <f>SUM('[1]Distillers'' Corn Oil Complex'!AQ$122:AQ$130,'[1]Distillers'' Corn Oil Complex'!AR$119:AR$121)+SUM('[1]Distillers'' Corn Oil Complex'!AQ$326:AQ$334,'[1]Distillers'' Corn Oil Complex'!AR$323:AR$325,'[1]Distillers'' Corn Oil Complex'!AQ$138:AQ$146,'[1]Distillers'' Corn Oil Complex'!AR$135:AR$137)</f>
        <v>3813.9914030307077</v>
      </c>
      <c r="AS11" s="45">
        <f>SUM('[1]Distillers'' Corn Oil Complex'!AR$122:AR$130,'[1]Distillers'' Corn Oil Complex'!AS$119:AS$121)+SUM('[1]Distillers'' Corn Oil Complex'!AR$326:AR$334,'[1]Distillers'' Corn Oil Complex'!AS$323:AS$325,'[1]Distillers'' Corn Oil Complex'!AR$138:AR$146,'[1]Distillers'' Corn Oil Complex'!AS$135:AS$137)</f>
        <v>3973.0949454599086</v>
      </c>
      <c r="AT11" s="45">
        <f>SUM('[1]Distillers'' Corn Oil Complex'!AS$122:AS$130,'[1]Distillers'' Corn Oil Complex'!AT$119:AT$121)+SUM('[1]Distillers'' Corn Oil Complex'!AS$326:AS$334,'[1]Distillers'' Corn Oil Complex'!AT$323:AT$325,'[1]Distillers'' Corn Oil Complex'!AS$138:AS$146,'[1]Distillers'' Corn Oil Complex'!AT$135:AT$137)</f>
        <v>4323.9212662605296</v>
      </c>
      <c r="AU11" s="45">
        <f>SUM('[1]Distillers'' Corn Oil Complex'!AT$122:AT$130,'[1]Distillers'' Corn Oil Complex'!AU$119:AU$121)+SUM('[1]Distillers'' Corn Oil Complex'!AT$326:AT$334,'[1]Distillers'' Corn Oil Complex'!AU$323:AU$325,'[1]Distillers'' Corn Oil Complex'!AT$138:AT$146,'[1]Distillers'' Corn Oil Complex'!AU$135:AU$137)</f>
        <v>4512.9717587971645</v>
      </c>
      <c r="AV11" s="45">
        <f>SUM('[1]Distillers'' Corn Oil Complex'!AU$122:AU$130,'[1]Distillers'' Corn Oil Complex'!AV$119:AV$121)+SUM('[1]Distillers'' Corn Oil Complex'!AU$326:AU$334,'[1]Distillers'' Corn Oil Complex'!AV$323:AV$325,'[1]Distillers'' Corn Oil Complex'!AU$138:AU$146,'[1]Distillers'' Corn Oil Complex'!AV$135:AV$137)</f>
        <v>4095.0594054755479</v>
      </c>
      <c r="AW11" s="45">
        <f>SUM('[1]Distillers'' Corn Oil Complex'!AV$122:AV$130,'[1]Distillers'' Corn Oil Complex'!AW$119:AW$121)+SUM('[1]Distillers'' Corn Oil Complex'!AV$326:AV$334,'[1]Distillers'' Corn Oil Complex'!AW$323:AW$325,'[1]Distillers'' Corn Oil Complex'!AV$138:AV$146,'[1]Distillers'' Corn Oil Complex'!AW$135:AW$137)</f>
        <v>2011.1278909785669</v>
      </c>
      <c r="AX11" s="45">
        <f>SUM('[1]Distillers'' Corn Oil Complex'!AW$122:AW$130,'[1]Distillers'' Corn Oil Complex'!AX$119:AX$121)+SUM('[1]Distillers'' Corn Oil Complex'!AW$326:AW$334,'[1]Distillers'' Corn Oil Complex'!AX$323:AX$325,'[1]Distillers'' Corn Oil Complex'!AW$138:AW$146,'[1]Distillers'' Corn Oil Complex'!AX$135:AX$137)</f>
        <v>2267.36554263481</v>
      </c>
      <c r="AY11" s="45">
        <f>SUM('[1]Distillers'' Corn Oil Complex'!AX$122:AX$130,'[1]Distillers'' Corn Oil Complex'!AY$119:AY$121)+SUM('[1]Distillers'' Corn Oil Complex'!AX$326:AX$334,'[1]Distillers'' Corn Oil Complex'!AY$323:AY$325,'[1]Distillers'' Corn Oil Complex'!AX$138:AX$146,'[1]Distillers'' Corn Oil Complex'!AY$135:AY$137)</f>
        <v>3497.0362078133621</v>
      </c>
      <c r="AZ11" s="45">
        <f>SUM('[1]Distillers'' Corn Oil Complex'!AY$122:AY$130,'[1]Distillers'' Corn Oil Complex'!AZ$119:AZ$121)+SUM('[1]Distillers'' Corn Oil Complex'!AY$326:AY$334,'[1]Distillers'' Corn Oil Complex'!AZ$323:AZ$325,'[1]Distillers'' Corn Oil Complex'!AY$138:AY$146,'[1]Distillers'' Corn Oil Complex'!AZ$135:AZ$137)</f>
        <v>3344.05660543883</v>
      </c>
      <c r="BA11" s="45">
        <f>SUM('[1]Distillers'' Corn Oil Complex'!AZ$122:AZ$130,'[1]Distillers'' Corn Oil Complex'!BA$119:BA$121)+SUM('[1]Distillers'' Corn Oil Complex'!AZ$326:AZ$334,'[1]Distillers'' Corn Oil Complex'!BA$323:BA$325,'[1]Distillers'' Corn Oil Complex'!AZ$138:AZ$146,'[1]Distillers'' Corn Oil Complex'!BA$135:BA$137)</f>
        <v>3136.5389999123918</v>
      </c>
      <c r="BB11" s="45">
        <f>SUM('[1]Distillers'' Corn Oil Complex'!BA$122:BA$130,'[1]Distillers'' Corn Oil Complex'!BB$119:BB$121)+SUM('[1]Distillers'' Corn Oil Complex'!BA$326:BA$334,'[1]Distillers'' Corn Oil Complex'!BB$323:BB$325,'[1]Distillers'' Corn Oil Complex'!BA$138:BA$146,'[1]Distillers'' Corn Oil Complex'!BB$135:BB$137)</f>
        <v>3383.9532463841242</v>
      </c>
      <c r="BC11" s="45">
        <f>SUM('[1]Distillers'' Corn Oil Complex'!BB$122:BB$130,'[1]Distillers'' Corn Oil Complex'!BC$119:BC$121)+SUM('[1]Distillers'' Corn Oil Complex'!BB$326:BB$334,'[1]Distillers'' Corn Oil Complex'!BC$323:BC$325,'[1]Distillers'' Corn Oil Complex'!BB$138:BB$146,'[1]Distillers'' Corn Oil Complex'!BC$135:BC$137)</f>
        <v>3488.7757045907401</v>
      </c>
      <c r="BD11" s="45">
        <f>SUM('[1]Distillers'' Corn Oil Complex'!BC$122:BC$130,'[1]Distillers'' Corn Oil Complex'!BD$119:BD$121)+SUM('[1]Distillers'' Corn Oil Complex'!BC$326:BC$334,'[1]Distillers'' Corn Oil Complex'!BD$323:BD$325,'[1]Distillers'' Corn Oil Complex'!BC$138:BC$146,'[1]Distillers'' Corn Oil Complex'!BD$135:BD$137)</f>
        <v>3634.2417104292399</v>
      </c>
      <c r="BE11" s="45">
        <f>SUM('[1]Distillers'' Corn Oil Complex'!BD$122:BD$130,'[1]Distillers'' Corn Oil Complex'!BE$119:BE$121)+SUM('[1]Distillers'' Corn Oil Complex'!BD$326:BD$334,'[1]Distillers'' Corn Oil Complex'!BE$323:BE$325,'[1]Distillers'' Corn Oil Complex'!BD$138:BD$146,'[1]Distillers'' Corn Oil Complex'!BE$135:BE$137)</f>
        <v>3754.8507079598485</v>
      </c>
      <c r="BF11" s="45">
        <f>SUM('[1]Distillers'' Corn Oil Complex'!BE$122:BE$130,'[1]Distillers'' Corn Oil Complex'!BF$119:BF$121)+SUM('[1]Distillers'' Corn Oil Complex'!BE$326:BE$334,'[1]Distillers'' Corn Oil Complex'!BF$323:BF$325,'[1]Distillers'' Corn Oil Complex'!BE$138:BE$146,'[1]Distillers'' Corn Oil Complex'!BF$135:BF$137)</f>
        <v>3912.680307262186</v>
      </c>
      <c r="BG11" s="45">
        <f>SUM('[1]Distillers'' Corn Oil Complex'!BF$122:BF$130,'[1]Distillers'' Corn Oil Complex'!BG$119:BG$121)+SUM('[1]Distillers'' Corn Oil Complex'!BF$326:BF$334,'[1]Distillers'' Corn Oil Complex'!BG$323:BG$325,'[1]Distillers'' Corn Oil Complex'!BF$138:BF$146,'[1]Distillers'' Corn Oil Complex'!BG$135:BG$137)</f>
        <v>4123.4366172871332</v>
      </c>
    </row>
    <row r="12" spans="1:63" x14ac:dyDescent="0.2">
      <c r="A12" s="40"/>
      <c r="B12" s="40" t="s">
        <v>78</v>
      </c>
      <c r="C12" s="45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5">
        <f>SUM('[1]Distillers'' Corn Oil Complex'!R$154:R$162,'[1]Distillers'' Corn Oil Complex'!S$151:S$153)</f>
        <v>0</v>
      </c>
      <c r="T12" s="45">
        <f>SUM('[1]Distillers'' Corn Oil Complex'!S$154:S$162,'[1]Distillers'' Corn Oil Complex'!T$151:T$153)</f>
        <v>0</v>
      </c>
      <c r="U12" s="45">
        <f>SUM('[1]Distillers'' Corn Oil Complex'!T$154:T$162,'[1]Distillers'' Corn Oil Complex'!U$151:U$153)</f>
        <v>0</v>
      </c>
      <c r="V12" s="45">
        <f>SUM('[1]Distillers'' Corn Oil Complex'!U$154:U$162,'[1]Distillers'' Corn Oil Complex'!V$151:V$153)</f>
        <v>0</v>
      </c>
      <c r="W12" s="45">
        <f>SUM('[1]Distillers'' Corn Oil Complex'!V$154:V$162,'[1]Distillers'' Corn Oil Complex'!W$151:W$153)</f>
        <v>0</v>
      </c>
      <c r="X12" s="45">
        <f>SUM('[1]Distillers'' Corn Oil Complex'!W$154:W$162,'[1]Distillers'' Corn Oil Complex'!X$151:X$153)</f>
        <v>0</v>
      </c>
      <c r="Y12" s="45">
        <f>SUM('[1]Distillers'' Corn Oil Complex'!X$154:X$162,'[1]Distillers'' Corn Oil Complex'!Y$151:Y$153)</f>
        <v>0</v>
      </c>
      <c r="Z12" s="45">
        <f>SUM('[1]Distillers'' Corn Oil Complex'!Y$154:Y$162,'[1]Distillers'' Corn Oil Complex'!Z$151:Z$153)</f>
        <v>0.97812172671571695</v>
      </c>
      <c r="AA12" s="45">
        <f>SUM('[1]Distillers'' Corn Oil Complex'!Z$154:Z$162,'[1]Distillers'' Corn Oil Complex'!AA$151:AA$153)</f>
        <v>4.2087967421127264</v>
      </c>
      <c r="AB12" s="60">
        <f>AB8-AB9</f>
        <v>740.72702846757011</v>
      </c>
      <c r="AC12" s="60">
        <f t="shared" ref="AC12:BG12" si="4">AC8-AC9</f>
        <v>711.4666527914419</v>
      </c>
      <c r="AD12" s="60">
        <f t="shared" si="4"/>
        <v>1052.6774536889052</v>
      </c>
      <c r="AE12" s="60">
        <f t="shared" si="4"/>
        <v>262.98578576712907</v>
      </c>
      <c r="AF12" s="60">
        <f t="shared" si="4"/>
        <v>-43.122432038953775</v>
      </c>
      <c r="AG12" s="60">
        <f t="shared" si="4"/>
        <v>28.154216346388239</v>
      </c>
      <c r="AH12" s="60">
        <f t="shared" si="4"/>
        <v>180.51907556187416</v>
      </c>
      <c r="AI12" s="60">
        <f t="shared" si="4"/>
        <v>320.90940663182209</v>
      </c>
      <c r="AJ12" s="60">
        <f t="shared" si="4"/>
        <v>342.25063198180214</v>
      </c>
      <c r="AK12" s="60">
        <f t="shared" si="4"/>
        <v>550.34586089784625</v>
      </c>
      <c r="AL12" s="60">
        <f t="shared" si="4"/>
        <v>442.29552972297461</v>
      </c>
      <c r="AM12" s="60">
        <f t="shared" si="4"/>
        <v>759.81952158180229</v>
      </c>
      <c r="AN12" s="60">
        <f t="shared" si="4"/>
        <v>912.84689283357602</v>
      </c>
      <c r="AO12" s="60">
        <f t="shared" si="4"/>
        <v>686.09725562684707</v>
      </c>
      <c r="AP12" s="60">
        <f t="shared" si="4"/>
        <v>1062.5608150880998</v>
      </c>
      <c r="AQ12" s="60">
        <f t="shared" si="4"/>
        <v>1160.1663331878517</v>
      </c>
      <c r="AR12" s="60">
        <f t="shared" si="4"/>
        <v>1124.7342991710366</v>
      </c>
      <c r="AS12" s="60">
        <f t="shared" si="4"/>
        <v>1206.84897997396</v>
      </c>
      <c r="AT12" s="60">
        <f t="shared" si="4"/>
        <v>1057.8649932206163</v>
      </c>
      <c r="AU12" s="60">
        <f t="shared" si="4"/>
        <v>1045.7468417978243</v>
      </c>
      <c r="AV12" s="60">
        <f t="shared" si="4"/>
        <v>1571.3102022070689</v>
      </c>
      <c r="AW12" s="60">
        <f t="shared" si="4"/>
        <v>3781.4609441420394</v>
      </c>
      <c r="AX12" s="60">
        <f t="shared" si="4"/>
        <v>3779.5268876850109</v>
      </c>
      <c r="AY12" s="60">
        <f t="shared" si="4"/>
        <v>2998.4369091993963</v>
      </c>
      <c r="AZ12" s="60">
        <f t="shared" si="4"/>
        <v>3285.1704304108061</v>
      </c>
      <c r="BA12" s="60">
        <f t="shared" si="4"/>
        <v>3820.7338640106063</v>
      </c>
      <c r="BB12" s="60">
        <f t="shared" si="4"/>
        <v>3792.2100936074676</v>
      </c>
      <c r="BC12" s="60">
        <f t="shared" si="4"/>
        <v>4036.9947175612938</v>
      </c>
      <c r="BD12" s="60">
        <f t="shared" si="4"/>
        <v>4173.3708465343207</v>
      </c>
      <c r="BE12" s="60">
        <f t="shared" si="4"/>
        <v>4347.495924225007</v>
      </c>
      <c r="BF12" s="60">
        <f t="shared" si="4"/>
        <v>4455.5026705557975</v>
      </c>
      <c r="BG12" s="60">
        <f t="shared" si="4"/>
        <v>4338.6092985536789</v>
      </c>
      <c r="BK12" s="41" t="s">
        <v>163</v>
      </c>
    </row>
    <row r="13" spans="1:63" x14ac:dyDescent="0.2">
      <c r="A13" s="40"/>
      <c r="B13" s="40" t="s">
        <v>79</v>
      </c>
      <c r="C13" s="45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5">
        <f>SUM('[1]Distillers'' Corn Oil Complex'!R$58:R$66,'[1]Distillers'' Corn Oil Complex'!S$55:S$57)</f>
        <v>197.46181959839998</v>
      </c>
      <c r="T13" s="45">
        <f>SUM('[1]Distillers'' Corn Oil Complex'!S$58:S$66,'[1]Distillers'' Corn Oil Complex'!T$55:T$57)</f>
        <v>207.83302287300003</v>
      </c>
      <c r="U13" s="45">
        <f>SUM('[1]Distillers'' Corn Oil Complex'!T$58:T$66,'[1]Distillers'' Corn Oil Complex'!U$55:U$57)</f>
        <v>432.39251286000001</v>
      </c>
      <c r="V13" s="45">
        <f>SUM('[1]Distillers'' Corn Oil Complex'!U$58:U$66,'[1]Distillers'' Corn Oil Complex'!V$55:V$57)</f>
        <v>302.20319035619997</v>
      </c>
      <c r="W13" s="45">
        <f>SUM('[1]Distillers'' Corn Oil Complex'!V$58:V$66,'[1]Distillers'' Corn Oil Complex'!W$55:W$57)</f>
        <v>209.58194950560002</v>
      </c>
      <c r="X13" s="45">
        <f>SUM('[1]Distillers'' Corn Oil Complex'!W$58:W$66,'[1]Distillers'' Corn Oil Complex'!X$55:X$57)</f>
        <v>302.77066005899997</v>
      </c>
      <c r="Y13" s="45">
        <f>SUM('[1]Distillers'' Corn Oil Complex'!X$58:X$66,'[1]Distillers'' Corn Oil Complex'!Y$55:Y$57)</f>
        <v>435.8517852402</v>
      </c>
      <c r="Z13" s="45">
        <f>SUM('[1]Distillers'' Corn Oil Complex'!Y$58:Y$66,'[1]Distillers'' Corn Oil Complex'!Z$55:Z$57)</f>
        <v>372.62410812899998</v>
      </c>
      <c r="AA13" s="45">
        <f>SUM('[1]Distillers'' Corn Oil Complex'!Z$58:Z$66,'[1]Distillers'' Corn Oil Complex'!AA$55:AA$57)</f>
        <v>171.78892874880003</v>
      </c>
      <c r="AB13" s="45">
        <f>SUM('[1]Distillers'' Corn Oil Complex'!AA$58:AA$66,'[1]Distillers'' Corn Oil Complex'!AB$55:AB$57)</f>
        <v>231.73732917032001</v>
      </c>
      <c r="AC13" s="45">
        <f>SUM('[1]Distillers'' Corn Oil Complex'!AB$58:AB$66,'[1]Distillers'' Corn Oil Complex'!AC$55:AC$57)</f>
        <v>181.10217397844002</v>
      </c>
      <c r="AD13" s="45">
        <f>SUM('[1]Distillers'' Corn Oil Complex'!AC$58:AC$66,'[1]Distillers'' Corn Oil Complex'!AD$55:AD$57)</f>
        <v>198.51577400060003</v>
      </c>
      <c r="AE13" s="45">
        <f>SUM('[1]Distillers'' Corn Oil Complex'!AD$58:AD$66,'[1]Distillers'' Corn Oil Complex'!AE$55:AE$57)</f>
        <v>142.273065</v>
      </c>
      <c r="AF13" s="45">
        <f>SUM('[1]Distillers'' Corn Oil Complex'!AE$58:AE$66,'[1]Distillers'' Corn Oil Complex'!AF$55:AF$57)</f>
        <v>72.778751</v>
      </c>
      <c r="AG13" s="45">
        <f>SUM('[1]Distillers'' Corn Oil Complex'!AF$58:AF$66,'[1]Distillers'' Corn Oil Complex'!AG$55:AG$57)</f>
        <v>33.338847662020001</v>
      </c>
      <c r="AH13" s="45">
        <f>SUM('[1]Distillers'' Corn Oil Complex'!AG$58:AG$66,'[1]Distillers'' Corn Oil Complex'!AH$55:AH$57)</f>
        <v>36.810545403180605</v>
      </c>
      <c r="AI13" s="45">
        <f>SUM('[1]Distillers'' Corn Oil Complex'!AH$58:AH$66,'[1]Distillers'' Corn Oil Complex'!AI$55:AI$57)</f>
        <v>10.310085696357753</v>
      </c>
      <c r="AJ13" s="45">
        <f>SUM('[1]Distillers'' Corn Oil Complex'!AI$58:AI$66,'[1]Distillers'' Corn Oil Complex'!AJ$55:AJ$57)</f>
        <v>9.0883117699447347</v>
      </c>
      <c r="AK13" s="45">
        <f>SUM('[1]Distillers'' Corn Oil Complex'!AJ$58:AJ$66,'[1]Distillers'' Corn Oil Complex'!AK$55:AK$57)</f>
        <v>10</v>
      </c>
      <c r="AL13" s="45">
        <f>SUM('[1]Distillers'' Corn Oil Complex'!AK$58:AK$66,'[1]Distillers'' Corn Oil Complex'!AL$55:AL$57)</f>
        <v>10</v>
      </c>
      <c r="AM13" s="45">
        <f>SUM('[1]Distillers'' Corn Oil Complex'!AL$58:AL$66,'[1]Distillers'' Corn Oil Complex'!AM$55:AM$57)</f>
        <v>10</v>
      </c>
      <c r="AN13" s="45">
        <f>SUM('[1]Distillers'' Corn Oil Complex'!AM$58:AM$66,'[1]Distillers'' Corn Oil Complex'!AN$55:AN$57)</f>
        <v>10</v>
      </c>
      <c r="AO13" s="45">
        <f>SUM('[1]Distillers'' Corn Oil Complex'!AN$58:AN$66,'[1]Distillers'' Corn Oil Complex'!AO$55:AO$57)</f>
        <v>10</v>
      </c>
      <c r="AP13" s="45">
        <f>SUM('[1]Distillers'' Corn Oil Complex'!AO$58:AO$66,'[1]Distillers'' Corn Oil Complex'!AP$55:AP$57)</f>
        <v>10</v>
      </c>
      <c r="AQ13" s="45">
        <f>SUM('[1]Distillers'' Corn Oil Complex'!AP$58:AP$66,'[1]Distillers'' Corn Oil Complex'!AQ$55:AQ$57)</f>
        <v>10</v>
      </c>
      <c r="AR13" s="45">
        <f>SUM('[1]Distillers'' Corn Oil Complex'!AQ$58:AQ$66,'[1]Distillers'' Corn Oil Complex'!AR$55:AR$57)</f>
        <v>10</v>
      </c>
      <c r="AS13" s="45">
        <f>SUM('[1]Distillers'' Corn Oil Complex'!AR$58:AR$66,'[1]Distillers'' Corn Oil Complex'!AS$55:AS$57)</f>
        <v>10</v>
      </c>
      <c r="AT13" s="45">
        <f>SUM('[1]Distillers'' Corn Oil Complex'!AS$58:AS$66,'[1]Distillers'' Corn Oil Complex'!AT$55:AT$57)</f>
        <v>10</v>
      </c>
      <c r="AU13" s="45">
        <f>SUM('[1]Distillers'' Corn Oil Complex'!AT$58:AT$66,'[1]Distillers'' Corn Oil Complex'!AU$55:AU$57)</f>
        <v>10</v>
      </c>
      <c r="AV13" s="45">
        <f>SUM('[1]Distillers'' Corn Oil Complex'!AU$58:AU$66,'[1]Distillers'' Corn Oil Complex'!AV$55:AV$57)</f>
        <v>10</v>
      </c>
      <c r="AW13" s="45">
        <f>SUM('[1]Distillers'' Corn Oil Complex'!AV$58:AV$66,'[1]Distillers'' Corn Oil Complex'!AW$55:AW$57)</f>
        <v>10</v>
      </c>
      <c r="AX13" s="45">
        <f>SUM('[1]Distillers'' Corn Oil Complex'!AW$58:AW$66,'[1]Distillers'' Corn Oil Complex'!AX$55:AX$57)</f>
        <v>10</v>
      </c>
      <c r="AY13" s="45">
        <f>SUM('[1]Distillers'' Corn Oil Complex'!AX$58:AX$66,'[1]Distillers'' Corn Oil Complex'!AY$55:AY$57)</f>
        <v>10</v>
      </c>
      <c r="AZ13" s="45">
        <f>SUM('[1]Distillers'' Corn Oil Complex'!AY$58:AY$66,'[1]Distillers'' Corn Oil Complex'!AZ$55:AZ$57)</f>
        <v>10</v>
      </c>
      <c r="BA13" s="45">
        <f>SUM('[1]Distillers'' Corn Oil Complex'!AZ$58:AZ$66,'[1]Distillers'' Corn Oil Complex'!BA$55:BA$57)</f>
        <v>10.213209962470311</v>
      </c>
      <c r="BB13" s="45">
        <f>SUM('[1]Distillers'' Corn Oil Complex'!BA$58:BA$66,'[1]Distillers'' Corn Oil Complex'!BB$55:BB$57)</f>
        <v>11.213209962470309</v>
      </c>
      <c r="BC13" s="45">
        <f>SUM('[1]Distillers'' Corn Oil Complex'!BB$58:BB$66,'[1]Distillers'' Corn Oil Complex'!BC$55:BC$57)</f>
        <v>12.213209962470312</v>
      </c>
      <c r="BD13" s="45">
        <f>SUM('[1]Distillers'' Corn Oil Complex'!BC$58:BC$66,'[1]Distillers'' Corn Oil Complex'!BD$55:BD$57)</f>
        <v>13.213209962470312</v>
      </c>
      <c r="BE13" s="45">
        <f>SUM('[1]Distillers'' Corn Oil Complex'!BD$58:BD$66,'[1]Distillers'' Corn Oil Complex'!BE$55:BE$57)</f>
        <v>14.213209962470309</v>
      </c>
      <c r="BF13" s="45">
        <f>SUM('[1]Distillers'' Corn Oil Complex'!BE$58:BE$66,'[1]Distillers'' Corn Oil Complex'!BF$55:BF$57)</f>
        <v>15.213209962470312</v>
      </c>
      <c r="BG13" s="45">
        <f>SUM('[1]Distillers'' Corn Oil Complex'!BF$58:BF$66,'[1]Distillers'' Corn Oil Complex'!BG$55:BG$57)</f>
        <v>16.213209962470309</v>
      </c>
      <c r="BK13" s="41" t="s">
        <v>164</v>
      </c>
    </row>
    <row r="14" spans="1:63" x14ac:dyDescent="0.2">
      <c r="A14" s="40"/>
      <c r="B14" s="61" t="s">
        <v>80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 t="e">
        <f t="shared" ref="S14:AA14" si="5">S13+S8</f>
        <v>#REF!</v>
      </c>
      <c r="T14" s="62" t="e">
        <f t="shared" si="5"/>
        <v>#REF!</v>
      </c>
      <c r="U14" s="62" t="e">
        <f t="shared" si="5"/>
        <v>#REF!</v>
      </c>
      <c r="V14" s="62" t="e">
        <f t="shared" si="5"/>
        <v>#REF!</v>
      </c>
      <c r="W14" s="62" t="e">
        <f t="shared" si="5"/>
        <v>#REF!</v>
      </c>
      <c r="X14" s="62" t="e">
        <f t="shared" si="5"/>
        <v>#REF!</v>
      </c>
      <c r="Y14" s="62" t="e">
        <f t="shared" si="5"/>
        <v>#REF!</v>
      </c>
      <c r="Z14" s="62" t="e">
        <f t="shared" si="5"/>
        <v>#REF!</v>
      </c>
      <c r="AA14" s="62" t="e">
        <f t="shared" si="5"/>
        <v>#REF!</v>
      </c>
      <c r="AB14" s="62">
        <f>AB7-AB15</f>
        <v>4116.4175478399866</v>
      </c>
      <c r="AC14" s="62">
        <f t="shared" ref="AC14:BG14" si="6">AC7-AC15</f>
        <v>3809.7493923145598</v>
      </c>
      <c r="AD14" s="62">
        <f t="shared" si="6"/>
        <v>4095.467507566038</v>
      </c>
      <c r="AE14" s="62">
        <f t="shared" si="6"/>
        <v>4102.6586676929583</v>
      </c>
      <c r="AF14" s="62">
        <f t="shared" si="6"/>
        <v>4278.0688784517579</v>
      </c>
      <c r="AG14" s="62">
        <f t="shared" si="6"/>
        <v>4461.1120344585615</v>
      </c>
      <c r="AH14" s="62">
        <f t="shared" si="6"/>
        <v>4386.0558500677289</v>
      </c>
      <c r="AI14" s="62">
        <f t="shared" si="6"/>
        <v>4354.8256503121911</v>
      </c>
      <c r="AJ14" s="62">
        <f t="shared" si="6"/>
        <v>4516.0419194451188</v>
      </c>
      <c r="AK14" s="62">
        <f t="shared" si="6"/>
        <v>4607.6097331990059</v>
      </c>
      <c r="AL14" s="62">
        <f t="shared" si="6"/>
        <v>4678.6610612700952</v>
      </c>
      <c r="AM14" s="62">
        <f t="shared" si="6"/>
        <v>4998.8152098678765</v>
      </c>
      <c r="AN14" s="62">
        <f t="shared" si="6"/>
        <v>5126.8491054685792</v>
      </c>
      <c r="AO14" s="62">
        <f t="shared" si="6"/>
        <v>5122.6389486557555</v>
      </c>
      <c r="AP14" s="62">
        <f t="shared" si="6"/>
        <v>5251.3705102411795</v>
      </c>
      <c r="AQ14" s="62">
        <f t="shared" si="6"/>
        <v>5357.376161720872</v>
      </c>
      <c r="AR14" s="62">
        <f t="shared" si="6"/>
        <v>5486.9686140682825</v>
      </c>
      <c r="AS14" s="62">
        <f t="shared" si="6"/>
        <v>5622.7081347037347</v>
      </c>
      <c r="AT14" s="62">
        <f t="shared" si="6"/>
        <v>5729.6341603188284</v>
      </c>
      <c r="AU14" s="62">
        <f t="shared" si="6"/>
        <v>5887.8834809841537</v>
      </c>
      <c r="AV14" s="62">
        <f t="shared" si="6"/>
        <v>5957.9090845684314</v>
      </c>
      <c r="AW14" s="62">
        <f t="shared" si="6"/>
        <v>6052.2604906612851</v>
      </c>
      <c r="AX14" s="62">
        <f t="shared" si="6"/>
        <v>6279.5727995824654</v>
      </c>
      <c r="AY14" s="62">
        <f t="shared" si="6"/>
        <v>6705.2925091457564</v>
      </c>
      <c r="AZ14" s="62">
        <f t="shared" si="6"/>
        <v>6819.6837244071648</v>
      </c>
      <c r="BA14" s="62">
        <f t="shared" si="6"/>
        <v>7131.5430133148075</v>
      </c>
      <c r="BB14" s="62">
        <f t="shared" si="6"/>
        <v>7337.5432921586544</v>
      </c>
      <c r="BC14" s="62">
        <f t="shared" si="6"/>
        <v>7676.3857078333931</v>
      </c>
      <c r="BD14" s="62">
        <f t="shared" si="6"/>
        <v>7949.2634501110806</v>
      </c>
      <c r="BE14" s="62">
        <f t="shared" si="6"/>
        <v>8236.5579219922292</v>
      </c>
      <c r="BF14" s="62">
        <f t="shared" si="6"/>
        <v>8496.2461244448168</v>
      </c>
      <c r="BG14" s="62">
        <f t="shared" si="6"/>
        <v>8585.0547553076794</v>
      </c>
    </row>
    <row r="15" spans="1:63" ht="12" thickBot="1" x14ac:dyDescent="0.25">
      <c r="A15" s="40"/>
      <c r="B15" s="40" t="s">
        <v>81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>
        <f>'[1]Distillers'' Corn Oil Complex'!S$169</f>
        <v>50.252367590350275</v>
      </c>
      <c r="T15" s="45">
        <f>'[1]Distillers'' Corn Oil Complex'!T$169</f>
        <v>70.775048212999451</v>
      </c>
      <c r="U15" s="45">
        <f>'[1]Distillers'' Corn Oil Complex'!U$169</f>
        <v>13.915571993042072</v>
      </c>
      <c r="V15" s="45">
        <f>'[1]Distillers'' Corn Oil Complex'!V$169</f>
        <v>12.892923647014385</v>
      </c>
      <c r="W15" s="45">
        <f>'[1]Distillers'' Corn Oil Complex'!W$169</f>
        <v>90.570316123213928</v>
      </c>
      <c r="X15" s="45">
        <f>'[1]Distillers'' Corn Oil Complex'!X$169</f>
        <v>50.125158192538947</v>
      </c>
      <c r="Y15" s="45">
        <f>'[1]Distillers'' Corn Oil Complex'!Y$169</f>
        <v>42.51722441112156</v>
      </c>
      <c r="Z15" s="45">
        <f>'[1]Distillers'' Corn Oil Complex'!Z$169</f>
        <v>139.37484423482545</v>
      </c>
      <c r="AA15" s="45">
        <f>'[1]Distillers'' Corn Oil Complex'!AA$169</f>
        <v>63.384038158095564</v>
      </c>
      <c r="AB15" s="45">
        <f>'[1]Distillers'' Corn Oil Complex'!AB$185</f>
        <v>119.89455216141573</v>
      </c>
      <c r="AC15" s="45">
        <f>'[1]Distillers'' Corn Oil Complex'!AC$185</f>
        <v>119.65590519573431</v>
      </c>
      <c r="AD15" s="45">
        <f>'[1]Distillers'' Corn Oil Complex'!AD$185</f>
        <v>121.216135219145</v>
      </c>
      <c r="AE15" s="45">
        <f>'[1]Distillers'' Corn Oil Complex'!AE$185</f>
        <v>122.28265700338677</v>
      </c>
      <c r="AF15" s="45">
        <f>'[1]Distillers'' Corn Oil Complex'!AF$185</f>
        <v>92.822826613330491</v>
      </c>
      <c r="AG15" s="45">
        <f>'[1]Distillers'' Corn Oil Complex'!AG$185</f>
        <v>87.965089936290028</v>
      </c>
      <c r="AH15" s="45">
        <f>'[1]Distillers'' Corn Oil Complex'!AH$185</f>
        <v>180.14567893503414</v>
      </c>
      <c r="AI15" s="45">
        <f>'[1]Distillers'' Corn Oil Complex'!AI$185</f>
        <v>324.60361186861326</v>
      </c>
      <c r="AJ15" s="45">
        <f>'[1]Distillers'' Corn Oil Complex'!AJ$185</f>
        <v>372.59749525434893</v>
      </c>
      <c r="AK15" s="45">
        <f>'[1]Distillers'' Corn Oil Complex'!AK$185</f>
        <v>450.66114338959528</v>
      </c>
      <c r="AL15" s="45">
        <f>'[1]Distillers'' Corn Oil Complex'!AL$185</f>
        <v>550.52777068103592</v>
      </c>
      <c r="AM15" s="45">
        <f>'[1]Distillers'' Corn Oil Complex'!AM$185</f>
        <v>655.9293322437893</v>
      </c>
      <c r="AN15" s="45">
        <f>'[1]Distillers'' Corn Oil Complex'!AN$185</f>
        <v>752.36132868364325</v>
      </c>
      <c r="AO15" s="45">
        <f>'[1]Distillers'' Corn Oil Complex'!AO$185</f>
        <v>859.51405572498618</v>
      </c>
      <c r="AP15" s="45">
        <f>'[1]Distillers'' Corn Oil Complex'!AP$185</f>
        <v>964.08209306724871</v>
      </c>
      <c r="AQ15" s="45">
        <f>'[1]Distillers'' Corn Oil Complex'!AQ$185</f>
        <v>1082.7761241572052</v>
      </c>
      <c r="AR15" s="45">
        <f>'[1]Distillers'' Corn Oil Complex'!AR$185</f>
        <v>1198.8222736545854</v>
      </c>
      <c r="AS15" s="45">
        <f>'[1]Distillers'' Corn Oil Complex'!AS$185</f>
        <v>1312.7084219320773</v>
      </c>
      <c r="AT15" s="45">
        <f>'[1]Distillers'' Corn Oil Complex'!AT$185</f>
        <v>1451.2968571363676</v>
      </c>
      <c r="AU15" s="45">
        <f>'[1]Distillers'' Corn Oil Complex'!AU$185</f>
        <v>1569.3259592280851</v>
      </c>
      <c r="AV15" s="45">
        <f>'[1]Distillers'' Corn Oil Complex'!AV$185</f>
        <v>1756.8133799064326</v>
      </c>
      <c r="AW15" s="45">
        <f>'[1]Distillers'' Corn Oil Complex'!AW$185</f>
        <v>1993.4302854757102</v>
      </c>
      <c r="AX15" s="45">
        <f>'[1]Distillers'' Corn Oil Complex'!AX$185</f>
        <v>2149.8923120379204</v>
      </c>
      <c r="AY15" s="45">
        <f>'[1]Distillers'' Corn Oil Complex'!AY$185</f>
        <v>2303.5518827178239</v>
      </c>
      <c r="AZ15" s="45">
        <f>'[1]Distillers'' Corn Oil Complex'!AZ$185</f>
        <v>2530.8287053271165</v>
      </c>
      <c r="BA15" s="45">
        <f>'[1]Distillers'' Corn Oil Complex'!BA$185</f>
        <v>2670.1720692484273</v>
      </c>
      <c r="BB15" s="45">
        <f>'[1]Distillers'' Corn Oil Complex'!BB$185</f>
        <v>2846.0120018517368</v>
      </c>
      <c r="BC15" s="45">
        <f>'[1]Distillers'' Corn Oil Complex'!BC$185</f>
        <v>2947.0837601731</v>
      </c>
      <c r="BD15" s="45">
        <f>'[1]Distillers'' Corn Oil Complex'!BD$185</f>
        <v>3065.0811192827791</v>
      </c>
      <c r="BE15" s="45">
        <f>'[1]Distillers'' Corn Oil Complex'!BE$185</f>
        <v>3155.8965633252951</v>
      </c>
      <c r="BF15" s="45">
        <f>'[1]Distillers'' Corn Oil Complex'!BF$185</f>
        <v>3262.764156012287</v>
      </c>
      <c r="BG15" s="45">
        <f>'[1]Distillers'' Corn Oil Complex'!BG$185</f>
        <v>3507.6965342200629</v>
      </c>
      <c r="BK15" s="41" t="s">
        <v>165</v>
      </c>
    </row>
    <row r="16" spans="1:63" x14ac:dyDescent="0.2">
      <c r="A16" s="40"/>
      <c r="B16" s="49" t="s">
        <v>166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72"/>
      <c r="V16" s="72"/>
      <c r="W16" s="72"/>
      <c r="X16" s="72"/>
      <c r="Y16" s="72"/>
      <c r="Z16" s="72"/>
      <c r="AA16" s="72">
        <f>MEDIAN('[1]Distillers'' Corn Oil Complex'!Z$201:Z$209,'[1]Distillers'' Corn Oil Complex'!AA$198:AA$200)</f>
        <v>30.761900000000001</v>
      </c>
      <c r="AB16" s="72">
        <f>MEDIAN('[1]Distillers'' Corn Oil Complex'!AA$217:AA$225,'[1]Distillers'' Corn Oil Complex'!AB$214:AB$216)</f>
        <v>24.60160401002506</v>
      </c>
      <c r="AC16" s="72">
        <f>MEDIAN('[1]Distillers'' Corn Oil Complex'!AB$217:AB$225,'[1]Distillers'' Corn Oil Complex'!AC$214:AC$216)</f>
        <v>27.87200956937799</v>
      </c>
      <c r="AD16" s="72">
        <f>MEDIAN('[1]Distillers'' Corn Oil Complex'!AC$217:AC$225,'[1]Distillers'' Corn Oil Complex'!AD$214:AD$216)</f>
        <v>53.803571428571431</v>
      </c>
      <c r="AE16" s="72">
        <f>MEDIAN('[1]Distillers'' Corn Oil Complex'!AD$217:AD$225,'[1]Distillers'' Corn Oil Complex'!AE$214:AE$216)</f>
        <v>73.953007518796994</v>
      </c>
      <c r="AF16" s="72">
        <f>MEDIAN('[1]Distillers'' Corn Oil Complex'!AE$217:AE$225,'[1]Distillers'' Corn Oil Complex'!AF$214:AF$216)</f>
        <v>57.630909090909086</v>
      </c>
      <c r="AG16" s="72">
        <f>MEDIAN('[1]Distillers'' Corn Oil Complex'!AF$217:AF$225,'[1]Distillers'' Corn Oil Complex'!AG$214:AG$216)</f>
        <v>43.204505928853749</v>
      </c>
      <c r="AH16" s="72">
        <f>MEDIAN('[1]Distillers'' Corn Oil Complex'!AG$217:AG$225,'[1]Distillers'' Corn Oil Complex'!AH$214:AH$216)</f>
        <v>48.917243107769423</v>
      </c>
      <c r="AI16" s="72">
        <f>MEDIAN('[1]Distillers'' Corn Oil Complex'!AH$217:AH$225,'[1]Distillers'' Corn Oil Complex'!AI$214:AI$216)</f>
        <v>41.125</v>
      </c>
      <c r="AJ16" s="72">
        <f>MEDIAN('[1]Distillers'' Corn Oil Complex'!AI$217:AI$225,'[1]Distillers'' Corn Oil Complex'!AJ$214:AJ$216)</f>
        <v>43.5</v>
      </c>
      <c r="AK16" s="72">
        <f>MEDIAN('[1]Distillers'' Corn Oil Complex'!AJ$217:AJ$225,'[1]Distillers'' Corn Oil Complex'!AK$214:AK$216)</f>
        <v>37.75</v>
      </c>
      <c r="AL16" s="72">
        <f>MEDIAN('[1]Distillers'' Corn Oil Complex'!AK$217:AK$225,'[1]Distillers'' Corn Oil Complex'!AL$214:AL$216)</f>
        <v>39.625</v>
      </c>
      <c r="AM16" s="72">
        <f>MEDIAN('[1]Distillers'' Corn Oil Complex'!AL$217:AL$225,'[1]Distillers'' Corn Oil Complex'!AM$214:AM$216)</f>
        <v>46.625</v>
      </c>
      <c r="AN16" s="72">
        <f>MEDIAN('[1]Distillers'' Corn Oil Complex'!AM$217:AM$225,'[1]Distillers'' Corn Oil Complex'!AN$214:AN$216)</f>
        <v>38.25</v>
      </c>
      <c r="AO16" s="72">
        <f>MEDIAN('[1]Distillers'' Corn Oil Complex'!AN$217:AN$225,'[1]Distillers'' Corn Oil Complex'!AO$214:AO$216)</f>
        <v>36.5</v>
      </c>
      <c r="AP16" s="72">
        <f>MEDIAN('[1]Distillers'' Corn Oil Complex'!AO$217:AO$225,'[1]Distillers'' Corn Oil Complex'!AP$214:AP$216)</f>
        <v>52.75</v>
      </c>
      <c r="AQ16" s="72">
        <f>MEDIAN('[1]Distillers'' Corn Oil Complex'!AP$217:AP$225,'[1]Distillers'' Corn Oil Complex'!AQ$214:AQ$216)</f>
        <v>55.5</v>
      </c>
      <c r="AR16" s="72">
        <f>MEDIAN('[1]Distillers'' Corn Oil Complex'!AQ$217:AQ$225,'[1]Distillers'' Corn Oil Complex'!AR$214:AR$216)</f>
        <v>54.125</v>
      </c>
      <c r="AS16" s="72">
        <f>MEDIAN('[1]Distillers'' Corn Oil Complex'!AR$217:AR$225,'[1]Distillers'' Corn Oil Complex'!AS$214:AS$216)</f>
        <v>43.75</v>
      </c>
      <c r="AT16" s="72">
        <f>MEDIAN('[1]Distillers'' Corn Oil Complex'!AS$217:AS$225,'[1]Distillers'' Corn Oil Complex'!AT$214:AT$216)</f>
        <v>29.625</v>
      </c>
      <c r="AU16" s="72" t="e">
        <f>MEDIAN('[1]Distillers'' Corn Oil Complex'!AT$217:AT$225,'[1]Distillers'' Corn Oil Complex'!AU$214:AU$216)</f>
        <v>#NUM!</v>
      </c>
      <c r="AV16" s="72" t="e">
        <f>MEDIAN('[1]Distillers'' Corn Oil Complex'!AU$217:AU$225,'[1]Distillers'' Corn Oil Complex'!AV$214:AV$216)</f>
        <v>#NUM!</v>
      </c>
      <c r="AW16" s="72" t="e">
        <f>MEDIAN('[1]Distillers'' Corn Oil Complex'!AV$217:AV$225,'[1]Distillers'' Corn Oil Complex'!AW$214:AW$216)</f>
        <v>#NUM!</v>
      </c>
      <c r="AX16" s="72" t="e">
        <f>MEDIAN('[1]Distillers'' Corn Oil Complex'!AW$217:AW$225,'[1]Distillers'' Corn Oil Complex'!AX$214:AX$216)</f>
        <v>#NUM!</v>
      </c>
      <c r="AY16" s="72" t="e">
        <f>MEDIAN('[1]Distillers'' Corn Oil Complex'!AX$217:AX$225,'[1]Distillers'' Corn Oil Complex'!AY$214:AY$216)</f>
        <v>#NUM!</v>
      </c>
      <c r="AZ16" s="72" t="e">
        <f>MEDIAN('[1]Distillers'' Corn Oil Complex'!AY$217:AY$225,'[1]Distillers'' Corn Oil Complex'!AZ$214:AZ$216)</f>
        <v>#NUM!</v>
      </c>
      <c r="BA16" s="72" t="e">
        <f>MEDIAN('[1]Distillers'' Corn Oil Complex'!AZ$217:AZ$225,'[1]Distillers'' Corn Oil Complex'!BA$214:BA$216)</f>
        <v>#NUM!</v>
      </c>
      <c r="BB16" s="72" t="e">
        <f>MEDIAN('[1]Distillers'' Corn Oil Complex'!BA$217:BA$225,'[1]Distillers'' Corn Oil Complex'!BB$214:BB$216)</f>
        <v>#NUM!</v>
      </c>
      <c r="BC16" s="72" t="e">
        <f>MEDIAN('[1]Distillers'' Corn Oil Complex'!BB$217:BB$225,'[1]Distillers'' Corn Oil Complex'!BC$214:BC$216)</f>
        <v>#NUM!</v>
      </c>
      <c r="BD16" s="72" t="e">
        <f>MEDIAN('[1]Distillers'' Corn Oil Complex'!BC$217:BC$225,'[1]Distillers'' Corn Oil Complex'!BD$214:BD$216)</f>
        <v>#NUM!</v>
      </c>
      <c r="BE16" s="72" t="e">
        <f>MEDIAN('[1]Distillers'' Corn Oil Complex'!BD$217:BD$225,'[1]Distillers'' Corn Oil Complex'!BE$214:BE$216)</f>
        <v>#NUM!</v>
      </c>
      <c r="BF16" s="72" t="e">
        <f>MEDIAN('[1]Distillers'' Corn Oil Complex'!BE$217:BE$225,'[1]Distillers'' Corn Oil Complex'!BF$214:BF$216)</f>
        <v>#NUM!</v>
      </c>
      <c r="BG16" s="72" t="e">
        <f>MEDIAN('[1]Distillers'' Corn Oil Complex'!BF$217:BF$225,'[1]Distillers'' Corn Oil Complex'!BG$214:BG$216)</f>
        <v>#NUM!</v>
      </c>
    </row>
    <row r="17" spans="1:59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</row>
    <row r="18" spans="1:59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</row>
    <row r="19" spans="1:59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 t="s">
        <v>167</v>
      </c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</row>
    <row r="20" spans="1:59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</row>
    <row r="21" spans="1:59" x14ac:dyDescent="0.2">
      <c r="B21" s="41" t="s">
        <v>83</v>
      </c>
      <c r="S21" s="51">
        <f t="shared" ref="S21:BG21" si="7">S7</f>
        <v>1075.3688932571249</v>
      </c>
      <c r="T21" s="51">
        <f t="shared" si="7"/>
        <v>1401.1481542785248</v>
      </c>
      <c r="U21" s="51">
        <f t="shared" si="7"/>
        <v>1629.9577707532167</v>
      </c>
      <c r="V21" s="51">
        <f t="shared" si="7"/>
        <v>1891.3561843737773</v>
      </c>
      <c r="W21" s="51">
        <f t="shared" si="7"/>
        <v>2458.8898064465666</v>
      </c>
      <c r="X21" s="51">
        <f t="shared" si="7"/>
        <v>2861.4641367120153</v>
      </c>
      <c r="Y21" s="51">
        <f t="shared" si="7"/>
        <v>3368.8798646785694</v>
      </c>
      <c r="Z21" s="51">
        <f t="shared" si="7"/>
        <v>3909.1859964777896</v>
      </c>
      <c r="AA21" s="51">
        <f t="shared" si="7"/>
        <v>4242.9706340194125</v>
      </c>
      <c r="AB21" s="51">
        <f t="shared" si="7"/>
        <v>4236.3121000014025</v>
      </c>
      <c r="AC21" s="51">
        <f t="shared" si="7"/>
        <v>3929.4052975102941</v>
      </c>
      <c r="AD21" s="51">
        <f t="shared" si="7"/>
        <v>4216.6836427851831</v>
      </c>
      <c r="AE21" s="51">
        <f t="shared" si="7"/>
        <v>4224.941324696345</v>
      </c>
      <c r="AF21" s="51">
        <f t="shared" si="7"/>
        <v>4370.891705065088</v>
      </c>
      <c r="AG21" s="51">
        <f t="shared" si="7"/>
        <v>4549.0771243948511</v>
      </c>
      <c r="AH21" s="51">
        <f t="shared" si="7"/>
        <v>4566.201529002763</v>
      </c>
      <c r="AI21" s="51">
        <f t="shared" si="7"/>
        <v>4679.4292621808045</v>
      </c>
      <c r="AJ21" s="51">
        <f t="shared" si="7"/>
        <v>4888.639414699468</v>
      </c>
      <c r="AK21" s="51">
        <f t="shared" si="7"/>
        <v>5058.2708765886009</v>
      </c>
      <c r="AL21" s="51">
        <f t="shared" si="7"/>
        <v>5229.1888319511309</v>
      </c>
      <c r="AM21" s="51">
        <f t="shared" si="7"/>
        <v>5654.7445421116654</v>
      </c>
      <c r="AN21" s="51">
        <f t="shared" si="7"/>
        <v>5879.2104341522227</v>
      </c>
      <c r="AO21" s="51">
        <f t="shared" si="7"/>
        <v>5982.1530043807415</v>
      </c>
      <c r="AP21" s="51">
        <f t="shared" si="7"/>
        <v>6215.4526033084285</v>
      </c>
      <c r="AQ21" s="51">
        <f t="shared" si="7"/>
        <v>6440.1522858780772</v>
      </c>
      <c r="AR21" s="51">
        <f t="shared" si="7"/>
        <v>6685.7908877228683</v>
      </c>
      <c r="AS21" s="51">
        <f t="shared" si="7"/>
        <v>6935.4165566358115</v>
      </c>
      <c r="AT21" s="51">
        <f t="shared" si="7"/>
        <v>7180.9310174551956</v>
      </c>
      <c r="AU21" s="51">
        <f t="shared" si="7"/>
        <v>7457.2094402122384</v>
      </c>
      <c r="AV21" s="51">
        <f t="shared" si="7"/>
        <v>7714.722464474864</v>
      </c>
      <c r="AW21" s="51">
        <f t="shared" si="7"/>
        <v>8045.6907761369948</v>
      </c>
      <c r="AX21" s="51">
        <f t="shared" si="7"/>
        <v>8429.4651116203859</v>
      </c>
      <c r="AY21" s="51">
        <f t="shared" si="7"/>
        <v>9008.8443918635803</v>
      </c>
      <c r="AZ21" s="51">
        <f t="shared" si="7"/>
        <v>9350.5124297342809</v>
      </c>
      <c r="BA21" s="51">
        <f t="shared" si="7"/>
        <v>9801.7150825632343</v>
      </c>
      <c r="BB21" s="51">
        <f t="shared" si="7"/>
        <v>10183.555294010392</v>
      </c>
      <c r="BC21" s="51">
        <f t="shared" si="7"/>
        <v>10623.469468006493</v>
      </c>
      <c r="BD21" s="51">
        <f t="shared" si="7"/>
        <v>11014.344569393859</v>
      </c>
      <c r="BE21" s="51">
        <f t="shared" si="7"/>
        <v>11392.454485317525</v>
      </c>
      <c r="BF21" s="51">
        <f t="shared" si="7"/>
        <v>11759.010280457103</v>
      </c>
      <c r="BG21" s="51">
        <f t="shared" si="7"/>
        <v>12092.751289527743</v>
      </c>
    </row>
    <row r="22" spans="1:59" x14ac:dyDescent="0.2">
      <c r="B22" s="41" t="s">
        <v>84</v>
      </c>
      <c r="S22" s="51">
        <f t="shared" ref="S22:AV22" si="8">S15</f>
        <v>50.252367590350275</v>
      </c>
      <c r="T22" s="51">
        <f t="shared" si="8"/>
        <v>70.775048212999451</v>
      </c>
      <c r="U22" s="51">
        <f t="shared" si="8"/>
        <v>13.915571993042072</v>
      </c>
      <c r="V22" s="51">
        <f t="shared" si="8"/>
        <v>12.892923647014385</v>
      </c>
      <c r="W22" s="51">
        <f t="shared" si="8"/>
        <v>90.570316123213928</v>
      </c>
      <c r="X22" s="51">
        <f t="shared" si="8"/>
        <v>50.125158192538947</v>
      </c>
      <c r="Y22" s="51">
        <f t="shared" si="8"/>
        <v>42.51722441112156</v>
      </c>
      <c r="Z22" s="51">
        <f t="shared" si="8"/>
        <v>139.37484423482545</v>
      </c>
      <c r="AA22" s="51">
        <f t="shared" si="8"/>
        <v>63.384038158095564</v>
      </c>
      <c r="AB22" s="51">
        <f t="shared" si="8"/>
        <v>119.89455216141573</v>
      </c>
      <c r="AC22" s="51">
        <f t="shared" si="8"/>
        <v>119.65590519573431</v>
      </c>
      <c r="AD22" s="51">
        <f t="shared" si="8"/>
        <v>121.216135219145</v>
      </c>
      <c r="AE22" s="51">
        <f t="shared" si="8"/>
        <v>122.28265700338677</v>
      </c>
      <c r="AF22" s="51">
        <f t="shared" si="8"/>
        <v>92.822826613330491</v>
      </c>
      <c r="AG22" s="51">
        <f t="shared" si="8"/>
        <v>87.965089936290028</v>
      </c>
      <c r="AH22" s="51">
        <f t="shared" si="8"/>
        <v>180.14567893503414</v>
      </c>
      <c r="AI22" s="51">
        <f t="shared" si="8"/>
        <v>324.60361186861326</v>
      </c>
      <c r="AJ22" s="51">
        <f t="shared" si="8"/>
        <v>372.59749525434893</v>
      </c>
      <c r="AK22" s="51">
        <f t="shared" si="8"/>
        <v>450.66114338959528</v>
      </c>
      <c r="AL22" s="51">
        <f t="shared" si="8"/>
        <v>550.52777068103592</v>
      </c>
      <c r="AM22" s="51">
        <f t="shared" si="8"/>
        <v>655.9293322437893</v>
      </c>
      <c r="AN22" s="51">
        <f t="shared" si="8"/>
        <v>752.36132868364325</v>
      </c>
      <c r="AO22" s="51">
        <f t="shared" si="8"/>
        <v>859.51405572498618</v>
      </c>
      <c r="AP22" s="51">
        <f t="shared" si="8"/>
        <v>964.08209306724871</v>
      </c>
      <c r="AQ22" s="51">
        <f t="shared" si="8"/>
        <v>1082.7761241572052</v>
      </c>
      <c r="AR22" s="51">
        <f t="shared" si="8"/>
        <v>1198.8222736545854</v>
      </c>
      <c r="AS22" s="51">
        <f t="shared" si="8"/>
        <v>1312.7084219320773</v>
      </c>
      <c r="AT22" s="51">
        <f t="shared" si="8"/>
        <v>1451.2968571363676</v>
      </c>
      <c r="AU22" s="51">
        <f t="shared" si="8"/>
        <v>1569.3259592280851</v>
      </c>
      <c r="AV22" s="51">
        <f t="shared" si="8"/>
        <v>1756.8133799064326</v>
      </c>
      <c r="AW22" s="51">
        <f>AW15</f>
        <v>1993.4302854757102</v>
      </c>
      <c r="AX22" s="51">
        <f t="shared" ref="AX22:BG22" si="9">AX15</f>
        <v>2149.8923120379204</v>
      </c>
      <c r="AY22" s="51">
        <f t="shared" si="9"/>
        <v>2303.5518827178239</v>
      </c>
      <c r="AZ22" s="51">
        <f t="shared" si="9"/>
        <v>2530.8287053271165</v>
      </c>
      <c r="BA22" s="51">
        <f t="shared" si="9"/>
        <v>2670.1720692484273</v>
      </c>
      <c r="BB22" s="51">
        <f t="shared" si="9"/>
        <v>2846.0120018517368</v>
      </c>
      <c r="BC22" s="51">
        <f t="shared" si="9"/>
        <v>2947.0837601731</v>
      </c>
      <c r="BD22" s="51">
        <f t="shared" si="9"/>
        <v>3065.0811192827791</v>
      </c>
      <c r="BE22" s="51">
        <f t="shared" si="9"/>
        <v>3155.8965633252951</v>
      </c>
      <c r="BF22" s="51">
        <f t="shared" si="9"/>
        <v>3262.764156012287</v>
      </c>
      <c r="BG22" s="51">
        <f t="shared" si="9"/>
        <v>3507.6965342200629</v>
      </c>
    </row>
    <row r="23" spans="1:59" x14ac:dyDescent="0.2">
      <c r="B23" s="41" t="s">
        <v>85</v>
      </c>
      <c r="S23" s="51">
        <f t="shared" ref="S23:AU23" si="10">S21-S22</f>
        <v>1025.1165256667746</v>
      </c>
      <c r="T23" s="51">
        <f t="shared" si="10"/>
        <v>1330.3731060655252</v>
      </c>
      <c r="U23" s="51">
        <f t="shared" si="10"/>
        <v>1616.0421987601746</v>
      </c>
      <c r="V23" s="51">
        <f t="shared" si="10"/>
        <v>1878.4632607267629</v>
      </c>
      <c r="W23" s="51">
        <f t="shared" si="10"/>
        <v>2368.3194903233525</v>
      </c>
      <c r="X23" s="51">
        <f t="shared" si="10"/>
        <v>2811.3389785194763</v>
      </c>
      <c r="Y23" s="51">
        <f t="shared" si="10"/>
        <v>3326.3626402674481</v>
      </c>
      <c r="Z23" s="51">
        <f t="shared" si="10"/>
        <v>3769.811152242964</v>
      </c>
      <c r="AA23" s="51">
        <f t="shared" si="10"/>
        <v>4179.5865958613167</v>
      </c>
      <c r="AB23" s="51">
        <f t="shared" si="10"/>
        <v>4116.4175478399866</v>
      </c>
      <c r="AC23" s="51">
        <f t="shared" si="10"/>
        <v>3809.7493923145598</v>
      </c>
      <c r="AD23" s="51">
        <f t="shared" si="10"/>
        <v>4095.467507566038</v>
      </c>
      <c r="AE23" s="51">
        <f t="shared" si="10"/>
        <v>4102.6586676929583</v>
      </c>
      <c r="AF23" s="51">
        <f t="shared" si="10"/>
        <v>4278.0688784517579</v>
      </c>
      <c r="AG23" s="51">
        <f t="shared" si="10"/>
        <v>4461.1120344585615</v>
      </c>
      <c r="AH23" s="51">
        <f t="shared" si="10"/>
        <v>4386.0558500677289</v>
      </c>
      <c r="AI23" s="51">
        <f t="shared" si="10"/>
        <v>4354.8256503121911</v>
      </c>
      <c r="AJ23" s="51">
        <f t="shared" si="10"/>
        <v>4516.0419194451188</v>
      </c>
      <c r="AK23" s="51">
        <f t="shared" si="10"/>
        <v>4607.6097331990059</v>
      </c>
      <c r="AL23" s="51">
        <f t="shared" si="10"/>
        <v>4678.6610612700952</v>
      </c>
      <c r="AM23" s="51">
        <f t="shared" si="10"/>
        <v>4998.8152098678765</v>
      </c>
      <c r="AN23" s="51">
        <f t="shared" si="10"/>
        <v>5126.8491054685792</v>
      </c>
      <c r="AO23" s="51">
        <f t="shared" si="10"/>
        <v>5122.6389486557555</v>
      </c>
      <c r="AP23" s="51">
        <f t="shared" si="10"/>
        <v>5251.3705102411795</v>
      </c>
      <c r="AQ23" s="51">
        <f t="shared" si="10"/>
        <v>5357.376161720872</v>
      </c>
      <c r="AR23" s="51">
        <f t="shared" si="10"/>
        <v>5486.9686140682825</v>
      </c>
      <c r="AS23" s="51">
        <f t="shared" si="10"/>
        <v>5622.7081347037347</v>
      </c>
      <c r="AT23" s="51">
        <f t="shared" si="10"/>
        <v>5729.6341603188284</v>
      </c>
      <c r="AU23" s="51">
        <f t="shared" si="10"/>
        <v>5887.8834809841537</v>
      </c>
      <c r="AV23" s="51">
        <f>AV21-AV22</f>
        <v>5957.9090845684314</v>
      </c>
      <c r="AW23" s="51">
        <f>AW21-AW22</f>
        <v>6052.2604906612851</v>
      </c>
      <c r="AX23" s="51">
        <f t="shared" ref="AX23:BG23" si="11">AX21-AX22</f>
        <v>6279.5727995824654</v>
      </c>
      <c r="AY23" s="51">
        <f t="shared" si="11"/>
        <v>6705.2925091457564</v>
      </c>
      <c r="AZ23" s="51">
        <f t="shared" si="11"/>
        <v>6819.6837244071648</v>
      </c>
      <c r="BA23" s="51">
        <f t="shared" si="11"/>
        <v>7131.5430133148075</v>
      </c>
      <c r="BB23" s="51">
        <f t="shared" si="11"/>
        <v>7337.5432921586544</v>
      </c>
      <c r="BC23" s="51">
        <f t="shared" si="11"/>
        <v>7676.3857078333931</v>
      </c>
      <c r="BD23" s="51">
        <f t="shared" si="11"/>
        <v>7949.2634501110806</v>
      </c>
      <c r="BE23" s="51">
        <f t="shared" si="11"/>
        <v>8236.5579219922292</v>
      </c>
      <c r="BF23" s="51">
        <f t="shared" si="11"/>
        <v>8496.2461244448168</v>
      </c>
      <c r="BG23" s="51">
        <f t="shared" si="11"/>
        <v>8585.0547553076794</v>
      </c>
    </row>
    <row r="24" spans="1:59" x14ac:dyDescent="0.2">
      <c r="B24" s="70" t="s">
        <v>86</v>
      </c>
      <c r="S24" s="52" t="e">
        <f t="shared" ref="S24:AU24" si="12">S23-S14</f>
        <v>#REF!</v>
      </c>
      <c r="T24" s="52" t="e">
        <f t="shared" si="12"/>
        <v>#REF!</v>
      </c>
      <c r="U24" s="52" t="e">
        <f t="shared" si="12"/>
        <v>#REF!</v>
      </c>
      <c r="V24" s="52" t="e">
        <f t="shared" si="12"/>
        <v>#REF!</v>
      </c>
      <c r="W24" s="52" t="e">
        <f t="shared" si="12"/>
        <v>#REF!</v>
      </c>
      <c r="X24" s="52" t="e">
        <f t="shared" si="12"/>
        <v>#REF!</v>
      </c>
      <c r="Y24" s="52" t="e">
        <f t="shared" si="12"/>
        <v>#REF!</v>
      </c>
      <c r="Z24" s="52" t="e">
        <f t="shared" si="12"/>
        <v>#REF!</v>
      </c>
      <c r="AA24" s="52" t="e">
        <f t="shared" si="12"/>
        <v>#REF!</v>
      </c>
      <c r="AB24" s="52">
        <f t="shared" si="12"/>
        <v>0</v>
      </c>
      <c r="AC24" s="52">
        <f t="shared" si="12"/>
        <v>0</v>
      </c>
      <c r="AD24" s="52">
        <f t="shared" si="12"/>
        <v>0</v>
      </c>
      <c r="AE24" s="52">
        <f t="shared" si="12"/>
        <v>0</v>
      </c>
      <c r="AF24" s="52">
        <f t="shared" si="12"/>
        <v>0</v>
      </c>
      <c r="AG24" s="52">
        <f t="shared" si="12"/>
        <v>0</v>
      </c>
      <c r="AH24" s="52">
        <f t="shared" si="12"/>
        <v>0</v>
      </c>
      <c r="AI24" s="52">
        <f t="shared" si="12"/>
        <v>0</v>
      </c>
      <c r="AJ24" s="52">
        <f t="shared" si="12"/>
        <v>0</v>
      </c>
      <c r="AK24" s="52">
        <f t="shared" si="12"/>
        <v>0</v>
      </c>
      <c r="AL24" s="52">
        <f t="shared" si="12"/>
        <v>0</v>
      </c>
      <c r="AM24" s="52">
        <f t="shared" si="12"/>
        <v>0</v>
      </c>
      <c r="AN24" s="52">
        <f t="shared" si="12"/>
        <v>0</v>
      </c>
      <c r="AO24" s="52">
        <f t="shared" si="12"/>
        <v>0</v>
      </c>
      <c r="AP24" s="52">
        <f t="shared" si="12"/>
        <v>0</v>
      </c>
      <c r="AQ24" s="52">
        <f t="shared" si="12"/>
        <v>0</v>
      </c>
      <c r="AR24" s="52">
        <f t="shared" si="12"/>
        <v>0</v>
      </c>
      <c r="AS24" s="52">
        <f t="shared" si="12"/>
        <v>0</v>
      </c>
      <c r="AT24" s="52">
        <f t="shared" si="12"/>
        <v>0</v>
      </c>
      <c r="AU24" s="52">
        <f t="shared" si="12"/>
        <v>0</v>
      </c>
      <c r="AV24" s="52">
        <f>AV23-AV14</f>
        <v>0</v>
      </c>
      <c r="AW24" s="52">
        <f>AW23-AW14</f>
        <v>0</v>
      </c>
      <c r="AX24" s="52">
        <f t="shared" ref="AX24:BG24" si="13">AX23-AX14</f>
        <v>0</v>
      </c>
      <c r="AY24" s="52">
        <f t="shared" si="13"/>
        <v>0</v>
      </c>
      <c r="AZ24" s="52">
        <f t="shared" si="13"/>
        <v>0</v>
      </c>
      <c r="BA24" s="52">
        <f t="shared" si="13"/>
        <v>0</v>
      </c>
      <c r="BB24" s="52">
        <f t="shared" si="13"/>
        <v>0</v>
      </c>
      <c r="BC24" s="52">
        <f t="shared" si="13"/>
        <v>0</v>
      </c>
      <c r="BD24" s="52">
        <f t="shared" si="13"/>
        <v>0</v>
      </c>
      <c r="BE24" s="52">
        <f t="shared" si="13"/>
        <v>0</v>
      </c>
      <c r="BF24" s="52">
        <f t="shared" si="13"/>
        <v>0</v>
      </c>
      <c r="BG24" s="52">
        <f t="shared" si="13"/>
        <v>0</v>
      </c>
    </row>
    <row r="25" spans="1:59" x14ac:dyDescent="0.2">
      <c r="B25" s="41" t="s">
        <v>79</v>
      </c>
      <c r="S25" s="51">
        <f t="shared" ref="S25:AV25" si="14">S13</f>
        <v>197.46181959839998</v>
      </c>
      <c r="T25" s="51">
        <f t="shared" si="14"/>
        <v>207.83302287300003</v>
      </c>
      <c r="U25" s="51">
        <f t="shared" si="14"/>
        <v>432.39251286000001</v>
      </c>
      <c r="V25" s="51">
        <f t="shared" si="14"/>
        <v>302.20319035619997</v>
      </c>
      <c r="W25" s="51">
        <f t="shared" si="14"/>
        <v>209.58194950560002</v>
      </c>
      <c r="X25" s="51">
        <f t="shared" si="14"/>
        <v>302.77066005899997</v>
      </c>
      <c r="Y25" s="51">
        <f t="shared" si="14"/>
        <v>435.8517852402</v>
      </c>
      <c r="Z25" s="51">
        <f t="shared" si="14"/>
        <v>372.62410812899998</v>
      </c>
      <c r="AA25" s="51">
        <f t="shared" si="14"/>
        <v>171.78892874880003</v>
      </c>
      <c r="AB25" s="51">
        <f t="shared" si="14"/>
        <v>231.73732917032001</v>
      </c>
      <c r="AC25" s="51">
        <f t="shared" si="14"/>
        <v>181.10217397844002</v>
      </c>
      <c r="AD25" s="51">
        <f t="shared" si="14"/>
        <v>198.51577400060003</v>
      </c>
      <c r="AE25" s="51">
        <f t="shared" si="14"/>
        <v>142.273065</v>
      </c>
      <c r="AF25" s="51">
        <f t="shared" si="14"/>
        <v>72.778751</v>
      </c>
      <c r="AG25" s="51">
        <f t="shared" si="14"/>
        <v>33.338847662020001</v>
      </c>
      <c r="AH25" s="51">
        <f t="shared" si="14"/>
        <v>36.810545403180605</v>
      </c>
      <c r="AI25" s="51">
        <f t="shared" si="14"/>
        <v>10.310085696357753</v>
      </c>
      <c r="AJ25" s="51">
        <f t="shared" si="14"/>
        <v>9.0883117699447347</v>
      </c>
      <c r="AK25" s="51">
        <f t="shared" si="14"/>
        <v>10</v>
      </c>
      <c r="AL25" s="51">
        <f t="shared" si="14"/>
        <v>10</v>
      </c>
      <c r="AM25" s="51">
        <f t="shared" si="14"/>
        <v>10</v>
      </c>
      <c r="AN25" s="51">
        <f t="shared" si="14"/>
        <v>10</v>
      </c>
      <c r="AO25" s="51">
        <f t="shared" si="14"/>
        <v>10</v>
      </c>
      <c r="AP25" s="51">
        <f t="shared" si="14"/>
        <v>10</v>
      </c>
      <c r="AQ25" s="51">
        <f t="shared" si="14"/>
        <v>10</v>
      </c>
      <c r="AR25" s="51">
        <f t="shared" si="14"/>
        <v>10</v>
      </c>
      <c r="AS25" s="51">
        <f t="shared" si="14"/>
        <v>10</v>
      </c>
      <c r="AT25" s="51">
        <f t="shared" si="14"/>
        <v>10</v>
      </c>
      <c r="AU25" s="51">
        <f t="shared" si="14"/>
        <v>10</v>
      </c>
      <c r="AV25" s="51">
        <f t="shared" si="14"/>
        <v>10</v>
      </c>
      <c r="AW25" s="51">
        <f>AW13</f>
        <v>10</v>
      </c>
      <c r="AX25" s="51">
        <f t="shared" ref="AX25:BG25" si="15">AX13</f>
        <v>10</v>
      </c>
      <c r="AY25" s="51">
        <f t="shared" si="15"/>
        <v>10</v>
      </c>
      <c r="AZ25" s="51">
        <f t="shared" si="15"/>
        <v>10</v>
      </c>
      <c r="BA25" s="51">
        <f t="shared" si="15"/>
        <v>10.213209962470311</v>
      </c>
      <c r="BB25" s="51">
        <f t="shared" si="15"/>
        <v>11.213209962470309</v>
      </c>
      <c r="BC25" s="51">
        <f t="shared" si="15"/>
        <v>12.213209962470312</v>
      </c>
      <c r="BD25" s="51">
        <f t="shared" si="15"/>
        <v>13.213209962470312</v>
      </c>
      <c r="BE25" s="51">
        <f t="shared" si="15"/>
        <v>14.213209962470309</v>
      </c>
      <c r="BF25" s="51">
        <f t="shared" si="15"/>
        <v>15.213209962470312</v>
      </c>
      <c r="BG25" s="51">
        <f t="shared" si="15"/>
        <v>16.213209962470309</v>
      </c>
    </row>
    <row r="26" spans="1:59" x14ac:dyDescent="0.2">
      <c r="B26" s="41" t="s">
        <v>157</v>
      </c>
      <c r="S26" s="51">
        <f t="shared" ref="S26:AU26" si="16">S23-S25</f>
        <v>827.65470606837459</v>
      </c>
      <c r="T26" s="51">
        <f t="shared" si="16"/>
        <v>1122.5400831925251</v>
      </c>
      <c r="U26" s="51">
        <f t="shared" si="16"/>
        <v>1183.6496859001745</v>
      </c>
      <c r="V26" s="51">
        <f t="shared" si="16"/>
        <v>1576.260070370563</v>
      </c>
      <c r="W26" s="51">
        <f t="shared" si="16"/>
        <v>2158.7375408177527</v>
      </c>
      <c r="X26" s="51">
        <f t="shared" si="16"/>
        <v>2508.5683184604763</v>
      </c>
      <c r="Y26" s="51">
        <f t="shared" si="16"/>
        <v>2890.510855027248</v>
      </c>
      <c r="Z26" s="51">
        <f t="shared" si="16"/>
        <v>3397.187044113964</v>
      </c>
      <c r="AA26" s="51">
        <f t="shared" si="16"/>
        <v>4007.7976671125166</v>
      </c>
      <c r="AB26" s="51">
        <f t="shared" si="16"/>
        <v>3884.6802186696664</v>
      </c>
      <c r="AC26" s="51">
        <f t="shared" si="16"/>
        <v>3628.6472183361197</v>
      </c>
      <c r="AD26" s="51">
        <f t="shared" si="16"/>
        <v>3896.9517335654377</v>
      </c>
      <c r="AE26" s="51">
        <f t="shared" si="16"/>
        <v>3960.3856026929584</v>
      </c>
      <c r="AF26" s="51">
        <f t="shared" si="16"/>
        <v>4205.2901274517581</v>
      </c>
      <c r="AG26" s="51">
        <f t="shared" si="16"/>
        <v>4427.7731867965413</v>
      </c>
      <c r="AH26" s="51">
        <f t="shared" si="16"/>
        <v>4349.2453046645487</v>
      </c>
      <c r="AI26" s="51">
        <f t="shared" si="16"/>
        <v>4344.5155646158337</v>
      </c>
      <c r="AJ26" s="51">
        <f t="shared" si="16"/>
        <v>4506.9536076751738</v>
      </c>
      <c r="AK26" s="51">
        <f t="shared" si="16"/>
        <v>4597.6097331990059</v>
      </c>
      <c r="AL26" s="51">
        <f t="shared" si="16"/>
        <v>4668.6610612700952</v>
      </c>
      <c r="AM26" s="51">
        <f t="shared" si="16"/>
        <v>4988.8152098678765</v>
      </c>
      <c r="AN26" s="51">
        <f t="shared" si="16"/>
        <v>5116.8491054685792</v>
      </c>
      <c r="AO26" s="51">
        <f t="shared" si="16"/>
        <v>5112.6389486557555</v>
      </c>
      <c r="AP26" s="51">
        <f t="shared" si="16"/>
        <v>5241.3705102411795</v>
      </c>
      <c r="AQ26" s="51">
        <f t="shared" si="16"/>
        <v>5347.376161720872</v>
      </c>
      <c r="AR26" s="51">
        <f t="shared" si="16"/>
        <v>5476.9686140682825</v>
      </c>
      <c r="AS26" s="51">
        <f t="shared" si="16"/>
        <v>5612.7081347037347</v>
      </c>
      <c r="AT26" s="51">
        <f t="shared" si="16"/>
        <v>5719.6341603188284</v>
      </c>
      <c r="AU26" s="51">
        <f t="shared" si="16"/>
        <v>5877.8834809841537</v>
      </c>
      <c r="AV26" s="51">
        <f>AV23-AV25</f>
        <v>5947.9090845684314</v>
      </c>
      <c r="AW26" s="51">
        <f>AW23-AW25</f>
        <v>6042.2604906612851</v>
      </c>
      <c r="AX26" s="51">
        <f t="shared" ref="AX26:BG26" si="17">AX23-AX25</f>
        <v>6269.5727995824654</v>
      </c>
      <c r="AY26" s="51">
        <f t="shared" si="17"/>
        <v>6695.2925091457564</v>
      </c>
      <c r="AZ26" s="51">
        <f t="shared" si="17"/>
        <v>6809.6837244071648</v>
      </c>
      <c r="BA26" s="51">
        <f t="shared" si="17"/>
        <v>7121.329803352337</v>
      </c>
      <c r="BB26" s="51">
        <f t="shared" si="17"/>
        <v>7326.3300821961839</v>
      </c>
      <c r="BC26" s="51">
        <f t="shared" si="17"/>
        <v>7664.1724978709226</v>
      </c>
      <c r="BD26" s="51">
        <f t="shared" si="17"/>
        <v>7936.0502401486101</v>
      </c>
      <c r="BE26" s="51">
        <f t="shared" si="17"/>
        <v>8222.3447120297587</v>
      </c>
      <c r="BF26" s="51">
        <f t="shared" si="17"/>
        <v>8481.0329144823463</v>
      </c>
      <c r="BG26" s="51">
        <f t="shared" si="17"/>
        <v>8568.8415453452089</v>
      </c>
    </row>
    <row r="27" spans="1:59" x14ac:dyDescent="0.2">
      <c r="B27" s="70" t="s">
        <v>86</v>
      </c>
      <c r="S27" s="52" t="e">
        <f t="shared" ref="S27:BG27" si="18">S26-S8</f>
        <v>#REF!</v>
      </c>
      <c r="T27" s="52" t="e">
        <f t="shared" si="18"/>
        <v>#REF!</v>
      </c>
      <c r="U27" s="52" t="e">
        <f t="shared" si="18"/>
        <v>#REF!</v>
      </c>
      <c r="V27" s="52" t="e">
        <f t="shared" si="18"/>
        <v>#REF!</v>
      </c>
      <c r="W27" s="52" t="e">
        <f t="shared" si="18"/>
        <v>#REF!</v>
      </c>
      <c r="X27" s="52" t="e">
        <f t="shared" si="18"/>
        <v>#REF!</v>
      </c>
      <c r="Y27" s="52" t="e">
        <f t="shared" si="18"/>
        <v>#REF!</v>
      </c>
      <c r="Z27" s="52" t="e">
        <f t="shared" si="18"/>
        <v>#REF!</v>
      </c>
      <c r="AA27" s="52" t="e">
        <f t="shared" si="18"/>
        <v>#REF!</v>
      </c>
      <c r="AB27" s="52">
        <f t="shared" si="18"/>
        <v>0</v>
      </c>
      <c r="AC27" s="52">
        <f t="shared" si="18"/>
        <v>0</v>
      </c>
      <c r="AD27" s="52">
        <f t="shared" si="18"/>
        <v>0</v>
      </c>
      <c r="AE27" s="52">
        <f t="shared" si="18"/>
        <v>0</v>
      </c>
      <c r="AF27" s="52">
        <f t="shared" si="18"/>
        <v>0</v>
      </c>
      <c r="AG27" s="52">
        <f t="shared" si="18"/>
        <v>0</v>
      </c>
      <c r="AH27" s="52">
        <f t="shared" si="18"/>
        <v>0</v>
      </c>
      <c r="AI27" s="52">
        <f t="shared" si="18"/>
        <v>0</v>
      </c>
      <c r="AJ27" s="52">
        <f t="shared" si="18"/>
        <v>0</v>
      </c>
      <c r="AK27" s="52">
        <f t="shared" si="18"/>
        <v>0</v>
      </c>
      <c r="AL27" s="52">
        <f t="shared" si="18"/>
        <v>0</v>
      </c>
      <c r="AM27" s="52">
        <f t="shared" si="18"/>
        <v>0</v>
      </c>
      <c r="AN27" s="52">
        <f t="shared" si="18"/>
        <v>0</v>
      </c>
      <c r="AO27" s="52">
        <f t="shared" si="18"/>
        <v>0</v>
      </c>
      <c r="AP27" s="52">
        <f t="shared" si="18"/>
        <v>0</v>
      </c>
      <c r="AQ27" s="52">
        <f t="shared" si="18"/>
        <v>0</v>
      </c>
      <c r="AR27" s="52">
        <f t="shared" si="18"/>
        <v>0</v>
      </c>
      <c r="AS27" s="52">
        <f t="shared" si="18"/>
        <v>0</v>
      </c>
      <c r="AT27" s="52">
        <f t="shared" si="18"/>
        <v>0</v>
      </c>
      <c r="AU27" s="52">
        <f t="shared" si="18"/>
        <v>0</v>
      </c>
      <c r="AV27" s="52">
        <f t="shared" si="18"/>
        <v>0</v>
      </c>
      <c r="AW27" s="52">
        <f t="shared" si="18"/>
        <v>0</v>
      </c>
      <c r="AX27" s="52">
        <f t="shared" si="18"/>
        <v>0</v>
      </c>
      <c r="AY27" s="52">
        <f t="shared" si="18"/>
        <v>0</v>
      </c>
      <c r="AZ27" s="52">
        <f t="shared" si="18"/>
        <v>0</v>
      </c>
      <c r="BA27" s="52">
        <f t="shared" si="18"/>
        <v>0</v>
      </c>
      <c r="BB27" s="52">
        <f t="shared" si="18"/>
        <v>0</v>
      </c>
      <c r="BC27" s="52">
        <f t="shared" si="18"/>
        <v>0</v>
      </c>
      <c r="BD27" s="52">
        <f t="shared" si="18"/>
        <v>0</v>
      </c>
      <c r="BE27" s="52">
        <f t="shared" si="18"/>
        <v>0</v>
      </c>
      <c r="BF27" s="52">
        <f t="shared" si="18"/>
        <v>0</v>
      </c>
      <c r="BG27" s="52">
        <f t="shared" si="18"/>
        <v>0</v>
      </c>
    </row>
    <row r="28" spans="1:59" x14ac:dyDescent="0.2">
      <c r="B28" s="41" t="s">
        <v>158</v>
      </c>
      <c r="S28" s="51" t="e">
        <f t="shared" ref="S28:BG28" si="19">S9</f>
        <v>#REF!</v>
      </c>
      <c r="T28" s="51" t="e">
        <f t="shared" si="19"/>
        <v>#REF!</v>
      </c>
      <c r="U28" s="51" t="e">
        <f t="shared" si="19"/>
        <v>#REF!</v>
      </c>
      <c r="V28" s="51" t="e">
        <f t="shared" si="19"/>
        <v>#REF!</v>
      </c>
      <c r="W28" s="51" t="e">
        <f t="shared" si="19"/>
        <v>#REF!</v>
      </c>
      <c r="X28" s="51" t="e">
        <f t="shared" si="19"/>
        <v>#REF!</v>
      </c>
      <c r="Y28" s="51" t="e">
        <f t="shared" si="19"/>
        <v>#REF!</v>
      </c>
      <c r="Z28" s="51" t="e">
        <f t="shared" si="19"/>
        <v>#REF!</v>
      </c>
      <c r="AA28" s="51" t="e">
        <f t="shared" si="19"/>
        <v>#REF!</v>
      </c>
      <c r="AB28" s="51">
        <f t="shared" si="19"/>
        <v>3143.9531902020963</v>
      </c>
      <c r="AC28" s="51">
        <f t="shared" si="19"/>
        <v>2917.1805655446778</v>
      </c>
      <c r="AD28" s="51">
        <f t="shared" si="19"/>
        <v>2844.2742798765325</v>
      </c>
      <c r="AE28" s="51">
        <f t="shared" si="19"/>
        <v>3697.3998169258293</v>
      </c>
      <c r="AF28" s="51">
        <f t="shared" si="19"/>
        <v>4248.4125594907118</v>
      </c>
      <c r="AG28" s="51">
        <f t="shared" si="19"/>
        <v>4399.618970450153</v>
      </c>
      <c r="AH28" s="51">
        <f t="shared" si="19"/>
        <v>4168.7262291026746</v>
      </c>
      <c r="AI28" s="51">
        <f t="shared" si="19"/>
        <v>4023.6061579840116</v>
      </c>
      <c r="AJ28" s="51">
        <f t="shared" si="19"/>
        <v>4164.7029756933716</v>
      </c>
      <c r="AK28" s="51">
        <f t="shared" si="19"/>
        <v>4047.2638723011596</v>
      </c>
      <c r="AL28" s="51">
        <f t="shared" si="19"/>
        <v>4226.3655315471206</v>
      </c>
      <c r="AM28" s="51">
        <f t="shared" si="19"/>
        <v>4228.9956882860743</v>
      </c>
      <c r="AN28" s="51">
        <f t="shared" si="19"/>
        <v>4204.0022126350032</v>
      </c>
      <c r="AO28" s="51">
        <f t="shared" si="19"/>
        <v>4426.5416930289084</v>
      </c>
      <c r="AP28" s="51">
        <f t="shared" si="19"/>
        <v>4178.8096951530797</v>
      </c>
      <c r="AQ28" s="51">
        <f t="shared" si="19"/>
        <v>4187.2098285330203</v>
      </c>
      <c r="AR28" s="51">
        <f t="shared" si="19"/>
        <v>4352.2343148972459</v>
      </c>
      <c r="AS28" s="51">
        <f t="shared" si="19"/>
        <v>4405.8591547297747</v>
      </c>
      <c r="AT28" s="51">
        <f t="shared" si="19"/>
        <v>4661.7691670982122</v>
      </c>
      <c r="AU28" s="51">
        <f t="shared" si="19"/>
        <v>4832.1366391863294</v>
      </c>
      <c r="AV28" s="51">
        <f t="shared" si="19"/>
        <v>4376.5988823613625</v>
      </c>
      <c r="AW28" s="51">
        <f t="shared" si="19"/>
        <v>2260.7995465192457</v>
      </c>
      <c r="AX28" s="51">
        <f t="shared" si="19"/>
        <v>2490.0459118974545</v>
      </c>
      <c r="AY28" s="51">
        <f t="shared" si="19"/>
        <v>3696.8555999463601</v>
      </c>
      <c r="AZ28" s="51">
        <f t="shared" si="19"/>
        <v>3524.5132939963587</v>
      </c>
      <c r="BA28" s="51">
        <f t="shared" si="19"/>
        <v>3300.5959393417306</v>
      </c>
      <c r="BB28" s="51">
        <f t="shared" si="19"/>
        <v>3534.1199885887163</v>
      </c>
      <c r="BC28" s="51">
        <f t="shared" si="19"/>
        <v>3627.1777803096288</v>
      </c>
      <c r="BD28" s="51">
        <f t="shared" si="19"/>
        <v>3762.679393614289</v>
      </c>
      <c r="BE28" s="51">
        <f t="shared" si="19"/>
        <v>3874.8487878047517</v>
      </c>
      <c r="BF28" s="51">
        <f t="shared" si="19"/>
        <v>4025.5302439265483</v>
      </c>
      <c r="BG28" s="51">
        <f t="shared" si="19"/>
        <v>4230.2322467915301</v>
      </c>
    </row>
    <row r="29" spans="1:59" x14ac:dyDescent="0.2">
      <c r="B29" s="41" t="s">
        <v>159</v>
      </c>
      <c r="S29" s="51" t="e">
        <f t="shared" ref="S29:AU29" si="20">S26-S28</f>
        <v>#REF!</v>
      </c>
      <c r="T29" s="51" t="e">
        <f t="shared" si="20"/>
        <v>#REF!</v>
      </c>
      <c r="U29" s="51" t="e">
        <f t="shared" si="20"/>
        <v>#REF!</v>
      </c>
      <c r="V29" s="51" t="e">
        <f t="shared" si="20"/>
        <v>#REF!</v>
      </c>
      <c r="W29" s="51" t="e">
        <f t="shared" si="20"/>
        <v>#REF!</v>
      </c>
      <c r="X29" s="51" t="e">
        <f t="shared" si="20"/>
        <v>#REF!</v>
      </c>
      <c r="Y29" s="51" t="e">
        <f t="shared" si="20"/>
        <v>#REF!</v>
      </c>
      <c r="Z29" s="51" t="e">
        <f t="shared" si="20"/>
        <v>#REF!</v>
      </c>
      <c r="AA29" s="51" t="e">
        <f t="shared" si="20"/>
        <v>#REF!</v>
      </c>
      <c r="AB29" s="51">
        <f t="shared" si="20"/>
        <v>740.72702846757011</v>
      </c>
      <c r="AC29" s="51">
        <f t="shared" si="20"/>
        <v>711.4666527914419</v>
      </c>
      <c r="AD29" s="51">
        <f t="shared" si="20"/>
        <v>1052.6774536889052</v>
      </c>
      <c r="AE29" s="51">
        <f t="shared" si="20"/>
        <v>262.98578576712907</v>
      </c>
      <c r="AF29" s="51">
        <f t="shared" si="20"/>
        <v>-43.122432038953775</v>
      </c>
      <c r="AG29" s="51">
        <f t="shared" si="20"/>
        <v>28.154216346388239</v>
      </c>
      <c r="AH29" s="51">
        <f t="shared" si="20"/>
        <v>180.51907556187416</v>
      </c>
      <c r="AI29" s="51">
        <f t="shared" si="20"/>
        <v>320.90940663182209</v>
      </c>
      <c r="AJ29" s="51">
        <f t="shared" si="20"/>
        <v>342.25063198180214</v>
      </c>
      <c r="AK29" s="51">
        <f t="shared" si="20"/>
        <v>550.34586089784625</v>
      </c>
      <c r="AL29" s="51">
        <f t="shared" si="20"/>
        <v>442.29552972297461</v>
      </c>
      <c r="AM29" s="51">
        <f t="shared" si="20"/>
        <v>759.81952158180229</v>
      </c>
      <c r="AN29" s="51">
        <f t="shared" si="20"/>
        <v>912.84689283357602</v>
      </c>
      <c r="AO29" s="51">
        <f t="shared" si="20"/>
        <v>686.09725562684707</v>
      </c>
      <c r="AP29" s="51">
        <f t="shared" si="20"/>
        <v>1062.5608150880998</v>
      </c>
      <c r="AQ29" s="51">
        <f t="shared" si="20"/>
        <v>1160.1663331878517</v>
      </c>
      <c r="AR29" s="51">
        <f t="shared" si="20"/>
        <v>1124.7342991710366</v>
      </c>
      <c r="AS29" s="51">
        <f t="shared" si="20"/>
        <v>1206.84897997396</v>
      </c>
      <c r="AT29" s="51">
        <f t="shared" si="20"/>
        <v>1057.8649932206163</v>
      </c>
      <c r="AU29" s="51">
        <f t="shared" si="20"/>
        <v>1045.7468417978243</v>
      </c>
      <c r="AV29" s="51">
        <f>AV26-AV28</f>
        <v>1571.3102022070689</v>
      </c>
      <c r="AW29" s="51">
        <f>AW26-AW28</f>
        <v>3781.4609441420394</v>
      </c>
      <c r="AX29" s="51">
        <f t="shared" ref="AX29:BG29" si="21">AX26-AX28</f>
        <v>3779.5268876850109</v>
      </c>
      <c r="AY29" s="51">
        <f t="shared" si="21"/>
        <v>2998.4369091993963</v>
      </c>
      <c r="AZ29" s="51">
        <f t="shared" si="21"/>
        <v>3285.1704304108061</v>
      </c>
      <c r="BA29" s="51">
        <f t="shared" si="21"/>
        <v>3820.7338640106063</v>
      </c>
      <c r="BB29" s="51">
        <f t="shared" si="21"/>
        <v>3792.2100936074676</v>
      </c>
      <c r="BC29" s="51">
        <f t="shared" si="21"/>
        <v>4036.9947175612938</v>
      </c>
      <c r="BD29" s="51">
        <f t="shared" si="21"/>
        <v>4173.3708465343207</v>
      </c>
      <c r="BE29" s="51">
        <f t="shared" si="21"/>
        <v>4347.495924225007</v>
      </c>
      <c r="BF29" s="51">
        <f t="shared" si="21"/>
        <v>4455.5026705557975</v>
      </c>
      <c r="BG29" s="51">
        <f t="shared" si="21"/>
        <v>4338.6092985536789</v>
      </c>
    </row>
    <row r="30" spans="1:59" x14ac:dyDescent="0.2">
      <c r="B30" s="70" t="s">
        <v>86</v>
      </c>
      <c r="S30" s="52" t="e">
        <f t="shared" ref="S30:AU30" si="22">S29-S12</f>
        <v>#REF!</v>
      </c>
      <c r="T30" s="52" t="e">
        <f t="shared" si="22"/>
        <v>#REF!</v>
      </c>
      <c r="U30" s="52" t="e">
        <f t="shared" si="22"/>
        <v>#REF!</v>
      </c>
      <c r="V30" s="52" t="e">
        <f t="shared" si="22"/>
        <v>#REF!</v>
      </c>
      <c r="W30" s="52" t="e">
        <f t="shared" si="22"/>
        <v>#REF!</v>
      </c>
      <c r="X30" s="52" t="e">
        <f t="shared" si="22"/>
        <v>#REF!</v>
      </c>
      <c r="Y30" s="52" t="e">
        <f t="shared" si="22"/>
        <v>#REF!</v>
      </c>
      <c r="Z30" s="52" t="e">
        <f t="shared" si="22"/>
        <v>#REF!</v>
      </c>
      <c r="AA30" s="52" t="e">
        <f t="shared" si="22"/>
        <v>#REF!</v>
      </c>
      <c r="AB30" s="52">
        <f t="shared" si="22"/>
        <v>0</v>
      </c>
      <c r="AC30" s="52">
        <f t="shared" si="22"/>
        <v>0</v>
      </c>
      <c r="AD30" s="52">
        <f t="shared" si="22"/>
        <v>0</v>
      </c>
      <c r="AE30" s="52">
        <f t="shared" si="22"/>
        <v>0</v>
      </c>
      <c r="AF30" s="52">
        <f t="shared" si="22"/>
        <v>0</v>
      </c>
      <c r="AG30" s="52">
        <f t="shared" si="22"/>
        <v>0</v>
      </c>
      <c r="AH30" s="52">
        <f t="shared" si="22"/>
        <v>0</v>
      </c>
      <c r="AI30" s="52">
        <f t="shared" si="22"/>
        <v>0</v>
      </c>
      <c r="AJ30" s="52">
        <f t="shared" si="22"/>
        <v>0</v>
      </c>
      <c r="AK30" s="52">
        <f t="shared" si="22"/>
        <v>0</v>
      </c>
      <c r="AL30" s="52">
        <f t="shared" si="22"/>
        <v>0</v>
      </c>
      <c r="AM30" s="52">
        <f t="shared" si="22"/>
        <v>0</v>
      </c>
      <c r="AN30" s="52">
        <f t="shared" si="22"/>
        <v>0</v>
      </c>
      <c r="AO30" s="52">
        <f t="shared" si="22"/>
        <v>0</v>
      </c>
      <c r="AP30" s="52">
        <f t="shared" si="22"/>
        <v>0</v>
      </c>
      <c r="AQ30" s="52">
        <f t="shared" si="22"/>
        <v>0</v>
      </c>
      <c r="AR30" s="52">
        <f t="shared" si="22"/>
        <v>0</v>
      </c>
      <c r="AS30" s="52">
        <f t="shared" si="22"/>
        <v>0</v>
      </c>
      <c r="AT30" s="52">
        <f t="shared" si="22"/>
        <v>0</v>
      </c>
      <c r="AU30" s="52">
        <f t="shared" si="22"/>
        <v>0</v>
      </c>
      <c r="AV30" s="52">
        <f>AV29-AV12</f>
        <v>0</v>
      </c>
      <c r="AW30" s="52">
        <f>AW29-AW12</f>
        <v>0</v>
      </c>
      <c r="AX30" s="52">
        <f t="shared" ref="AX30:BG30" si="23">AX29-AX12</f>
        <v>0</v>
      </c>
      <c r="AY30" s="52">
        <f t="shared" si="23"/>
        <v>0</v>
      </c>
      <c r="AZ30" s="52">
        <f t="shared" si="23"/>
        <v>0</v>
      </c>
      <c r="BA30" s="52">
        <f t="shared" si="23"/>
        <v>0</v>
      </c>
      <c r="BB30" s="52">
        <f t="shared" si="23"/>
        <v>0</v>
      </c>
      <c r="BC30" s="52">
        <f t="shared" si="23"/>
        <v>0</v>
      </c>
      <c r="BD30" s="52">
        <f t="shared" si="23"/>
        <v>0</v>
      </c>
      <c r="BE30" s="52">
        <f t="shared" si="23"/>
        <v>0</v>
      </c>
      <c r="BF30" s="52">
        <f t="shared" si="23"/>
        <v>0</v>
      </c>
      <c r="BG30" s="52">
        <f t="shared" si="23"/>
        <v>0</v>
      </c>
    </row>
    <row r="32" spans="1:59" x14ac:dyDescent="0.2">
      <c r="U32" s="41" t="e">
        <f t="shared" ref="U32:AC32" si="24">U8*0.35</f>
        <v>#REF!</v>
      </c>
      <c r="V32" s="41" t="e">
        <f t="shared" si="24"/>
        <v>#REF!</v>
      </c>
      <c r="W32" s="41" t="e">
        <f t="shared" si="24"/>
        <v>#REF!</v>
      </c>
      <c r="X32" s="41" t="e">
        <f t="shared" si="24"/>
        <v>#REF!</v>
      </c>
      <c r="Y32" s="41" t="e">
        <f t="shared" si="24"/>
        <v>#REF!</v>
      </c>
      <c r="Z32" s="41" t="e">
        <f t="shared" si="24"/>
        <v>#REF!</v>
      </c>
      <c r="AA32" s="41" t="e">
        <f t="shared" si="24"/>
        <v>#REF!</v>
      </c>
      <c r="AB32" s="41">
        <f t="shared" si="24"/>
        <v>1359.6380765343831</v>
      </c>
      <c r="AC32" s="41">
        <f t="shared" si="24"/>
        <v>1270.0265264176419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AAD-A94F-4A5D-922C-893BDD87DD55}">
  <dimension ref="A1:BL34"/>
  <sheetViews>
    <sheetView zoomScaleNormal="100" workbookViewId="0">
      <pane xSplit="2" ySplit="3" topLeftCell="AB4" activePane="bottomRight" state="frozen"/>
      <selection activeCell="M14" sqref="M14"/>
      <selection pane="topRight" activeCell="M14" sqref="M14"/>
      <selection pane="bottomLeft" activeCell="M14" sqref="M14"/>
      <selection pane="bottomRight" activeCell="M14" sqref="M14"/>
    </sheetView>
  </sheetViews>
  <sheetFormatPr defaultColWidth="9" defaultRowHeight="11.25" x14ac:dyDescent="0.2"/>
  <cols>
    <col min="1" max="1" width="4.1640625" style="41" customWidth="1"/>
    <col min="2" max="2" width="58.33203125" style="41" customWidth="1"/>
    <col min="3" max="27" width="9.33203125" style="41" hidden="1" customWidth="1"/>
    <col min="28" max="28" width="9.33203125" style="41" customWidth="1"/>
    <col min="29" max="40" width="9" style="41"/>
    <col min="41" max="49" width="9" style="41" customWidth="1"/>
    <col min="50" max="16384" width="9" style="41"/>
  </cols>
  <sheetData>
    <row r="1" spans="1:64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64" ht="12" thickBot="1" x14ac:dyDescent="0.25">
      <c r="A2" s="40"/>
      <c r="B2" s="40" t="s">
        <v>168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 spans="1:64" ht="12" thickBot="1" x14ac:dyDescent="0.25">
      <c r="A3" s="40"/>
      <c r="B3" s="58"/>
      <c r="C3" s="44">
        <f>SBO!C3</f>
        <v>1994</v>
      </c>
      <c r="D3" s="44">
        <f>SBO!D3</f>
        <v>1995</v>
      </c>
      <c r="E3" s="44">
        <f>SBO!E3</f>
        <v>1996</v>
      </c>
      <c r="F3" s="44">
        <f>SBO!F3</f>
        <v>1997</v>
      </c>
      <c r="G3" s="44">
        <f>SBO!G3</f>
        <v>1998</v>
      </c>
      <c r="H3" s="44">
        <f>SBO!H3</f>
        <v>1999</v>
      </c>
      <c r="I3" s="44">
        <f>SBO!I3</f>
        <v>2000</v>
      </c>
      <c r="J3" s="44">
        <f>SBO!J3</f>
        <v>2001</v>
      </c>
      <c r="K3" s="44">
        <f>SBO!K3</f>
        <v>2002</v>
      </c>
      <c r="L3" s="44">
        <f>SBO!L3</f>
        <v>2003</v>
      </c>
      <c r="M3" s="44">
        <f>SBO!M3</f>
        <v>2004</v>
      </c>
      <c r="N3" s="44">
        <f>SBO!N3</f>
        <v>2005</v>
      </c>
      <c r="O3" s="44">
        <f>SBO!O3</f>
        <v>2006</v>
      </c>
      <c r="P3" s="44">
        <f>SBO!P3</f>
        <v>2007</v>
      </c>
      <c r="Q3" s="44">
        <f>SBO!Q3</f>
        <v>2008</v>
      </c>
      <c r="R3" s="44">
        <f>SBO!R3</f>
        <v>2009</v>
      </c>
      <c r="S3" s="44">
        <f>SBO!S3</f>
        <v>2010</v>
      </c>
      <c r="T3" s="44">
        <f>SBO!T3</f>
        <v>2011</v>
      </c>
      <c r="U3" s="44">
        <f>SBO!U3</f>
        <v>2012</v>
      </c>
      <c r="V3" s="44">
        <f>SBO!V3</f>
        <v>2013</v>
      </c>
      <c r="W3" s="44">
        <f>SBO!W3</f>
        <v>2014</v>
      </c>
      <c r="X3" s="44">
        <f>SBO!X3</f>
        <v>2015</v>
      </c>
      <c r="Y3" s="44">
        <f>SBO!Y3</f>
        <v>2016</v>
      </c>
      <c r="Z3" s="44">
        <f>SBO!Z3</f>
        <v>2017</v>
      </c>
      <c r="AA3" s="44">
        <f>SBO!AA3</f>
        <v>2018</v>
      </c>
      <c r="AB3" s="44">
        <f>SBO!AB3</f>
        <v>2019</v>
      </c>
      <c r="AC3" s="44">
        <f>SBO!AC3</f>
        <v>2020</v>
      </c>
      <c r="AD3" s="44">
        <f>SBO!AD3</f>
        <v>2021</v>
      </c>
      <c r="AE3" s="44">
        <f>SBO!AE3</f>
        <v>2022</v>
      </c>
      <c r="AF3" s="44">
        <f>SBO!AF3</f>
        <v>2023</v>
      </c>
      <c r="AG3" s="44">
        <f>SBO!AG3</f>
        <v>2024</v>
      </c>
      <c r="AH3" s="44">
        <f>SBO!AH3</f>
        <v>2025</v>
      </c>
      <c r="AI3" s="44">
        <f>SBO!AI3</f>
        <v>2026</v>
      </c>
      <c r="AJ3" s="44">
        <f>SBO!AJ3</f>
        <v>2027</v>
      </c>
      <c r="AK3" s="44">
        <f>SBO!AK3</f>
        <v>2028</v>
      </c>
      <c r="AL3" s="44">
        <f>SBO!AL3</f>
        <v>2029</v>
      </c>
      <c r="AM3" s="44">
        <f>SBO!AM3</f>
        <v>2030</v>
      </c>
      <c r="AN3" s="44">
        <f>SBO!AN3</f>
        <v>2031</v>
      </c>
      <c r="AO3" s="44">
        <f>SBO!AO3</f>
        <v>2032</v>
      </c>
      <c r="AP3" s="44">
        <f>SBO!AP3</f>
        <v>2033</v>
      </c>
      <c r="AQ3" s="44">
        <f>SBO!AQ3</f>
        <v>2034</v>
      </c>
      <c r="AR3" s="44">
        <f>SBO!AR3</f>
        <v>2035</v>
      </c>
      <c r="AS3" s="44">
        <f>SBO!AS3</f>
        <v>2036</v>
      </c>
      <c r="AT3" s="44">
        <f>SBO!AT3</f>
        <v>2037</v>
      </c>
      <c r="AU3" s="44">
        <f>SBO!AU3</f>
        <v>2038</v>
      </c>
      <c r="AV3" s="44">
        <f>SBO!AV3</f>
        <v>2039</v>
      </c>
      <c r="AW3" s="44">
        <f>SBO!AW3</f>
        <v>2040</v>
      </c>
      <c r="AX3" s="44">
        <f>SBO!AX3</f>
        <v>2041</v>
      </c>
      <c r="AY3" s="44">
        <f>SBO!AY3</f>
        <v>2042</v>
      </c>
      <c r="AZ3" s="44">
        <f>SBO!AZ3</f>
        <v>2043</v>
      </c>
      <c r="BA3" s="44">
        <f>SBO!BA3</f>
        <v>2044</v>
      </c>
      <c r="BB3" s="44">
        <f>SBO!BB3</f>
        <v>2045</v>
      </c>
      <c r="BC3" s="44">
        <f>SBO!BC3</f>
        <v>2046</v>
      </c>
      <c r="BD3" s="44">
        <f>SBO!BD3</f>
        <v>2047</v>
      </c>
      <c r="BE3" s="44">
        <f>SBO!BE3</f>
        <v>2048</v>
      </c>
      <c r="BF3" s="44">
        <f>SBO!BF3</f>
        <v>2049</v>
      </c>
      <c r="BG3" s="44">
        <f>SBO!BG3</f>
        <v>2050</v>
      </c>
    </row>
    <row r="4" spans="1:64" x14ac:dyDescent="0.2">
      <c r="A4" s="40"/>
      <c r="B4" s="40" t="s">
        <v>70</v>
      </c>
      <c r="C4" s="45" t="e">
        <f>'[1]Inedible Tallow Complex'!B$200</f>
        <v>#REF!</v>
      </c>
      <c r="D4" s="45" t="e">
        <f>'[1]Inedible Tallow Complex'!C$200</f>
        <v>#REF!</v>
      </c>
      <c r="E4" s="45" t="e">
        <f>'[1]Inedible Tallow Complex'!D$200</f>
        <v>#REF!</v>
      </c>
      <c r="F4" s="45" t="e">
        <f>'[1]Inedible Tallow Complex'!E$200</f>
        <v>#REF!</v>
      </c>
      <c r="G4" s="45" t="e">
        <f>'[1]Inedible Tallow Complex'!F$200</f>
        <v>#REF!</v>
      </c>
      <c r="H4" s="45" t="e">
        <f>'[1]Inedible Tallow Complex'!G$200</f>
        <v>#REF!</v>
      </c>
      <c r="I4" s="45" t="e">
        <f>'[1]Inedible Tallow Complex'!H$200</f>
        <v>#REF!</v>
      </c>
      <c r="J4" s="45" t="e">
        <f>'[1]Inedible Tallow Complex'!I$200</f>
        <v>#REF!</v>
      </c>
      <c r="K4" s="45" t="e">
        <f>'[1]Inedible Tallow Complex'!J$200</f>
        <v>#REF!</v>
      </c>
      <c r="L4" s="45" t="e">
        <f>'[1]Inedible Tallow Complex'!K$200</f>
        <v>#REF!</v>
      </c>
      <c r="M4" s="45" t="e">
        <f>'[1]Inedible Tallow Complex'!L$200</f>
        <v>#REF!</v>
      </c>
      <c r="N4" s="45" t="e">
        <f>'[1]Inedible Tallow Complex'!M$200</f>
        <v>#REF!</v>
      </c>
      <c r="O4" s="45" t="e">
        <f>'[1]Inedible Tallow Complex'!N$200</f>
        <v>#REF!</v>
      </c>
      <c r="P4" s="45" t="e">
        <f>'[1]Inedible Tallow Complex'!O$200</f>
        <v>#REF!</v>
      </c>
      <c r="Q4" s="45" t="e">
        <f>'[1]Inedible Tallow Complex'!P$200</f>
        <v>#REF!</v>
      </c>
      <c r="R4" s="45" t="e">
        <f>'[1]Inedible Tallow Complex'!Q$200</f>
        <v>#REF!</v>
      </c>
      <c r="S4" s="45" t="e">
        <f>'[1]Inedible Tallow Complex'!R$200</f>
        <v>#REF!</v>
      </c>
      <c r="T4" s="45" t="e">
        <f>'[1]Inedible Tallow Complex'!S$200</f>
        <v>#REF!</v>
      </c>
      <c r="U4" s="45" t="e">
        <f>'[1]Inedible Tallow Complex'!T$200</f>
        <v>#REF!</v>
      </c>
      <c r="V4" s="45" t="e">
        <f>'[1]Inedible Tallow Complex'!U$200</f>
        <v>#REF!</v>
      </c>
      <c r="W4" s="45" t="e">
        <f>'[1]Inedible Tallow Complex'!V$200</f>
        <v>#REF!</v>
      </c>
      <c r="X4" s="45" t="e">
        <f>'[1]Inedible Tallow Complex'!W$200</f>
        <v>#REF!</v>
      </c>
      <c r="Y4" s="45" t="e">
        <f>'[1]Inedible Tallow Complex'!X$200</f>
        <v>#REF!</v>
      </c>
      <c r="Z4" s="45" t="e">
        <f>'[1]Inedible Tallow Complex'!Y$200</f>
        <v>#REF!</v>
      </c>
      <c r="AA4" s="45" t="e">
        <f>'[1]Inedible Tallow Complex'!Z$200</f>
        <v>#REF!</v>
      </c>
      <c r="AB4" s="45">
        <f>'[1]Inedible Tallow Complex'!AA$216</f>
        <v>106.214</v>
      </c>
      <c r="AC4" s="45">
        <f>'[1]Inedible Tallow Complex'!AB$216</f>
        <v>100.782</v>
      </c>
      <c r="AD4" s="45">
        <f>'[1]Inedible Tallow Complex'!AC$216</f>
        <v>90.846999999999994</v>
      </c>
      <c r="AE4" s="45">
        <f>'[1]Inedible Tallow Complex'!AD$216</f>
        <v>93</v>
      </c>
      <c r="AF4" s="45">
        <f>'[1]Inedible Tallow Complex'!AE$216</f>
        <v>119.997</v>
      </c>
      <c r="AG4" s="45">
        <f>'[1]Inedible Tallow Complex'!AF$216</f>
        <v>82.706000000000003</v>
      </c>
      <c r="AH4" s="45">
        <f>'[1]Inedible Tallow Complex'!AG$216</f>
        <v>65.438000000000002</v>
      </c>
      <c r="AI4" s="45">
        <f>'[1]Inedible Tallow Complex'!AH$216</f>
        <v>318.30876476377648</v>
      </c>
      <c r="AJ4" s="45">
        <f>'[1]Inedible Tallow Complex'!AI$216</f>
        <v>1137.5848194295436</v>
      </c>
      <c r="AK4" s="45">
        <f>'[1]Inedible Tallow Complex'!AJ$216</f>
        <v>1509.5153628843632</v>
      </c>
      <c r="AL4" s="45">
        <f>'[1]Inedible Tallow Complex'!AK$216</f>
        <v>1957.4838145320998</v>
      </c>
      <c r="AM4" s="45">
        <f>'[1]Inedible Tallow Complex'!AL$216</f>
        <v>2539.2011296632963</v>
      </c>
      <c r="AN4" s="45">
        <f>'[1]Inedible Tallow Complex'!AM$216</f>
        <v>3250.4879001720374</v>
      </c>
      <c r="AO4" s="45">
        <f>'[1]Inedible Tallow Complex'!AN$216</f>
        <v>3873.4219795480635</v>
      </c>
      <c r="AP4" s="45">
        <f>'[1]Inedible Tallow Complex'!AO$216</f>
        <v>4671.8618922537353</v>
      </c>
      <c r="AQ4" s="45">
        <f>'[1]Inedible Tallow Complex'!AP$216</f>
        <v>5551.1238465478191</v>
      </c>
      <c r="AR4" s="45">
        <f>'[1]Inedible Tallow Complex'!AQ$216</f>
        <v>6456.308424220274</v>
      </c>
      <c r="AS4" s="45">
        <f>'[1]Inedible Tallow Complex'!AR$216</f>
        <v>7355.276974557326</v>
      </c>
      <c r="AT4" s="45">
        <f>'[1]Inedible Tallow Complex'!AS$216</f>
        <v>8296.763610752836</v>
      </c>
      <c r="AU4" s="45">
        <f>'[1]Inedible Tallow Complex'!AT$216</f>
        <v>9199.5514133122742</v>
      </c>
      <c r="AV4" s="45">
        <f>'[1]Inedible Tallow Complex'!AU$216</f>
        <v>10185.957010738237</v>
      </c>
      <c r="AW4" s="45">
        <f>'[1]Inedible Tallow Complex'!AV$216</f>
        <v>11251.90275631763</v>
      </c>
      <c r="AX4" s="45">
        <f>'[1]Inedible Tallow Complex'!AW$216</f>
        <v>12231.583653136775</v>
      </c>
      <c r="AY4" s="45">
        <f>'[1]Inedible Tallow Complex'!AX$216</f>
        <v>13239.57071627219</v>
      </c>
      <c r="AZ4" s="45">
        <f>'[1]Inedible Tallow Complex'!AY$216</f>
        <v>14294.20639939477</v>
      </c>
      <c r="BA4" s="45">
        <f>'[1]Inedible Tallow Complex'!AZ$216</f>
        <v>15418.901323154272</v>
      </c>
      <c r="BB4" s="45">
        <f>'[1]Inedible Tallow Complex'!BA$216</f>
        <v>16559.280080934979</v>
      </c>
      <c r="BC4" s="45">
        <f>'[1]Inedible Tallow Complex'!BB$216</f>
        <v>17707.257216459042</v>
      </c>
      <c r="BD4" s="45">
        <f>'[1]Inedible Tallow Complex'!BC$216</f>
        <v>18847.954144082549</v>
      </c>
      <c r="BE4" s="45">
        <f>'[1]Inedible Tallow Complex'!BD$216</f>
        <v>20021.375982833408</v>
      </c>
      <c r="BF4" s="45">
        <f>'[1]Inedible Tallow Complex'!BE$216</f>
        <v>21243.386237809493</v>
      </c>
      <c r="BG4" s="45">
        <f>'[1]Inedible Tallow Complex'!BF$216</f>
        <v>22460.037592923971</v>
      </c>
    </row>
    <row r="5" spans="1:64" x14ac:dyDescent="0.2">
      <c r="A5" s="40"/>
      <c r="B5" s="40" t="s">
        <v>71</v>
      </c>
      <c r="C5" s="45">
        <f>SUM('[1]Inedible Tallow Complex'!B$25:B$33,'[1]Inedible Tallow Complex'!C$22:C$24)</f>
        <v>3711.2999999999997</v>
      </c>
      <c r="D5" s="45">
        <f>SUM('[1]Inedible Tallow Complex'!C$25:C$33,'[1]Inedible Tallow Complex'!D$22:D$24)</f>
        <v>3754.2999999999993</v>
      </c>
      <c r="E5" s="45">
        <f>SUM('[1]Inedible Tallow Complex'!D$25:D$33,'[1]Inedible Tallow Complex'!E$22:E$24)</f>
        <v>3566.3</v>
      </c>
      <c r="F5" s="45">
        <f>SUM('[1]Inedible Tallow Complex'!E$25:E$33,'[1]Inedible Tallow Complex'!F$22:F$24)</f>
        <v>3504.4</v>
      </c>
      <c r="G5" s="45">
        <f>SUM('[1]Inedible Tallow Complex'!F$25:F$33,'[1]Inedible Tallow Complex'!G$22:G$24)</f>
        <v>3611.6</v>
      </c>
      <c r="H5" s="45">
        <f>SUM('[1]Inedible Tallow Complex'!G$25:G$33,'[1]Inedible Tallow Complex'!H$22:H$24)</f>
        <v>3859.1</v>
      </c>
      <c r="I5" s="45">
        <f>SUM('[1]Inedible Tallow Complex'!H$25:H$33,'[1]Inedible Tallow Complex'!I$22:I$24)</f>
        <v>3673.3999999999996</v>
      </c>
      <c r="J5" s="45">
        <f>SUM('[1]Inedible Tallow Complex'!I$25:I$33,'[1]Inedible Tallow Complex'!J$22:J$24)</f>
        <v>3448.6000000000004</v>
      </c>
      <c r="K5" s="45">
        <f>SUM('[1]Inedible Tallow Complex'!J$25:J$33,'[1]Inedible Tallow Complex'!K$22:K$24)</f>
        <v>3689.6</v>
      </c>
      <c r="L5" s="45">
        <f>SUM('[1]Inedible Tallow Complex'!K$25:K$33,'[1]Inedible Tallow Complex'!L$22:L$24)</f>
        <v>3703.7</v>
      </c>
      <c r="M5" s="45">
        <f>SUM('[1]Inedible Tallow Complex'!L$25:L$33,'[1]Inedible Tallow Complex'!M$22:M$24)</f>
        <v>3703.5999999999995</v>
      </c>
      <c r="N5" s="45">
        <f>SUM('[1]Inedible Tallow Complex'!M$25:M$33,'[1]Inedible Tallow Complex'!N$22:N$24)</f>
        <v>3877.6000000000004</v>
      </c>
      <c r="O5" s="45">
        <f>SUM('[1]Inedible Tallow Complex'!N$25:N$33,'[1]Inedible Tallow Complex'!O$22:O$24)</f>
        <v>3831.1</v>
      </c>
      <c r="P5" s="45">
        <f>SUM('[1]Inedible Tallow Complex'!O$25:O$33,'[1]Inedible Tallow Complex'!P$22:P$24)</f>
        <v>3808.6000000000004</v>
      </c>
      <c r="Q5" s="45">
        <f>SUM('[1]Inedible Tallow Complex'!P$25:P$33,'[1]Inedible Tallow Complex'!Q$22:Q$24)</f>
        <v>3550.9</v>
      </c>
      <c r="R5" s="45">
        <f>SUM('[1]Inedible Tallow Complex'!Q$25:Q$33,'[1]Inedible Tallow Complex'!R$22:R$24)</f>
        <v>3375.6</v>
      </c>
      <c r="S5" s="45">
        <f>SUM('[1]Inedible Tallow Complex'!R$25:R$33,'[1]Inedible Tallow Complex'!S$22:S$24)</f>
        <v>3298.9792800000005</v>
      </c>
      <c r="T5" s="45">
        <f>SUM('[1]Inedible Tallow Complex'!S$25:S$33,'[1]Inedible Tallow Complex'!T$22:T$24)</f>
        <v>3383.3253631155903</v>
      </c>
      <c r="U5" s="45">
        <f>SUM('[1]Inedible Tallow Complex'!T$25:T$33,'[1]Inedible Tallow Complex'!U$22:U$24)</f>
        <v>3389.4792444531699</v>
      </c>
      <c r="V5" s="45">
        <f>SUM('[1]Inedible Tallow Complex'!U$25:U$33,'[1]Inedible Tallow Complex'!V$22:V$24)</f>
        <v>3282.283605216564</v>
      </c>
      <c r="W5" s="45">
        <f>SUM('[1]Inedible Tallow Complex'!V$25:V$33,'[1]Inedible Tallow Complex'!W$22:W$24)</f>
        <v>2910.8566249261885</v>
      </c>
      <c r="X5" s="45">
        <f>SUM('[1]Inedible Tallow Complex'!W$25:W$33,'[1]Inedible Tallow Complex'!X$22:X$24)</f>
        <v>3145.671859276848</v>
      </c>
      <c r="Y5" s="45">
        <f>SUM('[1]Inedible Tallow Complex'!X$25:X$33,'[1]Inedible Tallow Complex'!Y$22:Y$24)</f>
        <v>3499.5639999999999</v>
      </c>
      <c r="Z5" s="45">
        <f>SUM('[1]Inedible Tallow Complex'!Y$25:Y$33,'[1]Inedible Tallow Complex'!Z$22:Z$24)</f>
        <v>3668.0400000000004</v>
      </c>
      <c r="AA5" s="45">
        <f>SUM('[1]Inedible Tallow Complex'!Z$25:Z$33,'[1]Inedible Tallow Complex'!AA$22:AA$24)</f>
        <v>3875.1430000000005</v>
      </c>
      <c r="AB5" s="45">
        <f>SUM('[1]Inedible Tallow Complex'!AA$25:AA$33,'[1]Inedible Tallow Complex'!AB$22:AB$24)</f>
        <v>3849.07</v>
      </c>
      <c r="AC5" s="45">
        <f>SUM('[1]Inedible Tallow Complex'!AB$25:AB$33,'[1]Inedible Tallow Complex'!AC$22:AC$24)</f>
        <v>3533.9079999999999</v>
      </c>
      <c r="AD5" s="45">
        <f>SUM('[1]Inedible Tallow Complex'!AC$25:AC$33,'[1]Inedible Tallow Complex'!AD$22:AD$24)</f>
        <v>3941.5820000000003</v>
      </c>
      <c r="AE5" s="45">
        <f>SUM('[1]Inedible Tallow Complex'!AD$25:AD$33,'[1]Inedible Tallow Complex'!AE$22:AE$24)</f>
        <v>3956.1569999999997</v>
      </c>
      <c r="AF5" s="45">
        <f>SUM('[1]Inedible Tallow Complex'!AE$25:AE$33,'[1]Inedible Tallow Complex'!AF$22:AF$24)</f>
        <v>3834.4410000000003</v>
      </c>
      <c r="AG5" s="45">
        <f>SUM('[1]Inedible Tallow Complex'!AF$25:AF$33,'[1]Inedible Tallow Complex'!AG$22:AG$24)</f>
        <v>3868.1689999999994</v>
      </c>
      <c r="AH5" s="45">
        <f>SUM('[1]Inedible Tallow Complex'!AG$25:AG$33,'[1]Inedible Tallow Complex'!AH$22:AH$24)</f>
        <v>3672.2102363051767</v>
      </c>
      <c r="AI5" s="45">
        <f>SUM('[1]Inedible Tallow Complex'!AH$25:AH$33,'[1]Inedible Tallow Complex'!AI$22:AI$24)</f>
        <v>3800.2059054833517</v>
      </c>
      <c r="AJ5" s="45">
        <f>SUM('[1]Inedible Tallow Complex'!AI$25:AI$33,'[1]Inedible Tallow Complex'!AJ$22:AJ$24)</f>
        <v>3816.7812851756762</v>
      </c>
      <c r="AK5" s="45">
        <f>SUM('[1]Inedible Tallow Complex'!AJ$25:AJ$33,'[1]Inedible Tallow Complex'!AK$22:AK$24)</f>
        <v>3842.6536210441036</v>
      </c>
      <c r="AL5" s="45">
        <f>SUM('[1]Inedible Tallow Complex'!AK$25:AK$33,'[1]Inedible Tallow Complex'!AL$22:AL$24)</f>
        <v>3814.1209959381122</v>
      </c>
      <c r="AM5" s="45">
        <f>SUM('[1]Inedible Tallow Complex'!AL$25:AL$33,'[1]Inedible Tallow Complex'!AM$22:AM$24)</f>
        <v>3792.3219390741287</v>
      </c>
      <c r="AN5" s="45">
        <f>SUM('[1]Inedible Tallow Complex'!AM$25:AM$33,'[1]Inedible Tallow Complex'!AN$22:AN$24)</f>
        <v>3800.3809119683879</v>
      </c>
      <c r="AO5" s="45">
        <f>SUM('[1]Inedible Tallow Complex'!AN$25:AN$33,'[1]Inedible Tallow Complex'!AO$22:AO$24)</f>
        <v>3864.7427727357135</v>
      </c>
      <c r="AP5" s="45">
        <f>SUM('[1]Inedible Tallow Complex'!AO$25:AO$33,'[1]Inedible Tallow Complex'!AP$22:AP$24)</f>
        <v>3841.1174161669974</v>
      </c>
      <c r="AQ5" s="45">
        <f>SUM('[1]Inedible Tallow Complex'!AP$25:AP$33,'[1]Inedible Tallow Complex'!AQ$22:AQ$24)</f>
        <v>3817.2951220271016</v>
      </c>
      <c r="AR5" s="45">
        <f>SUM('[1]Inedible Tallow Complex'!AQ$25:AQ$33,'[1]Inedible Tallow Complex'!AR$22:AR$24)</f>
        <v>3792.8255483414</v>
      </c>
      <c r="AS5" s="45">
        <f>SUM('[1]Inedible Tallow Complex'!AR$25:AR$33,'[1]Inedible Tallow Complex'!AS$22:AS$24)</f>
        <v>3800.3462634742623</v>
      </c>
      <c r="AT5" s="45">
        <f>SUM('[1]Inedible Tallow Complex'!AS$25:AS$33,'[1]Inedible Tallow Complex'!AT$22:AT$24)</f>
        <v>3868.1617704186883</v>
      </c>
      <c r="AU5" s="45">
        <f>SUM('[1]Inedible Tallow Complex'!AT$25:AT$33,'[1]Inedible Tallow Complex'!AU$22:AU$24)</f>
        <v>3844.2546129927296</v>
      </c>
      <c r="AV5" s="45">
        <f>SUM('[1]Inedible Tallow Complex'!AU$25:AU$33,'[1]Inedible Tallow Complex'!AV$22:AV$24)</f>
        <v>3820.1231011749428</v>
      </c>
      <c r="AW5" s="45">
        <f>SUM('[1]Inedible Tallow Complex'!AV$25:AV$33,'[1]Inedible Tallow Complex'!AW$22:AW$24)</f>
        <v>3796.628068812729</v>
      </c>
      <c r="AX5" s="45">
        <f>SUM('[1]Inedible Tallow Complex'!AW$25:AW$33,'[1]Inedible Tallow Complex'!AX$22:AX$24)</f>
        <v>3773.1456351755514</v>
      </c>
      <c r="AY5" s="45">
        <f>SUM('[1]Inedible Tallow Complex'!AX$25:AX$33,'[1]Inedible Tallow Complex'!AY$22:AY$24)</f>
        <v>3750.4831861054513</v>
      </c>
      <c r="AZ5" s="45">
        <f>SUM('[1]Inedible Tallow Complex'!AY$25:AY$33,'[1]Inedible Tallow Complex'!AZ$22:AZ$24)</f>
        <v>3729.153794630553</v>
      </c>
      <c r="BA5" s="45">
        <f>SUM('[1]Inedible Tallow Complex'!AZ$25:AZ$33,'[1]Inedible Tallow Complex'!BA$22:BA$24)</f>
        <v>3705.4234374887228</v>
      </c>
      <c r="BB5" s="45">
        <f>SUM('[1]Inedible Tallow Complex'!BA$25:BA$33,'[1]Inedible Tallow Complex'!BB$22:BB$24)</f>
        <v>3681.8314300923239</v>
      </c>
      <c r="BC5" s="45">
        <f>SUM('[1]Inedible Tallow Complex'!BB$25:BB$33,'[1]Inedible Tallow Complex'!BC$22:BC$24)</f>
        <v>3658.3380477131568</v>
      </c>
      <c r="BD5" s="45">
        <f>SUM('[1]Inedible Tallow Complex'!BC$25:BC$33,'[1]Inedible Tallow Complex'!BD$22:BD$24)</f>
        <v>3634.7864970853775</v>
      </c>
      <c r="BE5" s="45">
        <f>SUM('[1]Inedible Tallow Complex'!BD$25:BD$33,'[1]Inedible Tallow Complex'!BE$22:BE$24)</f>
        <v>3611.9652219627937</v>
      </c>
      <c r="BF5" s="45">
        <f>SUM('[1]Inedible Tallow Complex'!BE$25:BE$33,'[1]Inedible Tallow Complex'!BF$22:BF$24)</f>
        <v>3590.5908128056872</v>
      </c>
      <c r="BG5" s="45">
        <f>SUM('[1]Inedible Tallow Complex'!BF$25:BF$33,'[1]Inedible Tallow Complex'!BG$22:BG$24)</f>
        <v>3567.0078684381788</v>
      </c>
      <c r="BL5" s="41" t="s">
        <v>169</v>
      </c>
    </row>
    <row r="6" spans="1:64" x14ac:dyDescent="0.2">
      <c r="A6" s="40"/>
      <c r="B6" s="40" t="s">
        <v>72</v>
      </c>
      <c r="C6" s="45">
        <f>SUM('[1]Inedible Tallow Complex'!B$41:B$49,'[1]Inedible Tallow Complex'!C$38:C$40)</f>
        <v>35.0065313514</v>
      </c>
      <c r="D6" s="45">
        <f>SUM('[1]Inedible Tallow Complex'!C$41:C$49,'[1]Inedible Tallow Complex'!D$38:D$40)</f>
        <v>29.7000061974</v>
      </c>
      <c r="E6" s="45">
        <f>SUM('[1]Inedible Tallow Complex'!D$41:D$49,'[1]Inedible Tallow Complex'!E$38:E$40)</f>
        <v>34.752338434800002</v>
      </c>
      <c r="F6" s="45">
        <f>SUM('[1]Inedible Tallow Complex'!E$41:E$49,'[1]Inedible Tallow Complex'!F$38:F$40)</f>
        <v>65.323170322200014</v>
      </c>
      <c r="G6" s="45">
        <f>SUM('[1]Inedible Tallow Complex'!F$41:F$49,'[1]Inedible Tallow Complex'!G$38:G$40)</f>
        <v>56.074340107800005</v>
      </c>
      <c r="H6" s="45">
        <f>SUM('[1]Inedible Tallow Complex'!G$41:G$49,'[1]Inedible Tallow Complex'!H$38:H$40)</f>
        <v>68.566169284200001</v>
      </c>
      <c r="I6" s="45">
        <f>SUM('[1]Inedible Tallow Complex'!H$41:H$49,'[1]Inedible Tallow Complex'!I$38:I$40)</f>
        <v>55.848366352800014</v>
      </c>
      <c r="J6" s="45">
        <f>SUM('[1]Inedible Tallow Complex'!I$41:I$49,'[1]Inedible Tallow Complex'!J$38:J$40)</f>
        <v>64.373639626799999</v>
      </c>
      <c r="K6" s="45">
        <f>SUM('[1]Inedible Tallow Complex'!J$41:J$49,'[1]Inedible Tallow Complex'!K$38:K$40)</f>
        <v>54.242519688000009</v>
      </c>
      <c r="L6" s="45">
        <f>SUM('[1]Inedible Tallow Complex'!K$41:K$49,'[1]Inedible Tallow Complex'!L$38:L$40)</f>
        <v>23.423888287800008</v>
      </c>
      <c r="M6" s="45">
        <f>SUM('[1]Inedible Tallow Complex'!L$41:L$49,'[1]Inedible Tallow Complex'!M$38:M$40)</f>
        <v>52.469342213399997</v>
      </c>
      <c r="N6" s="45">
        <f>SUM('[1]Inedible Tallow Complex'!M$41:M$49,'[1]Inedible Tallow Complex'!N$38:N$40)</f>
        <v>55.018767094199994</v>
      </c>
      <c r="O6" s="45">
        <f>SUM('[1]Inedible Tallow Complex'!N$41:N$49,'[1]Inedible Tallow Complex'!O$38:O$40)</f>
        <v>36.462022795800003</v>
      </c>
      <c r="P6" s="45">
        <f>SUM('[1]Inedible Tallow Complex'!O$41:O$49,'[1]Inedible Tallow Complex'!P$38:P$40)</f>
        <v>56.351461093200008</v>
      </c>
      <c r="Q6" s="45">
        <f>SUM('[1]Inedible Tallow Complex'!P$41:P$49,'[1]Inedible Tallow Complex'!Q$38:Q$40)</f>
        <v>59.142953469599995</v>
      </c>
      <c r="R6" s="45">
        <f>SUM('[1]Inedible Tallow Complex'!Q$41:Q$49,'[1]Inedible Tallow Complex'!R$38:R$40)</f>
        <v>25.369246740600005</v>
      </c>
      <c r="S6" s="45">
        <f>SUM('[1]Inedible Tallow Complex'!R$41:R$49,'[1]Inedible Tallow Complex'!S$38:S$40)</f>
        <v>61.392108834000005</v>
      </c>
      <c r="T6" s="45">
        <f>SUM('[1]Inedible Tallow Complex'!S$41:S$49,'[1]Inedible Tallow Complex'!T$38:T$40)</f>
        <v>74.721473908199997</v>
      </c>
      <c r="U6" s="45">
        <f>SUM('[1]Inedible Tallow Complex'!T$41:T$49,'[1]Inedible Tallow Complex'!U$38:U$40)</f>
        <v>137.70719399999999</v>
      </c>
      <c r="V6" s="45">
        <f>SUM('[1]Inedible Tallow Complex'!U$41:U$49,'[1]Inedible Tallow Complex'!V$38:V$40)</f>
        <v>131.07081499999998</v>
      </c>
      <c r="W6" s="45">
        <f>SUM('[1]Inedible Tallow Complex'!V$41:V$49,'[1]Inedible Tallow Complex'!W$38:W$40)</f>
        <v>138.012247</v>
      </c>
      <c r="X6" s="45">
        <f>SUM('[1]Inedible Tallow Complex'!W$41:W$49,'[1]Inedible Tallow Complex'!X$38:X$40)</f>
        <v>140.956884</v>
      </c>
      <c r="Y6" s="45">
        <f>SUM('[1]Inedible Tallow Complex'!X$41:X$49,'[1]Inedible Tallow Complex'!Y$38:Y$40)</f>
        <v>173.68577199999999</v>
      </c>
      <c r="Z6" s="45">
        <f>SUM('[1]Inedible Tallow Complex'!Y$41:Y$49,'[1]Inedible Tallow Complex'!Z$38:Z$40)</f>
        <v>179.40464200000002</v>
      </c>
      <c r="AA6" s="45">
        <f>SUM('[1]Inedible Tallow Complex'!Z$41:Z$49,'[1]Inedible Tallow Complex'!AA$38:AA$40)</f>
        <v>271.04284475605999</v>
      </c>
      <c r="AB6" s="45">
        <f>SUM('[1]Inedible Tallow Complex'!AA$41:AA$49,'[1]Inedible Tallow Complex'!AB$38:AB$40)</f>
        <v>408.99266311463992</v>
      </c>
      <c r="AC6" s="45">
        <f>SUM('[1]Inedible Tallow Complex'!AB$41:AB$49,'[1]Inedible Tallow Complex'!AC$38:AC$40)</f>
        <v>511.70585600376</v>
      </c>
      <c r="AD6" s="45">
        <f>SUM('[1]Inedible Tallow Complex'!AC$41:AC$49,'[1]Inedible Tallow Complex'!AD$38:AD$40)</f>
        <v>702.44172196915997</v>
      </c>
      <c r="AE6" s="45">
        <f>SUM('[1]Inedible Tallow Complex'!AD$41:AD$49,'[1]Inedible Tallow Complex'!AE$38:AE$40)</f>
        <v>1148.6836040000001</v>
      </c>
      <c r="AF6" s="45">
        <f>SUM('[1]Inedible Tallow Complex'!AE$41:AE$49,'[1]Inedible Tallow Complex'!AF$38:AF$40)</f>
        <v>1698.357833</v>
      </c>
      <c r="AG6" s="45">
        <f>SUM('[1]Inedible Tallow Complex'!AF$41:AF$49,'[1]Inedible Tallow Complex'!AG$38:AG$40)</f>
        <v>1916.9493247109599</v>
      </c>
      <c r="AH6" s="45">
        <f>SUM('[1]Inedible Tallow Complex'!AG$41:AG$49,'[1]Inedible Tallow Complex'!AH$38:AH$40)</f>
        <v>3620.2979857098135</v>
      </c>
      <c r="AI6" s="45">
        <f>SUM('[1]Inedible Tallow Complex'!AH$41:AH$49,'[1]Inedible Tallow Complex'!AI$38:AI$40)</f>
        <v>4701.2430471739744</v>
      </c>
      <c r="AJ6" s="45">
        <f>SUM('[1]Inedible Tallow Complex'!AI$41:AI$49,'[1]Inedible Tallow Complex'!AJ$38:AJ$40)</f>
        <v>5896.9012498631428</v>
      </c>
      <c r="AK6" s="45">
        <f>SUM('[1]Inedible Tallow Complex'!AJ$41:AJ$49,'[1]Inedible Tallow Complex'!AK$38:AK$40)</f>
        <v>5986.7186405129196</v>
      </c>
      <c r="AL6" s="45">
        <f>SUM('[1]Inedible Tallow Complex'!AK$41:AK$49,'[1]Inedible Tallow Complex'!AL$38:AL$40)</f>
        <v>6303.5915029787848</v>
      </c>
      <c r="AM6" s="45">
        <f>SUM('[1]Inedible Tallow Complex'!AL$41:AL$49,'[1]Inedible Tallow Complex'!AM$38:AM$40)</f>
        <v>7013.5278812644992</v>
      </c>
      <c r="AN6" s="45">
        <f>SUM('[1]Inedible Tallow Complex'!AM$41:AM$49,'[1]Inedible Tallow Complex'!AN$38:AN$40)</f>
        <v>7696.7962362707904</v>
      </c>
      <c r="AO6" s="45">
        <f>SUM('[1]Inedible Tallow Complex'!AN$41:AN$49,'[1]Inedible Tallow Complex'!AO$38:AO$40)</f>
        <v>8999.6375310044969</v>
      </c>
      <c r="AP6" s="45">
        <f>SUM('[1]Inedible Tallow Complex'!AO$41:AO$49,'[1]Inedible Tallow Complex'!AP$38:AP$40)</f>
        <v>10230.685425689779</v>
      </c>
      <c r="AQ6" s="45">
        <f>SUM('[1]Inedible Tallow Complex'!AP$41:AP$49,'[1]Inedible Tallow Complex'!AQ$38:AQ$40)</f>
        <v>10214.3667114704</v>
      </c>
      <c r="AR6" s="45">
        <f>SUM('[1]Inedible Tallow Complex'!AQ$41:AQ$49,'[1]Inedible Tallow Complex'!AR$38:AR$40)</f>
        <v>10525.312003731615</v>
      </c>
      <c r="AS6" s="45">
        <f>SUM('[1]Inedible Tallow Complex'!AR$41:AR$49,'[1]Inedible Tallow Complex'!AS$38:AS$40)</f>
        <v>10758.359581633415</v>
      </c>
      <c r="AT6" s="45">
        <f>SUM('[1]Inedible Tallow Complex'!AS$41:AS$49,'[1]Inedible Tallow Complex'!AT$38:AT$40)</f>
        <v>10520.672250705942</v>
      </c>
      <c r="AU6" s="45">
        <f>SUM('[1]Inedible Tallow Complex'!AT$41:AT$49,'[1]Inedible Tallow Complex'!AU$38:AU$40)</f>
        <v>11249.87919464623</v>
      </c>
      <c r="AV6" s="45">
        <f>SUM('[1]Inedible Tallow Complex'!AU$41:AU$49,'[1]Inedible Tallow Complex'!AV$38:AV$40)</f>
        <v>11703.717948437519</v>
      </c>
      <c r="AW6" s="45">
        <f>SUM('[1]Inedible Tallow Complex'!AV$41:AV$49,'[1]Inedible Tallow Complex'!AW$38:AW$40)</f>
        <v>11501.588195830942</v>
      </c>
      <c r="AX6" s="45">
        <f>SUM('[1]Inedible Tallow Complex'!AW$41:AW$49,'[1]Inedible Tallow Complex'!AX$38:AX$40)</f>
        <v>11446.843434250812</v>
      </c>
      <c r="AY6" s="45">
        <f>SUM('[1]Inedible Tallow Complex'!AX$41:AX$49,'[1]Inedible Tallow Complex'!AY$38:AY$40)</f>
        <v>12234.540204774288</v>
      </c>
      <c r="AZ6" s="45">
        <f>SUM('[1]Inedible Tallow Complex'!AY$41:AY$49,'[1]Inedible Tallow Complex'!AZ$38:AZ$40)</f>
        <v>12902.313795587959</v>
      </c>
      <c r="BA6" s="45">
        <f>SUM('[1]Inedible Tallow Complex'!AZ$41:AZ$49,'[1]Inedible Tallow Complex'!BA$38:BA$40)</f>
        <v>13382.800715776304</v>
      </c>
      <c r="BB6" s="45">
        <f>SUM('[1]Inedible Tallow Complex'!BA$41:BA$49,'[1]Inedible Tallow Complex'!BB$38:BB$40)</f>
        <v>13243.617269244061</v>
      </c>
      <c r="BC6" s="45">
        <f>SUM('[1]Inedible Tallow Complex'!BB$41:BB$49,'[1]Inedible Tallow Complex'!BC$38:BC$40)</f>
        <v>13092.023083926684</v>
      </c>
      <c r="BD6" s="45">
        <f>SUM('[1]Inedible Tallow Complex'!BC$41:BC$49,'[1]Inedible Tallow Complex'!BD$38:BD$40)</f>
        <v>13371.059013861859</v>
      </c>
      <c r="BE6" s="45">
        <f>SUM('[1]Inedible Tallow Complex'!BD$41:BD$49,'[1]Inedible Tallow Complex'!BE$38:BE$40)</f>
        <v>13673.362775679372</v>
      </c>
      <c r="BF6" s="45">
        <f>SUM('[1]Inedible Tallow Complex'!BE$41:BE$49,'[1]Inedible Tallow Complex'!BF$38:BF$40)</f>
        <v>13027.572571697656</v>
      </c>
      <c r="BG6" s="45">
        <f>SUM('[1]Inedible Tallow Complex'!BF$41:BF$49,'[1]Inedible Tallow Complex'!BG$38:BG$40)</f>
        <v>13681.526942881927</v>
      </c>
    </row>
    <row r="7" spans="1:64" x14ac:dyDescent="0.2">
      <c r="A7" s="40"/>
      <c r="B7" s="61" t="s">
        <v>73</v>
      </c>
      <c r="C7" s="62" t="e">
        <f>SUM(C4:C6)</f>
        <v>#REF!</v>
      </c>
      <c r="D7" s="62" t="e">
        <f t="shared" ref="D7:AA7" si="0">SUM(D4:D6)</f>
        <v>#REF!</v>
      </c>
      <c r="E7" s="62" t="e">
        <f t="shared" si="0"/>
        <v>#REF!</v>
      </c>
      <c r="F7" s="62" t="e">
        <f t="shared" si="0"/>
        <v>#REF!</v>
      </c>
      <c r="G7" s="62" t="e">
        <f t="shared" si="0"/>
        <v>#REF!</v>
      </c>
      <c r="H7" s="62" t="e">
        <f t="shared" si="0"/>
        <v>#REF!</v>
      </c>
      <c r="I7" s="62" t="e">
        <f t="shared" si="0"/>
        <v>#REF!</v>
      </c>
      <c r="J7" s="62" t="e">
        <f t="shared" si="0"/>
        <v>#REF!</v>
      </c>
      <c r="K7" s="62" t="e">
        <f t="shared" si="0"/>
        <v>#REF!</v>
      </c>
      <c r="L7" s="62" t="e">
        <f t="shared" si="0"/>
        <v>#REF!</v>
      </c>
      <c r="M7" s="62" t="e">
        <f t="shared" si="0"/>
        <v>#REF!</v>
      </c>
      <c r="N7" s="62" t="e">
        <f t="shared" si="0"/>
        <v>#REF!</v>
      </c>
      <c r="O7" s="62" t="e">
        <f>SUM(O4:O6)</f>
        <v>#REF!</v>
      </c>
      <c r="P7" s="62" t="e">
        <f t="shared" si="0"/>
        <v>#REF!</v>
      </c>
      <c r="Q7" s="62" t="e">
        <f t="shared" si="0"/>
        <v>#REF!</v>
      </c>
      <c r="R7" s="62" t="e">
        <f t="shared" si="0"/>
        <v>#REF!</v>
      </c>
      <c r="S7" s="62" t="e">
        <f t="shared" si="0"/>
        <v>#REF!</v>
      </c>
      <c r="T7" s="62" t="e">
        <f t="shared" si="0"/>
        <v>#REF!</v>
      </c>
      <c r="U7" s="62" t="e">
        <f t="shared" si="0"/>
        <v>#REF!</v>
      </c>
      <c r="V7" s="62" t="e">
        <f t="shared" si="0"/>
        <v>#REF!</v>
      </c>
      <c r="W7" s="62" t="e">
        <f t="shared" si="0"/>
        <v>#REF!</v>
      </c>
      <c r="X7" s="62" t="e">
        <f t="shared" si="0"/>
        <v>#REF!</v>
      </c>
      <c r="Y7" s="62" t="e">
        <f t="shared" si="0"/>
        <v>#REF!</v>
      </c>
      <c r="Z7" s="62" t="e">
        <f t="shared" si="0"/>
        <v>#REF!</v>
      </c>
      <c r="AA7" s="62" t="e">
        <f t="shared" si="0"/>
        <v>#REF!</v>
      </c>
      <c r="AB7" s="62">
        <f>SUM(AB4:AB6)</f>
        <v>4364.2766631146396</v>
      </c>
      <c r="AC7" s="62">
        <f t="shared" ref="AC7:BG7" si="1">SUM(AC4:AC6)</f>
        <v>4146.3958560037599</v>
      </c>
      <c r="AD7" s="62">
        <f t="shared" si="1"/>
        <v>4734.8707219691605</v>
      </c>
      <c r="AE7" s="62">
        <f t="shared" si="1"/>
        <v>5197.840604</v>
      </c>
      <c r="AF7" s="62">
        <f t="shared" si="1"/>
        <v>5652.7958330000001</v>
      </c>
      <c r="AG7" s="62">
        <f t="shared" si="1"/>
        <v>5867.8243247109594</v>
      </c>
      <c r="AH7" s="62">
        <f t="shared" si="1"/>
        <v>7357.9462220149908</v>
      </c>
      <c r="AI7" s="62">
        <f t="shared" si="1"/>
        <v>8819.7577174211037</v>
      </c>
      <c r="AJ7" s="62">
        <f t="shared" si="1"/>
        <v>10851.267354468364</v>
      </c>
      <c r="AK7" s="62">
        <f t="shared" si="1"/>
        <v>11338.887624441386</v>
      </c>
      <c r="AL7" s="62">
        <f t="shared" si="1"/>
        <v>12075.196313448996</v>
      </c>
      <c r="AM7" s="62">
        <f t="shared" si="1"/>
        <v>13345.050950001925</v>
      </c>
      <c r="AN7" s="62">
        <f t="shared" si="1"/>
        <v>14747.665048411214</v>
      </c>
      <c r="AO7" s="62">
        <f t="shared" si="1"/>
        <v>16737.802283288274</v>
      </c>
      <c r="AP7" s="62">
        <f t="shared" si="1"/>
        <v>18743.664734110513</v>
      </c>
      <c r="AQ7" s="62">
        <f t="shared" si="1"/>
        <v>19582.785680045323</v>
      </c>
      <c r="AR7" s="62">
        <f t="shared" si="1"/>
        <v>20774.445976293289</v>
      </c>
      <c r="AS7" s="62">
        <f t="shared" si="1"/>
        <v>21913.982819665005</v>
      </c>
      <c r="AT7" s="62">
        <f t="shared" si="1"/>
        <v>22685.597631877466</v>
      </c>
      <c r="AU7" s="62">
        <f t="shared" si="1"/>
        <v>24293.685220951233</v>
      </c>
      <c r="AV7" s="62">
        <f t="shared" si="1"/>
        <v>25709.798060350699</v>
      </c>
      <c r="AW7" s="62">
        <f t="shared" si="1"/>
        <v>26550.119020961298</v>
      </c>
      <c r="AX7" s="62">
        <f t="shared" si="1"/>
        <v>27451.572722563138</v>
      </c>
      <c r="AY7" s="62">
        <f t="shared" si="1"/>
        <v>29224.594107151926</v>
      </c>
      <c r="AZ7" s="62">
        <f t="shared" si="1"/>
        <v>30925.673989613286</v>
      </c>
      <c r="BA7" s="62">
        <f t="shared" si="1"/>
        <v>32507.1254764193</v>
      </c>
      <c r="BB7" s="62">
        <f t="shared" si="1"/>
        <v>33484.728780271362</v>
      </c>
      <c r="BC7" s="62">
        <f t="shared" si="1"/>
        <v>34457.618348098884</v>
      </c>
      <c r="BD7" s="62">
        <f t="shared" si="1"/>
        <v>35853.799655029783</v>
      </c>
      <c r="BE7" s="62">
        <f t="shared" si="1"/>
        <v>37306.703980475577</v>
      </c>
      <c r="BF7" s="62">
        <f t="shared" si="1"/>
        <v>37861.549622312836</v>
      </c>
      <c r="BG7" s="62">
        <f t="shared" si="1"/>
        <v>39708.572404244071</v>
      </c>
    </row>
    <row r="8" spans="1:64" x14ac:dyDescent="0.2">
      <c r="A8" s="40"/>
      <c r="B8" s="40" t="s">
        <v>74</v>
      </c>
      <c r="C8" s="45">
        <f t="shared" ref="C8:AA8" si="2">C9+C12</f>
        <v>0</v>
      </c>
      <c r="D8" s="45" t="e">
        <f t="shared" si="2"/>
        <v>#REF!</v>
      </c>
      <c r="E8" s="45" t="e">
        <f t="shared" si="2"/>
        <v>#REF!</v>
      </c>
      <c r="F8" s="45" t="e">
        <f t="shared" si="2"/>
        <v>#REF!</v>
      </c>
      <c r="G8" s="45" t="e">
        <f t="shared" si="2"/>
        <v>#REF!</v>
      </c>
      <c r="H8" s="45" t="e">
        <f t="shared" si="2"/>
        <v>#REF!</v>
      </c>
      <c r="I8" s="45" t="e">
        <f t="shared" si="2"/>
        <v>#REF!</v>
      </c>
      <c r="J8" s="45" t="e">
        <f t="shared" si="2"/>
        <v>#REF!</v>
      </c>
      <c r="K8" s="45" t="e">
        <f t="shared" si="2"/>
        <v>#REF!</v>
      </c>
      <c r="L8" s="45" t="e">
        <f t="shared" si="2"/>
        <v>#REF!</v>
      </c>
      <c r="M8" s="45" t="e">
        <f t="shared" si="2"/>
        <v>#REF!</v>
      </c>
      <c r="N8" s="45" t="e">
        <f t="shared" si="2"/>
        <v>#REF!</v>
      </c>
      <c r="O8" s="45" t="e">
        <f t="shared" si="2"/>
        <v>#REF!</v>
      </c>
      <c r="P8" s="45" t="e">
        <f t="shared" si="2"/>
        <v>#REF!</v>
      </c>
      <c r="Q8" s="45" t="e">
        <f t="shared" si="2"/>
        <v>#REF!</v>
      </c>
      <c r="R8" s="45" t="e">
        <f t="shared" si="2"/>
        <v>#REF!</v>
      </c>
      <c r="S8" s="45" t="e">
        <f t="shared" si="2"/>
        <v>#REF!</v>
      </c>
      <c r="T8" s="45" t="e">
        <f t="shared" si="2"/>
        <v>#REF!</v>
      </c>
      <c r="U8" s="45" t="e">
        <f t="shared" si="2"/>
        <v>#REF!</v>
      </c>
      <c r="V8" s="45" t="e">
        <f t="shared" si="2"/>
        <v>#REF!</v>
      </c>
      <c r="W8" s="45" t="e">
        <f t="shared" si="2"/>
        <v>#REF!</v>
      </c>
      <c r="X8" s="45" t="e">
        <f t="shared" si="2"/>
        <v>#REF!</v>
      </c>
      <c r="Y8" s="45" t="e">
        <f t="shared" si="2"/>
        <v>#REF!</v>
      </c>
      <c r="Z8" s="45" t="e">
        <f t="shared" si="2"/>
        <v>#REF!</v>
      </c>
      <c r="AA8" s="45" t="e">
        <f t="shared" si="2"/>
        <v>#REF!</v>
      </c>
      <c r="AB8" s="45">
        <f>AB14-AB13</f>
        <v>3599.9068407774193</v>
      </c>
      <c r="AC8" s="45">
        <f t="shared" ref="AC8:BG8" si="3">AC14-AC13</f>
        <v>3394.8557041357799</v>
      </c>
      <c r="AD8" s="45">
        <f t="shared" si="3"/>
        <v>4156.5772032780806</v>
      </c>
      <c r="AE8" s="45">
        <f t="shared" si="3"/>
        <v>4466.5256840000002</v>
      </c>
      <c r="AF8" s="45">
        <f t="shared" si="3"/>
        <v>5328.3212549999998</v>
      </c>
      <c r="AG8" s="45">
        <f t="shared" si="3"/>
        <v>5532.6291490802996</v>
      </c>
      <c r="AH8" s="45">
        <f t="shared" si="3"/>
        <v>6880.0661699448801</v>
      </c>
      <c r="AI8" s="45">
        <f t="shared" si="3"/>
        <v>7532.0894547623329</v>
      </c>
      <c r="AJ8" s="45">
        <f t="shared" si="3"/>
        <v>9192.7133579750353</v>
      </c>
      <c r="AK8" s="45">
        <f t="shared" si="3"/>
        <v>9236.5129742667268</v>
      </c>
      <c r="AL8" s="45">
        <f t="shared" si="3"/>
        <v>9418.1998260279033</v>
      </c>
      <c r="AM8" s="45">
        <f t="shared" si="3"/>
        <v>9973.0184310321602</v>
      </c>
      <c r="AN8" s="45">
        <f t="shared" si="3"/>
        <v>10773.698644768478</v>
      </c>
      <c r="AO8" s="45">
        <f t="shared" si="3"/>
        <v>11966.17301821619</v>
      </c>
      <c r="AP8" s="45">
        <f t="shared" si="3"/>
        <v>13092.735455797045</v>
      </c>
      <c r="AQ8" s="45">
        <f t="shared" si="3"/>
        <v>13034.011058791712</v>
      </c>
      <c r="AR8" s="45">
        <f t="shared" si="3"/>
        <v>13344.612778598539</v>
      </c>
      <c r="AS8" s="45">
        <f t="shared" si="3"/>
        <v>13541.634223640027</v>
      </c>
      <c r="AT8" s="45">
        <f t="shared" si="3"/>
        <v>13411.109039390683</v>
      </c>
      <c r="AU8" s="45">
        <f t="shared" si="3"/>
        <v>14032.79126386899</v>
      </c>
      <c r="AV8" s="45">
        <f t="shared" si="3"/>
        <v>14382.934400704282</v>
      </c>
      <c r="AW8" s="45">
        <f t="shared" si="3"/>
        <v>14243.55337446956</v>
      </c>
      <c r="AX8" s="45">
        <f t="shared" si="3"/>
        <v>14137.006758839574</v>
      </c>
      <c r="AY8" s="45">
        <f t="shared" si="3"/>
        <v>14855.307306262275</v>
      </c>
      <c r="AZ8" s="45">
        <f t="shared" si="3"/>
        <v>15431.810212528286</v>
      </c>
      <c r="BA8" s="45">
        <f t="shared" si="3"/>
        <v>15872.85429708952</v>
      </c>
      <c r="BB8" s="45">
        <f t="shared" si="3"/>
        <v>15702.475363900174</v>
      </c>
      <c r="BC8" s="45">
        <f t="shared" si="3"/>
        <v>15534.661965090985</v>
      </c>
      <c r="BD8" s="45">
        <f t="shared" si="3"/>
        <v>15757.418591959589</v>
      </c>
      <c r="BE8" s="45">
        <f t="shared" si="3"/>
        <v>15988.311264134503</v>
      </c>
      <c r="BF8" s="45">
        <f t="shared" si="3"/>
        <v>15326.520615108902</v>
      </c>
      <c r="BG8" s="45">
        <f t="shared" si="3"/>
        <v>15959.182796048493</v>
      </c>
    </row>
    <row r="9" spans="1:64" x14ac:dyDescent="0.2">
      <c r="A9" s="40"/>
      <c r="B9" s="40" t="s">
        <v>75</v>
      </c>
      <c r="C9" s="45">
        <f>SUM('[1]Inedible Tallow Complex'!B$105:B$113,'[1]Inedible Tallow Complex'!C$102:C$104)</f>
        <v>0</v>
      </c>
      <c r="D9" s="45" t="e">
        <f>D10+D11+#REF!</f>
        <v>#REF!</v>
      </c>
      <c r="E9" s="45" t="e">
        <f>E10+E11+#REF!</f>
        <v>#REF!</v>
      </c>
      <c r="F9" s="45" t="e">
        <f>F10+F11+#REF!</f>
        <v>#REF!</v>
      </c>
      <c r="G9" s="45" t="e">
        <f>G10+G11+#REF!</f>
        <v>#REF!</v>
      </c>
      <c r="H9" s="45" t="e">
        <f>H10+H11+#REF!</f>
        <v>#REF!</v>
      </c>
      <c r="I9" s="45" t="e">
        <f>I10+I11+#REF!</f>
        <v>#REF!</v>
      </c>
      <c r="J9" s="45" t="e">
        <f>J10+J11+#REF!</f>
        <v>#REF!</v>
      </c>
      <c r="K9" s="45" t="e">
        <f>K10+K11+#REF!</f>
        <v>#REF!</v>
      </c>
      <c r="L9" s="45" t="e">
        <f>L10+L11+#REF!</f>
        <v>#REF!</v>
      </c>
      <c r="M9" s="45" t="e">
        <f>M10+M11+#REF!</f>
        <v>#REF!</v>
      </c>
      <c r="N9" s="45" t="e">
        <f>N10+N11+#REF!</f>
        <v>#REF!</v>
      </c>
      <c r="O9" s="45" t="e">
        <f>O10+O11+#REF!</f>
        <v>#REF!</v>
      </c>
      <c r="P9" s="45" t="e">
        <f>P10+P11+#REF!</f>
        <v>#REF!</v>
      </c>
      <c r="Q9" s="45" t="e">
        <f>Q10+Q11+#REF!</f>
        <v>#REF!</v>
      </c>
      <c r="R9" s="45" t="e">
        <f>R10+R11+#REF!</f>
        <v>#REF!</v>
      </c>
      <c r="S9" s="45" t="e">
        <f>S10+S11+#REF!</f>
        <v>#REF!</v>
      </c>
      <c r="T9" s="45" t="e">
        <f>T10+T11+#REF!</f>
        <v>#REF!</v>
      </c>
      <c r="U9" s="45" t="e">
        <f>U10+U11+#REF!</f>
        <v>#REF!</v>
      </c>
      <c r="V9" s="45" t="e">
        <f>V10+V11+#REF!</f>
        <v>#REF!</v>
      </c>
      <c r="W9" s="45" t="e">
        <f>W10+W11+#REF!</f>
        <v>#REF!</v>
      </c>
      <c r="X9" s="45" t="e">
        <f>X10+X11+#REF!</f>
        <v>#REF!</v>
      </c>
      <c r="Y9" s="45" t="e">
        <f>Y10+Y11+#REF!</f>
        <v>#REF!</v>
      </c>
      <c r="Z9" s="45" t="e">
        <f>Z10+Z11+#REF!</f>
        <v>#REF!</v>
      </c>
      <c r="AA9" s="45" t="e">
        <f>AA10+AA11+#REF!</f>
        <v>#REF!</v>
      </c>
      <c r="AB9" s="45">
        <f>SUM(AB10:AB11)</f>
        <v>1432.449827142764</v>
      </c>
      <c r="AC9" s="45">
        <f t="shared" ref="AC9:BG9" si="4">SUM(AC10:AC11)</f>
        <v>1703.4236468354347</v>
      </c>
      <c r="AD9" s="45">
        <f t="shared" si="4"/>
        <v>1621.3770000000004</v>
      </c>
      <c r="AE9" s="45">
        <f t="shared" si="4"/>
        <v>1981.5650000000001</v>
      </c>
      <c r="AF9" s="45">
        <f t="shared" si="4"/>
        <v>4197.9790000000003</v>
      </c>
      <c r="AG9" s="45">
        <f t="shared" si="4"/>
        <v>7164.8866087262013</v>
      </c>
      <c r="AH9" s="45">
        <f t="shared" si="4"/>
        <v>5258.9640728546601</v>
      </c>
      <c r="AI9" s="45">
        <f t="shared" si="4"/>
        <v>5268.9712364079414</v>
      </c>
      <c r="AJ9" s="45">
        <f t="shared" si="4"/>
        <v>7331.892758644829</v>
      </c>
      <c r="AK9" s="45">
        <f t="shared" si="4"/>
        <v>6960.2943077905129</v>
      </c>
      <c r="AL9" s="45">
        <f t="shared" si="4"/>
        <v>7187.9360902277876</v>
      </c>
      <c r="AM9" s="45">
        <f t="shared" si="4"/>
        <v>7822.7119010524402</v>
      </c>
      <c r="AN9" s="45">
        <f t="shared" si="4"/>
        <v>8685.8483990432287</v>
      </c>
      <c r="AO9" s="45">
        <f t="shared" si="4"/>
        <v>10427.778325752402</v>
      </c>
      <c r="AP9" s="45">
        <f t="shared" si="4"/>
        <v>10735.677585103098</v>
      </c>
      <c r="AQ9" s="45">
        <f t="shared" si="4"/>
        <v>11072.562394056202</v>
      </c>
      <c r="AR9" s="45">
        <f t="shared" si="4"/>
        <v>11428.049467307403</v>
      </c>
      <c r="AS9" s="45">
        <f t="shared" si="4"/>
        <v>11752.363674714847</v>
      </c>
      <c r="AT9" s="45">
        <f t="shared" si="4"/>
        <v>10997.471726966976</v>
      </c>
      <c r="AU9" s="45">
        <f t="shared" si="4"/>
        <v>12023.828676244371</v>
      </c>
      <c r="AV9" s="45">
        <f t="shared" si="4"/>
        <v>12671.985865683724</v>
      </c>
      <c r="AW9" s="45">
        <f t="shared" si="4"/>
        <v>11856.949978287643</v>
      </c>
      <c r="AX9" s="45">
        <f t="shared" si="4"/>
        <v>12149.235835119258</v>
      </c>
      <c r="AY9" s="45">
        <f t="shared" si="4"/>
        <v>12760.702247716983</v>
      </c>
      <c r="AZ9" s="45">
        <f t="shared" si="4"/>
        <v>13527.109584565869</v>
      </c>
      <c r="BA9" s="45">
        <f t="shared" si="4"/>
        <v>13834.272758707952</v>
      </c>
      <c r="BB9" s="45">
        <f t="shared" si="4"/>
        <v>13897.909079891198</v>
      </c>
      <c r="BC9" s="45">
        <f t="shared" si="4"/>
        <v>13796.263407570836</v>
      </c>
      <c r="BD9" s="45">
        <f t="shared" si="4"/>
        <v>14452.130953025415</v>
      </c>
      <c r="BE9" s="45">
        <f t="shared" si="4"/>
        <v>14682.903209943181</v>
      </c>
      <c r="BF9" s="45">
        <f t="shared" si="4"/>
        <v>14238.997567255023</v>
      </c>
      <c r="BG9" s="45">
        <f t="shared" si="4"/>
        <v>14860.851648198552</v>
      </c>
    </row>
    <row r="10" spans="1:64" x14ac:dyDescent="0.2">
      <c r="A10" s="40"/>
      <c r="B10" s="40" t="s">
        <v>76</v>
      </c>
      <c r="C10" s="45">
        <f>SUM('[1]Inedible Tallow Complex'!B$105:B$113,'[1]Inedible Tallow Complex'!C$102:C$104)</f>
        <v>0</v>
      </c>
      <c r="D10" s="45">
        <f>SUM('[1]Inedible Tallow Complex'!C$105:C$113,'[1]Inedible Tallow Complex'!D$102:D$104)</f>
        <v>0</v>
      </c>
      <c r="E10" s="45">
        <f>SUM('[1]Inedible Tallow Complex'!D$105:D$113,'[1]Inedible Tallow Complex'!E$102:E$104)</f>
        <v>0</v>
      </c>
      <c r="F10" s="45">
        <f>SUM('[1]Inedible Tallow Complex'!E$105:E$113,'[1]Inedible Tallow Complex'!F$102:F$104)</f>
        <v>0</v>
      </c>
      <c r="G10" s="45">
        <f>SUM('[1]Inedible Tallow Complex'!F$105:F$113,'[1]Inedible Tallow Complex'!G$102:G$104)</f>
        <v>6.3923332142564168E-2</v>
      </c>
      <c r="H10" s="45">
        <f>SUM('[1]Inedible Tallow Complex'!G$105:G$113,'[1]Inedible Tallow Complex'!H$102:H$104)</f>
        <v>0.64462098384007516</v>
      </c>
      <c r="I10" s="45">
        <f>SUM('[1]Inedible Tallow Complex'!H$105:H$113,'[1]Inedible Tallow Complex'!I$102:I$104)</f>
        <v>1.6013307077179486</v>
      </c>
      <c r="J10" s="45">
        <f>SUM('[1]Inedible Tallow Complex'!I$105:I$113,'[1]Inedible Tallow Complex'!J$102:J$104)</f>
        <v>11.037513009641899</v>
      </c>
      <c r="K10" s="45">
        <f>SUM('[1]Inedible Tallow Complex'!J$105:J$113,'[1]Inedible Tallow Complex'!K$102:K$104)</f>
        <v>13.527568460384177</v>
      </c>
      <c r="L10" s="45">
        <f>SUM('[1]Inedible Tallow Complex'!K$105:K$113,'[1]Inedible Tallow Complex'!L$102:L$104)</f>
        <v>18.126958536229157</v>
      </c>
      <c r="M10" s="45">
        <f>SUM('[1]Inedible Tallow Complex'!L$105:L$113,'[1]Inedible Tallow Complex'!M$102:M$104)</f>
        <v>19.67894525943024</v>
      </c>
      <c r="N10" s="45">
        <f>SUM('[1]Inedible Tallow Complex'!M$105:M$113,'[1]Inedible Tallow Complex'!N$102:N$104)</f>
        <v>47.877160182454944</v>
      </c>
      <c r="O10" s="45">
        <f>SUM('[1]Inedible Tallow Complex'!N$105:N$113,'[1]Inedible Tallow Complex'!O$102:O$104)</f>
        <v>45.290420231811176</v>
      </c>
      <c r="P10" s="45">
        <f>SUM('[1]Inedible Tallow Complex'!O$105:O$113,'[1]Inedible Tallow Complex'!P$102:P$104)</f>
        <v>38.803152739516371</v>
      </c>
      <c r="Q10" s="45">
        <f>SUM('[1]Inedible Tallow Complex'!P$105:P$113,'[1]Inedible Tallow Complex'!Q$102:Q$104)</f>
        <v>222.9</v>
      </c>
      <c r="R10" s="45">
        <f>SUM('[1]Inedible Tallow Complex'!Q$105:Q$113,'[1]Inedible Tallow Complex'!R$102:R$104)</f>
        <v>531</v>
      </c>
      <c r="S10" s="45">
        <f>SUM('[1]Inedible Tallow Complex'!R$105:R$113,'[1]Inedible Tallow Complex'!S$102:S$104)</f>
        <v>170</v>
      </c>
      <c r="T10" s="45">
        <f>SUM('[1]Inedible Tallow Complex'!S$105:S$113,'[1]Inedible Tallow Complex'!T$102:T$104)</f>
        <v>429</v>
      </c>
      <c r="U10" s="45">
        <f>SUM('[1]Inedible Tallow Complex'!T$105:T$113,'[1]Inedible Tallow Complex'!U$102:U$104)</f>
        <v>385</v>
      </c>
      <c r="V10" s="45">
        <f>SUM('[1]Inedible Tallow Complex'!U$105:U$113,'[1]Inedible Tallow Complex'!V$102:V$104)</f>
        <v>465</v>
      </c>
      <c r="W10" s="45">
        <f>SUM('[1]Inedible Tallow Complex'!V$105:V$113,'[1]Inedible Tallow Complex'!W$102:W$104)</f>
        <v>355.94</v>
      </c>
      <c r="X10" s="45">
        <f>SUM('[1]Inedible Tallow Complex'!W$105:W$113,'[1]Inedible Tallow Complex'!X$102:X$104)</f>
        <v>429</v>
      </c>
      <c r="Y10" s="45">
        <f>SUM('[1]Inedible Tallow Complex'!X$105:X$113,'[1]Inedible Tallow Complex'!Y$102:Y$104)</f>
        <v>331.86</v>
      </c>
      <c r="Z10" s="45">
        <f>SUM('[1]Inedible Tallow Complex'!Y$105:Y$113,'[1]Inedible Tallow Complex'!Z$102:Z$104)</f>
        <v>390.96000000000004</v>
      </c>
      <c r="AA10" s="45">
        <f>SUM('[1]Inedible Tallow Complex'!Z$105:Z$113,'[1]Inedible Tallow Complex'!AA$102:AA$104)</f>
        <v>468.9387939453124</v>
      </c>
      <c r="AB10" s="45">
        <f>SUM('[1]Inedible Tallow Complex'!AA$105:AA$113,'[1]Inedible Tallow Complex'!AB$102:AB$104)</f>
        <v>292.41000000000003</v>
      </c>
      <c r="AC10" s="45">
        <f>SUM('[1]Inedible Tallow Complex'!AB$105:AB$113,'[1]Inedible Tallow Complex'!AC$102:AC$104)</f>
        <v>367.50328247141533</v>
      </c>
      <c r="AD10" s="45">
        <f>SUM('[1]Inedible Tallow Complex'!AC$105:AC$113,'[1]Inedible Tallow Complex'!AD$102:AD$104)</f>
        <v>351.75896674871439</v>
      </c>
      <c r="AE10" s="45">
        <f>SUM('[1]Inedible Tallow Complex'!AD$105:AD$113,'[1]Inedible Tallow Complex'!AE$102:AE$104)</f>
        <v>562.52920966108729</v>
      </c>
      <c r="AF10" s="45">
        <f>SUM('[1]Inedible Tallow Complex'!AE$105:AE$113,'[1]Inedible Tallow Complex'!AF$102:AF$104)</f>
        <v>937.19771795737722</v>
      </c>
      <c r="AG10" s="45">
        <f>SUM('[1]Inedible Tallow Complex'!AF$105:AF$113,'[1]Inedible Tallow Complex'!AG$102:AG$104)</f>
        <v>845.5803740555076</v>
      </c>
      <c r="AH10" s="45">
        <f>SUM('[1]Inedible Tallow Complex'!AG$105:AG$113,'[1]Inedible Tallow Complex'!AH$102:AH$104)</f>
        <v>647.21198076938902</v>
      </c>
      <c r="AI10" s="45">
        <f>SUM('[1]Inedible Tallow Complex'!AH$105:AH$113,'[1]Inedible Tallow Complex'!AI$102:AI$104)</f>
        <v>598.11127873729151</v>
      </c>
      <c r="AJ10" s="45">
        <f>SUM('[1]Inedible Tallow Complex'!AI$105:AI$113,'[1]Inedible Tallow Complex'!AJ$102:AJ$104)</f>
        <v>662.33888567488486</v>
      </c>
      <c r="AK10" s="45">
        <f>SUM('[1]Inedible Tallow Complex'!AJ$105:AJ$113,'[1]Inedible Tallow Complex'!AK$102:AK$104)</f>
        <v>549.35077483098962</v>
      </c>
      <c r="AL10" s="45">
        <f>SUM('[1]Inedible Tallow Complex'!AK$105:AK$113,'[1]Inedible Tallow Complex'!AL$102:AL$104)</f>
        <v>597.73923999732767</v>
      </c>
      <c r="AM10" s="45">
        <f>SUM('[1]Inedible Tallow Complex'!AL$105:AL$113,'[1]Inedible Tallow Complex'!AM$102:AM$104)</f>
        <v>581.68828032031536</v>
      </c>
      <c r="AN10" s="45">
        <f>SUM('[1]Inedible Tallow Complex'!AM$105:AM$113,'[1]Inedible Tallow Complex'!AN$102:AN$104)</f>
        <v>581.51583272477114</v>
      </c>
      <c r="AO10" s="45">
        <f>SUM('[1]Inedible Tallow Complex'!AN$105:AN$113,'[1]Inedible Tallow Complex'!AO$102:AO$104)</f>
        <v>620.22919595712324</v>
      </c>
      <c r="AP10" s="45">
        <f>SUM('[1]Inedible Tallow Complex'!AO$105:AO$113,'[1]Inedible Tallow Complex'!AP$102:AP$104)</f>
        <v>580.95411007278778</v>
      </c>
      <c r="AQ10" s="45">
        <f>SUM('[1]Inedible Tallow Complex'!AP$105:AP$113,'[1]Inedible Tallow Complex'!AQ$102:AQ$104)</f>
        <v>559.12559920197191</v>
      </c>
      <c r="AR10" s="45">
        <f>SUM('[1]Inedible Tallow Complex'!AQ$105:AQ$113,'[1]Inedible Tallow Complex'!AR$102:AR$104)</f>
        <v>521.11002341166659</v>
      </c>
      <c r="AS10" s="45">
        <f>SUM('[1]Inedible Tallow Complex'!AR$105:AR$113,'[1]Inedible Tallow Complex'!AS$102:AS$104)</f>
        <v>382.60272376756353</v>
      </c>
      <c r="AT10" s="45">
        <f>SUM('[1]Inedible Tallow Complex'!AS$105:AS$113,'[1]Inedible Tallow Complex'!AT$102:AT$104)</f>
        <v>299.99472713648737</v>
      </c>
      <c r="AU10" s="45">
        <f>SUM('[1]Inedible Tallow Complex'!AT$105:AT$113,'[1]Inedible Tallow Complex'!AU$102:AU$104)</f>
        <v>282.36540650414997</v>
      </c>
      <c r="AV10" s="45">
        <f>SUM('[1]Inedible Tallow Complex'!AU$105:AU$113,'[1]Inedible Tallow Complex'!AV$102:AV$104)</f>
        <v>259.69105082735496</v>
      </c>
      <c r="AW10" s="45">
        <f>SUM('[1]Inedible Tallow Complex'!AV$105:AV$113,'[1]Inedible Tallow Complex'!AW$102:AW$104)</f>
        <v>218.72370218426047</v>
      </c>
      <c r="AX10" s="45">
        <f>SUM('[1]Inedible Tallow Complex'!AW$105:AW$113,'[1]Inedible Tallow Complex'!AX$102:AX$104)</f>
        <v>199.54002136165832</v>
      </c>
      <c r="AY10" s="45">
        <f>SUM('[1]Inedible Tallow Complex'!AX$105:AX$113,'[1]Inedible Tallow Complex'!AY$102:AY$104)</f>
        <v>199.94790370590849</v>
      </c>
      <c r="AZ10" s="45">
        <f>SUM('[1]Inedible Tallow Complex'!AY$105:AY$113,'[1]Inedible Tallow Complex'!AZ$102:AZ$104)</f>
        <v>202.74127369471438</v>
      </c>
      <c r="BA10" s="45">
        <f>SUM('[1]Inedible Tallow Complex'!AZ$105:AZ$113,'[1]Inedible Tallow Complex'!BA$102:BA$104)</f>
        <v>203.86202974658835</v>
      </c>
      <c r="BB10" s="45">
        <f>SUM('[1]Inedible Tallow Complex'!BA$105:BA$113,'[1]Inedible Tallow Complex'!BB$102:BB$104)</f>
        <v>204.21678853945195</v>
      </c>
      <c r="BC10" s="45">
        <f>SUM('[1]Inedible Tallow Complex'!BB$105:BB$113,'[1]Inedible Tallow Complex'!BC$102:BC$104)</f>
        <v>205.05838403981576</v>
      </c>
      <c r="BD10" s="45">
        <f>SUM('[1]Inedible Tallow Complex'!BC$105:BC$113,'[1]Inedible Tallow Complex'!BD$102:BD$104)</f>
        <v>206.16361273400895</v>
      </c>
      <c r="BE10" s="45">
        <f>SUM('[1]Inedible Tallow Complex'!BD$105:BD$113,'[1]Inedible Tallow Complex'!BE$102:BE$104)</f>
        <v>207.41032893884579</v>
      </c>
      <c r="BF10" s="45">
        <f>SUM('[1]Inedible Tallow Complex'!BE$105:BE$113,'[1]Inedible Tallow Complex'!BF$102:BF$104)</f>
        <v>208.34315751568482</v>
      </c>
      <c r="BG10" s="45">
        <f>SUM('[1]Inedible Tallow Complex'!BF$105:BF$113,'[1]Inedible Tallow Complex'!BG$102:BG$104)</f>
        <v>209.23787011892233</v>
      </c>
    </row>
    <row r="11" spans="1:64" x14ac:dyDescent="0.2">
      <c r="A11" s="40"/>
      <c r="B11" s="40" t="s">
        <v>170</v>
      </c>
      <c r="C11" s="45">
        <f>SUM('[1]Inedible Tallow Complex'!B$121:B$129,'[1]Inedible Tallow Complex'!C$118:C$120)</f>
        <v>0</v>
      </c>
      <c r="D11" s="45">
        <f>SUM('[1]Inedible Tallow Complex'!C$121:C$129,'[1]Inedible Tallow Complex'!D$118:D$120)+SUM('[1]Inedible Tallow Complex'!C$408:C$416,'[1]Inedible Tallow Complex'!D$405:D$407)</f>
        <v>0</v>
      </c>
      <c r="E11" s="45">
        <f>SUM('[1]Inedible Tallow Complex'!D$121:D$129,'[1]Inedible Tallow Complex'!E$118:E$120)+SUM('[1]Inedible Tallow Complex'!D$408:D$416,'[1]Inedible Tallow Complex'!E$405:E$407)</f>
        <v>0</v>
      </c>
      <c r="F11" s="45">
        <f>SUM('[1]Inedible Tallow Complex'!E$121:E$129,'[1]Inedible Tallow Complex'!F$118:F$120)+SUM('[1]Inedible Tallow Complex'!E$408:E$416,'[1]Inedible Tallow Complex'!F$405:F$407)</f>
        <v>0</v>
      </c>
      <c r="G11" s="45">
        <f>SUM('[1]Inedible Tallow Complex'!F$121:F$129,'[1]Inedible Tallow Complex'!G$118:G$120)+SUM('[1]Inedible Tallow Complex'!F$408:F$416,'[1]Inedible Tallow Complex'!G$405:G$407)</f>
        <v>0</v>
      </c>
      <c r="H11" s="45">
        <f>SUM('[1]Inedible Tallow Complex'!G$121:G$129,'[1]Inedible Tallow Complex'!H$118:H$120)+SUM('[1]Inedible Tallow Complex'!G$408:G$416,'[1]Inedible Tallow Complex'!H$405:H$407)</f>
        <v>0</v>
      </c>
      <c r="I11" s="45">
        <f>SUM('[1]Inedible Tallow Complex'!H$121:H$129,'[1]Inedible Tallow Complex'!I$118:I$120)+SUM('[1]Inedible Tallow Complex'!H$408:H$416,'[1]Inedible Tallow Complex'!I$405:I$407)</f>
        <v>0</v>
      </c>
      <c r="J11" s="45">
        <f>SUM('[1]Inedible Tallow Complex'!I$121:I$129,'[1]Inedible Tallow Complex'!J$118:J$120)+SUM('[1]Inedible Tallow Complex'!I$408:I$416,'[1]Inedible Tallow Complex'!J$405:J$407)</f>
        <v>0</v>
      </c>
      <c r="K11" s="45">
        <f>SUM('[1]Inedible Tallow Complex'!J$121:J$129,'[1]Inedible Tallow Complex'!K$118:K$120)+SUM('[1]Inedible Tallow Complex'!J$408:J$416,'[1]Inedible Tallow Complex'!K$405:K$407)</f>
        <v>156.09629224420331</v>
      </c>
      <c r="L11" s="45">
        <f>SUM('[1]Inedible Tallow Complex'!K$121:K$129,'[1]Inedible Tallow Complex'!L$118:L$120)+SUM('[1]Inedible Tallow Complex'!K$408:K$416,'[1]Inedible Tallow Complex'!L$405:L$407)</f>
        <v>233.25238068022546</v>
      </c>
      <c r="M11" s="45">
        <f>SUM('[1]Inedible Tallow Complex'!L$121:L$129,'[1]Inedible Tallow Complex'!M$118:M$120)+SUM('[1]Inedible Tallow Complex'!L$408:L$416,'[1]Inedible Tallow Complex'!M$405:M$407)</f>
        <v>220.8031535564827</v>
      </c>
      <c r="N11" s="45">
        <f>SUM('[1]Inedible Tallow Complex'!M$121:M$129,'[1]Inedible Tallow Complex'!N$118:N$120)+SUM('[1]Inedible Tallow Complex'!M$408:M$416,'[1]Inedible Tallow Complex'!N$405:N$407)</f>
        <v>208.12146481346917</v>
      </c>
      <c r="O11" s="45">
        <f>SUM('[1]Inedible Tallow Complex'!N$121:N$129,'[1]Inedible Tallow Complex'!O$118:O$120)+SUM('[1]Inedible Tallow Complex'!N$408:N$416,'[1]Inedible Tallow Complex'!O$405:O$407)</f>
        <v>218.45959534106075</v>
      </c>
      <c r="P11" s="45">
        <f>SUM('[1]Inedible Tallow Complex'!O$121:O$129,'[1]Inedible Tallow Complex'!P$118:P$120)+SUM('[1]Inedible Tallow Complex'!O$408:O$416,'[1]Inedible Tallow Complex'!P$405:P$407)</f>
        <v>360.41892895925014</v>
      </c>
      <c r="Q11" s="45">
        <f>SUM('[1]Inedible Tallow Complex'!P$121:P$129,'[1]Inedible Tallow Complex'!Q$118:Q$120)+SUM('[1]Inedible Tallow Complex'!P$408:P$416,'[1]Inedible Tallow Complex'!Q$405:Q$407)</f>
        <v>441.48157824788103</v>
      </c>
      <c r="R11" s="45">
        <f>SUM('[1]Inedible Tallow Complex'!Q$121:Q$129,'[1]Inedible Tallow Complex'!R$118:R$120)+SUM('[1]Inedible Tallow Complex'!Q$408:Q$416,'[1]Inedible Tallow Complex'!R$405:R$407)</f>
        <v>327.96060276999867</v>
      </c>
      <c r="S11" s="45">
        <f>SUM('[1]Inedible Tallow Complex'!R$121:R$129,'[1]Inedible Tallow Complex'!S$118:S$120)+SUM('[1]Inedible Tallow Complex'!R$408:R$416,'[1]Inedible Tallow Complex'!S$405:S$407)</f>
        <v>435.58487123869764</v>
      </c>
      <c r="T11" s="45">
        <f>SUM('[1]Inedible Tallow Complex'!S$121:S$129,'[1]Inedible Tallow Complex'!T$118:T$120)+SUM('[1]Inedible Tallow Complex'!S$408:S$416,'[1]Inedible Tallow Complex'!T$405:T$407)</f>
        <v>626.67528946005257</v>
      </c>
      <c r="U11" s="45">
        <f>SUM('[1]Inedible Tallow Complex'!T$121:T$129,'[1]Inedible Tallow Complex'!U$118:U$120)+SUM('[1]Inedible Tallow Complex'!T$408:T$416,'[1]Inedible Tallow Complex'!U$405:U$407)</f>
        <v>545.03674552825839</v>
      </c>
      <c r="V11" s="45">
        <f>SUM('[1]Inedible Tallow Complex'!U$121:U$129,'[1]Inedible Tallow Complex'!V$118:V$120)+SUM('[1]Inedible Tallow Complex'!U$408:U$416,'[1]Inedible Tallow Complex'!V$405:V$407)</f>
        <v>501.27451780849515</v>
      </c>
      <c r="W11" s="45">
        <f>SUM('[1]Inedible Tallow Complex'!V$121:V$129,'[1]Inedible Tallow Complex'!W$118:W$120)+SUM('[1]Inedible Tallow Complex'!V$408:V$416,'[1]Inedible Tallow Complex'!W$405:W$407)</f>
        <v>497.26376624689055</v>
      </c>
      <c r="X11" s="45">
        <f>SUM('[1]Inedible Tallow Complex'!W$121:W$129,'[1]Inedible Tallow Complex'!X$118:X$120)+SUM('[1]Inedible Tallow Complex'!W$408:W$416,'[1]Inedible Tallow Complex'!X$405:X$407)</f>
        <v>679.92253449285249</v>
      </c>
      <c r="Y11" s="45">
        <f>SUM('[1]Inedible Tallow Complex'!X$121:X$129,'[1]Inedible Tallow Complex'!Y$118:Y$120)+SUM('[1]Inedible Tallow Complex'!X$408:X$416,'[1]Inedible Tallow Complex'!Y$405:Y$407)</f>
        <v>1056.3170756159152</v>
      </c>
      <c r="Z11" s="45">
        <f>SUM('[1]Inedible Tallow Complex'!Y$121:Y$129,'[1]Inedible Tallow Complex'!Z$118:Z$120)+SUM('[1]Inedible Tallow Complex'!Y$408:Y$416,'[1]Inedible Tallow Complex'!Z$405:Z$407)</f>
        <v>1094.3371877687855</v>
      </c>
      <c r="AA11" s="45">
        <f>SUM('[1]Inedible Tallow Complex'!Z$121:Z$129,'[1]Inedible Tallow Complex'!AA$118:AA$120)+SUM('[1]Inedible Tallow Complex'!Z$408:Z$416,'[1]Inedible Tallow Complex'!AA$405:AA$407)</f>
        <v>1053.3045546061844</v>
      </c>
      <c r="AB11" s="45">
        <f>SUM('[1]Inedible Tallow Complex'!AA$121:AA$129,'[1]Inedible Tallow Complex'!AB$118:AB$120,'[1]Inedible Tallow Complex'!AA$137:AA$145,'[1]Inedible Tallow Complex'!AB$134:AB$136,'[1]Inedible Tallow Complex'!AA$153:AA$161,'[1]Inedible Tallow Complex'!AB$150:AB$152)</f>
        <v>1140.0398271427639</v>
      </c>
      <c r="AC11" s="45">
        <f>SUM('[1]Inedible Tallow Complex'!AB$121:AB$129,'[1]Inedible Tallow Complex'!AC$118:AC$120,'[1]Inedible Tallow Complex'!AB$137:AB$145,'[1]Inedible Tallow Complex'!AC$134:AC$136,'[1]Inedible Tallow Complex'!AB$153:AB$161,'[1]Inedible Tallow Complex'!AC$150:AC$152)</f>
        <v>1335.9203643640194</v>
      </c>
      <c r="AD11" s="45">
        <f>SUM('[1]Inedible Tallow Complex'!AC$121:AC$129,'[1]Inedible Tallow Complex'!AD$118:AD$120,'[1]Inedible Tallow Complex'!AC$137:AC$145,'[1]Inedible Tallow Complex'!AD$134:AD$136,'[1]Inedible Tallow Complex'!AC$153:AC$161,'[1]Inedible Tallow Complex'!AD$150:AD$152)</f>
        <v>1269.6180332512861</v>
      </c>
      <c r="AE11" s="45">
        <f>SUM('[1]Inedible Tallow Complex'!AD$121:AD$129,'[1]Inedible Tallow Complex'!AE$118:AE$120,'[1]Inedible Tallow Complex'!AD$137:AD$145,'[1]Inedible Tallow Complex'!AE$134:AE$136,'[1]Inedible Tallow Complex'!AD$153:AD$161,'[1]Inedible Tallow Complex'!AE$150:AE$152)</f>
        <v>1419.0357903389126</v>
      </c>
      <c r="AF11" s="45">
        <f>SUM('[1]Inedible Tallow Complex'!AE$121:AE$129,'[1]Inedible Tallow Complex'!AF$118:AF$120,'[1]Inedible Tallow Complex'!AE$137:AE$145,'[1]Inedible Tallow Complex'!AF$134:AF$136,'[1]Inedible Tallow Complex'!AE$153:AE$161,'[1]Inedible Tallow Complex'!AF$150:AF$152)</f>
        <v>3260.7812820426229</v>
      </c>
      <c r="AG11" s="45">
        <f>SUM('[1]Inedible Tallow Complex'!AF$121:AF$129,'[1]Inedible Tallow Complex'!AG$118:AG$120,'[1]Inedible Tallow Complex'!AF$137:AF$145,'[1]Inedible Tallow Complex'!AG$134:AG$136,'[1]Inedible Tallow Complex'!AF$153:AF$161,'[1]Inedible Tallow Complex'!AG$150:AG$152)</f>
        <v>6319.3062346706938</v>
      </c>
      <c r="AH11" s="45">
        <f>SUM('[1]Inedible Tallow Complex'!AG$121:AG$129,'[1]Inedible Tallow Complex'!AH$118:AH$120,'[1]Inedible Tallow Complex'!AG$137:AG$145,'[1]Inedible Tallow Complex'!AH$134:AH$136,'[1]Inedible Tallow Complex'!AG$153:AG$161,'[1]Inedible Tallow Complex'!AH$150:AH$152)</f>
        <v>4611.7520920852712</v>
      </c>
      <c r="AI11" s="45">
        <f>SUM('[1]Inedible Tallow Complex'!AH$121:AH$129,'[1]Inedible Tallow Complex'!AI$118:AI$120,'[1]Inedible Tallow Complex'!AH$137:AH$145,'[1]Inedible Tallow Complex'!AI$134:AI$136,'[1]Inedible Tallow Complex'!AH$153:AH$161,'[1]Inedible Tallow Complex'!AI$150:AI$152)</f>
        <v>4670.8599576706501</v>
      </c>
      <c r="AJ11" s="45">
        <f>SUM('[1]Inedible Tallow Complex'!AI$121:AI$129,'[1]Inedible Tallow Complex'!AJ$118:AJ$120,'[1]Inedible Tallow Complex'!AI$137:AI$145,'[1]Inedible Tallow Complex'!AJ$134:AJ$136,'[1]Inedible Tallow Complex'!AI$153:AI$161,'[1]Inedible Tallow Complex'!AJ$150:AJ$152)</f>
        <v>6669.5538729699438</v>
      </c>
      <c r="AK11" s="45">
        <f>SUM('[1]Inedible Tallow Complex'!AJ$121:AJ$129,'[1]Inedible Tallow Complex'!AK$118:AK$120,'[1]Inedible Tallow Complex'!AJ$137:AJ$145,'[1]Inedible Tallow Complex'!AK$134:AK$136,'[1]Inedible Tallow Complex'!AJ$153:AJ$161,'[1]Inedible Tallow Complex'!AK$150:AK$152)</f>
        <v>6410.9435329595235</v>
      </c>
      <c r="AL11" s="45">
        <f>SUM('[1]Inedible Tallow Complex'!AK$121:AK$129,'[1]Inedible Tallow Complex'!AL$118:AL$120,'[1]Inedible Tallow Complex'!AK$137:AK$145,'[1]Inedible Tallow Complex'!AL$134:AL$136,'[1]Inedible Tallow Complex'!AK$153:AK$161,'[1]Inedible Tallow Complex'!AL$150:AL$152)</f>
        <v>6590.1968502304599</v>
      </c>
      <c r="AM11" s="45">
        <f>SUM('[1]Inedible Tallow Complex'!AL$121:AL$129,'[1]Inedible Tallow Complex'!AM$118:AM$120,'[1]Inedible Tallow Complex'!AL$137:AL$145,'[1]Inedible Tallow Complex'!AM$134:AM$136,'[1]Inedible Tallow Complex'!AL$153:AL$161,'[1]Inedible Tallow Complex'!AM$150:AM$152)</f>
        <v>7241.023620732125</v>
      </c>
      <c r="AN11" s="45">
        <f>SUM('[1]Inedible Tallow Complex'!AM$121:AM$129,'[1]Inedible Tallow Complex'!AN$118:AN$120,'[1]Inedible Tallow Complex'!AM$137:AM$145,'[1]Inedible Tallow Complex'!AN$134:AN$136,'[1]Inedible Tallow Complex'!AM$153:AM$161,'[1]Inedible Tallow Complex'!AN$150:AN$152)</f>
        <v>8104.3325663184578</v>
      </c>
      <c r="AO11" s="45">
        <f>SUM('[1]Inedible Tallow Complex'!AN$121:AN$129,'[1]Inedible Tallow Complex'!AO$118:AO$120,'[1]Inedible Tallow Complex'!AN$137:AN$145,'[1]Inedible Tallow Complex'!AO$134:AO$136,'[1]Inedible Tallow Complex'!AN$153:AN$161,'[1]Inedible Tallow Complex'!AO$150:AO$152)</f>
        <v>9807.5491297952794</v>
      </c>
      <c r="AP11" s="45">
        <f>SUM('[1]Inedible Tallow Complex'!AO$121:AO$129,'[1]Inedible Tallow Complex'!AP$118:AP$120,'[1]Inedible Tallow Complex'!AO$137:AO$145,'[1]Inedible Tallow Complex'!AP$134:AP$136,'[1]Inedible Tallow Complex'!AO$153:AO$161,'[1]Inedible Tallow Complex'!AP$150:AP$152)</f>
        <v>10154.723475030311</v>
      </c>
      <c r="AQ11" s="45">
        <f>SUM('[1]Inedible Tallow Complex'!AP$121:AP$129,'[1]Inedible Tallow Complex'!AQ$118:AQ$120,'[1]Inedible Tallow Complex'!AP$137:AP$145,'[1]Inedible Tallow Complex'!AQ$134:AQ$136,'[1]Inedible Tallow Complex'!AP$153:AP$161,'[1]Inedible Tallow Complex'!AQ$150:AQ$152)</f>
        <v>10513.436794854229</v>
      </c>
      <c r="AR11" s="45">
        <f>SUM('[1]Inedible Tallow Complex'!AQ$121:AQ$129,'[1]Inedible Tallow Complex'!AR$118:AR$120,'[1]Inedible Tallow Complex'!AQ$137:AQ$145,'[1]Inedible Tallow Complex'!AR$134:AR$136,'[1]Inedible Tallow Complex'!AQ$153:AQ$161,'[1]Inedible Tallow Complex'!AR$150:AR$152)</f>
        <v>10906.939443895737</v>
      </c>
      <c r="AS11" s="45">
        <f>SUM('[1]Inedible Tallow Complex'!AR$121:AR$129,'[1]Inedible Tallow Complex'!AS$118:AS$120,'[1]Inedible Tallow Complex'!AR$137:AR$145,'[1]Inedible Tallow Complex'!AS$134:AS$136,'[1]Inedible Tallow Complex'!AR$153:AR$161,'[1]Inedible Tallow Complex'!AS$150:AS$152)</f>
        <v>11369.760950947282</v>
      </c>
      <c r="AT11" s="45">
        <f>SUM('[1]Inedible Tallow Complex'!AS$121:AS$129,'[1]Inedible Tallow Complex'!AT$118:AT$120,'[1]Inedible Tallow Complex'!AS$137:AS$145,'[1]Inedible Tallow Complex'!AT$134:AT$136,'[1]Inedible Tallow Complex'!AS$153:AS$161,'[1]Inedible Tallow Complex'!AT$150:AT$152)</f>
        <v>10697.476999830489</v>
      </c>
      <c r="AU11" s="45">
        <f>SUM('[1]Inedible Tallow Complex'!AT$121:AT$129,'[1]Inedible Tallow Complex'!AU$118:AU$120,'[1]Inedible Tallow Complex'!AT$137:AT$145,'[1]Inedible Tallow Complex'!AU$134:AU$136,'[1]Inedible Tallow Complex'!AT$153:AT$161,'[1]Inedible Tallow Complex'!AU$150:AU$152)</f>
        <v>11741.463269740221</v>
      </c>
      <c r="AV11" s="45">
        <f>SUM('[1]Inedible Tallow Complex'!AU$121:AU$129,'[1]Inedible Tallow Complex'!AV$118:AV$120,'[1]Inedible Tallow Complex'!AU$137:AU$145,'[1]Inedible Tallow Complex'!AV$134:AV$136,'[1]Inedible Tallow Complex'!AU$153:AU$161,'[1]Inedible Tallow Complex'!AV$150:AV$152)</f>
        <v>12412.294814856368</v>
      </c>
      <c r="AW11" s="45">
        <f>SUM('[1]Inedible Tallow Complex'!AV$121:AV$129,'[1]Inedible Tallow Complex'!AW$118:AW$120,'[1]Inedible Tallow Complex'!AV$137:AV$145,'[1]Inedible Tallow Complex'!AW$134:AW$136,'[1]Inedible Tallow Complex'!AV$153:AV$161,'[1]Inedible Tallow Complex'!AW$150:AW$152)</f>
        <v>11638.226276103382</v>
      </c>
      <c r="AX11" s="45">
        <f>SUM('[1]Inedible Tallow Complex'!AW$121:AW$129,'[1]Inedible Tallow Complex'!AX$118:AX$120,'[1]Inedible Tallow Complex'!AW$137:AW$145,'[1]Inedible Tallow Complex'!AX$134:AX$136,'[1]Inedible Tallow Complex'!AW$153:AW$161,'[1]Inedible Tallow Complex'!AX$150:AX$152)</f>
        <v>11949.6958137576</v>
      </c>
      <c r="AY11" s="45">
        <f>SUM('[1]Inedible Tallow Complex'!AX$121:AX$129,'[1]Inedible Tallow Complex'!AY$118:AY$120,'[1]Inedible Tallow Complex'!AX$137:AX$145,'[1]Inedible Tallow Complex'!AY$134:AY$136,'[1]Inedible Tallow Complex'!AX$153:AX$161,'[1]Inedible Tallow Complex'!AY$150:AY$152)</f>
        <v>12560.754344011075</v>
      </c>
      <c r="AZ11" s="45">
        <f>SUM('[1]Inedible Tallow Complex'!AY$121:AY$129,'[1]Inedible Tallow Complex'!AZ$118:AZ$120,'[1]Inedible Tallow Complex'!AY$137:AY$145,'[1]Inedible Tallow Complex'!AZ$134:AZ$136,'[1]Inedible Tallow Complex'!AY$153:AY$161,'[1]Inedible Tallow Complex'!AZ$150:AZ$152)</f>
        <v>13324.368310871156</v>
      </c>
      <c r="BA11" s="45">
        <f>SUM('[1]Inedible Tallow Complex'!AZ$121:AZ$129,'[1]Inedible Tallow Complex'!BA$118:BA$120,'[1]Inedible Tallow Complex'!AZ$137:AZ$145,'[1]Inedible Tallow Complex'!BA$134:BA$136,'[1]Inedible Tallow Complex'!AZ$153:AZ$161,'[1]Inedible Tallow Complex'!BA$150:BA$152)</f>
        <v>13630.410728961364</v>
      </c>
      <c r="BB11" s="45">
        <f>SUM('[1]Inedible Tallow Complex'!BA$121:BA$129,'[1]Inedible Tallow Complex'!BB$118:BB$120,'[1]Inedible Tallow Complex'!BA$137:BA$145,'[1]Inedible Tallow Complex'!BB$134:BB$136,'[1]Inedible Tallow Complex'!BA$153:BA$161,'[1]Inedible Tallow Complex'!BB$150:BB$152)</f>
        <v>13693.692291351746</v>
      </c>
      <c r="BC11" s="45">
        <f>SUM('[1]Inedible Tallow Complex'!BB$121:BB$129,'[1]Inedible Tallow Complex'!BC$118:BC$120,'[1]Inedible Tallow Complex'!BB$137:BB$145,'[1]Inedible Tallow Complex'!BC$134:BC$136,'[1]Inedible Tallow Complex'!BB$153:BB$161,'[1]Inedible Tallow Complex'!BC$150:BC$152)</f>
        <v>13591.20502353102</v>
      </c>
      <c r="BD11" s="45">
        <f>SUM('[1]Inedible Tallow Complex'!BC$121:BC$129,'[1]Inedible Tallow Complex'!BD$118:BD$120,'[1]Inedible Tallow Complex'!BC$137:BC$145,'[1]Inedible Tallow Complex'!BD$134:BD$136,'[1]Inedible Tallow Complex'!BC$153:BC$161,'[1]Inedible Tallow Complex'!BD$150:BD$152)</f>
        <v>14245.967340291405</v>
      </c>
      <c r="BE11" s="45">
        <f>SUM('[1]Inedible Tallow Complex'!BD$121:BD$129,'[1]Inedible Tallow Complex'!BE$118:BE$120,'[1]Inedible Tallow Complex'!BD$137:BD$145,'[1]Inedible Tallow Complex'!BE$134:BE$136,'[1]Inedible Tallow Complex'!BD$153:BD$161,'[1]Inedible Tallow Complex'!BE$150:BE$152)</f>
        <v>14475.492881004335</v>
      </c>
      <c r="BF11" s="45">
        <f>SUM('[1]Inedible Tallow Complex'!BE$121:BE$129,'[1]Inedible Tallow Complex'!BF$118:BF$120,'[1]Inedible Tallow Complex'!BE$137:BE$145,'[1]Inedible Tallow Complex'!BF$134:BF$136,'[1]Inedible Tallow Complex'!BE$153:BE$161,'[1]Inedible Tallow Complex'!BF$150:BF$152)</f>
        <v>14030.654409739338</v>
      </c>
      <c r="BG11" s="45">
        <f>SUM('[1]Inedible Tallow Complex'!BF$121:BF$129,'[1]Inedible Tallow Complex'!BG$118:BG$120,'[1]Inedible Tallow Complex'!BF$137:BF$145,'[1]Inedible Tallow Complex'!BG$134:BG$136,'[1]Inedible Tallow Complex'!BF$153:BF$161,'[1]Inedible Tallow Complex'!BG$150:BG$152)</f>
        <v>14651.613778079629</v>
      </c>
    </row>
    <row r="12" spans="1:64" x14ac:dyDescent="0.2">
      <c r="A12" s="40"/>
      <c r="B12" s="40" t="s">
        <v>78</v>
      </c>
      <c r="C12" s="45">
        <f>SUM('[1]Inedible Tallow Complex'!B$153:B$161,'[1]Inedible Tallow Complex'!C$150:C$152)</f>
        <v>0</v>
      </c>
      <c r="D12" s="45">
        <f>SUM('[1]Inedible Tallow Complex'!C$153:C$161,'[1]Inedible Tallow Complex'!D$150:D$152)</f>
        <v>0</v>
      </c>
      <c r="E12" s="45">
        <f>SUM('[1]Inedible Tallow Complex'!D$153:D$161,'[1]Inedible Tallow Complex'!E$150:E$152)</f>
        <v>0</v>
      </c>
      <c r="F12" s="45">
        <f>SUM('[1]Inedible Tallow Complex'!E$153:E$161,'[1]Inedible Tallow Complex'!F$150:F$152)</f>
        <v>0</v>
      </c>
      <c r="G12" s="45">
        <f>SUM('[1]Inedible Tallow Complex'!F$153:F$161,'[1]Inedible Tallow Complex'!G$150:G$152)</f>
        <v>0</v>
      </c>
      <c r="H12" s="45">
        <f>SUM('[1]Inedible Tallow Complex'!G$153:G$161,'[1]Inedible Tallow Complex'!H$150:H$152)</f>
        <v>0</v>
      </c>
      <c r="I12" s="45">
        <f>SUM('[1]Inedible Tallow Complex'!H$153:H$161,'[1]Inedible Tallow Complex'!I$150:I$152)</f>
        <v>0</v>
      </c>
      <c r="J12" s="45">
        <f>SUM('[1]Inedible Tallow Complex'!I$153:I$161,'[1]Inedible Tallow Complex'!J$150:J$152)</f>
        <v>0</v>
      </c>
      <c r="K12" s="45">
        <f>SUM('[1]Inedible Tallow Complex'!J$153:J$161,'[1]Inedible Tallow Complex'!K$150:K$152)</f>
        <v>0</v>
      </c>
      <c r="L12" s="45">
        <f>SUM('[1]Inedible Tallow Complex'!K$153:K$161,'[1]Inedible Tallow Complex'!L$150:L$152)</f>
        <v>0</v>
      </c>
      <c r="M12" s="45">
        <f>SUM('[1]Inedible Tallow Complex'!L$153:L$161,'[1]Inedible Tallow Complex'!M$150:M$152)</f>
        <v>0</v>
      </c>
      <c r="N12" s="45">
        <f>SUM('[1]Inedible Tallow Complex'!M$153:M$161,'[1]Inedible Tallow Complex'!N$150:N$152)</f>
        <v>0</v>
      </c>
      <c r="O12" s="45">
        <f>SUM('[1]Inedible Tallow Complex'!N$153:N$161,'[1]Inedible Tallow Complex'!O$150:O$152)</f>
        <v>0</v>
      </c>
      <c r="P12" s="45">
        <f>SUM('[1]Inedible Tallow Complex'!O$153:O$161,'[1]Inedible Tallow Complex'!P$150:P$152)</f>
        <v>0</v>
      </c>
      <c r="Q12" s="45">
        <f>SUM('[1]Inedible Tallow Complex'!P$153:P$161,'[1]Inedible Tallow Complex'!Q$150:Q$152)</f>
        <v>0</v>
      </c>
      <c r="R12" s="45">
        <f>SUM('[1]Inedible Tallow Complex'!Q$153:Q$161,'[1]Inedible Tallow Complex'!R$150:R$152)</f>
        <v>0</v>
      </c>
      <c r="S12" s="45">
        <f>SUM('[1]Inedible Tallow Complex'!R$153:R$161,'[1]Inedible Tallow Complex'!S$150:S$152)</f>
        <v>0</v>
      </c>
      <c r="T12" s="45">
        <f>SUM('[1]Inedible Tallow Complex'!S$153:S$161,'[1]Inedible Tallow Complex'!T$150:T$152)</f>
        <v>0</v>
      </c>
      <c r="U12" s="45">
        <f>SUM('[1]Inedible Tallow Complex'!T$153:T$161,'[1]Inedible Tallow Complex'!U$150:U$152)</f>
        <v>0</v>
      </c>
      <c r="V12" s="45">
        <f>SUM('[1]Inedible Tallow Complex'!U$153:U$161,'[1]Inedible Tallow Complex'!V$150:V$152)</f>
        <v>0</v>
      </c>
      <c r="W12" s="45">
        <f>SUM('[1]Inedible Tallow Complex'!V$153:V$161,'[1]Inedible Tallow Complex'!W$150:W$152)</f>
        <v>0</v>
      </c>
      <c r="X12" s="45">
        <f>SUM('[1]Inedible Tallow Complex'!W$153:W$161,'[1]Inedible Tallow Complex'!X$150:X$152)</f>
        <v>0</v>
      </c>
      <c r="Y12" s="45">
        <f>SUM('[1]Inedible Tallow Complex'!X$153:X$161,'[1]Inedible Tallow Complex'!Y$150:Y$152)</f>
        <v>0</v>
      </c>
      <c r="Z12" s="45">
        <f>SUM('[1]Inedible Tallow Complex'!Y$153:Y$161,'[1]Inedible Tallow Complex'!Z$150:Z$152)</f>
        <v>1.169794683384823</v>
      </c>
      <c r="AA12" s="45">
        <f>SUM('[1]Inedible Tallow Complex'!Z$153:Z$161,'[1]Inedible Tallow Complex'!AA$150:AA$152)</f>
        <v>4.2700108351875263</v>
      </c>
      <c r="AB12" s="45">
        <f>AB8-AB9</f>
        <v>2167.4570136346556</v>
      </c>
      <c r="AC12" s="45">
        <f t="shared" ref="AC12:BG12" si="5">AC8-AC9</f>
        <v>1691.4320573003451</v>
      </c>
      <c r="AD12" s="45">
        <f t="shared" si="5"/>
        <v>2535.2002032780802</v>
      </c>
      <c r="AE12" s="45">
        <f t="shared" si="5"/>
        <v>2484.9606840000001</v>
      </c>
      <c r="AF12" s="45">
        <f t="shared" si="5"/>
        <v>1130.3422549999996</v>
      </c>
      <c r="AG12" s="45">
        <f t="shared" si="5"/>
        <v>-1632.2574596459017</v>
      </c>
      <c r="AH12" s="45">
        <f t="shared" si="5"/>
        <v>1621.10209709022</v>
      </c>
      <c r="AI12" s="45">
        <f t="shared" si="5"/>
        <v>2263.1182183543915</v>
      </c>
      <c r="AJ12" s="45">
        <f t="shared" si="5"/>
        <v>1860.8205993302063</v>
      </c>
      <c r="AK12" s="45">
        <f t="shared" si="5"/>
        <v>2276.2186664762139</v>
      </c>
      <c r="AL12" s="45">
        <f t="shared" si="5"/>
        <v>2230.2637358001157</v>
      </c>
      <c r="AM12" s="45">
        <f t="shared" si="5"/>
        <v>2150.3065299797199</v>
      </c>
      <c r="AN12" s="45">
        <f t="shared" si="5"/>
        <v>2087.8502457252489</v>
      </c>
      <c r="AO12" s="45">
        <f t="shared" si="5"/>
        <v>1538.3946924637876</v>
      </c>
      <c r="AP12" s="45">
        <f t="shared" si="5"/>
        <v>2357.0578706939468</v>
      </c>
      <c r="AQ12" s="45">
        <f t="shared" si="5"/>
        <v>1961.4486647355097</v>
      </c>
      <c r="AR12" s="45">
        <f t="shared" si="5"/>
        <v>1916.5633112911364</v>
      </c>
      <c r="AS12" s="45">
        <f t="shared" si="5"/>
        <v>1789.2705489251803</v>
      </c>
      <c r="AT12" s="45">
        <f t="shared" si="5"/>
        <v>2413.637312423707</v>
      </c>
      <c r="AU12" s="45">
        <f t="shared" si="5"/>
        <v>2008.9625876246191</v>
      </c>
      <c r="AV12" s="45">
        <f t="shared" si="5"/>
        <v>1710.9485350205578</v>
      </c>
      <c r="AW12" s="45">
        <f t="shared" si="5"/>
        <v>2386.6033961819176</v>
      </c>
      <c r="AX12" s="45">
        <f t="shared" si="5"/>
        <v>1987.7709237203162</v>
      </c>
      <c r="AY12" s="45">
        <f t="shared" si="5"/>
        <v>2094.6050585452922</v>
      </c>
      <c r="AZ12" s="45">
        <f t="shared" si="5"/>
        <v>1904.7006279624165</v>
      </c>
      <c r="BA12" s="45">
        <f t="shared" si="5"/>
        <v>2038.581538381568</v>
      </c>
      <c r="BB12" s="45">
        <f t="shared" si="5"/>
        <v>1804.5662840089753</v>
      </c>
      <c r="BC12" s="45">
        <f t="shared" si="5"/>
        <v>1738.3985575201496</v>
      </c>
      <c r="BD12" s="45">
        <f t="shared" si="5"/>
        <v>1305.2876389341745</v>
      </c>
      <c r="BE12" s="45">
        <f t="shared" si="5"/>
        <v>1305.4080541913227</v>
      </c>
      <c r="BF12" s="45">
        <f t="shared" si="5"/>
        <v>1087.5230478538797</v>
      </c>
      <c r="BG12" s="45">
        <f t="shared" si="5"/>
        <v>1098.3311478499418</v>
      </c>
    </row>
    <row r="13" spans="1:64" x14ac:dyDescent="0.2">
      <c r="A13" s="40"/>
      <c r="B13" s="40" t="s">
        <v>79</v>
      </c>
      <c r="C13" s="45">
        <f>SUM('[1]Inedible Tallow Complex'!B$57:B$65,'[1]Inedible Tallow Complex'!C$54:C$56)</f>
        <v>2161.9958540921998</v>
      </c>
      <c r="D13" s="45">
        <f>SUM('[1]Inedible Tallow Complex'!C$57:C$65,'[1]Inedible Tallow Complex'!D$54:D$56)</f>
        <v>2658.1471375032002</v>
      </c>
      <c r="E13" s="45">
        <f>SUM('[1]Inedible Tallow Complex'!D$57:D$65,'[1]Inedible Tallow Complex'!E$54:E$56)</f>
        <v>1992.8629862694004</v>
      </c>
      <c r="F13" s="45">
        <f>SUM('[1]Inedible Tallow Complex'!E$57:E$65,'[1]Inedible Tallow Complex'!F$54:F$56)</f>
        <v>1684.510884693</v>
      </c>
      <c r="G13" s="45">
        <f>SUM('[1]Inedible Tallow Complex'!F$57:F$65,'[1]Inedible Tallow Complex'!G$54:G$56)</f>
        <v>2266.5094873974003</v>
      </c>
      <c r="H13" s="45">
        <f>SUM('[1]Inedible Tallow Complex'!G$57:G$65,'[1]Inedible Tallow Complex'!H$54:H$56)</f>
        <v>1930.8044202048002</v>
      </c>
      <c r="I13" s="45">
        <f>SUM('[1]Inedible Tallow Complex'!H$57:H$65,'[1]Inedible Tallow Complex'!I$54:I$56)</f>
        <v>1740.3264021780001</v>
      </c>
      <c r="J13" s="45">
        <f>SUM('[1]Inedible Tallow Complex'!I$57:I$65,'[1]Inedible Tallow Complex'!J$54:J$56)</f>
        <v>1334.5743211038</v>
      </c>
      <c r="K13" s="45">
        <f>SUM('[1]Inedible Tallow Complex'!J$57:J$65,'[1]Inedible Tallow Complex'!K$54:K$56)</f>
        <v>1746.8992622087999</v>
      </c>
      <c r="L13" s="45">
        <f>SUM('[1]Inedible Tallow Complex'!K$57:K$65,'[1]Inedible Tallow Complex'!L$54:L$56)</f>
        <v>1555.2071588466001</v>
      </c>
      <c r="M13" s="45">
        <f>SUM('[1]Inedible Tallow Complex'!L$57:L$65,'[1]Inedible Tallow Complex'!M$54:M$56)</f>
        <v>1613.1355860564001</v>
      </c>
      <c r="N13" s="45">
        <f>SUM('[1]Inedible Tallow Complex'!M$57:M$65,'[1]Inedible Tallow Complex'!N$54:N$56)</f>
        <v>1421.0550282978002</v>
      </c>
      <c r="O13" s="45">
        <f>SUM('[1]Inedible Tallow Complex'!N$57:N$65,'[1]Inedible Tallow Complex'!O$54:O$56)</f>
        <v>1612.0930203125999</v>
      </c>
      <c r="P13" s="45">
        <f>SUM('[1]Inedible Tallow Complex'!O$57:O$65,'[1]Inedible Tallow Complex'!P$54:P$56)</f>
        <v>1804.4037406079997</v>
      </c>
      <c r="Q13" s="45">
        <f>SUM('[1]Inedible Tallow Complex'!P$57:P$65,'[1]Inedible Tallow Complex'!Q$54:Q$56)</f>
        <v>1599.6124347083999</v>
      </c>
      <c r="R13" s="45">
        <f>SUM('[1]Inedible Tallow Complex'!Q$57:Q$65,'[1]Inedible Tallow Complex'!R$54:R$56)</f>
        <v>1601.568595809</v>
      </c>
      <c r="S13" s="45">
        <f>SUM('[1]Inedible Tallow Complex'!R$57:R$65,'[1]Inedible Tallow Complex'!S$54:S$56)</f>
        <v>1723.9711934087998</v>
      </c>
      <c r="T13" s="45">
        <f>SUM('[1]Inedible Tallow Complex'!S$57:S$65,'[1]Inedible Tallow Complex'!T$54:T$56)</f>
        <v>1319.1468172722</v>
      </c>
      <c r="U13" s="45">
        <f>SUM('[1]Inedible Tallow Complex'!T$57:T$65,'[1]Inedible Tallow Complex'!U$54:U$56)</f>
        <v>1239.2994039999999</v>
      </c>
      <c r="V13" s="45">
        <f>SUM('[1]Inedible Tallow Complex'!U$57:U$65,'[1]Inedible Tallow Complex'!V$54:V$56)</f>
        <v>999.60484799999983</v>
      </c>
      <c r="W13" s="45">
        <f>SUM('[1]Inedible Tallow Complex'!V$57:V$65,'[1]Inedible Tallow Complex'!W$54:W$56)</f>
        <v>977.55977300000006</v>
      </c>
      <c r="X13" s="45">
        <f>SUM('[1]Inedible Tallow Complex'!W$57:W$65,'[1]Inedible Tallow Complex'!X$54:X$56)</f>
        <v>899.22096999999985</v>
      </c>
      <c r="Y13" s="45">
        <f>SUM('[1]Inedible Tallow Complex'!X$57:X$65,'[1]Inedible Tallow Complex'!Y$54:Y$56)</f>
        <v>889.41343799999993</v>
      </c>
      <c r="Z13" s="45">
        <f>SUM('[1]Inedible Tallow Complex'!Y$57:Y$65,'[1]Inedible Tallow Complex'!Z$54:Z$56)</f>
        <v>886.86856799999998</v>
      </c>
      <c r="AA13" s="45">
        <f>SUM('[1]Inedible Tallow Complex'!Z$57:Z$65,'[1]Inedible Tallow Complex'!AA$54:AA$56)</f>
        <v>737.74946932019998</v>
      </c>
      <c r="AB13" s="45">
        <f>SUM('[1]Inedible Tallow Complex'!AA$57:AA$65,'[1]Inedible Tallow Complex'!AB$54:AB$56)</f>
        <v>663.5878223372199</v>
      </c>
      <c r="AC13" s="45">
        <f>SUM('[1]Inedible Tallow Complex'!AB$57:AB$65,'[1]Inedible Tallow Complex'!AC$54:AC$56)</f>
        <v>660.69315186798008</v>
      </c>
      <c r="AD13" s="45">
        <f>SUM('[1]Inedible Tallow Complex'!AC$57:AC$65,'[1]Inedible Tallow Complex'!AD$54:AD$56)</f>
        <v>485.29351869108007</v>
      </c>
      <c r="AE13" s="45">
        <f>SUM('[1]Inedible Tallow Complex'!AD$57:AD$65,'[1]Inedible Tallow Complex'!AE$54:AE$56)</f>
        <v>611.31791999999996</v>
      </c>
      <c r="AF13" s="45">
        <f>SUM('[1]Inedible Tallow Complex'!AE$57:AE$65,'[1]Inedible Tallow Complex'!AF$54:AF$56)</f>
        <v>241.76857800000002</v>
      </c>
      <c r="AG13" s="45">
        <f>SUM('[1]Inedible Tallow Complex'!AF$57:AF$65,'[1]Inedible Tallow Complex'!AG$54:AG$56)</f>
        <v>269.75717563066002</v>
      </c>
      <c r="AH13" s="45">
        <f>SUM('[1]Inedible Tallow Complex'!AG$57:AG$65,'[1]Inedible Tallow Complex'!AH$54:AH$56)</f>
        <v>159.57128730633366</v>
      </c>
      <c r="AI13" s="45">
        <f>SUM('[1]Inedible Tallow Complex'!AH$57:AH$65,'[1]Inedible Tallow Complex'!AI$54:AI$56)</f>
        <v>150.08344322922756</v>
      </c>
      <c r="AJ13" s="45">
        <f>SUM('[1]Inedible Tallow Complex'!AI$57:AI$65,'[1]Inedible Tallow Complex'!AJ$54:AJ$56)</f>
        <v>149.0386336089644</v>
      </c>
      <c r="AK13" s="45">
        <f>SUM('[1]Inedible Tallow Complex'!AJ$57:AJ$65,'[1]Inedible Tallow Complex'!AK$54:AK$56)</f>
        <v>144.89083564255981</v>
      </c>
      <c r="AL13" s="45">
        <f>SUM('[1]Inedible Tallow Complex'!AK$57:AK$65,'[1]Inedible Tallow Complex'!AL$54:AL$56)</f>
        <v>117.79535775779664</v>
      </c>
      <c r="AM13" s="45">
        <f>SUM('[1]Inedible Tallow Complex'!AL$57:AL$65,'[1]Inedible Tallow Complex'!AM$54:AM$56)</f>
        <v>121.54461879772914</v>
      </c>
      <c r="AN13" s="45">
        <f>SUM('[1]Inedible Tallow Complex'!AM$57:AM$65,'[1]Inedible Tallow Complex'!AN$54:AN$56)</f>
        <v>100.54442409467282</v>
      </c>
      <c r="AO13" s="45">
        <f>SUM('[1]Inedible Tallow Complex'!AN$57:AN$65,'[1]Inedible Tallow Complex'!AO$54:AO$56)</f>
        <v>99.767372818349131</v>
      </c>
      <c r="AP13" s="45">
        <f>SUM('[1]Inedible Tallow Complex'!AO$57:AO$65,'[1]Inedible Tallow Complex'!AP$54:AP$56)</f>
        <v>99.805431765648223</v>
      </c>
      <c r="AQ13" s="45">
        <f>SUM('[1]Inedible Tallow Complex'!AP$57:AP$65,'[1]Inedible Tallow Complex'!AQ$54:AQ$56)</f>
        <v>92.466197033336229</v>
      </c>
      <c r="AR13" s="45">
        <f>SUM('[1]Inedible Tallow Complex'!AQ$57:AQ$65,'[1]Inedible Tallow Complex'!AR$54:AR$56)</f>
        <v>74.55622313742407</v>
      </c>
      <c r="AS13" s="45">
        <f>SUM('[1]Inedible Tallow Complex'!AR$57:AR$65,'[1]Inedible Tallow Complex'!AS$54:AS$56)</f>
        <v>75.58498527214158</v>
      </c>
      <c r="AT13" s="45">
        <f>SUM('[1]Inedible Tallow Complex'!AS$57:AS$65,'[1]Inedible Tallow Complex'!AT$54:AT$56)</f>
        <v>74.937179174509708</v>
      </c>
      <c r="AU13" s="45">
        <f>SUM('[1]Inedible Tallow Complex'!AT$57:AT$65,'[1]Inedible Tallow Complex'!AU$54:AU$56)</f>
        <v>74.936946344005335</v>
      </c>
      <c r="AV13" s="45">
        <f>SUM('[1]Inedible Tallow Complex'!AU$57:AU$65,'[1]Inedible Tallow Complex'!AV$54:AV$56)</f>
        <v>74.960903328786117</v>
      </c>
      <c r="AW13" s="45">
        <f>SUM('[1]Inedible Tallow Complex'!AV$57:AV$65,'[1]Inedible Tallow Complex'!AW$54:AW$56)</f>
        <v>74.981993354962341</v>
      </c>
      <c r="AX13" s="45">
        <f>SUM('[1]Inedible Tallow Complex'!AW$57:AW$65,'[1]Inedible Tallow Complex'!AX$54:AX$56)</f>
        <v>74.995247451373373</v>
      </c>
      <c r="AY13" s="45">
        <f>SUM('[1]Inedible Tallow Complex'!AX$57:AX$65,'[1]Inedible Tallow Complex'!AY$54:AY$56)</f>
        <v>75.080401494881016</v>
      </c>
      <c r="AZ13" s="45">
        <f>SUM('[1]Inedible Tallow Complex'!AY$57:AY$65,'[1]Inedible Tallow Complex'!AZ$54:AZ$56)</f>
        <v>74.962453930727378</v>
      </c>
      <c r="BA13" s="45">
        <f>SUM('[1]Inedible Tallow Complex'!AZ$57:AZ$65,'[1]Inedible Tallow Complex'!BA$54:BA$56)</f>
        <v>74.991098394801654</v>
      </c>
      <c r="BB13" s="45">
        <f>SUM('[1]Inedible Tallow Complex'!BA$57:BA$65,'[1]Inedible Tallow Complex'!BB$54:BB$56)</f>
        <v>74.996199912146039</v>
      </c>
      <c r="BC13" s="45">
        <f>SUM('[1]Inedible Tallow Complex'!BB$57:BB$65,'[1]Inedible Tallow Complex'!BC$54:BC$56)</f>
        <v>75.002238925349147</v>
      </c>
      <c r="BD13" s="45">
        <f>SUM('[1]Inedible Tallow Complex'!BC$57:BC$65,'[1]Inedible Tallow Complex'!BD$54:BD$56)</f>
        <v>75.005080236785886</v>
      </c>
      <c r="BE13" s="45">
        <f>SUM('[1]Inedible Tallow Complex'!BD$57:BD$65,'[1]Inedible Tallow Complex'!BE$54:BE$56)</f>
        <v>75.006478531581038</v>
      </c>
      <c r="BF13" s="45">
        <f>SUM('[1]Inedible Tallow Complex'!BE$57:BE$65,'[1]Inedible Tallow Complex'!BF$54:BF$56)</f>
        <v>74.991414279962015</v>
      </c>
      <c r="BG13" s="45">
        <f>SUM('[1]Inedible Tallow Complex'!BF$57:BF$65,'[1]Inedible Tallow Complex'!BG$54:BG$56)</f>
        <v>75.000219200132747</v>
      </c>
    </row>
    <row r="14" spans="1:64" x14ac:dyDescent="0.2">
      <c r="A14" s="40"/>
      <c r="B14" s="61" t="s">
        <v>80</v>
      </c>
      <c r="C14" s="62">
        <f t="shared" ref="C14:AA14" si="6">C13+C8</f>
        <v>2161.9958540921998</v>
      </c>
      <c r="D14" s="62" t="e">
        <f t="shared" si="6"/>
        <v>#REF!</v>
      </c>
      <c r="E14" s="62" t="e">
        <f t="shared" si="6"/>
        <v>#REF!</v>
      </c>
      <c r="F14" s="62" t="e">
        <f t="shared" si="6"/>
        <v>#REF!</v>
      </c>
      <c r="G14" s="62" t="e">
        <f t="shared" si="6"/>
        <v>#REF!</v>
      </c>
      <c r="H14" s="62" t="e">
        <f t="shared" si="6"/>
        <v>#REF!</v>
      </c>
      <c r="I14" s="62" t="e">
        <f t="shared" si="6"/>
        <v>#REF!</v>
      </c>
      <c r="J14" s="62" t="e">
        <f t="shared" si="6"/>
        <v>#REF!</v>
      </c>
      <c r="K14" s="62" t="e">
        <f t="shared" si="6"/>
        <v>#REF!</v>
      </c>
      <c r="L14" s="62" t="e">
        <f t="shared" si="6"/>
        <v>#REF!</v>
      </c>
      <c r="M14" s="62" t="e">
        <f t="shared" si="6"/>
        <v>#REF!</v>
      </c>
      <c r="N14" s="62" t="e">
        <f t="shared" si="6"/>
        <v>#REF!</v>
      </c>
      <c r="O14" s="62" t="e">
        <f t="shared" si="6"/>
        <v>#REF!</v>
      </c>
      <c r="P14" s="62" t="e">
        <f t="shared" si="6"/>
        <v>#REF!</v>
      </c>
      <c r="Q14" s="62" t="e">
        <f t="shared" si="6"/>
        <v>#REF!</v>
      </c>
      <c r="R14" s="62" t="e">
        <f t="shared" si="6"/>
        <v>#REF!</v>
      </c>
      <c r="S14" s="62" t="e">
        <f t="shared" si="6"/>
        <v>#REF!</v>
      </c>
      <c r="T14" s="62" t="e">
        <f t="shared" si="6"/>
        <v>#REF!</v>
      </c>
      <c r="U14" s="62" t="e">
        <f t="shared" si="6"/>
        <v>#REF!</v>
      </c>
      <c r="V14" s="62" t="e">
        <f t="shared" si="6"/>
        <v>#REF!</v>
      </c>
      <c r="W14" s="62" t="e">
        <f t="shared" si="6"/>
        <v>#REF!</v>
      </c>
      <c r="X14" s="62" t="e">
        <f t="shared" si="6"/>
        <v>#REF!</v>
      </c>
      <c r="Y14" s="62" t="e">
        <f t="shared" si="6"/>
        <v>#REF!</v>
      </c>
      <c r="Z14" s="62" t="e">
        <f t="shared" si="6"/>
        <v>#REF!</v>
      </c>
      <c r="AA14" s="62" t="e">
        <f t="shared" si="6"/>
        <v>#REF!</v>
      </c>
      <c r="AB14" s="62">
        <f>AB7-AB15</f>
        <v>4263.4946631146395</v>
      </c>
      <c r="AC14" s="62">
        <f t="shared" ref="AC14:BG14" si="7">AC7-AC15</f>
        <v>4055.5488560037597</v>
      </c>
      <c r="AD14" s="62">
        <f t="shared" si="7"/>
        <v>4641.8707219691605</v>
      </c>
      <c r="AE14" s="62">
        <f t="shared" si="7"/>
        <v>5077.8436039999997</v>
      </c>
      <c r="AF14" s="62">
        <f t="shared" si="7"/>
        <v>5570.089833</v>
      </c>
      <c r="AG14" s="62">
        <f t="shared" si="7"/>
        <v>5802.3863247109593</v>
      </c>
      <c r="AH14" s="62">
        <f t="shared" si="7"/>
        <v>7039.6374572512141</v>
      </c>
      <c r="AI14" s="62">
        <f t="shared" si="7"/>
        <v>7682.1728979915606</v>
      </c>
      <c r="AJ14" s="62">
        <f t="shared" si="7"/>
        <v>9341.7519915840003</v>
      </c>
      <c r="AK14" s="62">
        <f t="shared" si="7"/>
        <v>9381.4038099092868</v>
      </c>
      <c r="AL14" s="62">
        <f t="shared" si="7"/>
        <v>9535.9951837857006</v>
      </c>
      <c r="AM14" s="62">
        <f t="shared" si="7"/>
        <v>10094.563049829889</v>
      </c>
      <c r="AN14" s="62">
        <f t="shared" si="7"/>
        <v>10874.24306886315</v>
      </c>
      <c r="AO14" s="62">
        <f t="shared" si="7"/>
        <v>12065.940391034539</v>
      </c>
      <c r="AP14" s="62">
        <f t="shared" si="7"/>
        <v>13192.540887562693</v>
      </c>
      <c r="AQ14" s="62">
        <f t="shared" si="7"/>
        <v>13126.477255825048</v>
      </c>
      <c r="AR14" s="62">
        <f t="shared" si="7"/>
        <v>13419.169001735963</v>
      </c>
      <c r="AS14" s="62">
        <f t="shared" si="7"/>
        <v>13617.219208912169</v>
      </c>
      <c r="AT14" s="62">
        <f t="shared" si="7"/>
        <v>13486.046218565192</v>
      </c>
      <c r="AU14" s="62">
        <f t="shared" si="7"/>
        <v>14107.728210212996</v>
      </c>
      <c r="AV14" s="62">
        <f t="shared" si="7"/>
        <v>14457.895304033069</v>
      </c>
      <c r="AW14" s="62">
        <f t="shared" si="7"/>
        <v>14318.535367824523</v>
      </c>
      <c r="AX14" s="62">
        <f t="shared" si="7"/>
        <v>14212.002006290948</v>
      </c>
      <c r="AY14" s="62">
        <f t="shared" si="7"/>
        <v>14930.387707757156</v>
      </c>
      <c r="AZ14" s="62">
        <f t="shared" si="7"/>
        <v>15506.772666459014</v>
      </c>
      <c r="BA14" s="62">
        <f t="shared" si="7"/>
        <v>15947.845395484321</v>
      </c>
      <c r="BB14" s="62">
        <f t="shared" si="7"/>
        <v>15777.47156381232</v>
      </c>
      <c r="BC14" s="62">
        <f t="shared" si="7"/>
        <v>15609.664204016335</v>
      </c>
      <c r="BD14" s="62">
        <f t="shared" si="7"/>
        <v>15832.423672196375</v>
      </c>
      <c r="BE14" s="62">
        <f t="shared" si="7"/>
        <v>16063.317742666084</v>
      </c>
      <c r="BF14" s="62">
        <f t="shared" si="7"/>
        <v>15401.512029388865</v>
      </c>
      <c r="BG14" s="62">
        <f t="shared" si="7"/>
        <v>16034.183015248625</v>
      </c>
    </row>
    <row r="15" spans="1:64" ht="12" thickBot="1" x14ac:dyDescent="0.25">
      <c r="A15" s="40"/>
      <c r="B15" s="40" t="s">
        <v>81</v>
      </c>
      <c r="C15" s="45" t="e">
        <f>'[1]Inedible Tallow Complex'!C$200</f>
        <v>#REF!</v>
      </c>
      <c r="D15" s="45" t="e">
        <f>'[1]Inedible Tallow Complex'!D$200</f>
        <v>#REF!</v>
      </c>
      <c r="E15" s="45" t="e">
        <f>'[1]Inedible Tallow Complex'!E$200</f>
        <v>#REF!</v>
      </c>
      <c r="F15" s="45" t="e">
        <f>'[1]Inedible Tallow Complex'!F$200</f>
        <v>#REF!</v>
      </c>
      <c r="G15" s="45" t="e">
        <f>'[1]Inedible Tallow Complex'!G$200</f>
        <v>#REF!</v>
      </c>
      <c r="H15" s="45" t="e">
        <f>'[1]Inedible Tallow Complex'!H$200</f>
        <v>#REF!</v>
      </c>
      <c r="I15" s="45" t="e">
        <f>'[1]Inedible Tallow Complex'!I$200</f>
        <v>#REF!</v>
      </c>
      <c r="J15" s="45" t="e">
        <f>'[1]Inedible Tallow Complex'!J$200</f>
        <v>#REF!</v>
      </c>
      <c r="K15" s="45" t="e">
        <f>'[1]Inedible Tallow Complex'!K$200</f>
        <v>#REF!</v>
      </c>
      <c r="L15" s="45" t="e">
        <f>'[1]Inedible Tallow Complex'!L$200</f>
        <v>#REF!</v>
      </c>
      <c r="M15" s="45" t="e">
        <f>'[1]Inedible Tallow Complex'!M$200</f>
        <v>#REF!</v>
      </c>
      <c r="N15" s="45" t="e">
        <f>'[1]Inedible Tallow Complex'!N$200</f>
        <v>#REF!</v>
      </c>
      <c r="O15" s="45" t="e">
        <f>'[1]Inedible Tallow Complex'!O$200</f>
        <v>#REF!</v>
      </c>
      <c r="P15" s="45" t="e">
        <f>'[1]Inedible Tallow Complex'!P$200</f>
        <v>#REF!</v>
      </c>
      <c r="Q15" s="45" t="e">
        <f>'[1]Inedible Tallow Complex'!Q$200</f>
        <v>#REF!</v>
      </c>
      <c r="R15" s="45" t="e">
        <f>'[1]Inedible Tallow Complex'!R$200</f>
        <v>#REF!</v>
      </c>
      <c r="S15" s="45" t="e">
        <f>'[1]Inedible Tallow Complex'!S$200</f>
        <v>#REF!</v>
      </c>
      <c r="T15" s="45" t="e">
        <f>'[1]Inedible Tallow Complex'!T$200</f>
        <v>#REF!</v>
      </c>
      <c r="U15" s="45" t="e">
        <f>'[1]Inedible Tallow Complex'!U$200</f>
        <v>#REF!</v>
      </c>
      <c r="V15" s="45" t="e">
        <f>'[1]Inedible Tallow Complex'!V$200</f>
        <v>#REF!</v>
      </c>
      <c r="W15" s="45" t="e">
        <f>'[1]Inedible Tallow Complex'!W$200</f>
        <v>#REF!</v>
      </c>
      <c r="X15" s="45" t="e">
        <f>'[1]Inedible Tallow Complex'!X$200</f>
        <v>#REF!</v>
      </c>
      <c r="Y15" s="45" t="e">
        <f>'[1]Inedible Tallow Complex'!Y$200</f>
        <v>#REF!</v>
      </c>
      <c r="Z15" s="45" t="e">
        <f>'[1]Inedible Tallow Complex'!Z$200</f>
        <v>#REF!</v>
      </c>
      <c r="AA15" s="45" t="e">
        <f>'[1]Inedible Tallow Complex'!AA$200</f>
        <v>#REF!</v>
      </c>
      <c r="AB15" s="45">
        <f>'[1]Inedible Tallow Complex'!AB$216</f>
        <v>100.782</v>
      </c>
      <c r="AC15" s="45">
        <f>'[1]Inedible Tallow Complex'!AC$216</f>
        <v>90.846999999999994</v>
      </c>
      <c r="AD15" s="45">
        <f>'[1]Inedible Tallow Complex'!AD$216</f>
        <v>93</v>
      </c>
      <c r="AE15" s="45">
        <f>'[1]Inedible Tallow Complex'!AE$216</f>
        <v>119.997</v>
      </c>
      <c r="AF15" s="45">
        <f>'[1]Inedible Tallow Complex'!AF$216</f>
        <v>82.706000000000003</v>
      </c>
      <c r="AG15" s="45">
        <f>'[1]Inedible Tallow Complex'!AG$216</f>
        <v>65.438000000000002</v>
      </c>
      <c r="AH15" s="45">
        <f>'[1]Inedible Tallow Complex'!AH$216</f>
        <v>318.30876476377648</v>
      </c>
      <c r="AI15" s="45">
        <f>'[1]Inedible Tallow Complex'!AI$216</f>
        <v>1137.5848194295436</v>
      </c>
      <c r="AJ15" s="45">
        <f>'[1]Inedible Tallow Complex'!AJ$216</f>
        <v>1509.5153628843632</v>
      </c>
      <c r="AK15" s="45">
        <f>'[1]Inedible Tallow Complex'!AK$216</f>
        <v>1957.4838145320998</v>
      </c>
      <c r="AL15" s="45">
        <f>'[1]Inedible Tallow Complex'!AL$216</f>
        <v>2539.2011296632963</v>
      </c>
      <c r="AM15" s="45">
        <f>'[1]Inedible Tallow Complex'!AM$216</f>
        <v>3250.4879001720374</v>
      </c>
      <c r="AN15" s="45">
        <f>'[1]Inedible Tallow Complex'!AN$216</f>
        <v>3873.4219795480635</v>
      </c>
      <c r="AO15" s="45">
        <f>'[1]Inedible Tallow Complex'!AO$216</f>
        <v>4671.8618922537353</v>
      </c>
      <c r="AP15" s="45">
        <f>'[1]Inedible Tallow Complex'!AP$216</f>
        <v>5551.1238465478191</v>
      </c>
      <c r="AQ15" s="45">
        <f>'[1]Inedible Tallow Complex'!AQ$216</f>
        <v>6456.308424220274</v>
      </c>
      <c r="AR15" s="45">
        <f>'[1]Inedible Tallow Complex'!AR$216</f>
        <v>7355.276974557326</v>
      </c>
      <c r="AS15" s="45">
        <f>'[1]Inedible Tallow Complex'!AS$216</f>
        <v>8296.763610752836</v>
      </c>
      <c r="AT15" s="45">
        <f>'[1]Inedible Tallow Complex'!AT$216</f>
        <v>9199.5514133122742</v>
      </c>
      <c r="AU15" s="45">
        <f>'[1]Inedible Tallow Complex'!AU$216</f>
        <v>10185.957010738237</v>
      </c>
      <c r="AV15" s="45">
        <f>'[1]Inedible Tallow Complex'!AV$216</f>
        <v>11251.90275631763</v>
      </c>
      <c r="AW15" s="45">
        <f>'[1]Inedible Tallow Complex'!AW$216</f>
        <v>12231.583653136775</v>
      </c>
      <c r="AX15" s="45">
        <f>'[1]Inedible Tallow Complex'!AX$216</f>
        <v>13239.57071627219</v>
      </c>
      <c r="AY15" s="45">
        <f>'[1]Inedible Tallow Complex'!AY$216</f>
        <v>14294.20639939477</v>
      </c>
      <c r="AZ15" s="45">
        <f>'[1]Inedible Tallow Complex'!AZ$216</f>
        <v>15418.901323154272</v>
      </c>
      <c r="BA15" s="45">
        <f>'[1]Inedible Tallow Complex'!BA$216</f>
        <v>16559.280080934979</v>
      </c>
      <c r="BB15" s="45">
        <f>'[1]Inedible Tallow Complex'!BB$216</f>
        <v>17707.257216459042</v>
      </c>
      <c r="BC15" s="45">
        <f>'[1]Inedible Tallow Complex'!BC$216</f>
        <v>18847.954144082549</v>
      </c>
      <c r="BD15" s="45">
        <f>'[1]Inedible Tallow Complex'!BD$216</f>
        <v>20021.375982833408</v>
      </c>
      <c r="BE15" s="45">
        <f>'[1]Inedible Tallow Complex'!BE$216</f>
        <v>21243.386237809493</v>
      </c>
      <c r="BF15" s="45">
        <f>'[1]Inedible Tallow Complex'!BF$216</f>
        <v>22460.037592923971</v>
      </c>
      <c r="BG15" s="45">
        <f>'[1]Inedible Tallow Complex'!BG$216</f>
        <v>23674.389388995445</v>
      </c>
      <c r="BL15" s="41" t="s">
        <v>171</v>
      </c>
    </row>
    <row r="16" spans="1:64" x14ac:dyDescent="0.2">
      <c r="A16" s="40"/>
      <c r="B16" s="49" t="s">
        <v>172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72">
        <f>MEDIAN('[1]Inedible Tallow Complex'!R$216:R$224,'[1]Inedible Tallow Complex'!S$213:S$215)</f>
        <v>168.93899999999999</v>
      </c>
      <c r="T16" s="72">
        <f>MEDIAN('[1]Inedible Tallow Complex'!S$216:S$224,'[1]Inedible Tallow Complex'!T$213:T$215)</f>
        <v>165.96100000000001</v>
      </c>
      <c r="U16" s="72">
        <f>MEDIAN('[1]Inedible Tallow Complex'!T$216:T$224,'[1]Inedible Tallow Complex'!U$213:U$215)</f>
        <v>180</v>
      </c>
      <c r="V16" s="72">
        <f>MEDIAN('[1]Inedible Tallow Complex'!U$216:U$224,'[1]Inedible Tallow Complex'!V$213:V$215)</f>
        <v>180</v>
      </c>
      <c r="W16" s="72">
        <f>MEDIAN('[1]Inedible Tallow Complex'!V$216:V$224,'[1]Inedible Tallow Complex'!W$213:W$215)</f>
        <v>180</v>
      </c>
      <c r="X16" s="72">
        <f>MEDIAN('[1]Inedible Tallow Complex'!W$216:W$224,'[1]Inedible Tallow Complex'!X$213:X$215)</f>
        <v>108.501</v>
      </c>
      <c r="Y16" s="72">
        <f>MEDIAN('[1]Inedible Tallow Complex'!X$216:X$224,'[1]Inedible Tallow Complex'!Y$213:Y$215)</f>
        <v>82.903999999999996</v>
      </c>
      <c r="Z16" s="72">
        <f>MEDIAN('[1]Inedible Tallow Complex'!Y$216:Y$224,'[1]Inedible Tallow Complex'!Z$213:Z$215)</f>
        <v>84.328999999999994</v>
      </c>
      <c r="AA16" s="72">
        <f>MEDIAN('[1]Inedible Tallow Complex'!Z$216:Z$224,'[1]Inedible Tallow Complex'!AA$213:AA$215)</f>
        <v>99.888000000000005</v>
      </c>
      <c r="AB16" s="72">
        <f>MEDIAN('[1]Inedible Tallow Complex'!AA$232:AA$240,'[1]Inedible Tallow Complex'!AB$229:AB$231)</f>
        <v>26.857149999999997</v>
      </c>
      <c r="AC16" s="72">
        <f>MEDIAN('[1]Inedible Tallow Complex'!AB$232:AB$240,'[1]Inedible Tallow Complex'!AC$229:AC$231)</f>
        <v>31.015149999999998</v>
      </c>
      <c r="AD16" s="72">
        <f>MEDIAN('[1]Inedible Tallow Complex'!AC$232:AC$240,'[1]Inedible Tallow Complex'!AD$229:AD$231)</f>
        <v>56.97835952380953</v>
      </c>
      <c r="AE16" s="72">
        <f>MEDIAN('[1]Inedible Tallow Complex'!AD$232:AD$240,'[1]Inedible Tallow Complex'!AE$229:AE$231)</f>
        <v>78.45</v>
      </c>
      <c r="AF16" s="72">
        <f>MEDIAN('[1]Inedible Tallow Complex'!AE$232:AE$240,'[1]Inedible Tallow Complex'!AF$229:AF$231)</f>
        <v>66.300000000000011</v>
      </c>
      <c r="AG16" s="72">
        <f>MEDIAN('[1]Inedible Tallow Complex'!AF$232:AF$240,'[1]Inedible Tallow Complex'!AG$229:AG$231)</f>
        <v>45.865909090909085</v>
      </c>
      <c r="AH16" s="72">
        <f>MEDIAN('[1]Inedible Tallow Complex'!AG$232:AG$240,'[1]Inedible Tallow Complex'!AH$229:AH$231)</f>
        <v>46.323260073260073</v>
      </c>
      <c r="AI16" s="72">
        <f>MEDIAN('[1]Inedible Tallow Complex'!AH$232:AH$240,'[1]Inedible Tallow Complex'!AI$229:AI$231)</f>
        <v>48</v>
      </c>
      <c r="AJ16" s="72">
        <f>MEDIAN('[1]Inedible Tallow Complex'!AI$232:AI$240,'[1]Inedible Tallow Complex'!AJ$229:AJ$231)</f>
        <v>49.5</v>
      </c>
      <c r="AK16" s="72">
        <f>MEDIAN('[1]Inedible Tallow Complex'!AJ$232:AJ$240,'[1]Inedible Tallow Complex'!AK$229:AK$231)</f>
        <v>45.875</v>
      </c>
      <c r="AL16" s="72">
        <f>MEDIAN('[1]Inedible Tallow Complex'!AK$232:AK$240,'[1]Inedible Tallow Complex'!AL$229:AL$231)</f>
        <v>46</v>
      </c>
      <c r="AM16" s="72">
        <f>MEDIAN('[1]Inedible Tallow Complex'!AL$232:AL$240,'[1]Inedible Tallow Complex'!AM$229:AM$231)</f>
        <v>52.25</v>
      </c>
      <c r="AN16" s="72">
        <f>MEDIAN('[1]Inedible Tallow Complex'!AM$232:AM$240,'[1]Inedible Tallow Complex'!AN$229:AN$231)</f>
        <v>44.875</v>
      </c>
      <c r="AO16" s="72">
        <f>MEDIAN('[1]Inedible Tallow Complex'!AN$232:AN$240,'[1]Inedible Tallow Complex'!AO$229:AO$231)</f>
        <v>43.125</v>
      </c>
      <c r="AP16" s="72">
        <f>MEDIAN('[1]Inedible Tallow Complex'!AO$232:AO$240,'[1]Inedible Tallow Complex'!AP$229:AP$231)</f>
        <v>62.5</v>
      </c>
      <c r="AQ16" s="72">
        <f>MEDIAN('[1]Inedible Tallow Complex'!AP$232:AP$240,'[1]Inedible Tallow Complex'!AQ$229:AQ$231)</f>
        <v>67.625</v>
      </c>
      <c r="AR16" s="72">
        <f>MEDIAN('[1]Inedible Tallow Complex'!AQ$232:AQ$240,'[1]Inedible Tallow Complex'!AR$229:AR$231)</f>
        <v>65.5</v>
      </c>
      <c r="AS16" s="72">
        <f>MEDIAN('[1]Inedible Tallow Complex'!AR$232:AR$240,'[1]Inedible Tallow Complex'!AS$229:AS$231)</f>
        <v>53.75</v>
      </c>
      <c r="AT16" s="72">
        <f>MEDIAN('[1]Inedible Tallow Complex'!AS$232:AS$240,'[1]Inedible Tallow Complex'!AT$229:AT$231)</f>
        <v>37.625</v>
      </c>
      <c r="AU16" s="72" t="e">
        <f>MEDIAN('[1]Inedible Tallow Complex'!AT$232:AT$240,'[1]Inedible Tallow Complex'!AU$229:AU$231)</f>
        <v>#NUM!</v>
      </c>
      <c r="AV16" s="72" t="e">
        <f>MEDIAN('[1]Inedible Tallow Complex'!AU$232:AU$240,'[1]Inedible Tallow Complex'!AV$229:AV$231)</f>
        <v>#NUM!</v>
      </c>
      <c r="AW16" s="72" t="e">
        <f>MEDIAN('[1]Inedible Tallow Complex'!AV$232:AV$240,'[1]Inedible Tallow Complex'!AW$229:AW$231)</f>
        <v>#NUM!</v>
      </c>
      <c r="AX16" s="72" t="e">
        <f>MEDIAN('[1]Inedible Tallow Complex'!AW$232:AW$240,'[1]Inedible Tallow Complex'!AX$229:AX$231)</f>
        <v>#NUM!</v>
      </c>
      <c r="AY16" s="72" t="e">
        <f>MEDIAN('[1]Inedible Tallow Complex'!AX$232:AX$240,'[1]Inedible Tallow Complex'!AY$229:AY$231)</f>
        <v>#NUM!</v>
      </c>
      <c r="AZ16" s="72" t="e">
        <f>MEDIAN('[1]Inedible Tallow Complex'!AY$232:AY$240,'[1]Inedible Tallow Complex'!AZ$229:AZ$231)</f>
        <v>#NUM!</v>
      </c>
      <c r="BA16" s="72" t="e">
        <f>MEDIAN('[1]Inedible Tallow Complex'!AZ$232:AZ$240,'[1]Inedible Tallow Complex'!BA$229:BA$231)</f>
        <v>#NUM!</v>
      </c>
      <c r="BB16" s="72" t="e">
        <f>MEDIAN('[1]Inedible Tallow Complex'!BA$232:BA$240,'[1]Inedible Tallow Complex'!BB$229:BB$231)</f>
        <v>#NUM!</v>
      </c>
      <c r="BC16" s="72" t="e">
        <f>MEDIAN('[1]Inedible Tallow Complex'!BB$232:BB$240,'[1]Inedible Tallow Complex'!BC$229:BC$231)</f>
        <v>#NUM!</v>
      </c>
      <c r="BD16" s="72" t="e">
        <f>MEDIAN('[1]Inedible Tallow Complex'!BC$232:BC$240,'[1]Inedible Tallow Complex'!BD$229:BD$231)</f>
        <v>#NUM!</v>
      </c>
      <c r="BE16" s="72" t="e">
        <f>MEDIAN('[1]Inedible Tallow Complex'!BD$232:BD$240,'[1]Inedible Tallow Complex'!BE$229:BE$231)</f>
        <v>#NUM!</v>
      </c>
      <c r="BF16" s="72" t="e">
        <f>MEDIAN('[1]Inedible Tallow Complex'!BE$232:BE$240,'[1]Inedible Tallow Complex'!BF$229:BF$231)</f>
        <v>#NUM!</v>
      </c>
      <c r="BG16" s="72" t="e">
        <f>MEDIAN('[1]Inedible Tallow Complex'!BF$232:BF$240,'[1]Inedible Tallow Complex'!BG$229:BG$231)</f>
        <v>#NUM!</v>
      </c>
    </row>
    <row r="17" spans="1:59" x14ac:dyDescent="0.2">
      <c r="A17" s="40"/>
      <c r="B17" s="40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</row>
    <row r="18" spans="1:59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5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</row>
    <row r="19" spans="1:59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</row>
    <row r="20" spans="1:59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</row>
    <row r="21" spans="1:59" x14ac:dyDescent="0.2">
      <c r="B21" s="41" t="s">
        <v>83</v>
      </c>
      <c r="C21" s="51" t="e">
        <f t="shared" ref="C21:BG21" si="8">C7</f>
        <v>#REF!</v>
      </c>
      <c r="D21" s="51" t="e">
        <f t="shared" si="8"/>
        <v>#REF!</v>
      </c>
      <c r="E21" s="51" t="e">
        <f t="shared" si="8"/>
        <v>#REF!</v>
      </c>
      <c r="F21" s="51" t="e">
        <f t="shared" si="8"/>
        <v>#REF!</v>
      </c>
      <c r="G21" s="51" t="e">
        <f t="shared" si="8"/>
        <v>#REF!</v>
      </c>
      <c r="H21" s="51" t="e">
        <f t="shared" si="8"/>
        <v>#REF!</v>
      </c>
      <c r="I21" s="51" t="e">
        <f t="shared" si="8"/>
        <v>#REF!</v>
      </c>
      <c r="J21" s="51" t="e">
        <f t="shared" si="8"/>
        <v>#REF!</v>
      </c>
      <c r="K21" s="51" t="e">
        <f t="shared" si="8"/>
        <v>#REF!</v>
      </c>
      <c r="L21" s="51" t="e">
        <f t="shared" si="8"/>
        <v>#REF!</v>
      </c>
      <c r="M21" s="51" t="e">
        <f t="shared" si="8"/>
        <v>#REF!</v>
      </c>
      <c r="N21" s="51" t="e">
        <f t="shared" si="8"/>
        <v>#REF!</v>
      </c>
      <c r="O21" s="51" t="e">
        <f t="shared" si="8"/>
        <v>#REF!</v>
      </c>
      <c r="P21" s="51" t="e">
        <f t="shared" si="8"/>
        <v>#REF!</v>
      </c>
      <c r="Q21" s="51" t="e">
        <f t="shared" si="8"/>
        <v>#REF!</v>
      </c>
      <c r="R21" s="51" t="e">
        <f t="shared" si="8"/>
        <v>#REF!</v>
      </c>
      <c r="S21" s="51" t="e">
        <f t="shared" si="8"/>
        <v>#REF!</v>
      </c>
      <c r="T21" s="51" t="e">
        <f t="shared" si="8"/>
        <v>#REF!</v>
      </c>
      <c r="U21" s="51" t="e">
        <f t="shared" si="8"/>
        <v>#REF!</v>
      </c>
      <c r="V21" s="51" t="e">
        <f t="shared" si="8"/>
        <v>#REF!</v>
      </c>
      <c r="W21" s="51" t="e">
        <f t="shared" si="8"/>
        <v>#REF!</v>
      </c>
      <c r="X21" s="51" t="e">
        <f t="shared" si="8"/>
        <v>#REF!</v>
      </c>
      <c r="Y21" s="51" t="e">
        <f t="shared" si="8"/>
        <v>#REF!</v>
      </c>
      <c r="Z21" s="51" t="e">
        <f t="shared" si="8"/>
        <v>#REF!</v>
      </c>
      <c r="AA21" s="51" t="e">
        <f t="shared" si="8"/>
        <v>#REF!</v>
      </c>
      <c r="AB21" s="51">
        <f t="shared" si="8"/>
        <v>4364.2766631146396</v>
      </c>
      <c r="AC21" s="51">
        <f t="shared" si="8"/>
        <v>4146.3958560037599</v>
      </c>
      <c r="AD21" s="51">
        <f t="shared" si="8"/>
        <v>4734.8707219691605</v>
      </c>
      <c r="AE21" s="51">
        <f t="shared" si="8"/>
        <v>5197.840604</v>
      </c>
      <c r="AF21" s="51">
        <f t="shared" si="8"/>
        <v>5652.7958330000001</v>
      </c>
      <c r="AG21" s="51">
        <f t="shared" si="8"/>
        <v>5867.8243247109594</v>
      </c>
      <c r="AH21" s="51">
        <f t="shared" si="8"/>
        <v>7357.9462220149908</v>
      </c>
      <c r="AI21" s="51">
        <f t="shared" si="8"/>
        <v>8819.7577174211037</v>
      </c>
      <c r="AJ21" s="51">
        <f t="shared" si="8"/>
        <v>10851.267354468364</v>
      </c>
      <c r="AK21" s="51">
        <f t="shared" si="8"/>
        <v>11338.887624441386</v>
      </c>
      <c r="AL21" s="51">
        <f t="shared" si="8"/>
        <v>12075.196313448996</v>
      </c>
      <c r="AM21" s="51">
        <f t="shared" si="8"/>
        <v>13345.050950001925</v>
      </c>
      <c r="AN21" s="51">
        <f t="shared" si="8"/>
        <v>14747.665048411214</v>
      </c>
      <c r="AO21" s="51">
        <f t="shared" si="8"/>
        <v>16737.802283288274</v>
      </c>
      <c r="AP21" s="51">
        <f t="shared" si="8"/>
        <v>18743.664734110513</v>
      </c>
      <c r="AQ21" s="51">
        <f t="shared" si="8"/>
        <v>19582.785680045323</v>
      </c>
      <c r="AR21" s="51">
        <f t="shared" si="8"/>
        <v>20774.445976293289</v>
      </c>
      <c r="AS21" s="51">
        <f t="shared" si="8"/>
        <v>21913.982819665005</v>
      </c>
      <c r="AT21" s="51">
        <f t="shared" si="8"/>
        <v>22685.597631877466</v>
      </c>
      <c r="AU21" s="51">
        <f t="shared" si="8"/>
        <v>24293.685220951233</v>
      </c>
      <c r="AV21" s="51">
        <f t="shared" si="8"/>
        <v>25709.798060350699</v>
      </c>
      <c r="AW21" s="51">
        <f t="shared" si="8"/>
        <v>26550.119020961298</v>
      </c>
      <c r="AX21" s="51">
        <f t="shared" si="8"/>
        <v>27451.572722563138</v>
      </c>
      <c r="AY21" s="51">
        <f t="shared" si="8"/>
        <v>29224.594107151926</v>
      </c>
      <c r="AZ21" s="51">
        <f t="shared" si="8"/>
        <v>30925.673989613286</v>
      </c>
      <c r="BA21" s="51">
        <f t="shared" si="8"/>
        <v>32507.1254764193</v>
      </c>
      <c r="BB21" s="51">
        <f t="shared" si="8"/>
        <v>33484.728780271362</v>
      </c>
      <c r="BC21" s="51">
        <f t="shared" si="8"/>
        <v>34457.618348098884</v>
      </c>
      <c r="BD21" s="51">
        <f t="shared" si="8"/>
        <v>35853.799655029783</v>
      </c>
      <c r="BE21" s="51">
        <f t="shared" si="8"/>
        <v>37306.703980475577</v>
      </c>
      <c r="BF21" s="51">
        <f t="shared" si="8"/>
        <v>37861.549622312836</v>
      </c>
      <c r="BG21" s="51">
        <f t="shared" si="8"/>
        <v>39708.572404244071</v>
      </c>
    </row>
    <row r="22" spans="1:59" x14ac:dyDescent="0.2">
      <c r="B22" s="41" t="s">
        <v>84</v>
      </c>
      <c r="C22" s="51" t="e">
        <f>C15</f>
        <v>#REF!</v>
      </c>
      <c r="D22" s="51" t="e">
        <f t="shared" ref="D22:AD22" si="9">D15</f>
        <v>#REF!</v>
      </c>
      <c r="E22" s="51" t="e">
        <f t="shared" si="9"/>
        <v>#REF!</v>
      </c>
      <c r="F22" s="51" t="e">
        <f t="shared" si="9"/>
        <v>#REF!</v>
      </c>
      <c r="G22" s="51" t="e">
        <f t="shared" si="9"/>
        <v>#REF!</v>
      </c>
      <c r="H22" s="51" t="e">
        <f t="shared" si="9"/>
        <v>#REF!</v>
      </c>
      <c r="I22" s="51" t="e">
        <f t="shared" si="9"/>
        <v>#REF!</v>
      </c>
      <c r="J22" s="51" t="e">
        <f t="shared" si="9"/>
        <v>#REF!</v>
      </c>
      <c r="K22" s="51" t="e">
        <f t="shared" si="9"/>
        <v>#REF!</v>
      </c>
      <c r="L22" s="51" t="e">
        <f t="shared" si="9"/>
        <v>#REF!</v>
      </c>
      <c r="M22" s="51" t="e">
        <f t="shared" si="9"/>
        <v>#REF!</v>
      </c>
      <c r="N22" s="51" t="e">
        <f t="shared" si="9"/>
        <v>#REF!</v>
      </c>
      <c r="O22" s="51" t="e">
        <f t="shared" si="9"/>
        <v>#REF!</v>
      </c>
      <c r="P22" s="51" t="e">
        <f t="shared" si="9"/>
        <v>#REF!</v>
      </c>
      <c r="Q22" s="51" t="e">
        <f t="shared" si="9"/>
        <v>#REF!</v>
      </c>
      <c r="R22" s="51" t="e">
        <f t="shared" si="9"/>
        <v>#REF!</v>
      </c>
      <c r="S22" s="51" t="e">
        <f t="shared" si="9"/>
        <v>#REF!</v>
      </c>
      <c r="T22" s="51" t="e">
        <f t="shared" si="9"/>
        <v>#REF!</v>
      </c>
      <c r="U22" s="51" t="e">
        <f t="shared" si="9"/>
        <v>#REF!</v>
      </c>
      <c r="V22" s="51" t="e">
        <f t="shared" si="9"/>
        <v>#REF!</v>
      </c>
      <c r="W22" s="51" t="e">
        <f t="shared" si="9"/>
        <v>#REF!</v>
      </c>
      <c r="X22" s="51" t="e">
        <f t="shared" si="9"/>
        <v>#REF!</v>
      </c>
      <c r="Y22" s="51" t="e">
        <f t="shared" si="9"/>
        <v>#REF!</v>
      </c>
      <c r="Z22" s="51" t="e">
        <f t="shared" si="9"/>
        <v>#REF!</v>
      </c>
      <c r="AA22" s="51" t="e">
        <f t="shared" si="9"/>
        <v>#REF!</v>
      </c>
      <c r="AB22" s="51">
        <f t="shared" si="9"/>
        <v>100.782</v>
      </c>
      <c r="AC22" s="51">
        <f t="shared" si="9"/>
        <v>90.846999999999994</v>
      </c>
      <c r="AD22" s="51">
        <f t="shared" si="9"/>
        <v>93</v>
      </c>
      <c r="AE22" s="51">
        <f>AE15</f>
        <v>119.997</v>
      </c>
      <c r="AF22" s="51">
        <f t="shared" ref="AF22:BG22" si="10">AF15</f>
        <v>82.706000000000003</v>
      </c>
      <c r="AG22" s="51">
        <f t="shared" si="10"/>
        <v>65.438000000000002</v>
      </c>
      <c r="AH22" s="51">
        <f t="shared" si="10"/>
        <v>318.30876476377648</v>
      </c>
      <c r="AI22" s="51">
        <f t="shared" si="10"/>
        <v>1137.5848194295436</v>
      </c>
      <c r="AJ22" s="51">
        <f t="shared" si="10"/>
        <v>1509.5153628843632</v>
      </c>
      <c r="AK22" s="51">
        <f t="shared" si="10"/>
        <v>1957.4838145320998</v>
      </c>
      <c r="AL22" s="51">
        <f t="shared" si="10"/>
        <v>2539.2011296632963</v>
      </c>
      <c r="AM22" s="51">
        <f t="shared" si="10"/>
        <v>3250.4879001720374</v>
      </c>
      <c r="AN22" s="51">
        <f t="shared" si="10"/>
        <v>3873.4219795480635</v>
      </c>
      <c r="AO22" s="51">
        <f t="shared" si="10"/>
        <v>4671.8618922537353</v>
      </c>
      <c r="AP22" s="51">
        <f t="shared" si="10"/>
        <v>5551.1238465478191</v>
      </c>
      <c r="AQ22" s="51">
        <f t="shared" si="10"/>
        <v>6456.308424220274</v>
      </c>
      <c r="AR22" s="51">
        <f t="shared" si="10"/>
        <v>7355.276974557326</v>
      </c>
      <c r="AS22" s="51">
        <f t="shared" si="10"/>
        <v>8296.763610752836</v>
      </c>
      <c r="AT22" s="51">
        <f t="shared" si="10"/>
        <v>9199.5514133122742</v>
      </c>
      <c r="AU22" s="51">
        <f t="shared" si="10"/>
        <v>10185.957010738237</v>
      </c>
      <c r="AV22" s="51">
        <f t="shared" si="10"/>
        <v>11251.90275631763</v>
      </c>
      <c r="AW22" s="51">
        <f t="shared" si="10"/>
        <v>12231.583653136775</v>
      </c>
      <c r="AX22" s="51">
        <f t="shared" si="10"/>
        <v>13239.57071627219</v>
      </c>
      <c r="AY22" s="51">
        <f t="shared" si="10"/>
        <v>14294.20639939477</v>
      </c>
      <c r="AZ22" s="51">
        <f t="shared" si="10"/>
        <v>15418.901323154272</v>
      </c>
      <c r="BA22" s="51">
        <f t="shared" si="10"/>
        <v>16559.280080934979</v>
      </c>
      <c r="BB22" s="51">
        <f t="shared" si="10"/>
        <v>17707.257216459042</v>
      </c>
      <c r="BC22" s="51">
        <f t="shared" si="10"/>
        <v>18847.954144082549</v>
      </c>
      <c r="BD22" s="51">
        <f t="shared" si="10"/>
        <v>20021.375982833408</v>
      </c>
      <c r="BE22" s="51">
        <f t="shared" si="10"/>
        <v>21243.386237809493</v>
      </c>
      <c r="BF22" s="51">
        <f t="shared" si="10"/>
        <v>22460.037592923971</v>
      </c>
      <c r="BG22" s="51">
        <f t="shared" si="10"/>
        <v>23674.389388995445</v>
      </c>
    </row>
    <row r="23" spans="1:59" x14ac:dyDescent="0.2">
      <c r="B23" s="41" t="s">
        <v>85</v>
      </c>
      <c r="C23" s="51" t="e">
        <f>C21-C22</f>
        <v>#REF!</v>
      </c>
      <c r="D23" s="51" t="e">
        <f t="shared" ref="D23:AD23" si="11">D21-D22</f>
        <v>#REF!</v>
      </c>
      <c r="E23" s="51" t="e">
        <f t="shared" si="11"/>
        <v>#REF!</v>
      </c>
      <c r="F23" s="51" t="e">
        <f t="shared" si="11"/>
        <v>#REF!</v>
      </c>
      <c r="G23" s="51" t="e">
        <f t="shared" si="11"/>
        <v>#REF!</v>
      </c>
      <c r="H23" s="51" t="e">
        <f t="shared" si="11"/>
        <v>#REF!</v>
      </c>
      <c r="I23" s="51" t="e">
        <f t="shared" si="11"/>
        <v>#REF!</v>
      </c>
      <c r="J23" s="51" t="e">
        <f t="shared" si="11"/>
        <v>#REF!</v>
      </c>
      <c r="K23" s="51" t="e">
        <f t="shared" si="11"/>
        <v>#REF!</v>
      </c>
      <c r="L23" s="51" t="e">
        <f t="shared" si="11"/>
        <v>#REF!</v>
      </c>
      <c r="M23" s="51" t="e">
        <f t="shared" si="11"/>
        <v>#REF!</v>
      </c>
      <c r="N23" s="51" t="e">
        <f t="shared" si="11"/>
        <v>#REF!</v>
      </c>
      <c r="O23" s="51" t="e">
        <f t="shared" si="11"/>
        <v>#REF!</v>
      </c>
      <c r="P23" s="51" t="e">
        <f t="shared" si="11"/>
        <v>#REF!</v>
      </c>
      <c r="Q23" s="51" t="e">
        <f>Q21-Q22</f>
        <v>#REF!</v>
      </c>
      <c r="R23" s="51" t="e">
        <f t="shared" si="11"/>
        <v>#REF!</v>
      </c>
      <c r="S23" s="51" t="e">
        <f t="shared" si="11"/>
        <v>#REF!</v>
      </c>
      <c r="T23" s="51" t="e">
        <f t="shared" si="11"/>
        <v>#REF!</v>
      </c>
      <c r="U23" s="51" t="e">
        <f t="shared" si="11"/>
        <v>#REF!</v>
      </c>
      <c r="V23" s="51" t="e">
        <f t="shared" si="11"/>
        <v>#REF!</v>
      </c>
      <c r="W23" s="51" t="e">
        <f t="shared" si="11"/>
        <v>#REF!</v>
      </c>
      <c r="X23" s="51" t="e">
        <f t="shared" si="11"/>
        <v>#REF!</v>
      </c>
      <c r="Y23" s="51" t="e">
        <f t="shared" si="11"/>
        <v>#REF!</v>
      </c>
      <c r="Z23" s="51" t="e">
        <f t="shared" si="11"/>
        <v>#REF!</v>
      </c>
      <c r="AA23" s="51" t="e">
        <f t="shared" si="11"/>
        <v>#REF!</v>
      </c>
      <c r="AB23" s="51">
        <f t="shared" si="11"/>
        <v>4263.4946631146395</v>
      </c>
      <c r="AC23" s="51">
        <f t="shared" si="11"/>
        <v>4055.5488560037597</v>
      </c>
      <c r="AD23" s="51">
        <f t="shared" si="11"/>
        <v>4641.8707219691605</v>
      </c>
      <c r="AE23" s="51">
        <f>AE21-AE22</f>
        <v>5077.8436039999997</v>
      </c>
      <c r="AF23" s="51">
        <f t="shared" ref="AF23:BG23" si="12">AF21-AF22</f>
        <v>5570.089833</v>
      </c>
      <c r="AG23" s="51">
        <f t="shared" si="12"/>
        <v>5802.3863247109593</v>
      </c>
      <c r="AH23" s="51">
        <f t="shared" si="12"/>
        <v>7039.6374572512141</v>
      </c>
      <c r="AI23" s="51">
        <f t="shared" si="12"/>
        <v>7682.1728979915606</v>
      </c>
      <c r="AJ23" s="51">
        <f t="shared" si="12"/>
        <v>9341.7519915840003</v>
      </c>
      <c r="AK23" s="51">
        <f t="shared" si="12"/>
        <v>9381.4038099092868</v>
      </c>
      <c r="AL23" s="51">
        <f t="shared" si="12"/>
        <v>9535.9951837857006</v>
      </c>
      <c r="AM23" s="51">
        <f t="shared" si="12"/>
        <v>10094.563049829889</v>
      </c>
      <c r="AN23" s="51">
        <f t="shared" si="12"/>
        <v>10874.24306886315</v>
      </c>
      <c r="AO23" s="51">
        <f t="shared" si="12"/>
        <v>12065.940391034539</v>
      </c>
      <c r="AP23" s="51">
        <f t="shared" si="12"/>
        <v>13192.540887562693</v>
      </c>
      <c r="AQ23" s="51">
        <f t="shared" si="12"/>
        <v>13126.477255825048</v>
      </c>
      <c r="AR23" s="51">
        <f t="shared" si="12"/>
        <v>13419.169001735963</v>
      </c>
      <c r="AS23" s="51">
        <f t="shared" si="12"/>
        <v>13617.219208912169</v>
      </c>
      <c r="AT23" s="51">
        <f t="shared" si="12"/>
        <v>13486.046218565192</v>
      </c>
      <c r="AU23" s="51">
        <f t="shared" si="12"/>
        <v>14107.728210212996</v>
      </c>
      <c r="AV23" s="51">
        <f t="shared" si="12"/>
        <v>14457.895304033069</v>
      </c>
      <c r="AW23" s="51">
        <f t="shared" si="12"/>
        <v>14318.535367824523</v>
      </c>
      <c r="AX23" s="51">
        <f t="shared" si="12"/>
        <v>14212.002006290948</v>
      </c>
      <c r="AY23" s="51">
        <f t="shared" si="12"/>
        <v>14930.387707757156</v>
      </c>
      <c r="AZ23" s="51">
        <f t="shared" si="12"/>
        <v>15506.772666459014</v>
      </c>
      <c r="BA23" s="51">
        <f t="shared" si="12"/>
        <v>15947.845395484321</v>
      </c>
      <c r="BB23" s="51">
        <f t="shared" si="12"/>
        <v>15777.47156381232</v>
      </c>
      <c r="BC23" s="51">
        <f t="shared" si="12"/>
        <v>15609.664204016335</v>
      </c>
      <c r="BD23" s="51">
        <f t="shared" si="12"/>
        <v>15832.423672196375</v>
      </c>
      <c r="BE23" s="51">
        <f t="shared" si="12"/>
        <v>16063.317742666084</v>
      </c>
      <c r="BF23" s="51">
        <f t="shared" si="12"/>
        <v>15401.512029388865</v>
      </c>
      <c r="BG23" s="51">
        <f t="shared" si="12"/>
        <v>16034.183015248625</v>
      </c>
    </row>
    <row r="24" spans="1:59" x14ac:dyDescent="0.2">
      <c r="B24" s="70" t="s">
        <v>86</v>
      </c>
      <c r="C24" s="52" t="e">
        <f>C23-C14</f>
        <v>#REF!</v>
      </c>
      <c r="D24" s="52" t="e">
        <f t="shared" ref="D24:AD24" si="13">D23-D14</f>
        <v>#REF!</v>
      </c>
      <c r="E24" s="52" t="e">
        <f t="shared" si="13"/>
        <v>#REF!</v>
      </c>
      <c r="F24" s="52" t="e">
        <f t="shared" si="13"/>
        <v>#REF!</v>
      </c>
      <c r="G24" s="52" t="e">
        <f t="shared" si="13"/>
        <v>#REF!</v>
      </c>
      <c r="H24" s="52" t="e">
        <f t="shared" si="13"/>
        <v>#REF!</v>
      </c>
      <c r="I24" s="52" t="e">
        <f t="shared" si="13"/>
        <v>#REF!</v>
      </c>
      <c r="J24" s="52" t="e">
        <f t="shared" si="13"/>
        <v>#REF!</v>
      </c>
      <c r="K24" s="52" t="e">
        <f t="shared" si="13"/>
        <v>#REF!</v>
      </c>
      <c r="L24" s="52" t="e">
        <f t="shared" si="13"/>
        <v>#REF!</v>
      </c>
      <c r="M24" s="52" t="e">
        <f t="shared" si="13"/>
        <v>#REF!</v>
      </c>
      <c r="N24" s="52" t="e">
        <f t="shared" si="13"/>
        <v>#REF!</v>
      </c>
      <c r="O24" s="52" t="e">
        <f t="shared" si="13"/>
        <v>#REF!</v>
      </c>
      <c r="P24" s="52" t="e">
        <f t="shared" si="13"/>
        <v>#REF!</v>
      </c>
      <c r="Q24" s="52" t="e">
        <f t="shared" si="13"/>
        <v>#REF!</v>
      </c>
      <c r="R24" s="52" t="e">
        <f t="shared" si="13"/>
        <v>#REF!</v>
      </c>
      <c r="S24" s="52" t="e">
        <f t="shared" si="13"/>
        <v>#REF!</v>
      </c>
      <c r="T24" s="52" t="e">
        <f t="shared" si="13"/>
        <v>#REF!</v>
      </c>
      <c r="U24" s="52" t="e">
        <f t="shared" si="13"/>
        <v>#REF!</v>
      </c>
      <c r="V24" s="52" t="e">
        <f t="shared" si="13"/>
        <v>#REF!</v>
      </c>
      <c r="W24" s="52" t="e">
        <f t="shared" si="13"/>
        <v>#REF!</v>
      </c>
      <c r="X24" s="52" t="e">
        <f t="shared" si="13"/>
        <v>#REF!</v>
      </c>
      <c r="Y24" s="52" t="e">
        <f t="shared" si="13"/>
        <v>#REF!</v>
      </c>
      <c r="Z24" s="52" t="e">
        <f t="shared" si="13"/>
        <v>#REF!</v>
      </c>
      <c r="AA24" s="52" t="e">
        <f t="shared" si="13"/>
        <v>#REF!</v>
      </c>
      <c r="AB24" s="52">
        <f t="shared" si="13"/>
        <v>0</v>
      </c>
      <c r="AC24" s="52">
        <f t="shared" si="13"/>
        <v>0</v>
      </c>
      <c r="AD24" s="52">
        <f t="shared" si="13"/>
        <v>0</v>
      </c>
      <c r="AE24" s="52">
        <f>AE23-AE14</f>
        <v>0</v>
      </c>
      <c r="AF24" s="52">
        <f t="shared" ref="AF24:BG24" si="14">AF23-AF14</f>
        <v>0</v>
      </c>
      <c r="AG24" s="52">
        <f t="shared" si="14"/>
        <v>0</v>
      </c>
      <c r="AH24" s="52">
        <f t="shared" si="14"/>
        <v>0</v>
      </c>
      <c r="AI24" s="52">
        <f t="shared" si="14"/>
        <v>0</v>
      </c>
      <c r="AJ24" s="52">
        <f t="shared" si="14"/>
        <v>0</v>
      </c>
      <c r="AK24" s="52">
        <f t="shared" si="14"/>
        <v>0</v>
      </c>
      <c r="AL24" s="52">
        <f t="shared" si="14"/>
        <v>0</v>
      </c>
      <c r="AM24" s="52">
        <f t="shared" si="14"/>
        <v>0</v>
      </c>
      <c r="AN24" s="52">
        <f t="shared" si="14"/>
        <v>0</v>
      </c>
      <c r="AO24" s="52">
        <f t="shared" si="14"/>
        <v>0</v>
      </c>
      <c r="AP24" s="52">
        <f t="shared" si="14"/>
        <v>0</v>
      </c>
      <c r="AQ24" s="52">
        <f t="shared" si="14"/>
        <v>0</v>
      </c>
      <c r="AR24" s="52">
        <f t="shared" si="14"/>
        <v>0</v>
      </c>
      <c r="AS24" s="52">
        <f t="shared" si="14"/>
        <v>0</v>
      </c>
      <c r="AT24" s="52">
        <f t="shared" si="14"/>
        <v>0</v>
      </c>
      <c r="AU24" s="52">
        <f t="shared" si="14"/>
        <v>0</v>
      </c>
      <c r="AV24" s="52">
        <f t="shared" si="14"/>
        <v>0</v>
      </c>
      <c r="AW24" s="52">
        <f t="shared" si="14"/>
        <v>0</v>
      </c>
      <c r="AX24" s="52">
        <f t="shared" si="14"/>
        <v>0</v>
      </c>
      <c r="AY24" s="52">
        <f t="shared" si="14"/>
        <v>0</v>
      </c>
      <c r="AZ24" s="52">
        <f t="shared" si="14"/>
        <v>0</v>
      </c>
      <c r="BA24" s="52">
        <f t="shared" si="14"/>
        <v>0</v>
      </c>
      <c r="BB24" s="52">
        <f t="shared" si="14"/>
        <v>0</v>
      </c>
      <c r="BC24" s="52">
        <f t="shared" si="14"/>
        <v>0</v>
      </c>
      <c r="BD24" s="52">
        <f t="shared" si="14"/>
        <v>0</v>
      </c>
      <c r="BE24" s="52">
        <f t="shared" si="14"/>
        <v>0</v>
      </c>
      <c r="BF24" s="52">
        <f t="shared" si="14"/>
        <v>0</v>
      </c>
      <c r="BG24" s="52">
        <f t="shared" si="14"/>
        <v>0</v>
      </c>
    </row>
    <row r="25" spans="1:59" x14ac:dyDescent="0.2">
      <c r="B25" s="41" t="s">
        <v>79</v>
      </c>
      <c r="C25" s="51">
        <f>C13</f>
        <v>2161.9958540921998</v>
      </c>
      <c r="D25" s="51">
        <f t="shared" ref="D25:AD25" si="15">D13</f>
        <v>2658.1471375032002</v>
      </c>
      <c r="E25" s="51">
        <f t="shared" si="15"/>
        <v>1992.8629862694004</v>
      </c>
      <c r="F25" s="51">
        <f t="shared" si="15"/>
        <v>1684.510884693</v>
      </c>
      <c r="G25" s="51">
        <f t="shared" si="15"/>
        <v>2266.5094873974003</v>
      </c>
      <c r="H25" s="51">
        <f t="shared" si="15"/>
        <v>1930.8044202048002</v>
      </c>
      <c r="I25" s="51">
        <f t="shared" si="15"/>
        <v>1740.3264021780001</v>
      </c>
      <c r="J25" s="51">
        <f t="shared" si="15"/>
        <v>1334.5743211038</v>
      </c>
      <c r="K25" s="51">
        <f t="shared" si="15"/>
        <v>1746.8992622087999</v>
      </c>
      <c r="L25" s="51">
        <f t="shared" si="15"/>
        <v>1555.2071588466001</v>
      </c>
      <c r="M25" s="51">
        <f t="shared" si="15"/>
        <v>1613.1355860564001</v>
      </c>
      <c r="N25" s="51">
        <f t="shared" si="15"/>
        <v>1421.0550282978002</v>
      </c>
      <c r="O25" s="51">
        <f t="shared" si="15"/>
        <v>1612.0930203125999</v>
      </c>
      <c r="P25" s="51">
        <f>P13</f>
        <v>1804.4037406079997</v>
      </c>
      <c r="Q25" s="51">
        <f t="shared" si="15"/>
        <v>1599.6124347083999</v>
      </c>
      <c r="R25" s="51">
        <f t="shared" si="15"/>
        <v>1601.568595809</v>
      </c>
      <c r="S25" s="51">
        <f t="shared" si="15"/>
        <v>1723.9711934087998</v>
      </c>
      <c r="T25" s="51">
        <f t="shared" si="15"/>
        <v>1319.1468172722</v>
      </c>
      <c r="U25" s="51">
        <f t="shared" si="15"/>
        <v>1239.2994039999999</v>
      </c>
      <c r="V25" s="51">
        <f t="shared" si="15"/>
        <v>999.60484799999983</v>
      </c>
      <c r="W25" s="51">
        <f t="shared" si="15"/>
        <v>977.55977300000006</v>
      </c>
      <c r="X25" s="51">
        <f t="shared" si="15"/>
        <v>899.22096999999985</v>
      </c>
      <c r="Y25" s="51">
        <f t="shared" si="15"/>
        <v>889.41343799999993</v>
      </c>
      <c r="Z25" s="51">
        <f t="shared" si="15"/>
        <v>886.86856799999998</v>
      </c>
      <c r="AA25" s="51">
        <f t="shared" si="15"/>
        <v>737.74946932019998</v>
      </c>
      <c r="AB25" s="51">
        <f t="shared" si="15"/>
        <v>663.5878223372199</v>
      </c>
      <c r="AC25" s="51">
        <f t="shared" si="15"/>
        <v>660.69315186798008</v>
      </c>
      <c r="AD25" s="51">
        <f t="shared" si="15"/>
        <v>485.29351869108007</v>
      </c>
      <c r="AE25" s="51">
        <f>AE13</f>
        <v>611.31791999999996</v>
      </c>
      <c r="AF25" s="51">
        <f t="shared" ref="AF25:BG25" si="16">AF13</f>
        <v>241.76857800000002</v>
      </c>
      <c r="AG25" s="51">
        <f t="shared" si="16"/>
        <v>269.75717563066002</v>
      </c>
      <c r="AH25" s="51">
        <f t="shared" si="16"/>
        <v>159.57128730633366</v>
      </c>
      <c r="AI25" s="51">
        <f t="shared" si="16"/>
        <v>150.08344322922756</v>
      </c>
      <c r="AJ25" s="51">
        <f t="shared" si="16"/>
        <v>149.0386336089644</v>
      </c>
      <c r="AK25" s="51">
        <f t="shared" si="16"/>
        <v>144.89083564255981</v>
      </c>
      <c r="AL25" s="51">
        <f t="shared" si="16"/>
        <v>117.79535775779664</v>
      </c>
      <c r="AM25" s="51">
        <f t="shared" si="16"/>
        <v>121.54461879772914</v>
      </c>
      <c r="AN25" s="51">
        <f t="shared" si="16"/>
        <v>100.54442409467282</v>
      </c>
      <c r="AO25" s="51">
        <f t="shared" si="16"/>
        <v>99.767372818349131</v>
      </c>
      <c r="AP25" s="51">
        <f t="shared" si="16"/>
        <v>99.805431765648223</v>
      </c>
      <c r="AQ25" s="51">
        <f t="shared" si="16"/>
        <v>92.466197033336229</v>
      </c>
      <c r="AR25" s="51">
        <f t="shared" si="16"/>
        <v>74.55622313742407</v>
      </c>
      <c r="AS25" s="51">
        <f t="shared" si="16"/>
        <v>75.58498527214158</v>
      </c>
      <c r="AT25" s="51">
        <f t="shared" si="16"/>
        <v>74.937179174509708</v>
      </c>
      <c r="AU25" s="51">
        <f t="shared" si="16"/>
        <v>74.936946344005335</v>
      </c>
      <c r="AV25" s="51">
        <f t="shared" si="16"/>
        <v>74.960903328786117</v>
      </c>
      <c r="AW25" s="51">
        <f t="shared" si="16"/>
        <v>74.981993354962341</v>
      </c>
      <c r="AX25" s="51">
        <f t="shared" si="16"/>
        <v>74.995247451373373</v>
      </c>
      <c r="AY25" s="51">
        <f t="shared" si="16"/>
        <v>75.080401494881016</v>
      </c>
      <c r="AZ25" s="51">
        <f t="shared" si="16"/>
        <v>74.962453930727378</v>
      </c>
      <c r="BA25" s="51">
        <f t="shared" si="16"/>
        <v>74.991098394801654</v>
      </c>
      <c r="BB25" s="51">
        <f t="shared" si="16"/>
        <v>74.996199912146039</v>
      </c>
      <c r="BC25" s="51">
        <f t="shared" si="16"/>
        <v>75.002238925349147</v>
      </c>
      <c r="BD25" s="51">
        <f t="shared" si="16"/>
        <v>75.005080236785886</v>
      </c>
      <c r="BE25" s="51">
        <f t="shared" si="16"/>
        <v>75.006478531581038</v>
      </c>
      <c r="BF25" s="51">
        <f t="shared" si="16"/>
        <v>74.991414279962015</v>
      </c>
      <c r="BG25" s="51">
        <f t="shared" si="16"/>
        <v>75.000219200132747</v>
      </c>
    </row>
    <row r="26" spans="1:59" x14ac:dyDescent="0.2">
      <c r="B26" s="41" t="s">
        <v>157</v>
      </c>
      <c r="C26" s="51" t="e">
        <f>C23-C25</f>
        <v>#REF!</v>
      </c>
      <c r="D26" s="51" t="e">
        <f t="shared" ref="D26:AD26" si="17">D23-D25</f>
        <v>#REF!</v>
      </c>
      <c r="E26" s="51" t="e">
        <f t="shared" si="17"/>
        <v>#REF!</v>
      </c>
      <c r="F26" s="51" t="e">
        <f t="shared" si="17"/>
        <v>#REF!</v>
      </c>
      <c r="G26" s="51" t="e">
        <f t="shared" si="17"/>
        <v>#REF!</v>
      </c>
      <c r="H26" s="51" t="e">
        <f t="shared" si="17"/>
        <v>#REF!</v>
      </c>
      <c r="I26" s="51" t="e">
        <f t="shared" si="17"/>
        <v>#REF!</v>
      </c>
      <c r="J26" s="51" t="e">
        <f t="shared" si="17"/>
        <v>#REF!</v>
      </c>
      <c r="K26" s="51" t="e">
        <f t="shared" si="17"/>
        <v>#REF!</v>
      </c>
      <c r="L26" s="51" t="e">
        <f t="shared" si="17"/>
        <v>#REF!</v>
      </c>
      <c r="M26" s="51" t="e">
        <f t="shared" si="17"/>
        <v>#REF!</v>
      </c>
      <c r="N26" s="51" t="e">
        <f t="shared" si="17"/>
        <v>#REF!</v>
      </c>
      <c r="O26" s="51" t="e">
        <f t="shared" si="17"/>
        <v>#REF!</v>
      </c>
      <c r="P26" s="51" t="e">
        <f>P23-P25</f>
        <v>#REF!</v>
      </c>
      <c r="Q26" s="51" t="e">
        <f t="shared" si="17"/>
        <v>#REF!</v>
      </c>
      <c r="R26" s="51" t="e">
        <f t="shared" si="17"/>
        <v>#REF!</v>
      </c>
      <c r="S26" s="51" t="e">
        <f t="shared" si="17"/>
        <v>#REF!</v>
      </c>
      <c r="T26" s="51" t="e">
        <f t="shared" si="17"/>
        <v>#REF!</v>
      </c>
      <c r="U26" s="51" t="e">
        <f t="shared" si="17"/>
        <v>#REF!</v>
      </c>
      <c r="V26" s="51" t="e">
        <f t="shared" si="17"/>
        <v>#REF!</v>
      </c>
      <c r="W26" s="51" t="e">
        <f t="shared" si="17"/>
        <v>#REF!</v>
      </c>
      <c r="X26" s="51" t="e">
        <f t="shared" si="17"/>
        <v>#REF!</v>
      </c>
      <c r="Y26" s="51" t="e">
        <f t="shared" si="17"/>
        <v>#REF!</v>
      </c>
      <c r="Z26" s="51" t="e">
        <f t="shared" si="17"/>
        <v>#REF!</v>
      </c>
      <c r="AA26" s="51" t="e">
        <f t="shared" si="17"/>
        <v>#REF!</v>
      </c>
      <c r="AB26" s="51">
        <f t="shared" si="17"/>
        <v>3599.9068407774193</v>
      </c>
      <c r="AC26" s="51">
        <f t="shared" si="17"/>
        <v>3394.8557041357799</v>
      </c>
      <c r="AD26" s="51">
        <f t="shared" si="17"/>
        <v>4156.5772032780806</v>
      </c>
      <c r="AE26" s="51">
        <f>AE23-AE25</f>
        <v>4466.5256840000002</v>
      </c>
      <c r="AF26" s="51">
        <f t="shared" ref="AF26:BG26" si="18">AF23-AF25</f>
        <v>5328.3212549999998</v>
      </c>
      <c r="AG26" s="51">
        <f t="shared" si="18"/>
        <v>5532.6291490802996</v>
      </c>
      <c r="AH26" s="51">
        <f t="shared" si="18"/>
        <v>6880.0661699448801</v>
      </c>
      <c r="AI26" s="51">
        <f t="shared" si="18"/>
        <v>7532.0894547623329</v>
      </c>
      <c r="AJ26" s="51">
        <f t="shared" si="18"/>
        <v>9192.7133579750353</v>
      </c>
      <c r="AK26" s="51">
        <f t="shared" si="18"/>
        <v>9236.5129742667268</v>
      </c>
      <c r="AL26" s="51">
        <f t="shared" si="18"/>
        <v>9418.1998260279033</v>
      </c>
      <c r="AM26" s="51">
        <f t="shared" si="18"/>
        <v>9973.0184310321602</v>
      </c>
      <c r="AN26" s="51">
        <f t="shared" si="18"/>
        <v>10773.698644768478</v>
      </c>
      <c r="AO26" s="51">
        <f t="shared" si="18"/>
        <v>11966.17301821619</v>
      </c>
      <c r="AP26" s="51">
        <f t="shared" si="18"/>
        <v>13092.735455797045</v>
      </c>
      <c r="AQ26" s="51">
        <f t="shared" si="18"/>
        <v>13034.011058791712</v>
      </c>
      <c r="AR26" s="51">
        <f t="shared" si="18"/>
        <v>13344.612778598539</v>
      </c>
      <c r="AS26" s="51">
        <f t="shared" si="18"/>
        <v>13541.634223640027</v>
      </c>
      <c r="AT26" s="51">
        <f t="shared" si="18"/>
        <v>13411.109039390683</v>
      </c>
      <c r="AU26" s="51">
        <f t="shared" si="18"/>
        <v>14032.79126386899</v>
      </c>
      <c r="AV26" s="51">
        <f t="shared" si="18"/>
        <v>14382.934400704282</v>
      </c>
      <c r="AW26" s="51">
        <f t="shared" si="18"/>
        <v>14243.55337446956</v>
      </c>
      <c r="AX26" s="51">
        <f t="shared" si="18"/>
        <v>14137.006758839574</v>
      </c>
      <c r="AY26" s="51">
        <f t="shared" si="18"/>
        <v>14855.307306262275</v>
      </c>
      <c r="AZ26" s="51">
        <f t="shared" si="18"/>
        <v>15431.810212528286</v>
      </c>
      <c r="BA26" s="51">
        <f t="shared" si="18"/>
        <v>15872.85429708952</v>
      </c>
      <c r="BB26" s="51">
        <f t="shared" si="18"/>
        <v>15702.475363900174</v>
      </c>
      <c r="BC26" s="51">
        <f t="shared" si="18"/>
        <v>15534.661965090985</v>
      </c>
      <c r="BD26" s="51">
        <f t="shared" si="18"/>
        <v>15757.418591959589</v>
      </c>
      <c r="BE26" s="51">
        <f t="shared" si="18"/>
        <v>15988.311264134503</v>
      </c>
      <c r="BF26" s="51">
        <f t="shared" si="18"/>
        <v>15326.520615108902</v>
      </c>
      <c r="BG26" s="51">
        <f t="shared" si="18"/>
        <v>15959.182796048493</v>
      </c>
    </row>
    <row r="27" spans="1:59" x14ac:dyDescent="0.2">
      <c r="B27" s="70" t="s">
        <v>86</v>
      </c>
      <c r="C27" s="52" t="e">
        <f t="shared" ref="C27:BG27" si="19">C26-C8</f>
        <v>#REF!</v>
      </c>
      <c r="D27" s="52" t="e">
        <f t="shared" si="19"/>
        <v>#REF!</v>
      </c>
      <c r="E27" s="52" t="e">
        <f t="shared" si="19"/>
        <v>#REF!</v>
      </c>
      <c r="F27" s="52" t="e">
        <f t="shared" si="19"/>
        <v>#REF!</v>
      </c>
      <c r="G27" s="52" t="e">
        <f t="shared" si="19"/>
        <v>#REF!</v>
      </c>
      <c r="H27" s="52" t="e">
        <f t="shared" si="19"/>
        <v>#REF!</v>
      </c>
      <c r="I27" s="52" t="e">
        <f t="shared" si="19"/>
        <v>#REF!</v>
      </c>
      <c r="J27" s="52" t="e">
        <f t="shared" si="19"/>
        <v>#REF!</v>
      </c>
      <c r="K27" s="52" t="e">
        <f t="shared" si="19"/>
        <v>#REF!</v>
      </c>
      <c r="L27" s="52" t="e">
        <f t="shared" si="19"/>
        <v>#REF!</v>
      </c>
      <c r="M27" s="52" t="e">
        <f t="shared" si="19"/>
        <v>#REF!</v>
      </c>
      <c r="N27" s="52" t="e">
        <f t="shared" si="19"/>
        <v>#REF!</v>
      </c>
      <c r="O27" s="52" t="e">
        <f t="shared" si="19"/>
        <v>#REF!</v>
      </c>
      <c r="P27" s="52" t="e">
        <f t="shared" si="19"/>
        <v>#REF!</v>
      </c>
      <c r="Q27" s="52" t="e">
        <f t="shared" si="19"/>
        <v>#REF!</v>
      </c>
      <c r="R27" s="52" t="e">
        <f t="shared" si="19"/>
        <v>#REF!</v>
      </c>
      <c r="S27" s="52" t="e">
        <f t="shared" si="19"/>
        <v>#REF!</v>
      </c>
      <c r="T27" s="52" t="e">
        <f t="shared" si="19"/>
        <v>#REF!</v>
      </c>
      <c r="U27" s="52" t="e">
        <f t="shared" si="19"/>
        <v>#REF!</v>
      </c>
      <c r="V27" s="52" t="e">
        <f t="shared" si="19"/>
        <v>#REF!</v>
      </c>
      <c r="W27" s="52" t="e">
        <f t="shared" si="19"/>
        <v>#REF!</v>
      </c>
      <c r="X27" s="52" t="e">
        <f t="shared" si="19"/>
        <v>#REF!</v>
      </c>
      <c r="Y27" s="52" t="e">
        <f t="shared" si="19"/>
        <v>#REF!</v>
      </c>
      <c r="Z27" s="52" t="e">
        <f t="shared" si="19"/>
        <v>#REF!</v>
      </c>
      <c r="AA27" s="52" t="e">
        <f t="shared" si="19"/>
        <v>#REF!</v>
      </c>
      <c r="AB27" s="52">
        <f t="shared" si="19"/>
        <v>0</v>
      </c>
      <c r="AC27" s="52">
        <f t="shared" si="19"/>
        <v>0</v>
      </c>
      <c r="AD27" s="52">
        <f t="shared" si="19"/>
        <v>0</v>
      </c>
      <c r="AE27" s="52">
        <f t="shared" si="19"/>
        <v>0</v>
      </c>
      <c r="AF27" s="52">
        <f t="shared" si="19"/>
        <v>0</v>
      </c>
      <c r="AG27" s="52">
        <f t="shared" si="19"/>
        <v>0</v>
      </c>
      <c r="AH27" s="52">
        <f t="shared" si="19"/>
        <v>0</v>
      </c>
      <c r="AI27" s="52">
        <f t="shared" si="19"/>
        <v>0</v>
      </c>
      <c r="AJ27" s="52">
        <f t="shared" si="19"/>
        <v>0</v>
      </c>
      <c r="AK27" s="52">
        <f t="shared" si="19"/>
        <v>0</v>
      </c>
      <c r="AL27" s="52">
        <f t="shared" si="19"/>
        <v>0</v>
      </c>
      <c r="AM27" s="52">
        <f t="shared" si="19"/>
        <v>0</v>
      </c>
      <c r="AN27" s="52">
        <f t="shared" si="19"/>
        <v>0</v>
      </c>
      <c r="AO27" s="52">
        <f t="shared" si="19"/>
        <v>0</v>
      </c>
      <c r="AP27" s="52">
        <f t="shared" si="19"/>
        <v>0</v>
      </c>
      <c r="AQ27" s="52">
        <f t="shared" si="19"/>
        <v>0</v>
      </c>
      <c r="AR27" s="52">
        <f t="shared" si="19"/>
        <v>0</v>
      </c>
      <c r="AS27" s="52">
        <f t="shared" si="19"/>
        <v>0</v>
      </c>
      <c r="AT27" s="52">
        <f t="shared" si="19"/>
        <v>0</v>
      </c>
      <c r="AU27" s="52">
        <f t="shared" si="19"/>
        <v>0</v>
      </c>
      <c r="AV27" s="52">
        <f t="shared" si="19"/>
        <v>0</v>
      </c>
      <c r="AW27" s="52">
        <f t="shared" si="19"/>
        <v>0</v>
      </c>
      <c r="AX27" s="52">
        <f t="shared" si="19"/>
        <v>0</v>
      </c>
      <c r="AY27" s="52">
        <f t="shared" si="19"/>
        <v>0</v>
      </c>
      <c r="AZ27" s="52">
        <f t="shared" si="19"/>
        <v>0</v>
      </c>
      <c r="BA27" s="52">
        <f t="shared" si="19"/>
        <v>0</v>
      </c>
      <c r="BB27" s="52">
        <f t="shared" si="19"/>
        <v>0</v>
      </c>
      <c r="BC27" s="52">
        <f t="shared" si="19"/>
        <v>0</v>
      </c>
      <c r="BD27" s="52">
        <f t="shared" si="19"/>
        <v>0</v>
      </c>
      <c r="BE27" s="52">
        <f t="shared" si="19"/>
        <v>0</v>
      </c>
      <c r="BF27" s="52">
        <f t="shared" si="19"/>
        <v>0</v>
      </c>
      <c r="BG27" s="52">
        <f t="shared" si="19"/>
        <v>0</v>
      </c>
    </row>
    <row r="28" spans="1:59" x14ac:dyDescent="0.2">
      <c r="B28" s="41" t="s">
        <v>158</v>
      </c>
      <c r="C28" s="51">
        <f t="shared" ref="C28:BG28" si="20">C9</f>
        <v>0</v>
      </c>
      <c r="D28" s="51" t="e">
        <f t="shared" si="20"/>
        <v>#REF!</v>
      </c>
      <c r="E28" s="51" t="e">
        <f t="shared" si="20"/>
        <v>#REF!</v>
      </c>
      <c r="F28" s="51" t="e">
        <f t="shared" si="20"/>
        <v>#REF!</v>
      </c>
      <c r="G28" s="51" t="e">
        <f t="shared" si="20"/>
        <v>#REF!</v>
      </c>
      <c r="H28" s="51" t="e">
        <f t="shared" si="20"/>
        <v>#REF!</v>
      </c>
      <c r="I28" s="51" t="e">
        <f t="shared" si="20"/>
        <v>#REF!</v>
      </c>
      <c r="J28" s="51" t="e">
        <f t="shared" si="20"/>
        <v>#REF!</v>
      </c>
      <c r="K28" s="51" t="e">
        <f t="shared" si="20"/>
        <v>#REF!</v>
      </c>
      <c r="L28" s="51" t="e">
        <f t="shared" si="20"/>
        <v>#REF!</v>
      </c>
      <c r="M28" s="51" t="e">
        <f t="shared" si="20"/>
        <v>#REF!</v>
      </c>
      <c r="N28" s="51" t="e">
        <f t="shared" si="20"/>
        <v>#REF!</v>
      </c>
      <c r="O28" s="51" t="e">
        <f t="shared" si="20"/>
        <v>#REF!</v>
      </c>
      <c r="P28" s="51" t="e">
        <f t="shared" si="20"/>
        <v>#REF!</v>
      </c>
      <c r="Q28" s="51" t="e">
        <f t="shared" si="20"/>
        <v>#REF!</v>
      </c>
      <c r="R28" s="51" t="e">
        <f t="shared" si="20"/>
        <v>#REF!</v>
      </c>
      <c r="S28" s="51" t="e">
        <f t="shared" si="20"/>
        <v>#REF!</v>
      </c>
      <c r="T28" s="51" t="e">
        <f t="shared" si="20"/>
        <v>#REF!</v>
      </c>
      <c r="U28" s="51" t="e">
        <f t="shared" si="20"/>
        <v>#REF!</v>
      </c>
      <c r="V28" s="51" t="e">
        <f t="shared" si="20"/>
        <v>#REF!</v>
      </c>
      <c r="W28" s="51" t="e">
        <f t="shared" si="20"/>
        <v>#REF!</v>
      </c>
      <c r="X28" s="51" t="e">
        <f t="shared" si="20"/>
        <v>#REF!</v>
      </c>
      <c r="Y28" s="51" t="e">
        <f t="shared" si="20"/>
        <v>#REF!</v>
      </c>
      <c r="Z28" s="51" t="e">
        <f t="shared" si="20"/>
        <v>#REF!</v>
      </c>
      <c r="AA28" s="51" t="e">
        <f t="shared" si="20"/>
        <v>#REF!</v>
      </c>
      <c r="AB28" s="51">
        <f t="shared" si="20"/>
        <v>1432.449827142764</v>
      </c>
      <c r="AC28" s="51">
        <f t="shared" si="20"/>
        <v>1703.4236468354347</v>
      </c>
      <c r="AD28" s="51">
        <f t="shared" si="20"/>
        <v>1621.3770000000004</v>
      </c>
      <c r="AE28" s="51">
        <f t="shared" si="20"/>
        <v>1981.5650000000001</v>
      </c>
      <c r="AF28" s="51">
        <f t="shared" si="20"/>
        <v>4197.9790000000003</v>
      </c>
      <c r="AG28" s="51">
        <f t="shared" si="20"/>
        <v>7164.8866087262013</v>
      </c>
      <c r="AH28" s="51">
        <f t="shared" si="20"/>
        <v>5258.9640728546601</v>
      </c>
      <c r="AI28" s="51">
        <f t="shared" si="20"/>
        <v>5268.9712364079414</v>
      </c>
      <c r="AJ28" s="51">
        <f t="shared" si="20"/>
        <v>7331.892758644829</v>
      </c>
      <c r="AK28" s="51">
        <f t="shared" si="20"/>
        <v>6960.2943077905129</v>
      </c>
      <c r="AL28" s="51">
        <f t="shared" si="20"/>
        <v>7187.9360902277876</v>
      </c>
      <c r="AM28" s="51">
        <f t="shared" si="20"/>
        <v>7822.7119010524402</v>
      </c>
      <c r="AN28" s="51">
        <f t="shared" si="20"/>
        <v>8685.8483990432287</v>
      </c>
      <c r="AO28" s="51">
        <f t="shared" si="20"/>
        <v>10427.778325752402</v>
      </c>
      <c r="AP28" s="51">
        <f t="shared" si="20"/>
        <v>10735.677585103098</v>
      </c>
      <c r="AQ28" s="51">
        <f t="shared" si="20"/>
        <v>11072.562394056202</v>
      </c>
      <c r="AR28" s="51">
        <f t="shared" si="20"/>
        <v>11428.049467307403</v>
      </c>
      <c r="AS28" s="51">
        <f t="shared" si="20"/>
        <v>11752.363674714847</v>
      </c>
      <c r="AT28" s="51">
        <f t="shared" si="20"/>
        <v>10997.471726966976</v>
      </c>
      <c r="AU28" s="51">
        <f t="shared" si="20"/>
        <v>12023.828676244371</v>
      </c>
      <c r="AV28" s="51">
        <f t="shared" si="20"/>
        <v>12671.985865683724</v>
      </c>
      <c r="AW28" s="51">
        <f t="shared" si="20"/>
        <v>11856.949978287643</v>
      </c>
      <c r="AX28" s="51">
        <f t="shared" si="20"/>
        <v>12149.235835119258</v>
      </c>
      <c r="AY28" s="51">
        <f t="shared" si="20"/>
        <v>12760.702247716983</v>
      </c>
      <c r="AZ28" s="51">
        <f t="shared" si="20"/>
        <v>13527.109584565869</v>
      </c>
      <c r="BA28" s="51">
        <f t="shared" si="20"/>
        <v>13834.272758707952</v>
      </c>
      <c r="BB28" s="51">
        <f t="shared" si="20"/>
        <v>13897.909079891198</v>
      </c>
      <c r="BC28" s="51">
        <f t="shared" si="20"/>
        <v>13796.263407570836</v>
      </c>
      <c r="BD28" s="51">
        <f t="shared" si="20"/>
        <v>14452.130953025415</v>
      </c>
      <c r="BE28" s="51">
        <f t="shared" si="20"/>
        <v>14682.903209943181</v>
      </c>
      <c r="BF28" s="51">
        <f t="shared" si="20"/>
        <v>14238.997567255023</v>
      </c>
      <c r="BG28" s="51">
        <f t="shared" si="20"/>
        <v>14860.851648198552</v>
      </c>
    </row>
    <row r="29" spans="1:59" x14ac:dyDescent="0.2">
      <c r="B29" s="41" t="s">
        <v>159</v>
      </c>
      <c r="C29" s="51" t="e">
        <f>C26-C28</f>
        <v>#REF!</v>
      </c>
      <c r="D29" s="51" t="e">
        <f t="shared" ref="D29:AD29" si="21">D26-D28</f>
        <v>#REF!</v>
      </c>
      <c r="E29" s="51" t="e">
        <f t="shared" si="21"/>
        <v>#REF!</v>
      </c>
      <c r="F29" s="51" t="e">
        <f t="shared" si="21"/>
        <v>#REF!</v>
      </c>
      <c r="G29" s="51" t="e">
        <f t="shared" si="21"/>
        <v>#REF!</v>
      </c>
      <c r="H29" s="51" t="e">
        <f t="shared" si="21"/>
        <v>#REF!</v>
      </c>
      <c r="I29" s="51" t="e">
        <f t="shared" si="21"/>
        <v>#REF!</v>
      </c>
      <c r="J29" s="51" t="e">
        <f t="shared" si="21"/>
        <v>#REF!</v>
      </c>
      <c r="K29" s="51" t="e">
        <f t="shared" si="21"/>
        <v>#REF!</v>
      </c>
      <c r="L29" s="51" t="e">
        <f t="shared" si="21"/>
        <v>#REF!</v>
      </c>
      <c r="M29" s="51" t="e">
        <f t="shared" si="21"/>
        <v>#REF!</v>
      </c>
      <c r="N29" s="51" t="e">
        <f t="shared" si="21"/>
        <v>#REF!</v>
      </c>
      <c r="O29" s="51" t="e">
        <f t="shared" si="21"/>
        <v>#REF!</v>
      </c>
      <c r="P29" s="51" t="e">
        <f t="shared" si="21"/>
        <v>#REF!</v>
      </c>
      <c r="Q29" s="51" t="e">
        <f t="shared" si="21"/>
        <v>#REF!</v>
      </c>
      <c r="R29" s="51" t="e">
        <f t="shared" si="21"/>
        <v>#REF!</v>
      </c>
      <c r="S29" s="51" t="e">
        <f t="shared" si="21"/>
        <v>#REF!</v>
      </c>
      <c r="T29" s="51" t="e">
        <f t="shared" si="21"/>
        <v>#REF!</v>
      </c>
      <c r="U29" s="51" t="e">
        <f t="shared" si="21"/>
        <v>#REF!</v>
      </c>
      <c r="V29" s="51" t="e">
        <f t="shared" si="21"/>
        <v>#REF!</v>
      </c>
      <c r="W29" s="51" t="e">
        <f t="shared" si="21"/>
        <v>#REF!</v>
      </c>
      <c r="X29" s="51" t="e">
        <f t="shared" si="21"/>
        <v>#REF!</v>
      </c>
      <c r="Y29" s="51" t="e">
        <f t="shared" si="21"/>
        <v>#REF!</v>
      </c>
      <c r="Z29" s="51" t="e">
        <f t="shared" si="21"/>
        <v>#REF!</v>
      </c>
      <c r="AA29" s="51" t="e">
        <f t="shared" si="21"/>
        <v>#REF!</v>
      </c>
      <c r="AB29" s="51">
        <f t="shared" si="21"/>
        <v>2167.4570136346556</v>
      </c>
      <c r="AC29" s="51">
        <f t="shared" si="21"/>
        <v>1691.4320573003451</v>
      </c>
      <c r="AD29" s="51">
        <f t="shared" si="21"/>
        <v>2535.2002032780802</v>
      </c>
      <c r="AE29" s="51">
        <f>AE26-AE28</f>
        <v>2484.9606840000001</v>
      </c>
      <c r="AF29" s="51">
        <f t="shared" ref="AF29:BG29" si="22">AF26-AF28</f>
        <v>1130.3422549999996</v>
      </c>
      <c r="AG29" s="51">
        <f t="shared" si="22"/>
        <v>-1632.2574596459017</v>
      </c>
      <c r="AH29" s="51">
        <f t="shared" si="22"/>
        <v>1621.10209709022</v>
      </c>
      <c r="AI29" s="51">
        <f t="shared" si="22"/>
        <v>2263.1182183543915</v>
      </c>
      <c r="AJ29" s="51">
        <f t="shared" si="22"/>
        <v>1860.8205993302063</v>
      </c>
      <c r="AK29" s="51">
        <f t="shared" si="22"/>
        <v>2276.2186664762139</v>
      </c>
      <c r="AL29" s="51">
        <f t="shared" si="22"/>
        <v>2230.2637358001157</v>
      </c>
      <c r="AM29" s="51">
        <f t="shared" si="22"/>
        <v>2150.3065299797199</v>
      </c>
      <c r="AN29" s="51">
        <f t="shared" si="22"/>
        <v>2087.8502457252489</v>
      </c>
      <c r="AO29" s="51">
        <f t="shared" si="22"/>
        <v>1538.3946924637876</v>
      </c>
      <c r="AP29" s="51">
        <f t="shared" si="22"/>
        <v>2357.0578706939468</v>
      </c>
      <c r="AQ29" s="51">
        <f t="shared" si="22"/>
        <v>1961.4486647355097</v>
      </c>
      <c r="AR29" s="51">
        <f t="shared" si="22"/>
        <v>1916.5633112911364</v>
      </c>
      <c r="AS29" s="51">
        <f t="shared" si="22"/>
        <v>1789.2705489251803</v>
      </c>
      <c r="AT29" s="51">
        <f t="shared" si="22"/>
        <v>2413.637312423707</v>
      </c>
      <c r="AU29" s="51">
        <f t="shared" si="22"/>
        <v>2008.9625876246191</v>
      </c>
      <c r="AV29" s="51">
        <f t="shared" si="22"/>
        <v>1710.9485350205578</v>
      </c>
      <c r="AW29" s="51">
        <f t="shared" si="22"/>
        <v>2386.6033961819176</v>
      </c>
      <c r="AX29" s="51">
        <f t="shared" si="22"/>
        <v>1987.7709237203162</v>
      </c>
      <c r="AY29" s="51">
        <f t="shared" si="22"/>
        <v>2094.6050585452922</v>
      </c>
      <c r="AZ29" s="51">
        <f t="shared" si="22"/>
        <v>1904.7006279624165</v>
      </c>
      <c r="BA29" s="51">
        <f t="shared" si="22"/>
        <v>2038.581538381568</v>
      </c>
      <c r="BB29" s="51">
        <f t="shared" si="22"/>
        <v>1804.5662840089753</v>
      </c>
      <c r="BC29" s="51">
        <f t="shared" si="22"/>
        <v>1738.3985575201496</v>
      </c>
      <c r="BD29" s="51">
        <f t="shared" si="22"/>
        <v>1305.2876389341745</v>
      </c>
      <c r="BE29" s="51">
        <f t="shared" si="22"/>
        <v>1305.4080541913227</v>
      </c>
      <c r="BF29" s="51">
        <f t="shared" si="22"/>
        <v>1087.5230478538797</v>
      </c>
      <c r="BG29" s="51">
        <f t="shared" si="22"/>
        <v>1098.3311478499418</v>
      </c>
    </row>
    <row r="30" spans="1:59" x14ac:dyDescent="0.2">
      <c r="B30" s="70" t="s">
        <v>86</v>
      </c>
      <c r="C30" s="52" t="e">
        <f>C29-C12</f>
        <v>#REF!</v>
      </c>
      <c r="D30" s="52" t="e">
        <f t="shared" ref="D30:AD30" si="23">D29-D12</f>
        <v>#REF!</v>
      </c>
      <c r="E30" s="52" t="e">
        <f t="shared" si="23"/>
        <v>#REF!</v>
      </c>
      <c r="F30" s="52" t="e">
        <f t="shared" si="23"/>
        <v>#REF!</v>
      </c>
      <c r="G30" s="52" t="e">
        <f t="shared" si="23"/>
        <v>#REF!</v>
      </c>
      <c r="H30" s="52" t="e">
        <f t="shared" si="23"/>
        <v>#REF!</v>
      </c>
      <c r="I30" s="52" t="e">
        <f t="shared" si="23"/>
        <v>#REF!</v>
      </c>
      <c r="J30" s="52" t="e">
        <f t="shared" si="23"/>
        <v>#REF!</v>
      </c>
      <c r="K30" s="52" t="e">
        <f t="shared" si="23"/>
        <v>#REF!</v>
      </c>
      <c r="L30" s="52" t="e">
        <f t="shared" si="23"/>
        <v>#REF!</v>
      </c>
      <c r="M30" s="52" t="e">
        <f t="shared" si="23"/>
        <v>#REF!</v>
      </c>
      <c r="N30" s="52" t="e">
        <f t="shared" si="23"/>
        <v>#REF!</v>
      </c>
      <c r="O30" s="52" t="e">
        <f t="shared" si="23"/>
        <v>#REF!</v>
      </c>
      <c r="P30" s="52" t="e">
        <f t="shared" si="23"/>
        <v>#REF!</v>
      </c>
      <c r="Q30" s="52" t="e">
        <f t="shared" si="23"/>
        <v>#REF!</v>
      </c>
      <c r="R30" s="52" t="e">
        <f t="shared" si="23"/>
        <v>#REF!</v>
      </c>
      <c r="S30" s="52" t="e">
        <f t="shared" si="23"/>
        <v>#REF!</v>
      </c>
      <c r="T30" s="52" t="e">
        <f t="shared" si="23"/>
        <v>#REF!</v>
      </c>
      <c r="U30" s="52" t="e">
        <f t="shared" si="23"/>
        <v>#REF!</v>
      </c>
      <c r="V30" s="52" t="e">
        <f t="shared" si="23"/>
        <v>#REF!</v>
      </c>
      <c r="W30" s="52" t="e">
        <f t="shared" si="23"/>
        <v>#REF!</v>
      </c>
      <c r="X30" s="52" t="e">
        <f t="shared" si="23"/>
        <v>#REF!</v>
      </c>
      <c r="Y30" s="52" t="e">
        <f t="shared" si="23"/>
        <v>#REF!</v>
      </c>
      <c r="Z30" s="52" t="e">
        <f t="shared" si="23"/>
        <v>#REF!</v>
      </c>
      <c r="AA30" s="52" t="e">
        <f t="shared" si="23"/>
        <v>#REF!</v>
      </c>
      <c r="AB30" s="52">
        <f t="shared" si="23"/>
        <v>0</v>
      </c>
      <c r="AC30" s="52">
        <f t="shared" si="23"/>
        <v>0</v>
      </c>
      <c r="AD30" s="52">
        <f t="shared" si="23"/>
        <v>0</v>
      </c>
      <c r="AE30" s="52">
        <f>AE29-AE12</f>
        <v>0</v>
      </c>
      <c r="AF30" s="52">
        <f t="shared" ref="AF30:BG30" si="24">AF29-AF12</f>
        <v>0</v>
      </c>
      <c r="AG30" s="52">
        <f t="shared" si="24"/>
        <v>0</v>
      </c>
      <c r="AH30" s="52">
        <f t="shared" si="24"/>
        <v>0</v>
      </c>
      <c r="AI30" s="52">
        <f t="shared" si="24"/>
        <v>0</v>
      </c>
      <c r="AJ30" s="52">
        <f t="shared" si="24"/>
        <v>0</v>
      </c>
      <c r="AK30" s="52">
        <f t="shared" si="24"/>
        <v>0</v>
      </c>
      <c r="AL30" s="52">
        <f t="shared" si="24"/>
        <v>0</v>
      </c>
      <c r="AM30" s="52">
        <f t="shared" si="24"/>
        <v>0</v>
      </c>
      <c r="AN30" s="52">
        <f t="shared" si="24"/>
        <v>0</v>
      </c>
      <c r="AO30" s="52">
        <f t="shared" si="24"/>
        <v>0</v>
      </c>
      <c r="AP30" s="52">
        <f t="shared" si="24"/>
        <v>0</v>
      </c>
      <c r="AQ30" s="52">
        <f t="shared" si="24"/>
        <v>0</v>
      </c>
      <c r="AR30" s="52">
        <f t="shared" si="24"/>
        <v>0</v>
      </c>
      <c r="AS30" s="52">
        <f t="shared" si="24"/>
        <v>0</v>
      </c>
      <c r="AT30" s="52">
        <f t="shared" si="24"/>
        <v>0</v>
      </c>
      <c r="AU30" s="52">
        <f t="shared" si="24"/>
        <v>0</v>
      </c>
      <c r="AV30" s="52">
        <f t="shared" si="24"/>
        <v>0</v>
      </c>
      <c r="AW30" s="52">
        <f t="shared" si="24"/>
        <v>0</v>
      </c>
      <c r="AX30" s="52">
        <f t="shared" si="24"/>
        <v>0</v>
      </c>
      <c r="AY30" s="52">
        <f t="shared" si="24"/>
        <v>0</v>
      </c>
      <c r="AZ30" s="52">
        <f t="shared" si="24"/>
        <v>0</v>
      </c>
      <c r="BA30" s="52">
        <f t="shared" si="24"/>
        <v>0</v>
      </c>
      <c r="BB30" s="52">
        <f t="shared" si="24"/>
        <v>0</v>
      </c>
      <c r="BC30" s="52">
        <f t="shared" si="24"/>
        <v>0</v>
      </c>
      <c r="BD30" s="52">
        <f t="shared" si="24"/>
        <v>0</v>
      </c>
      <c r="BE30" s="52">
        <f t="shared" si="24"/>
        <v>0</v>
      </c>
      <c r="BF30" s="52">
        <f t="shared" si="24"/>
        <v>0</v>
      </c>
      <c r="BG30" s="52">
        <f t="shared" si="24"/>
        <v>0</v>
      </c>
    </row>
    <row r="32" spans="1:59" x14ac:dyDescent="0.2">
      <c r="N32" s="41" t="e">
        <f t="shared" ref="N32:AA32" si="25">N8*0.4</f>
        <v>#REF!</v>
      </c>
      <c r="O32" s="41" t="e">
        <f t="shared" si="25"/>
        <v>#REF!</v>
      </c>
      <c r="P32" s="41" t="e">
        <f t="shared" si="25"/>
        <v>#REF!</v>
      </c>
      <c r="Q32" s="41" t="e">
        <f t="shared" si="25"/>
        <v>#REF!</v>
      </c>
      <c r="R32" s="41" t="e">
        <f t="shared" si="25"/>
        <v>#REF!</v>
      </c>
      <c r="S32" s="41" t="e">
        <f t="shared" si="25"/>
        <v>#REF!</v>
      </c>
      <c r="T32" s="41" t="e">
        <f t="shared" si="25"/>
        <v>#REF!</v>
      </c>
      <c r="U32" s="41" t="e">
        <f t="shared" si="25"/>
        <v>#REF!</v>
      </c>
      <c r="V32" s="41" t="e">
        <f t="shared" si="25"/>
        <v>#REF!</v>
      </c>
      <c r="W32" s="41" t="e">
        <f t="shared" si="25"/>
        <v>#REF!</v>
      </c>
      <c r="X32" s="41" t="e">
        <f t="shared" si="25"/>
        <v>#REF!</v>
      </c>
      <c r="Y32" s="41" t="e">
        <f t="shared" si="25"/>
        <v>#REF!</v>
      </c>
      <c r="Z32" s="41" t="e">
        <f t="shared" si="25"/>
        <v>#REF!</v>
      </c>
      <c r="AA32" s="41" t="e">
        <f t="shared" si="25"/>
        <v>#REF!</v>
      </c>
    </row>
    <row r="33" spans="15:31" x14ac:dyDescent="0.2"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</row>
    <row r="34" spans="15:31" x14ac:dyDescent="0.2"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8D92-7C0C-44F3-A267-C553C66ADCFC}">
  <dimension ref="A1:AY19"/>
  <sheetViews>
    <sheetView zoomScaleNormal="100" workbookViewId="0">
      <pane xSplit="2" ySplit="3" topLeftCell="V4" activePane="bottomRight" state="frozen"/>
      <selection activeCell="M14" sqref="M14"/>
      <selection pane="topRight" activeCell="M14" sqref="M14"/>
      <selection pane="bottomLeft" activeCell="M14" sqref="M14"/>
      <selection pane="bottomRight" activeCell="M14" sqref="M14"/>
    </sheetView>
  </sheetViews>
  <sheetFormatPr defaultColWidth="9" defaultRowHeight="11.25" x14ac:dyDescent="0.2"/>
  <cols>
    <col min="1" max="1" width="9" style="41"/>
    <col min="2" max="2" width="58.33203125" style="41" customWidth="1"/>
    <col min="3" max="24" width="9.33203125" style="41" hidden="1" customWidth="1"/>
    <col min="25" max="27" width="0" style="41" hidden="1" customWidth="1"/>
    <col min="28" max="40" width="9" style="41"/>
    <col min="41" max="43" width="9" style="41" customWidth="1"/>
    <col min="44" max="47" width="9" style="41" hidden="1" customWidth="1"/>
    <col min="48" max="49" width="9" style="41" customWidth="1"/>
    <col min="50" max="16384" width="9" style="41"/>
  </cols>
  <sheetData>
    <row r="1" spans="1:5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51" ht="12" thickBot="1" x14ac:dyDescent="0.25">
      <c r="A2" s="40"/>
      <c r="B2" s="57" t="s">
        <v>173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 spans="1:51" ht="12" thickBot="1" x14ac:dyDescent="0.25">
      <c r="A3" s="40"/>
      <c r="B3" s="58"/>
      <c r="C3" s="44">
        <f>UCO!C3</f>
        <v>1994</v>
      </c>
      <c r="D3" s="44">
        <f>UCO!D3</f>
        <v>1995</v>
      </c>
      <c r="E3" s="44">
        <f>UCO!E3</f>
        <v>1996</v>
      </c>
      <c r="F3" s="44">
        <f>UCO!F3</f>
        <v>1997</v>
      </c>
      <c r="G3" s="44">
        <f>UCO!G3</f>
        <v>1998</v>
      </c>
      <c r="H3" s="44">
        <f>UCO!H3</f>
        <v>1999</v>
      </c>
      <c r="I3" s="44">
        <f>UCO!I3</f>
        <v>2000</v>
      </c>
      <c r="J3" s="44">
        <f>UCO!J3</f>
        <v>2001</v>
      </c>
      <c r="K3" s="44">
        <f>UCO!K3</f>
        <v>2002</v>
      </c>
      <c r="L3" s="44">
        <f>UCO!L3</f>
        <v>2003</v>
      </c>
      <c r="M3" s="44">
        <f>UCO!M3</f>
        <v>2004</v>
      </c>
      <c r="N3" s="44">
        <f>UCO!N3</f>
        <v>2005</v>
      </c>
      <c r="O3" s="44">
        <f>UCO!O3</f>
        <v>2006</v>
      </c>
      <c r="P3" s="44">
        <f>UCO!P3</f>
        <v>2007</v>
      </c>
      <c r="Q3" s="44">
        <f>UCO!Q3</f>
        <v>2008</v>
      </c>
      <c r="R3" s="44">
        <f>UCO!R3</f>
        <v>2009</v>
      </c>
      <c r="S3" s="44">
        <f>UCO!S3</f>
        <v>2010</v>
      </c>
      <c r="T3" s="44">
        <f>UCO!T3</f>
        <v>2011</v>
      </c>
      <c r="U3" s="44">
        <f>UCO!U3</f>
        <v>2012</v>
      </c>
      <c r="V3" s="44">
        <f>UCO!V3</f>
        <v>2013</v>
      </c>
      <c r="W3" s="44">
        <f>UCO!W3</f>
        <v>2014</v>
      </c>
      <c r="X3" s="44">
        <f>UCO!X3</f>
        <v>2015</v>
      </c>
      <c r="Y3" s="44">
        <f>UCO!Y3</f>
        <v>2016</v>
      </c>
      <c r="Z3" s="44">
        <f>UCO!Z3</f>
        <v>2017</v>
      </c>
      <c r="AA3" s="44">
        <f>UCO!AA3</f>
        <v>2018</v>
      </c>
      <c r="AB3" s="44">
        <f>UCO!AB3</f>
        <v>2019</v>
      </c>
      <c r="AC3" s="44">
        <f>UCO!AC3</f>
        <v>2020</v>
      </c>
      <c r="AD3" s="44">
        <f>UCO!AD3</f>
        <v>2021</v>
      </c>
      <c r="AE3" s="44">
        <f>UCO!AE3</f>
        <v>2022</v>
      </c>
      <c r="AF3" s="44">
        <f>UCO!AF3</f>
        <v>2023</v>
      </c>
      <c r="AG3" s="44">
        <f>UCO!AG3</f>
        <v>2024</v>
      </c>
      <c r="AH3" s="44">
        <f>UCO!AH3</f>
        <v>2025</v>
      </c>
      <c r="AI3" s="44">
        <f>UCO!AI3</f>
        <v>2026</v>
      </c>
      <c r="AJ3" s="44">
        <f>UCO!AJ3</f>
        <v>2027</v>
      </c>
      <c r="AK3" s="44">
        <f>UCO!AK3</f>
        <v>2028</v>
      </c>
      <c r="AL3" s="44">
        <f>UCO!AL3</f>
        <v>2029</v>
      </c>
      <c r="AM3" s="44">
        <f>UCO!AM3</f>
        <v>2030</v>
      </c>
      <c r="AN3" s="44">
        <f>UCO!AN3</f>
        <v>2031</v>
      </c>
      <c r="AO3" s="44">
        <f>UCO!AO3</f>
        <v>2032</v>
      </c>
      <c r="AP3" s="44">
        <f>UCO!AP3</f>
        <v>2033</v>
      </c>
      <c r="AQ3" s="44">
        <f>UCO!AQ3</f>
        <v>2034</v>
      </c>
      <c r="AR3" s="44">
        <f>UCO!AR3</f>
        <v>2035</v>
      </c>
      <c r="AS3" s="44">
        <f>UCO!AS3</f>
        <v>2036</v>
      </c>
      <c r="AT3" s="44">
        <f>UCO!AT3</f>
        <v>2037</v>
      </c>
      <c r="AU3" s="44">
        <f>UCO!AU3</f>
        <v>2038</v>
      </c>
      <c r="AV3" s="59"/>
      <c r="AW3" s="59"/>
    </row>
    <row r="4" spans="1:51" x14ac:dyDescent="0.2">
      <c r="A4" s="40"/>
      <c r="B4" s="40" t="s">
        <v>70</v>
      </c>
      <c r="C4" s="45">
        <f>UCO!C4+'Yellow Grease'!C4</f>
        <v>226.0377986319607</v>
      </c>
      <c r="D4" s="45">
        <f>UCO!D4+'Yellow Grease'!D4</f>
        <v>236.31316498900708</v>
      </c>
      <c r="E4" s="45">
        <f>UCO!E4+'Yellow Grease'!E4</f>
        <v>197.03794352404188</v>
      </c>
      <c r="F4" s="45">
        <f>UCO!F4+'Yellow Grease'!F4</f>
        <v>192.1660608071075</v>
      </c>
      <c r="G4" s="45">
        <f>UCO!G4+'Yellow Grease'!G4</f>
        <v>209.57230627710078</v>
      </c>
      <c r="H4" s="45">
        <f>UCO!H4+'Yellow Grease'!H4</f>
        <v>223.15591537447034</v>
      </c>
      <c r="I4" s="45">
        <f>UCO!I4+'Yellow Grease'!I4</f>
        <v>192.99117449892015</v>
      </c>
      <c r="J4" s="45">
        <f>UCO!J4+'Yellow Grease'!J4</f>
        <v>178.11780082328943</v>
      </c>
      <c r="K4" s="45">
        <f>UCO!K4+'Yellow Grease'!K4</f>
        <v>203.86729950254175</v>
      </c>
      <c r="L4" s="45">
        <f>UCO!L4+'Yellow Grease'!L4</f>
        <v>171.8167406508343</v>
      </c>
      <c r="M4" s="45">
        <f>UCO!M4+'Yellow Grease'!M4</f>
        <v>180.23040844792934</v>
      </c>
      <c r="N4" s="45">
        <f>UCO!N4+'Yellow Grease'!N4</f>
        <v>198.70900013624635</v>
      </c>
      <c r="O4" s="45">
        <f>UCO!O4+'Yellow Grease'!O4</f>
        <v>190.45521898983591</v>
      </c>
      <c r="P4" s="45">
        <f>UCO!P4+'Yellow Grease'!P4</f>
        <v>182.14237868233488</v>
      </c>
      <c r="Q4" s="45">
        <f>UCO!Q4+'Yellow Grease'!Q4</f>
        <v>165.67516722607303</v>
      </c>
      <c r="R4" s="45">
        <f>UCO!R4+'Yellow Grease'!R4</f>
        <v>252.18239380757538</v>
      </c>
      <c r="S4" s="45">
        <f>UCO!S4+'Yellow Grease'!S4</f>
        <v>135.04810840900689</v>
      </c>
      <c r="T4" s="45">
        <f>UCO!T4+'Yellow Grease'!T4</f>
        <v>113.46789968262939</v>
      </c>
      <c r="U4" s="45">
        <f>UCO!U4+'Yellow Grease'!U4</f>
        <v>135.50939099540105</v>
      </c>
      <c r="V4" s="45">
        <f>UCO!V4+'Yellow Grease'!V4</f>
        <v>183.58635725058565</v>
      </c>
      <c r="W4" s="45">
        <f>UCO!W4+'Yellow Grease'!W4</f>
        <v>99.219809545970932</v>
      </c>
      <c r="X4" s="45">
        <f>UCO!X4+'Yellow Grease'!X4</f>
        <v>101.85163971898167</v>
      </c>
      <c r="Y4" s="45">
        <f>UCO!Y4+'Yellow Grease'!Y4</f>
        <v>157.12107505270802</v>
      </c>
      <c r="Z4" s="45">
        <f>UCO!Z4+'Yellow Grease'!Z4</f>
        <v>117.34819223108502</v>
      </c>
      <c r="AA4" s="45">
        <f>UCO!AA4+'Yellow Grease'!AA4</f>
        <v>120.0662104580111</v>
      </c>
      <c r="AB4" s="45">
        <f>UCO!AB4+'Yellow Grease'!AB4</f>
        <v>93.367999999999995</v>
      </c>
      <c r="AC4" s="45">
        <f>UCO!AC4+'Yellow Grease'!AC4</f>
        <v>90.62</v>
      </c>
      <c r="AD4" s="45">
        <f>UCO!AD4+'Yellow Grease'!AD4</f>
        <v>88.033000000000015</v>
      </c>
      <c r="AE4" s="45">
        <f>UCO!AE4+'Yellow Grease'!AE4</f>
        <v>90.984999999999999</v>
      </c>
      <c r="AF4" s="45">
        <f>UCO!AF4+'Yellow Grease'!AF4</f>
        <v>98.977000000000004</v>
      </c>
      <c r="AG4" s="45">
        <f>UCO!AG4+'Yellow Grease'!AG4</f>
        <v>103.5</v>
      </c>
      <c r="AH4" s="60">
        <f>UCO!AH4+'Yellow Grease'!AH4</f>
        <v>96.600000000000009</v>
      </c>
      <c r="AI4" s="60">
        <f>UCO!AI4+'Yellow Grease'!AI4</f>
        <v>726.24168233591308</v>
      </c>
      <c r="AJ4" s="60">
        <f>UCO!AJ4+'Yellow Grease'!AJ4</f>
        <v>648.62578097746939</v>
      </c>
      <c r="AK4" s="60">
        <f>UCO!AK4+'Yellow Grease'!AK4</f>
        <v>2003.8175703202153</v>
      </c>
      <c r="AL4" s="60">
        <f>UCO!AL4+'Yellow Grease'!AL4</f>
        <v>4905.2296579655376</v>
      </c>
      <c r="AM4" s="60">
        <f>UCO!AM4+'Yellow Grease'!AM4</f>
        <v>6861.1258458798548</v>
      </c>
      <c r="AN4" s="60">
        <f>UCO!AN4+'Yellow Grease'!AN4</f>
        <v>8957.9910268496606</v>
      </c>
      <c r="AO4" s="60">
        <f>UCO!AO4+'Yellow Grease'!AO4</f>
        <v>11401.321478245261</v>
      </c>
      <c r="AP4" s="60">
        <f>UCO!AP4+'Yellow Grease'!AP4</f>
        <v>14461.261757112112</v>
      </c>
      <c r="AQ4" s="60">
        <f>UCO!AQ4+'Yellow Grease'!AQ4</f>
        <v>19074.435920554981</v>
      </c>
      <c r="AR4" s="60">
        <f>UCO!AR4+'Yellow Grease'!AR4</f>
        <v>24000.483815838201</v>
      </c>
      <c r="AS4" s="60">
        <f>UCO!AS4+'Yellow Grease'!AS4</f>
        <v>28878.588541792094</v>
      </c>
      <c r="AT4" s="60">
        <f>UCO!AT4+'Yellow Grease'!AT4</f>
        <v>32193.487466545979</v>
      </c>
      <c r="AU4" s="60">
        <f>UCO!AU4+'Yellow Grease'!AU4</f>
        <v>36969.870018616944</v>
      </c>
      <c r="AV4" s="60"/>
      <c r="AW4" s="60"/>
    </row>
    <row r="5" spans="1:51" x14ac:dyDescent="0.2">
      <c r="A5" s="40"/>
      <c r="B5" s="40" t="s">
        <v>71</v>
      </c>
      <c r="C5" s="45">
        <f>UCO!C5+'Yellow Grease'!C5</f>
        <v>2493.5109837510963</v>
      </c>
      <c r="D5" s="45">
        <f>UCO!D5+'Yellow Grease'!D5</f>
        <v>2484.9928164286684</v>
      </c>
      <c r="E5" s="45">
        <f>UCO!E5+'Yellow Grease'!E5</f>
        <v>2335.1134758749286</v>
      </c>
      <c r="F5" s="45">
        <f>UCO!F5+'Yellow Grease'!F5</f>
        <v>2281.221444240603</v>
      </c>
      <c r="G5" s="45">
        <f>UCO!G5+'Yellow Grease'!G5</f>
        <v>2463.0100999666056</v>
      </c>
      <c r="H5" s="45">
        <f>UCO!H5+'Yellow Grease'!H5</f>
        <v>2673.4246494716735</v>
      </c>
      <c r="I5" s="45">
        <f>UCO!I5+'Yellow Grease'!I5</f>
        <v>2203.4727937457487</v>
      </c>
      <c r="J5" s="45">
        <f>UCO!J5+'Yellow Grease'!J5</f>
        <v>2064.3228006069648</v>
      </c>
      <c r="K5" s="45">
        <f>UCO!K5+'Yellow Grease'!K5</f>
        <v>2303.741110392798</v>
      </c>
      <c r="L5" s="45">
        <f>UCO!L5+'Yellow Grease'!L5</f>
        <v>2143.5310256698754</v>
      </c>
      <c r="M5" s="45">
        <f>UCO!M5+'Yellow Grease'!M5</f>
        <v>2417.2240103123158</v>
      </c>
      <c r="N5" s="45">
        <f>UCO!N5+'Yellow Grease'!N5</f>
        <v>2395.4487868919305</v>
      </c>
      <c r="O5" s="45">
        <f>UCO!O5+'Yellow Grease'!O5</f>
        <v>2432.6396754293178</v>
      </c>
      <c r="P5" s="45">
        <f>UCO!P5+'Yellow Grease'!P5</f>
        <v>2508.7917854986845</v>
      </c>
      <c r="Q5" s="45">
        <f>UCO!Q5+'Yellow Grease'!Q5</f>
        <v>2644.5190924710041</v>
      </c>
      <c r="R5" s="45">
        <f>UCO!R5+'Yellow Grease'!R5</f>
        <v>2547.5484078893692</v>
      </c>
      <c r="S5" s="45">
        <f>UCO!S5+'Yellow Grease'!S5</f>
        <v>2337.4997510989992</v>
      </c>
      <c r="T5" s="45">
        <f>UCO!T5+'Yellow Grease'!T5</f>
        <v>2428.9623978713066</v>
      </c>
      <c r="U5" s="45">
        <f>UCO!U5+'Yellow Grease'!U5</f>
        <v>2545.6710064938575</v>
      </c>
      <c r="V5" s="45">
        <f>UCO!V5+'Yellow Grease'!V5</f>
        <v>2671.0644280169508</v>
      </c>
      <c r="W5" s="45">
        <f>UCO!W5+'Yellow Grease'!W5</f>
        <v>2797.8607663186858</v>
      </c>
      <c r="X5" s="45">
        <f>UCO!X5+'Yellow Grease'!X5</f>
        <v>2955.2446885990794</v>
      </c>
      <c r="Y5" s="45">
        <f>UCO!Y5+'Yellow Grease'!Y5</f>
        <v>3200.9447180145912</v>
      </c>
      <c r="Z5" s="45">
        <f>UCO!Z5+'Yellow Grease'!Z5</f>
        <v>3421.6113702886487</v>
      </c>
      <c r="AA5" s="45">
        <f>UCO!AA5+'Yellow Grease'!AA5</f>
        <v>3660.4404574593141</v>
      </c>
      <c r="AB5" s="45">
        <f>UCO!AB5+'Yellow Grease'!AB5</f>
        <v>3719.851097842351</v>
      </c>
      <c r="AC5" s="45">
        <f>UCO!AC5+'Yellow Grease'!AC5</f>
        <v>3324.2745033554047</v>
      </c>
      <c r="AD5" s="45">
        <f>UCO!AD5+'Yellow Grease'!AD5</f>
        <v>3983.273935294118</v>
      </c>
      <c r="AE5" s="45">
        <f>UCO!AE5+'Yellow Grease'!AE5</f>
        <v>5412.9545705882356</v>
      </c>
      <c r="AF5" s="45">
        <f>UCO!AF5+'Yellow Grease'!AF5</f>
        <v>6573.5245588235284</v>
      </c>
      <c r="AG5" s="60">
        <f>UCO!AG5+'Yellow Grease'!AG5</f>
        <v>7063.0174588235304</v>
      </c>
      <c r="AH5" s="60">
        <f>UCO!AH5+'Yellow Grease'!AH5</f>
        <v>7203.4704987238965</v>
      </c>
      <c r="AI5" s="60">
        <f>UCO!AI5+'Yellow Grease'!AI5</f>
        <v>7668.2708760689056</v>
      </c>
      <c r="AJ5" s="60">
        <f>UCO!AJ5+'Yellow Grease'!AJ5</f>
        <v>8306.6873206277669</v>
      </c>
      <c r="AK5" s="60">
        <f>UCO!AK5+'Yellow Grease'!AK5</f>
        <v>8752.3607662306531</v>
      </c>
      <c r="AL5" s="60">
        <f>UCO!AL5+'Yellow Grease'!AL5</f>
        <v>8941.2771993803108</v>
      </c>
      <c r="AM5" s="60">
        <f>UCO!AM5+'Yellow Grease'!AM5</f>
        <v>9987.7059698614485</v>
      </c>
      <c r="AN5" s="60">
        <f>UCO!AN5+'Yellow Grease'!AN5</f>
        <v>10782.994605568887</v>
      </c>
      <c r="AO5" s="60">
        <f>UCO!AO5+'Yellow Grease'!AO5</f>
        <v>11987.335952269514</v>
      </c>
      <c r="AP5" s="60">
        <f>UCO!AP5+'Yellow Grease'!AP5</f>
        <v>12628.896777398066</v>
      </c>
      <c r="AQ5" s="60">
        <f>UCO!AQ5+'Yellow Grease'!AQ5</f>
        <v>14173.123819594381</v>
      </c>
      <c r="AR5" s="60">
        <f>UCO!AR5+'Yellow Grease'!AR5</f>
        <v>14300.174584350778</v>
      </c>
      <c r="AS5" s="60">
        <f>UCO!AS5+'Yellow Grease'!AS5</f>
        <v>14986.795027476599</v>
      </c>
      <c r="AT5" s="60">
        <f>UCO!AT5+'Yellow Grease'!AT5</f>
        <v>15735.480330666678</v>
      </c>
      <c r="AU5" s="60">
        <f>UCO!AU5+'Yellow Grease'!AU5</f>
        <v>16810.482070856862</v>
      </c>
      <c r="AV5" s="60"/>
      <c r="AW5" s="60"/>
      <c r="AY5" s="75"/>
    </row>
    <row r="6" spans="1:51" x14ac:dyDescent="0.2">
      <c r="A6" s="40"/>
      <c r="B6" s="40" t="s">
        <v>72</v>
      </c>
      <c r="C6" s="45">
        <f>UCO!C6+'Yellow Grease'!C6</f>
        <v>10.534007474719999</v>
      </c>
      <c r="D6" s="45">
        <f>UCO!D6+'Yellow Grease'!D6</f>
        <v>22.826433527360003</v>
      </c>
      <c r="E6" s="45">
        <f>UCO!E6+'Yellow Grease'!E6</f>
        <v>18.03990154856</v>
      </c>
      <c r="F6" s="45">
        <f>UCO!F6+'Yellow Grease'!F6</f>
        <v>22.872636932839995</v>
      </c>
      <c r="G6" s="45">
        <f>UCO!G6+'Yellow Grease'!G6</f>
        <v>18.546766803440001</v>
      </c>
      <c r="H6" s="45">
        <f>UCO!H6+'Yellow Grease'!H6</f>
        <v>11.232111181239999</v>
      </c>
      <c r="I6" s="45">
        <f>UCO!I6+'Yellow Grease'!I6</f>
        <v>11.734136512640001</v>
      </c>
      <c r="J6" s="45">
        <f>UCO!J6+'Yellow Grease'!J6</f>
        <v>14.581968108719998</v>
      </c>
      <c r="K6" s="45">
        <f>UCO!K6+'Yellow Grease'!K6</f>
        <v>15.38273216616</v>
      </c>
      <c r="L6" s="45">
        <f>UCO!L6+'Yellow Grease'!L6</f>
        <v>8.1053299757600001</v>
      </c>
      <c r="M6" s="45">
        <f>UCO!M6+'Yellow Grease'!M6</f>
        <v>5.0215243712000008</v>
      </c>
      <c r="N6" s="45">
        <f>UCO!N6+'Yellow Grease'!N6</f>
        <v>9.2477807596000012</v>
      </c>
      <c r="O6" s="45">
        <f>UCO!O6+'Yellow Grease'!O6</f>
        <v>33.638373056999995</v>
      </c>
      <c r="P6" s="45">
        <f>UCO!P6+'Yellow Grease'!P6</f>
        <v>15.788599521000002</v>
      </c>
      <c r="Q6" s="45">
        <f>UCO!Q6+'Yellow Grease'!Q6</f>
        <v>36.702159515599995</v>
      </c>
      <c r="R6" s="45">
        <f>UCO!R6+'Yellow Grease'!R6</f>
        <v>12.953274999999998</v>
      </c>
      <c r="S6" s="45">
        <f>UCO!S6+'Yellow Grease'!S6</f>
        <v>19.154838999999999</v>
      </c>
      <c r="T6" s="45">
        <f>UCO!T6+'Yellow Grease'!T6</f>
        <v>42.494542000000003</v>
      </c>
      <c r="U6" s="45">
        <f>UCO!U6+'Yellow Grease'!U6</f>
        <v>33.353471999999996</v>
      </c>
      <c r="V6" s="45">
        <f>UCO!V6+'Yellow Grease'!V6</f>
        <v>43.991585999999998</v>
      </c>
      <c r="W6" s="45">
        <f>UCO!W6+'Yellow Grease'!W6</f>
        <v>35.722635999999994</v>
      </c>
      <c r="X6" s="45">
        <f>UCO!X6+'Yellow Grease'!X6</f>
        <v>47.470011999999997</v>
      </c>
      <c r="Y6" s="45">
        <f>UCO!Y6+'Yellow Grease'!Y6</f>
        <v>49.753743</v>
      </c>
      <c r="Z6" s="45">
        <f>UCO!Z6+'Yellow Grease'!Z6</f>
        <v>83.687485999999993</v>
      </c>
      <c r="AA6" s="45">
        <f>UCO!AA6+'Yellow Grease'!AA6</f>
        <v>136.88149899999999</v>
      </c>
      <c r="AB6" s="45">
        <f>UCO!AB6+'Yellow Grease'!AB6</f>
        <v>192.00644999999997</v>
      </c>
      <c r="AC6" s="45">
        <f>UCO!AC6+'Yellow Grease'!AC6</f>
        <v>181.770273</v>
      </c>
      <c r="AD6" s="45">
        <f>UCO!AD6+'Yellow Grease'!AD6</f>
        <v>292.50858599999998</v>
      </c>
      <c r="AE6" s="45">
        <f>UCO!AE6+'Yellow Grease'!AE6</f>
        <v>725.9360180000001</v>
      </c>
      <c r="AF6" s="45">
        <f>UCO!AF6+'Yellow Grease'!AF6</f>
        <v>3019.642902</v>
      </c>
      <c r="AG6" s="60">
        <f>UCO!AG6+'Yellow Grease'!AG6</f>
        <v>5396.4669739999999</v>
      </c>
      <c r="AH6" s="60">
        <f>UCO!AH6+'Yellow Grease'!AH6</f>
        <v>5719.3464266659912</v>
      </c>
      <c r="AI6" s="60">
        <f>UCO!AI6+'Yellow Grease'!AI6</f>
        <v>7089.679546988953</v>
      </c>
      <c r="AJ6" s="60">
        <f>UCO!AJ6+'Yellow Grease'!AJ6</f>
        <v>10072.92521391198</v>
      </c>
      <c r="AK6" s="60">
        <f>UCO!AK6+'Yellow Grease'!AK6</f>
        <v>12499.510921922878</v>
      </c>
      <c r="AL6" s="60">
        <f>UCO!AL6+'Yellow Grease'!AL6</f>
        <v>15201.877675392243</v>
      </c>
      <c r="AM6" s="60">
        <f>UCO!AM6+'Yellow Grease'!AM6</f>
        <v>18720.193250657456</v>
      </c>
      <c r="AN6" s="60">
        <f>UCO!AN6+'Yellow Grease'!AN6</f>
        <v>21590.784675196559</v>
      </c>
      <c r="AO6" s="60">
        <f>UCO!AO6+'Yellow Grease'!AO6</f>
        <v>25062.605395928942</v>
      </c>
      <c r="AP6" s="60">
        <f>UCO!AP6+'Yellow Grease'!AP6</f>
        <v>28187.596955993678</v>
      </c>
      <c r="AQ6" s="60">
        <f>UCO!AQ6+'Yellow Grease'!AQ6</f>
        <v>27151.273851292899</v>
      </c>
      <c r="AR6" s="60">
        <f>UCO!AR6+'Yellow Grease'!AR6</f>
        <v>26659.762420182731</v>
      </c>
      <c r="AS6" s="60">
        <f>UCO!AS6+'Yellow Grease'!AS6</f>
        <v>25398.864958226182</v>
      </c>
      <c r="AT6" s="60">
        <f>UCO!AT6+'Yellow Grease'!AT6</f>
        <v>26863.72456573118</v>
      </c>
      <c r="AU6" s="60">
        <f>UCO!AU6+'Yellow Grease'!AU6</f>
        <v>29540.170870625174</v>
      </c>
      <c r="AV6" s="60"/>
      <c r="AW6" s="60"/>
    </row>
    <row r="7" spans="1:51" x14ac:dyDescent="0.2">
      <c r="A7" s="40"/>
      <c r="B7" s="61" t="s">
        <v>73</v>
      </c>
      <c r="C7" s="62">
        <f>UCO!C7+'Yellow Grease'!C7</f>
        <v>2730.0827898577772</v>
      </c>
      <c r="D7" s="62">
        <f>UCO!D7+'Yellow Grease'!D7</f>
        <v>2744.1324149450356</v>
      </c>
      <c r="E7" s="62">
        <f>UCO!E7+'Yellow Grease'!E7</f>
        <v>2550.1913209475306</v>
      </c>
      <c r="F7" s="62">
        <f>UCO!F7+'Yellow Grease'!F7</f>
        <v>2496.2601419805505</v>
      </c>
      <c r="G7" s="62">
        <f>UCO!G7+'Yellow Grease'!G7</f>
        <v>2691.1291730471467</v>
      </c>
      <c r="H7" s="62">
        <f>UCO!H7+'Yellow Grease'!H7</f>
        <v>2907.8126760273835</v>
      </c>
      <c r="I7" s="62">
        <f>UCO!I7+'Yellow Grease'!I7</f>
        <v>2408.198104757309</v>
      </c>
      <c r="J7" s="62">
        <f>UCO!J7+'Yellow Grease'!J7</f>
        <v>2257.0225695389745</v>
      </c>
      <c r="K7" s="62">
        <f>UCO!K7+'Yellow Grease'!K7</f>
        <v>2522.9911420614999</v>
      </c>
      <c r="L7" s="62">
        <f>UCO!L7+'Yellow Grease'!L7</f>
        <v>2323.45309629647</v>
      </c>
      <c r="M7" s="62">
        <f>UCO!M7+'Yellow Grease'!M7</f>
        <v>2602.4759431314451</v>
      </c>
      <c r="N7" s="62">
        <f>UCO!N7+'Yellow Grease'!N7</f>
        <v>2603.4055677877773</v>
      </c>
      <c r="O7" s="62">
        <f>UCO!O7+'Yellow Grease'!O7</f>
        <v>2656.7332674761537</v>
      </c>
      <c r="P7" s="62">
        <f>UCO!P7+'Yellow Grease'!P7</f>
        <v>2706.7227637020192</v>
      </c>
      <c r="Q7" s="62">
        <f>UCO!Q7+'Yellow Grease'!Q7</f>
        <v>2846.8964192126773</v>
      </c>
      <c r="R7" s="62">
        <f>UCO!R7+'Yellow Grease'!R7</f>
        <v>2812.6840766969444</v>
      </c>
      <c r="S7" s="62">
        <f>UCO!S7+'Yellow Grease'!S7</f>
        <v>2491.7026985080065</v>
      </c>
      <c r="T7" s="62">
        <f>UCO!T7+'Yellow Grease'!T7</f>
        <v>2584.9248395539362</v>
      </c>
      <c r="U7" s="62">
        <f>UCO!U7+'Yellow Grease'!U7</f>
        <v>2714.5338694892589</v>
      </c>
      <c r="V7" s="62">
        <f>UCO!V7+'Yellow Grease'!V7</f>
        <v>2898.6423712675369</v>
      </c>
      <c r="W7" s="62">
        <f>UCO!W7+'Yellow Grease'!W7</f>
        <v>2932.803211864657</v>
      </c>
      <c r="X7" s="62">
        <f>UCO!X7+'Yellow Grease'!X7</f>
        <v>3104.5663403180611</v>
      </c>
      <c r="Y7" s="62">
        <f>UCO!Y7+'Yellow Grease'!Y7</f>
        <v>3407.8195360672989</v>
      </c>
      <c r="Z7" s="62">
        <f>UCO!Z7+'Yellow Grease'!Z7</f>
        <v>3622.6470485197337</v>
      </c>
      <c r="AA7" s="62">
        <f>UCO!AA7+'Yellow Grease'!AA7</f>
        <v>3917.3881669173252</v>
      </c>
      <c r="AB7" s="62">
        <f>UCO!AB7+'Yellow Grease'!AB7</f>
        <v>4005.2255478423508</v>
      </c>
      <c r="AC7" s="62">
        <f>UCO!AC7+'Yellow Grease'!AC7</f>
        <v>3596.6647763554047</v>
      </c>
      <c r="AD7" s="62">
        <f>UCO!AD7+'Yellow Grease'!AD7</f>
        <v>4363.8155212941174</v>
      </c>
      <c r="AE7" s="62">
        <f>UCO!AE7+'Yellow Grease'!AE7</f>
        <v>6229.8755885882356</v>
      </c>
      <c r="AF7" s="62">
        <f>UCO!AF7+'Yellow Grease'!AF7</f>
        <v>9692.1444608235288</v>
      </c>
      <c r="AG7" s="67">
        <f>UCO!AG7+'Yellow Grease'!AG7</f>
        <v>12562.98443282353</v>
      </c>
      <c r="AH7" s="67">
        <f>UCO!AH7+'Yellow Grease'!AH7</f>
        <v>13019.416925389887</v>
      </c>
      <c r="AI7" s="67">
        <f>UCO!AI7+'Yellow Grease'!AI7</f>
        <v>15484.192105393773</v>
      </c>
      <c r="AJ7" s="67">
        <f>UCO!AJ7+'Yellow Grease'!AJ7</f>
        <v>19028.238315517217</v>
      </c>
      <c r="AK7" s="67">
        <f>UCO!AK7+'Yellow Grease'!AK7</f>
        <v>23255.689258473747</v>
      </c>
      <c r="AL7" s="67">
        <f>UCO!AL7+'Yellow Grease'!AL7</f>
        <v>29048.384532738095</v>
      </c>
      <c r="AM7" s="67">
        <f>UCO!AM7+'Yellow Grease'!AM7</f>
        <v>35569.025066398761</v>
      </c>
      <c r="AN7" s="67">
        <f>UCO!AN7+'Yellow Grease'!AN7</f>
        <v>41331.770307615108</v>
      </c>
      <c r="AO7" s="67">
        <f>UCO!AO7+'Yellow Grease'!AO7</f>
        <v>48451.262826443715</v>
      </c>
      <c r="AP7" s="67">
        <f>UCO!AP7+'Yellow Grease'!AP7</f>
        <v>55277.755490503856</v>
      </c>
      <c r="AQ7" s="67">
        <f>UCO!AQ7+'Yellow Grease'!AQ7</f>
        <v>60398.833591442264</v>
      </c>
      <c r="AR7" s="67">
        <f>UCO!AR7+'Yellow Grease'!AR7</f>
        <v>64960.420820371706</v>
      </c>
      <c r="AS7" s="67">
        <f>UCO!AS7+'Yellow Grease'!AS7</f>
        <v>69264.24852749487</v>
      </c>
      <c r="AT7" s="67">
        <f>UCO!AT7+'Yellow Grease'!AT7</f>
        <v>74792.692362943839</v>
      </c>
      <c r="AU7" s="67">
        <f>UCO!AU7+'Yellow Grease'!AU7</f>
        <v>83320.522960098984</v>
      </c>
      <c r="AV7" s="60"/>
      <c r="AW7" s="60"/>
    </row>
    <row r="8" spans="1:51" x14ac:dyDescent="0.2">
      <c r="A8" s="40"/>
      <c r="B8" s="40" t="s">
        <v>74</v>
      </c>
      <c r="C8" s="45" t="e">
        <f>UCO!C8+'Yellow Grease'!C8</f>
        <v>#REF!</v>
      </c>
      <c r="D8" s="45" t="e">
        <f>UCO!D8+'Yellow Grease'!D8</f>
        <v>#REF!</v>
      </c>
      <c r="E8" s="45" t="e">
        <f>UCO!E8+'Yellow Grease'!E8</f>
        <v>#REF!</v>
      </c>
      <c r="F8" s="45" t="e">
        <f>UCO!F8+'Yellow Grease'!F8</f>
        <v>#REF!</v>
      </c>
      <c r="G8" s="45" t="e">
        <f>UCO!G8+'Yellow Grease'!G8</f>
        <v>#REF!</v>
      </c>
      <c r="H8" s="45" t="e">
        <f>UCO!H8+'Yellow Grease'!H8</f>
        <v>#REF!</v>
      </c>
      <c r="I8" s="45" t="e">
        <f>UCO!I8+'Yellow Grease'!I8</f>
        <v>#REF!</v>
      </c>
      <c r="J8" s="45" t="e">
        <f>UCO!J8+'Yellow Grease'!J8</f>
        <v>#REF!</v>
      </c>
      <c r="K8" s="45" t="e">
        <f>UCO!K8+'Yellow Grease'!K8</f>
        <v>#REF!</v>
      </c>
      <c r="L8" s="45" t="e">
        <f>UCO!L8+'Yellow Grease'!L8</f>
        <v>#REF!</v>
      </c>
      <c r="M8" s="45" t="e">
        <f>UCO!M8+'Yellow Grease'!M8</f>
        <v>#REF!</v>
      </c>
      <c r="N8" s="45" t="e">
        <f>UCO!N8+'Yellow Grease'!N8</f>
        <v>#REF!</v>
      </c>
      <c r="O8" s="45" t="e">
        <f>UCO!O8+'Yellow Grease'!O8</f>
        <v>#REF!</v>
      </c>
      <c r="P8" s="45" t="e">
        <f>UCO!P8+'Yellow Grease'!P8</f>
        <v>#REF!</v>
      </c>
      <c r="Q8" s="45" t="e">
        <f>UCO!Q8+'Yellow Grease'!Q8</f>
        <v>#REF!</v>
      </c>
      <c r="R8" s="45" t="e">
        <f>UCO!R8+'Yellow Grease'!R8</f>
        <v>#REF!</v>
      </c>
      <c r="S8" s="45" t="e">
        <f>UCO!S8+'Yellow Grease'!S8</f>
        <v>#REF!</v>
      </c>
      <c r="T8" s="45" t="e">
        <f>UCO!T8+'Yellow Grease'!T8</f>
        <v>#REF!</v>
      </c>
      <c r="U8" s="45" t="e">
        <f>UCO!U8+'Yellow Grease'!U8</f>
        <v>#REF!</v>
      </c>
      <c r="V8" s="45" t="e">
        <f>UCO!V8+'Yellow Grease'!V8</f>
        <v>#REF!</v>
      </c>
      <c r="W8" s="45" t="e">
        <f>UCO!W8+'Yellow Grease'!W8</f>
        <v>#REF!</v>
      </c>
      <c r="X8" s="45" t="e">
        <f>UCO!X8+'Yellow Grease'!X8</f>
        <v>#REF!</v>
      </c>
      <c r="Y8" s="45" t="e">
        <f>UCO!Y8+'Yellow Grease'!Y8</f>
        <v>#REF!</v>
      </c>
      <c r="Z8" s="45" t="e">
        <f>UCO!Z8+'Yellow Grease'!Z8</f>
        <v>#REF!</v>
      </c>
      <c r="AA8" s="45" t="e">
        <f>UCO!AA8+'Yellow Grease'!AA8</f>
        <v>#REF!</v>
      </c>
      <c r="AB8" s="45">
        <f>UCO!AB8+'Yellow Grease'!AB8</f>
        <v>3357.374975842351</v>
      </c>
      <c r="AC8" s="45">
        <f>UCO!AC8+'Yellow Grease'!AC8</f>
        <v>2616.7905113554048</v>
      </c>
      <c r="AD8" s="45">
        <f>UCO!AD8+'Yellow Grease'!AD8</f>
        <v>3987.2932182941177</v>
      </c>
      <c r="AE8" s="45">
        <f>UCO!AE8+'Yellow Grease'!AE8</f>
        <v>5292.2119375882357</v>
      </c>
      <c r="AF8" s="45">
        <f>UCO!AF8+'Yellow Grease'!AF8</f>
        <v>9181.1679948235287</v>
      </c>
      <c r="AG8" s="60">
        <f>UCO!AG8+'Yellow Grease'!AG8</f>
        <v>12122.244594388087</v>
      </c>
      <c r="AH8" s="60">
        <f>UCO!AH8+'Yellow Grease'!AH8</f>
        <v>12098.184735495823</v>
      </c>
      <c r="AI8" s="60">
        <f>UCO!AI8+'Yellow Grease'!AI8</f>
        <v>14638.285221429644</v>
      </c>
      <c r="AJ8" s="60">
        <f>UCO!AJ8+'Yellow Grease'!AJ8</f>
        <v>16870.424821495802</v>
      </c>
      <c r="AK8" s="60">
        <f>UCO!AK8+'Yellow Grease'!AK8</f>
        <v>18204.173013953619</v>
      </c>
      <c r="AL8" s="60">
        <f>UCO!AL8+'Yellow Grease'!AL8</f>
        <v>22066.325171668228</v>
      </c>
      <c r="AM8" s="60">
        <f>UCO!AM8+'Yellow Grease'!AM8</f>
        <v>26507.469004817129</v>
      </c>
      <c r="AN8" s="60">
        <f>UCO!AN8+'Yellow Grease'!AN8</f>
        <v>29831.886430044178</v>
      </c>
      <c r="AO8" s="60">
        <f>UCO!AO8+'Yellow Grease'!AO8</f>
        <v>33892.668523528759</v>
      </c>
      <c r="AP8" s="60">
        <f>UCO!AP8+'Yellow Grease'!AP8</f>
        <v>36106.572134187467</v>
      </c>
      <c r="AQ8" s="60">
        <f>UCO!AQ8+'Yellow Grease'!AQ8</f>
        <v>36295.444129587006</v>
      </c>
      <c r="AR8" s="60">
        <f>UCO!AR8+'Yellow Grease'!AR8</f>
        <v>35980.364632961107</v>
      </c>
      <c r="AS8" s="60">
        <f>UCO!AS8+'Yellow Grease'!AS8</f>
        <v>36975.011956105678</v>
      </c>
      <c r="AT8" s="60">
        <f>UCO!AT8+'Yellow Grease'!AT8</f>
        <v>37719.350285507324</v>
      </c>
      <c r="AU8" s="60">
        <f>UCO!AU8+'Yellow Grease'!AU8</f>
        <v>41045.27058666126</v>
      </c>
      <c r="AV8" s="60"/>
      <c r="AW8" s="60"/>
    </row>
    <row r="9" spans="1:51" x14ac:dyDescent="0.2">
      <c r="A9" s="40"/>
      <c r="B9" s="40" t="s">
        <v>75</v>
      </c>
      <c r="C9" s="45" t="e">
        <f>UCO!C9+'Yellow Grease'!C9</f>
        <v>#REF!</v>
      </c>
      <c r="D9" s="45" t="e">
        <f>UCO!D9+'Yellow Grease'!D9</f>
        <v>#REF!</v>
      </c>
      <c r="E9" s="45" t="e">
        <f>UCO!E9+'Yellow Grease'!E9</f>
        <v>#REF!</v>
      </c>
      <c r="F9" s="45" t="e">
        <f>UCO!F9+'Yellow Grease'!F9</f>
        <v>#REF!</v>
      </c>
      <c r="G9" s="45" t="e">
        <f>UCO!G9+'Yellow Grease'!G9</f>
        <v>#REF!</v>
      </c>
      <c r="H9" s="45" t="e">
        <f>UCO!H9+'Yellow Grease'!H9</f>
        <v>#REF!</v>
      </c>
      <c r="I9" s="45" t="e">
        <f>UCO!I9+'Yellow Grease'!I9</f>
        <v>#REF!</v>
      </c>
      <c r="J9" s="45" t="e">
        <f>UCO!J9+'Yellow Grease'!J9</f>
        <v>#REF!</v>
      </c>
      <c r="K9" s="45" t="e">
        <f>UCO!K9+'Yellow Grease'!K9</f>
        <v>#REF!</v>
      </c>
      <c r="L9" s="45" t="e">
        <f>UCO!L9+'Yellow Grease'!L9</f>
        <v>#REF!</v>
      </c>
      <c r="M9" s="45" t="e">
        <f>UCO!M9+'Yellow Grease'!M9</f>
        <v>#REF!</v>
      </c>
      <c r="N9" s="45" t="e">
        <f>UCO!N9+'Yellow Grease'!N9</f>
        <v>#REF!</v>
      </c>
      <c r="O9" s="45" t="e">
        <f>UCO!O9+'Yellow Grease'!O9</f>
        <v>#REF!</v>
      </c>
      <c r="P9" s="45" t="e">
        <f>UCO!P9+'Yellow Grease'!P9</f>
        <v>#REF!</v>
      </c>
      <c r="Q9" s="45" t="e">
        <f>UCO!Q9+'Yellow Grease'!Q9</f>
        <v>#REF!</v>
      </c>
      <c r="R9" s="45" t="e">
        <f>UCO!R9+'Yellow Grease'!R9</f>
        <v>#REF!</v>
      </c>
      <c r="S9" s="45" t="e">
        <f>UCO!S9+'Yellow Grease'!S9</f>
        <v>#REF!</v>
      </c>
      <c r="T9" s="45" t="e">
        <f>UCO!T9+'Yellow Grease'!T9</f>
        <v>#REF!</v>
      </c>
      <c r="U9" s="45" t="e">
        <f>UCO!U9+'Yellow Grease'!U9</f>
        <v>#REF!</v>
      </c>
      <c r="V9" s="45" t="e">
        <f>UCO!V9+'Yellow Grease'!V9</f>
        <v>#REF!</v>
      </c>
      <c r="W9" s="45" t="e">
        <f>UCO!W9+'Yellow Grease'!W9</f>
        <v>#REF!</v>
      </c>
      <c r="X9" s="45" t="e">
        <f>UCO!X9+'Yellow Grease'!X9</f>
        <v>#REF!</v>
      </c>
      <c r="Y9" s="45" t="e">
        <f>UCO!Y9+'Yellow Grease'!Y9</f>
        <v>#REF!</v>
      </c>
      <c r="Z9" s="45" t="e">
        <f>UCO!Z9+'Yellow Grease'!Z9</f>
        <v>#REF!</v>
      </c>
      <c r="AA9" s="45" t="e">
        <f>UCO!AA9+'Yellow Grease'!AA9</f>
        <v>#REF!</v>
      </c>
      <c r="AB9" s="45">
        <f>UCO!AB9+'Yellow Grease'!AB9</f>
        <v>1896.3390131772935</v>
      </c>
      <c r="AC9" s="45">
        <f>UCO!AC9+'Yellow Grease'!AC9</f>
        <v>1434.6042401480072</v>
      </c>
      <c r="AD9" s="45">
        <f>UCO!AD9+'Yellow Grease'!AD9</f>
        <v>3175.2921307318729</v>
      </c>
      <c r="AE9" s="45">
        <f>UCO!AE9+'Yellow Grease'!AE9</f>
        <v>9269.7683912725042</v>
      </c>
      <c r="AF9" s="45">
        <f>UCO!AF9+'Yellow Grease'!AF9</f>
        <v>11102.023173802068</v>
      </c>
      <c r="AG9" s="60">
        <f>UCO!AG9+'Yellow Grease'!AG9</f>
        <v>11659.119952125044</v>
      </c>
      <c r="AH9" s="60">
        <f>UCO!AH9+'Yellow Grease'!AH9</f>
        <v>11846.582286624956</v>
      </c>
      <c r="AI9" s="60">
        <f>UCO!AI9+'Yellow Grease'!AI9</f>
        <v>13650.917843507325</v>
      </c>
      <c r="AJ9" s="60">
        <f>UCO!AJ9+'Yellow Grease'!AJ9</f>
        <v>16696.410050719613</v>
      </c>
      <c r="AK9" s="60">
        <f>UCO!AK9+'Yellow Grease'!AK9</f>
        <v>17751.089535101637</v>
      </c>
      <c r="AL9" s="60">
        <f>UCO!AL9+'Yellow Grease'!AL9</f>
        <v>21852.409411369164</v>
      </c>
      <c r="AM9" s="60">
        <f>UCO!AM9+'Yellow Grease'!AM9</f>
        <v>25880.755599232449</v>
      </c>
      <c r="AN9" s="60">
        <f>UCO!AN9+'Yellow Grease'!AN9</f>
        <v>28891.846467031508</v>
      </c>
      <c r="AO9" s="60">
        <f>UCO!AO9+'Yellow Grease'!AO9</f>
        <v>35295.217716962157</v>
      </c>
      <c r="AP9" s="60">
        <f>UCO!AP9+'Yellow Grease'!AP9</f>
        <v>34431.334710565876</v>
      </c>
      <c r="AQ9" s="60">
        <f>UCO!AQ9+'Yellow Grease'!AQ9</f>
        <v>35259.684520600858</v>
      </c>
      <c r="AR9" s="60">
        <f>UCO!AR9+'Yellow Grease'!AR9</f>
        <v>37216.45206550954</v>
      </c>
      <c r="AS9" s="60">
        <f>UCO!AS9+'Yellow Grease'!AS9</f>
        <v>34925.89820706677</v>
      </c>
      <c r="AT9" s="60">
        <f>UCO!AT9+'Yellow Grease'!AT9</f>
        <v>37350.939135894063</v>
      </c>
      <c r="AU9" s="60">
        <f>UCO!AU9+'Yellow Grease'!AU9</f>
        <v>41343.196827850123</v>
      </c>
      <c r="AV9" s="60"/>
      <c r="AW9" s="60"/>
    </row>
    <row r="10" spans="1:51" x14ac:dyDescent="0.2">
      <c r="A10" s="40"/>
      <c r="B10" s="40" t="s">
        <v>76</v>
      </c>
      <c r="C10" s="45">
        <f>UCO!C10+'Yellow Grease'!C10</f>
        <v>0</v>
      </c>
      <c r="D10" s="45">
        <f>UCO!D10+'Yellow Grease'!D10</f>
        <v>0</v>
      </c>
      <c r="E10" s="45">
        <f>UCO!E10+'Yellow Grease'!E10</f>
        <v>0</v>
      </c>
      <c r="F10" s="45">
        <f>UCO!F10+'Yellow Grease'!F10</f>
        <v>0</v>
      </c>
      <c r="G10" s="45">
        <f>UCO!G10+'Yellow Grease'!G10</f>
        <v>0</v>
      </c>
      <c r="H10" s="45">
        <f>UCO!H10+'Yellow Grease'!H10</f>
        <v>0</v>
      </c>
      <c r="I10" s="45">
        <f>UCO!I10+'Yellow Grease'!I10</f>
        <v>0</v>
      </c>
      <c r="J10" s="45">
        <f>UCO!J10+'Yellow Grease'!J10</f>
        <v>0</v>
      </c>
      <c r="K10" s="45">
        <f>UCO!K10+'Yellow Grease'!K10</f>
        <v>0</v>
      </c>
      <c r="L10" s="45">
        <f>UCO!L10+'Yellow Grease'!L10</f>
        <v>0</v>
      </c>
      <c r="M10" s="45">
        <f>UCO!M10+'Yellow Grease'!M10</f>
        <v>0</v>
      </c>
      <c r="N10" s="45">
        <f>UCO!N10+'Yellow Grease'!N10</f>
        <v>0</v>
      </c>
      <c r="O10" s="45">
        <f>UCO!O10+'Yellow Grease'!O10</f>
        <v>0</v>
      </c>
      <c r="P10" s="45">
        <f>UCO!P10+'Yellow Grease'!P10</f>
        <v>48.831527395163761</v>
      </c>
      <c r="Q10" s="45">
        <f>UCO!Q10+'Yellow Grease'!Q10</f>
        <v>116.1</v>
      </c>
      <c r="R10" s="45">
        <f>UCO!R10+'Yellow Grease'!R10</f>
        <v>264.59900000000005</v>
      </c>
      <c r="S10" s="45">
        <f>UCO!S10+'Yellow Grease'!S10</f>
        <v>244</v>
      </c>
      <c r="T10" s="45">
        <f>UCO!T10+'Yellow Grease'!T10</f>
        <v>471</v>
      </c>
      <c r="U10" s="45">
        <f>UCO!U10+'Yellow Grease'!U10</f>
        <v>672</v>
      </c>
      <c r="V10" s="45">
        <f>UCO!V10+'Yellow Grease'!V10</f>
        <v>1048</v>
      </c>
      <c r="W10" s="45">
        <f>UCO!W10+'Yellow Grease'!W10</f>
        <v>1073.9299999999998</v>
      </c>
      <c r="X10" s="45">
        <f>UCO!X10+'Yellow Grease'!X10</f>
        <v>1149.4000000000001</v>
      </c>
      <c r="Y10" s="45">
        <f>UCO!Y10+'Yellow Grease'!Y10</f>
        <v>980.59</v>
      </c>
      <c r="Z10" s="45">
        <f>UCO!Z10+'Yellow Grease'!Z10</f>
        <v>1471.36</v>
      </c>
      <c r="AA10" s="45">
        <f>UCO!AA10+'Yellow Grease'!AA10</f>
        <v>1668.3500000000004</v>
      </c>
      <c r="AB10" s="45">
        <f>UCO!AB10+'Yellow Grease'!AB10</f>
        <v>1445.48</v>
      </c>
      <c r="AC10" s="45">
        <f>UCO!AC10+'Yellow Grease'!AC10</f>
        <v>1053.5</v>
      </c>
      <c r="AD10" s="45">
        <f>UCO!AD10+'Yellow Grease'!AD10</f>
        <v>1366.4852059908173</v>
      </c>
      <c r="AE10" s="45">
        <f>UCO!AE10+'Yellow Grease'!AE10</f>
        <v>1468.8349392958312</v>
      </c>
      <c r="AF10" s="45">
        <f>UCO!AF10+'Yellow Grease'!AF10</f>
        <v>1436.4587607767298</v>
      </c>
      <c r="AG10" s="60">
        <f>UCO!AG10+'Yellow Grease'!AG10</f>
        <v>1737.9929946581544</v>
      </c>
      <c r="AH10" s="60">
        <f>UCO!AH10+'Yellow Grease'!AH10</f>
        <v>1535.554450591389</v>
      </c>
      <c r="AI10" s="60">
        <f>UCO!AI10+'Yellow Grease'!AI10</f>
        <v>1520.7704807636808</v>
      </c>
      <c r="AJ10" s="60">
        <f>UCO!AJ10+'Yellow Grease'!AJ10</f>
        <v>1604.7471165900245</v>
      </c>
      <c r="AK10" s="60">
        <f>UCO!AK10+'Yellow Grease'!AK10</f>
        <v>1228.5593145586665</v>
      </c>
      <c r="AL10" s="60">
        <f>UCO!AL10+'Yellow Grease'!AL10</f>
        <v>1244.7842469441966</v>
      </c>
      <c r="AM10" s="60">
        <f>UCO!AM10+'Yellow Grease'!AM10</f>
        <v>1312.3284939859848</v>
      </c>
      <c r="AN10" s="60">
        <f>UCO!AN10+'Yellow Grease'!AN10</f>
        <v>1385.3436470842589</v>
      </c>
      <c r="AO10" s="60">
        <f>UCO!AO10+'Yellow Grease'!AO10</f>
        <v>1540.015319787778</v>
      </c>
      <c r="AP10" s="60">
        <f>UCO!AP10+'Yellow Grease'!AP10</f>
        <v>1520.1845056028419</v>
      </c>
      <c r="AQ10" s="60">
        <f>UCO!AQ10+'Yellow Grease'!AQ10</f>
        <v>1545.6268085749273</v>
      </c>
      <c r="AR10" s="60">
        <f>UCO!AR10+'Yellow Grease'!AR10</f>
        <v>1449.6329941287863</v>
      </c>
      <c r="AS10" s="60">
        <f>UCO!AS10+'Yellow Grease'!AS10</f>
        <v>1147.8493966035205</v>
      </c>
      <c r="AT10" s="60">
        <f>UCO!AT10+'Yellow Grease'!AT10</f>
        <v>891.58673617626005</v>
      </c>
      <c r="AU10" s="60">
        <f>UCO!AU10+'Yellow Grease'!AU10</f>
        <v>887.75898760335667</v>
      </c>
      <c r="AV10" s="60"/>
      <c r="AW10" s="60"/>
    </row>
    <row r="11" spans="1:51" x14ac:dyDescent="0.2">
      <c r="A11" s="40"/>
      <c r="B11" s="40" t="s">
        <v>155</v>
      </c>
      <c r="C11" s="45">
        <f>UCO!C11+'Yellow Grease'!C11</f>
        <v>0</v>
      </c>
      <c r="D11" s="45">
        <f>UCO!D11+'Yellow Grease'!D11</f>
        <v>0</v>
      </c>
      <c r="E11" s="45">
        <f>UCO!E11+'Yellow Grease'!E11</f>
        <v>0</v>
      </c>
      <c r="F11" s="45">
        <f>UCO!F11+'Yellow Grease'!F11</f>
        <v>0</v>
      </c>
      <c r="G11" s="45">
        <f>UCO!G11+'Yellow Grease'!G11</f>
        <v>0</v>
      </c>
      <c r="H11" s="45">
        <f>UCO!H11+'Yellow Grease'!H11</f>
        <v>0</v>
      </c>
      <c r="I11" s="45">
        <f>UCO!I11+'Yellow Grease'!I11</f>
        <v>0</v>
      </c>
      <c r="J11" s="45">
        <f>UCO!J11+'Yellow Grease'!J11</f>
        <v>0</v>
      </c>
      <c r="K11" s="45">
        <f>UCO!K11+'Yellow Grease'!K11</f>
        <v>0</v>
      </c>
      <c r="L11" s="45">
        <f>UCO!L11+'Yellow Grease'!L11</f>
        <v>0</v>
      </c>
      <c r="M11" s="45">
        <f>UCO!M11+'Yellow Grease'!M11</f>
        <v>0</v>
      </c>
      <c r="N11" s="45">
        <f>UCO!N11+'Yellow Grease'!N11</f>
        <v>-18.772799999999997</v>
      </c>
      <c r="O11" s="45">
        <f>UCO!O11+'Yellow Grease'!O11</f>
        <v>-8.5437999999999992</v>
      </c>
      <c r="P11" s="45">
        <f>UCO!P11+'Yellow Grease'!P11</f>
        <v>-19.217499999999998</v>
      </c>
      <c r="Q11" s="45">
        <f>UCO!Q11+'Yellow Grease'!Q11</f>
        <v>-13.688800000000004</v>
      </c>
      <c r="R11" s="45">
        <f>UCO!R11+'Yellow Grease'!R11</f>
        <v>-54.794200000000004</v>
      </c>
      <c r="S11" s="45">
        <f>UCO!S11+'Yellow Grease'!S11</f>
        <v>-36.240400000000001</v>
      </c>
      <c r="T11" s="45">
        <f>UCO!T11+'Yellow Grease'!T11</f>
        <v>52.189032487237284</v>
      </c>
      <c r="U11" s="45">
        <f>UCO!U11+'Yellow Grease'!U11</f>
        <v>157.71599879989265</v>
      </c>
      <c r="V11" s="45">
        <f>UCO!V11+'Yellow Grease'!V11</f>
        <v>300.16474616804646</v>
      </c>
      <c r="W11" s="45">
        <f>UCO!W11+'Yellow Grease'!W11</f>
        <v>609.69117586024936</v>
      </c>
      <c r="X11" s="45">
        <f>UCO!X11+'Yellow Grease'!X11</f>
        <v>451.82206953359696</v>
      </c>
      <c r="Y11" s="45">
        <f>UCO!Y11+'Yellow Grease'!Y11</f>
        <v>437.23481721530209</v>
      </c>
      <c r="Z11" s="45">
        <f>UCO!Z11+'Yellow Grease'!Z11</f>
        <v>465.02866318556522</v>
      </c>
      <c r="AA11" s="45">
        <f>UCO!AA11+'Yellow Grease'!AA11</f>
        <v>455.8367122136861</v>
      </c>
      <c r="AB11" s="45">
        <f>UCO!AB11+'Yellow Grease'!AB11</f>
        <v>450.85901317729366</v>
      </c>
      <c r="AC11" s="45">
        <f>UCO!AC11+'Yellow Grease'!AC11</f>
        <v>381.10424014800731</v>
      </c>
      <c r="AD11" s="45">
        <f>UCO!AD11+'Yellow Grease'!AD11</f>
        <v>1808.8069247410556</v>
      </c>
      <c r="AE11" s="45">
        <f>UCO!AE11+'Yellow Grease'!AE11</f>
        <v>7800.9334519766726</v>
      </c>
      <c r="AF11" s="45">
        <f>UCO!AF11+'Yellow Grease'!AF11</f>
        <v>9665.5644130253386</v>
      </c>
      <c r="AG11" s="60">
        <f>UCO!AG11+'Yellow Grease'!AG11</f>
        <v>9921.1269574668895</v>
      </c>
      <c r="AH11" s="60">
        <f>UCO!AH11+'Yellow Grease'!AH11</f>
        <v>10311.027836033569</v>
      </c>
      <c r="AI11" s="60">
        <f>UCO!AI11+'Yellow Grease'!AI11</f>
        <v>12130.147362743643</v>
      </c>
      <c r="AJ11" s="60">
        <f>UCO!AJ11+'Yellow Grease'!AJ11</f>
        <v>15091.662934129588</v>
      </c>
      <c r="AK11" s="60">
        <f>UCO!AK11+'Yellow Grease'!AK11</f>
        <v>16522.530220542969</v>
      </c>
      <c r="AL11" s="60">
        <f>UCO!AL11+'Yellow Grease'!AL11</f>
        <v>20607.625164424968</v>
      </c>
      <c r="AM11" s="60">
        <f>UCO!AM11+'Yellow Grease'!AM11</f>
        <v>24568.427105246465</v>
      </c>
      <c r="AN11" s="60">
        <f>UCO!AN11+'Yellow Grease'!AN11</f>
        <v>27506.502819947251</v>
      </c>
      <c r="AO11" s="60">
        <f>UCO!AO11+'Yellow Grease'!AO11</f>
        <v>33755.202397174377</v>
      </c>
      <c r="AP11" s="60">
        <f>UCO!AP11+'Yellow Grease'!AP11</f>
        <v>32911.150204963029</v>
      </c>
      <c r="AQ11" s="60">
        <f>UCO!AQ11+'Yellow Grease'!AQ11</f>
        <v>33714.057712025933</v>
      </c>
      <c r="AR11" s="60">
        <f>UCO!AR11+'Yellow Grease'!AR11</f>
        <v>35766.819071380756</v>
      </c>
      <c r="AS11" s="60">
        <f>UCO!AS11+'Yellow Grease'!AS11</f>
        <v>33778.048810463253</v>
      </c>
      <c r="AT11" s="60">
        <f>UCO!AT11+'Yellow Grease'!AT11</f>
        <v>36459.352399717798</v>
      </c>
      <c r="AU11" s="60">
        <f>UCO!AU11+'Yellow Grease'!AU11</f>
        <v>40455.437840246763</v>
      </c>
      <c r="AV11" s="60"/>
      <c r="AW11" s="60"/>
    </row>
    <row r="12" spans="1:51" x14ac:dyDescent="0.2">
      <c r="A12" s="40"/>
      <c r="B12" s="40" t="s">
        <v>78</v>
      </c>
      <c r="C12" s="45">
        <f>UCO!C12+'Yellow Grease'!C12</f>
        <v>0</v>
      </c>
      <c r="D12" s="45">
        <f>UCO!D12+'Yellow Grease'!D12</f>
        <v>0</v>
      </c>
      <c r="E12" s="45">
        <f>UCO!E12+'Yellow Grease'!E12</f>
        <v>0</v>
      </c>
      <c r="F12" s="45">
        <f>UCO!F12+'Yellow Grease'!F12</f>
        <v>0</v>
      </c>
      <c r="G12" s="45">
        <f>UCO!G12+'Yellow Grease'!G12</f>
        <v>0</v>
      </c>
      <c r="H12" s="45">
        <f>UCO!H12+'Yellow Grease'!H12</f>
        <v>0</v>
      </c>
      <c r="I12" s="45">
        <f>UCO!I12+'Yellow Grease'!I12</f>
        <v>0</v>
      </c>
      <c r="J12" s="45">
        <f>UCO!J12+'Yellow Grease'!J12</f>
        <v>0</v>
      </c>
      <c r="K12" s="45">
        <f>UCO!K12+'Yellow Grease'!K12</f>
        <v>0</v>
      </c>
      <c r="L12" s="45">
        <f>UCO!L12+'Yellow Grease'!L12</f>
        <v>0</v>
      </c>
      <c r="M12" s="45">
        <f>UCO!M12+'Yellow Grease'!M12</f>
        <v>0</v>
      </c>
      <c r="N12" s="45">
        <f>UCO!N12+'Yellow Grease'!N12</f>
        <v>0</v>
      </c>
      <c r="O12" s="45">
        <f>UCO!O12+'Yellow Grease'!O12</f>
        <v>0</v>
      </c>
      <c r="P12" s="45">
        <f>UCO!P12+'Yellow Grease'!P12</f>
        <v>0</v>
      </c>
      <c r="Q12" s="45">
        <f>UCO!Q12+'Yellow Grease'!Q12</f>
        <v>0</v>
      </c>
      <c r="R12" s="45">
        <f>UCO!R12+'Yellow Grease'!R12</f>
        <v>0</v>
      </c>
      <c r="S12" s="45">
        <f>UCO!S12+'Yellow Grease'!S12</f>
        <v>0</v>
      </c>
      <c r="T12" s="45">
        <f>UCO!T12+'Yellow Grease'!T12</f>
        <v>0</v>
      </c>
      <c r="U12" s="45">
        <f>UCO!U12+'Yellow Grease'!U12</f>
        <v>0</v>
      </c>
      <c r="V12" s="45">
        <f>UCO!V12+'Yellow Grease'!V12</f>
        <v>0</v>
      </c>
      <c r="W12" s="45">
        <f>UCO!W12+'Yellow Grease'!W12</f>
        <v>0</v>
      </c>
      <c r="X12" s="45">
        <f>UCO!X12+'Yellow Grease'!X12</f>
        <v>0</v>
      </c>
      <c r="Y12" s="45">
        <f>UCO!Y12+'Yellow Grease'!Y12</f>
        <v>0</v>
      </c>
      <c r="Z12" s="45">
        <f>UCO!Z12+'Yellow Grease'!Z12</f>
        <v>0.7500000237986284</v>
      </c>
      <c r="AA12" s="45">
        <f>UCO!AA12+'Yellow Grease'!AA12</f>
        <v>2.2466108324030873</v>
      </c>
      <c r="AB12" s="45">
        <f>UCO!AB12+'Yellow Grease'!AB12</f>
        <v>1461.0359626650575</v>
      </c>
      <c r="AC12" s="45">
        <f>UCO!AC12+'Yellow Grease'!AC12</f>
        <v>1182.1862712073976</v>
      </c>
      <c r="AD12" s="45">
        <f>UCO!AD12+'Yellow Grease'!AD12</f>
        <v>812.00108756224449</v>
      </c>
      <c r="AE12" s="45">
        <f>UCO!AE12+'Yellow Grease'!AE12</f>
        <v>-3977.5564536842676</v>
      </c>
      <c r="AF12" s="45">
        <f>UCO!AF12+'Yellow Grease'!AF12</f>
        <v>-1920.8551789785399</v>
      </c>
      <c r="AG12" s="60">
        <f>UCO!AG12+'Yellow Grease'!AG12</f>
        <v>463.12464226304292</v>
      </c>
      <c r="AH12" s="60">
        <f>UCO!AH12+'Yellow Grease'!AH12</f>
        <v>251.60244887086537</v>
      </c>
      <c r="AI12" s="60">
        <f>UCO!AI12+'Yellow Grease'!AI12</f>
        <v>987.36737792231861</v>
      </c>
      <c r="AJ12" s="60">
        <f>UCO!AJ12+'Yellow Grease'!AJ12</f>
        <v>174.01477077619029</v>
      </c>
      <c r="AK12" s="60">
        <f>UCO!AK12+'Yellow Grease'!AK12</f>
        <v>453.08347885198373</v>
      </c>
      <c r="AL12" s="60">
        <f>UCO!AL12+'Yellow Grease'!AL12</f>
        <v>213.91576029906355</v>
      </c>
      <c r="AM12" s="60">
        <f>UCO!AM12+'Yellow Grease'!AM12</f>
        <v>626.71340558467955</v>
      </c>
      <c r="AN12" s="60">
        <f>UCO!AN12+'Yellow Grease'!AN12</f>
        <v>940.03996301266989</v>
      </c>
      <c r="AO12" s="60">
        <f>UCO!AO12+'Yellow Grease'!AO12</f>
        <v>-1402.5491934334032</v>
      </c>
      <c r="AP12" s="60">
        <f>UCO!AP12+'Yellow Grease'!AP12</f>
        <v>1675.2374236215928</v>
      </c>
      <c r="AQ12" s="60">
        <f>UCO!AQ12+'Yellow Grease'!AQ12</f>
        <v>1035.7596089861418</v>
      </c>
      <c r="AR12" s="60">
        <f>UCO!AR12+'Yellow Grease'!AR12</f>
        <v>-1236.0874325484283</v>
      </c>
      <c r="AS12" s="60">
        <f>UCO!AS12+'Yellow Grease'!AS12</f>
        <v>2049.1137490389065</v>
      </c>
      <c r="AT12" s="60">
        <f>UCO!AT12+'Yellow Grease'!AT12</f>
        <v>368.41114961326002</v>
      </c>
      <c r="AU12" s="60">
        <f>UCO!AU12+'Yellow Grease'!AU12</f>
        <v>-297.92624118886306</v>
      </c>
      <c r="AV12" s="60"/>
      <c r="AW12" s="60"/>
    </row>
    <row r="13" spans="1:51" x14ac:dyDescent="0.2">
      <c r="A13" s="40"/>
      <c r="B13" s="40" t="s">
        <v>79</v>
      </c>
      <c r="C13" s="45">
        <f>UCO!C13+'Yellow Grease'!C13</f>
        <v>82.296711999999999</v>
      </c>
      <c r="D13" s="45">
        <f>UCO!D13+'Yellow Grease'!D13</f>
        <v>129.36381899999998</v>
      </c>
      <c r="E13" s="45">
        <f>UCO!E13+'Yellow Grease'!E13</f>
        <v>135.00832399999999</v>
      </c>
      <c r="F13" s="45">
        <f>UCO!F13+'Yellow Grease'!F13</f>
        <v>145.56926899999999</v>
      </c>
      <c r="G13" s="45">
        <f>UCO!G13+'Yellow Grease'!G13</f>
        <v>238.13255700000002</v>
      </c>
      <c r="H13" s="45">
        <f>UCO!H13+'Yellow Grease'!H13</f>
        <v>237.040977</v>
      </c>
      <c r="I13" s="45">
        <f>UCO!I13+'Yellow Grease'!I13</f>
        <v>215.89707100000004</v>
      </c>
      <c r="J13" s="45">
        <f>UCO!J13+'Yellow Grease'!J13</f>
        <v>211.13391199999998</v>
      </c>
      <c r="K13" s="45">
        <f>UCO!K13+'Yellow Grease'!K13</f>
        <v>304.86914899999999</v>
      </c>
      <c r="L13" s="45">
        <f>UCO!L13+'Yellow Grease'!L13</f>
        <v>239.24703300000004</v>
      </c>
      <c r="M13" s="45">
        <f>UCO!M13+'Yellow Grease'!M13</f>
        <v>373.27418299999999</v>
      </c>
      <c r="N13" s="45">
        <f>UCO!N13+'Yellow Grease'!N13</f>
        <v>325.60384000000005</v>
      </c>
      <c r="O13" s="45">
        <f>UCO!O13+'Yellow Grease'!O13</f>
        <v>388.29913599999998</v>
      </c>
      <c r="P13" s="45">
        <f>UCO!P13+'Yellow Grease'!P13</f>
        <v>374.46509200000003</v>
      </c>
      <c r="Q13" s="45">
        <f>UCO!Q13+'Yellow Grease'!Q13</f>
        <v>482.06496600000003</v>
      </c>
      <c r="R13" s="45">
        <f>UCO!R13+'Yellow Grease'!R13</f>
        <v>539.66858499999989</v>
      </c>
      <c r="S13" s="45">
        <f>UCO!S13+'Yellow Grease'!S13</f>
        <v>592.43182599999989</v>
      </c>
      <c r="T13" s="45">
        <f>UCO!T13+'Yellow Grease'!T13</f>
        <v>630.56738600000006</v>
      </c>
      <c r="U13" s="45">
        <f>UCO!U13+'Yellow Grease'!U13</f>
        <v>205.83401900000001</v>
      </c>
      <c r="V13" s="45">
        <f>UCO!V13+'Yellow Grease'!V13</f>
        <v>193.28955000000002</v>
      </c>
      <c r="W13" s="45">
        <f>UCO!W13+'Yellow Grease'!W13</f>
        <v>201.59516200000002</v>
      </c>
      <c r="X13" s="45">
        <f>UCO!X13+'Yellow Grease'!X13</f>
        <v>138.19300300000003</v>
      </c>
      <c r="Y13" s="45">
        <f>UCO!Y13+'Yellow Grease'!Y13</f>
        <v>223.81952699999999</v>
      </c>
      <c r="Z13" s="45">
        <f>UCO!Z13+'Yellow Grease'!Z13</f>
        <v>224.76899099999997</v>
      </c>
      <c r="AA13" s="45">
        <f>UCO!AA13+'Yellow Grease'!AA13</f>
        <v>359.19377399999996</v>
      </c>
      <c r="AB13" s="45">
        <f>UCO!AB13+'Yellow Grease'!AB13</f>
        <v>557.23057199999994</v>
      </c>
      <c r="AC13" s="45">
        <f>UCO!AC13+'Yellow Grease'!AC13</f>
        <v>891.58256500000005</v>
      </c>
      <c r="AD13" s="45">
        <f>UCO!AD13+'Yellow Grease'!AD13</f>
        <v>285.573803</v>
      </c>
      <c r="AE13" s="45">
        <f>UCO!AE13+'Yellow Grease'!AE13</f>
        <v>839.52235100000007</v>
      </c>
      <c r="AF13" s="45">
        <f>UCO!AF13+'Yellow Grease'!AF13</f>
        <v>408.76446599999997</v>
      </c>
      <c r="AG13" s="60">
        <f>UCO!AG13+'Yellow Grease'!AG13</f>
        <v>344.73783843544379</v>
      </c>
      <c r="AH13" s="60">
        <f>UCO!AH13+'Yellow Grease'!AH13</f>
        <v>193.93125704272327</v>
      </c>
      <c r="AI13" s="60">
        <f>UCO!AI13+'Yellow Grease'!AI13</f>
        <v>197.94522066967767</v>
      </c>
      <c r="AJ13" s="60">
        <f>UCO!AJ13+'Yellow Grease'!AJ13</f>
        <v>154.51655816501105</v>
      </c>
      <c r="AK13" s="60">
        <f>UCO!AK13+'Yellow Grease'!AK13</f>
        <v>148.82551415657031</v>
      </c>
      <c r="AL13" s="60">
        <f>UCO!AL13+'Yellow Grease'!AL13</f>
        <v>119.53440842534911</v>
      </c>
      <c r="AM13" s="60">
        <f>UCO!AM13+'Yellow Grease'!AM13</f>
        <v>101.82297032213512</v>
      </c>
      <c r="AN13" s="60">
        <f>UCO!AN13+'Yellow Grease'!AN13</f>
        <v>98.901905956832209</v>
      </c>
      <c r="AO13" s="60">
        <f>UCO!AO13+'Yellow Grease'!AO13</f>
        <v>99.778140601920882</v>
      </c>
      <c r="AP13" s="60">
        <f>UCO!AP13+'Yellow Grease'!AP13</f>
        <v>98.759981583938327</v>
      </c>
      <c r="AQ13" s="60">
        <f>UCO!AQ13+'Yellow Grease'!AQ13</f>
        <v>101.15973745573493</v>
      </c>
      <c r="AR13" s="60">
        <f>UCO!AR13+'Yellow Grease'!AR13</f>
        <v>100.04003646880196</v>
      </c>
      <c r="AS13" s="60">
        <f>UCO!AS13+'Yellow Grease'!AS13</f>
        <v>100.0845471841123</v>
      </c>
      <c r="AT13" s="60">
        <f>UCO!AT13+'Yellow Grease'!AT13</f>
        <v>99.727960413445672</v>
      </c>
      <c r="AU13" s="60">
        <f>UCO!AU13+'Yellow Grease'!AU13</f>
        <v>99.964488658901686</v>
      </c>
      <c r="AV13" s="60"/>
      <c r="AW13" s="60"/>
    </row>
    <row r="14" spans="1:51" x14ac:dyDescent="0.2">
      <c r="A14" s="40"/>
      <c r="B14" s="61" t="s">
        <v>80</v>
      </c>
      <c r="C14" s="62" t="e">
        <f>UCO!C14+'Yellow Grease'!C14</f>
        <v>#REF!</v>
      </c>
      <c r="D14" s="62" t="e">
        <f>UCO!D14+'Yellow Grease'!D14</f>
        <v>#REF!</v>
      </c>
      <c r="E14" s="62" t="e">
        <f>UCO!E14+'Yellow Grease'!E14</f>
        <v>#REF!</v>
      </c>
      <c r="F14" s="62" t="e">
        <f>UCO!F14+'Yellow Grease'!F14</f>
        <v>#REF!</v>
      </c>
      <c r="G14" s="62" t="e">
        <f>UCO!G14+'Yellow Grease'!G14</f>
        <v>#REF!</v>
      </c>
      <c r="H14" s="62" t="e">
        <f>UCO!H14+'Yellow Grease'!H14</f>
        <v>#REF!</v>
      </c>
      <c r="I14" s="62" t="e">
        <f>UCO!I14+'Yellow Grease'!I14</f>
        <v>#REF!</v>
      </c>
      <c r="J14" s="62" t="e">
        <f>UCO!J14+'Yellow Grease'!J14</f>
        <v>#REF!</v>
      </c>
      <c r="K14" s="62" t="e">
        <f>UCO!K14+'Yellow Grease'!K14</f>
        <v>#REF!</v>
      </c>
      <c r="L14" s="62" t="e">
        <f>UCO!L14+'Yellow Grease'!L14</f>
        <v>#REF!</v>
      </c>
      <c r="M14" s="62" t="e">
        <f>UCO!M14+'Yellow Grease'!M14</f>
        <v>#REF!</v>
      </c>
      <c r="N14" s="62" t="e">
        <f>UCO!N14+'Yellow Grease'!N14</f>
        <v>#REF!</v>
      </c>
      <c r="O14" s="62" t="e">
        <f>UCO!O14+'Yellow Grease'!O14</f>
        <v>#REF!</v>
      </c>
      <c r="P14" s="62" t="e">
        <f>UCO!P14+'Yellow Grease'!P14</f>
        <v>#REF!</v>
      </c>
      <c r="Q14" s="62" t="e">
        <f>UCO!Q14+'Yellow Grease'!Q14</f>
        <v>#REF!</v>
      </c>
      <c r="R14" s="62" t="e">
        <f>UCO!R14+'Yellow Grease'!R14</f>
        <v>#REF!</v>
      </c>
      <c r="S14" s="62" t="e">
        <f>UCO!S14+'Yellow Grease'!S14</f>
        <v>#REF!</v>
      </c>
      <c r="T14" s="62" t="e">
        <f>UCO!T14+'Yellow Grease'!T14</f>
        <v>#REF!</v>
      </c>
      <c r="U14" s="62" t="e">
        <f>UCO!U14+'Yellow Grease'!U14</f>
        <v>#REF!</v>
      </c>
      <c r="V14" s="62" t="e">
        <f>UCO!V14+'Yellow Grease'!V14</f>
        <v>#REF!</v>
      </c>
      <c r="W14" s="62" t="e">
        <f>UCO!W14+'Yellow Grease'!W14</f>
        <v>#REF!</v>
      </c>
      <c r="X14" s="62" t="e">
        <f>UCO!X14+'Yellow Grease'!X14</f>
        <v>#REF!</v>
      </c>
      <c r="Y14" s="62" t="e">
        <f>UCO!Y14+'Yellow Grease'!Y14</f>
        <v>#REF!</v>
      </c>
      <c r="Z14" s="62" t="e">
        <f>UCO!Z14+'Yellow Grease'!Z14</f>
        <v>#REF!</v>
      </c>
      <c r="AA14" s="62" t="e">
        <f>UCO!AA14+'Yellow Grease'!AA14</f>
        <v>#REF!</v>
      </c>
      <c r="AB14" s="62">
        <f>UCO!AB14+'Yellow Grease'!AB14</f>
        <v>3914.6055478423509</v>
      </c>
      <c r="AC14" s="62">
        <f>UCO!AC14+'Yellow Grease'!AC14</f>
        <v>3508.3730763554049</v>
      </c>
      <c r="AD14" s="62">
        <f>UCO!AD14+'Yellow Grease'!AD14</f>
        <v>4272.8670212941179</v>
      </c>
      <c r="AE14" s="62">
        <f>UCO!AE14+'Yellow Grease'!AE14</f>
        <v>6131.7342885882354</v>
      </c>
      <c r="AF14" s="62">
        <f>UCO!AF14+'Yellow Grease'!AF14</f>
        <v>9589.9324608235293</v>
      </c>
      <c r="AG14" s="67">
        <f>UCO!AG14+'Yellow Grease'!AG14</f>
        <v>12466.98243282353</v>
      </c>
      <c r="AH14" s="67">
        <f>UCO!AH14+'Yellow Grease'!AH14</f>
        <v>12292.115992538545</v>
      </c>
      <c r="AI14" s="67">
        <f>UCO!AI14+'Yellow Grease'!AI14</f>
        <v>14836.23044209932</v>
      </c>
      <c r="AJ14" s="67">
        <f>UCO!AJ14+'Yellow Grease'!AJ14</f>
        <v>17024.941379660813</v>
      </c>
      <c r="AK14" s="67">
        <f>UCO!AK14+'Yellow Grease'!AK14</f>
        <v>18352.998528110191</v>
      </c>
      <c r="AL14" s="67">
        <f>UCO!AL14+'Yellow Grease'!AL14</f>
        <v>22185.859580093576</v>
      </c>
      <c r="AM14" s="67">
        <f>UCO!AM14+'Yellow Grease'!AM14</f>
        <v>26609.291975139266</v>
      </c>
      <c r="AN14" s="67">
        <f>UCO!AN14+'Yellow Grease'!AN14</f>
        <v>29930.788336001009</v>
      </c>
      <c r="AO14" s="67">
        <f>UCO!AO14+'Yellow Grease'!AO14</f>
        <v>33992.446664130679</v>
      </c>
      <c r="AP14" s="67">
        <f>UCO!AP14+'Yellow Grease'!AP14</f>
        <v>36205.332115771409</v>
      </c>
      <c r="AQ14" s="67">
        <f>UCO!AQ14+'Yellow Grease'!AQ14</f>
        <v>36396.603867042737</v>
      </c>
      <c r="AR14" s="67">
        <f>UCO!AR14+'Yellow Grease'!AR14</f>
        <v>36080.404669429918</v>
      </c>
      <c r="AS14" s="67">
        <f>UCO!AS14+'Yellow Grease'!AS14</f>
        <v>37075.096503289795</v>
      </c>
      <c r="AT14" s="67">
        <f>UCO!AT14+'Yellow Grease'!AT14</f>
        <v>37819.078245920769</v>
      </c>
      <c r="AU14" s="67">
        <f>UCO!AU14+'Yellow Grease'!AU14</f>
        <v>41145.235075320161</v>
      </c>
      <c r="AV14" s="60"/>
      <c r="AW14" s="60"/>
    </row>
    <row r="15" spans="1:51" ht="12" thickBot="1" x14ac:dyDescent="0.25">
      <c r="A15" s="40"/>
      <c r="B15" s="40" t="s">
        <v>81</v>
      </c>
      <c r="C15" s="45">
        <f>UCO!C15+'Yellow Grease'!C15</f>
        <v>236.31316498900708</v>
      </c>
      <c r="D15" s="45">
        <f>UCO!D15+'Yellow Grease'!D15</f>
        <v>197.03794352404188</v>
      </c>
      <c r="E15" s="45">
        <f>UCO!E15+'Yellow Grease'!E15</f>
        <v>192.1660608071075</v>
      </c>
      <c r="F15" s="45">
        <f>UCO!F15+'Yellow Grease'!F15</f>
        <v>209.57230627710078</v>
      </c>
      <c r="G15" s="45">
        <f>UCO!G15+'Yellow Grease'!G15</f>
        <v>223.15591537447034</v>
      </c>
      <c r="H15" s="45">
        <f>UCO!H15+'Yellow Grease'!H15</f>
        <v>192.99117449892015</v>
      </c>
      <c r="I15" s="45">
        <f>UCO!I15+'Yellow Grease'!I15</f>
        <v>178.11780082328943</v>
      </c>
      <c r="J15" s="45">
        <f>UCO!J15+'Yellow Grease'!J15</f>
        <v>203.86729950254175</v>
      </c>
      <c r="K15" s="45">
        <f>UCO!K15+'Yellow Grease'!K15</f>
        <v>171.8167406508343</v>
      </c>
      <c r="L15" s="45">
        <f>UCO!L15+'Yellow Grease'!L15</f>
        <v>180.23040844792934</v>
      </c>
      <c r="M15" s="45">
        <f>UCO!M15+'Yellow Grease'!M15</f>
        <v>198.70900013624635</v>
      </c>
      <c r="N15" s="45">
        <f>UCO!N15+'Yellow Grease'!N15</f>
        <v>190.45521898983591</v>
      </c>
      <c r="O15" s="45">
        <f>UCO!O15+'Yellow Grease'!O15</f>
        <v>182.14237868233488</v>
      </c>
      <c r="P15" s="45">
        <f>UCO!P15+'Yellow Grease'!P15</f>
        <v>165.67516722607303</v>
      </c>
      <c r="Q15" s="45">
        <f>UCO!Q15+'Yellow Grease'!Q15</f>
        <v>252.18239380757538</v>
      </c>
      <c r="R15" s="45">
        <f>UCO!R15+'Yellow Grease'!R15</f>
        <v>135.04810840900689</v>
      </c>
      <c r="S15" s="45">
        <f>UCO!S15+'Yellow Grease'!S15</f>
        <v>113.46789968262939</v>
      </c>
      <c r="T15" s="45">
        <f>UCO!T15+'Yellow Grease'!T15</f>
        <v>135.50939099540105</v>
      </c>
      <c r="U15" s="45">
        <f>UCO!U15+'Yellow Grease'!U15</f>
        <v>183.58635725058565</v>
      </c>
      <c r="V15" s="45">
        <f>UCO!V15+'Yellow Grease'!V15</f>
        <v>99.219809545970932</v>
      </c>
      <c r="W15" s="45">
        <f>UCO!W15+'Yellow Grease'!W15</f>
        <v>101.85163971898167</v>
      </c>
      <c r="X15" s="45">
        <f>UCO!X15+'Yellow Grease'!X15</f>
        <v>157.12107505270802</v>
      </c>
      <c r="Y15" s="45">
        <f>UCO!Y15+'Yellow Grease'!Y15</f>
        <v>117.34819223108502</v>
      </c>
      <c r="Z15" s="45">
        <f>UCO!Z15+'Yellow Grease'!Z15</f>
        <v>120.0662104580111</v>
      </c>
      <c r="AA15" s="45">
        <f>UCO!AA15+'Yellow Grease'!AA15</f>
        <v>76.722915200396031</v>
      </c>
      <c r="AB15" s="45">
        <f>UCO!AB15+'Yellow Grease'!AB15</f>
        <v>90.62</v>
      </c>
      <c r="AC15" s="45">
        <f>UCO!AC15+'Yellow Grease'!AC15</f>
        <v>88.291700000000006</v>
      </c>
      <c r="AD15" s="45">
        <f>UCO!AD15+'Yellow Grease'!AD15</f>
        <v>90.948499999999996</v>
      </c>
      <c r="AE15" s="45">
        <f>UCO!AE15+'Yellow Grease'!AE15</f>
        <v>98.141300000000001</v>
      </c>
      <c r="AF15" s="45">
        <f>UCO!AF15+'Yellow Grease'!AF15</f>
        <v>102.212</v>
      </c>
      <c r="AG15" s="60">
        <f>UCO!AG15+'Yellow Grease'!AG15</f>
        <v>96.00200000000001</v>
      </c>
      <c r="AH15" s="60">
        <f>UCO!AH15+'Yellow Grease'!AH15</f>
        <v>727.30093285134228</v>
      </c>
      <c r="AI15" s="60">
        <f>UCO!AI15+'Yellow Grease'!AI15</f>
        <v>647.9616632944535</v>
      </c>
      <c r="AJ15" s="60">
        <f>UCO!AJ15+'Yellow Grease'!AJ15</f>
        <v>2003.2969358564046</v>
      </c>
      <c r="AK15" s="60">
        <f>UCO!AK15+'Yellow Grease'!AK15</f>
        <v>4902.6907303635571</v>
      </c>
      <c r="AL15" s="60">
        <f>UCO!AL15+'Yellow Grease'!AL15</f>
        <v>6862.5249526445177</v>
      </c>
      <c r="AM15" s="60">
        <f>UCO!AM15+'Yellow Grease'!AM15</f>
        <v>8959.7330912594916</v>
      </c>
      <c r="AN15" s="60">
        <f>UCO!AN15+'Yellow Grease'!AN15</f>
        <v>11400.981971614097</v>
      </c>
      <c r="AO15" s="60">
        <f>UCO!AO15+'Yellow Grease'!AO15</f>
        <v>14458.81616231304</v>
      </c>
      <c r="AP15" s="60">
        <f>UCO!AP15+'Yellow Grease'!AP15</f>
        <v>19072.423374732451</v>
      </c>
      <c r="AQ15" s="60">
        <f>UCO!AQ15+'Yellow Grease'!AQ15</f>
        <v>24002.229724399524</v>
      </c>
      <c r="AR15" s="60">
        <f>UCO!AR15+'Yellow Grease'!AR15</f>
        <v>28880.016150941792</v>
      </c>
      <c r="AS15" s="60">
        <f>UCO!AS15+'Yellow Grease'!AS15</f>
        <v>32189.152024205086</v>
      </c>
      <c r="AT15" s="60">
        <f>UCO!AT15+'Yellow Grease'!AT15</f>
        <v>36973.614117023069</v>
      </c>
      <c r="AU15" s="60">
        <f>UCO!AU15+'Yellow Grease'!AU15</f>
        <v>42175.287884778831</v>
      </c>
      <c r="AV15" s="60"/>
      <c r="AW15" s="60"/>
    </row>
    <row r="16" spans="1:51" x14ac:dyDescent="0.2">
      <c r="A16" s="40"/>
      <c r="B16" s="49" t="s">
        <v>174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76"/>
      <c r="Z16" s="76"/>
      <c r="AA16" s="76"/>
      <c r="AB16" s="76"/>
      <c r="AC16" s="77"/>
      <c r="AD16" s="77"/>
      <c r="AE16" s="77"/>
      <c r="AF16" s="78"/>
      <c r="AG16" s="77"/>
      <c r="AH16" s="77"/>
      <c r="AI16" s="77"/>
      <c r="AJ16" s="77"/>
      <c r="AK16" s="77"/>
      <c r="AL16" s="77"/>
      <c r="AM16" s="77"/>
      <c r="AN16" s="77"/>
      <c r="AO16" s="49"/>
      <c r="AP16" s="49"/>
      <c r="AQ16" s="49"/>
      <c r="AR16" s="49"/>
      <c r="AS16" s="49"/>
      <c r="AT16" s="49"/>
      <c r="AU16" s="49"/>
      <c r="AV16" s="40"/>
      <c r="AW16" s="40"/>
    </row>
    <row r="17" spans="1:49" x14ac:dyDescent="0.2">
      <c r="A17" s="40"/>
      <c r="B17" s="40" t="s">
        <v>175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79">
        <f>'Yellow Grease'!Y16</f>
        <v>8.4021000000000008</v>
      </c>
      <c r="Z17" s="79">
        <f>'Yellow Grease'!Z16</f>
        <v>8.5382999999999996</v>
      </c>
      <c r="AA17" s="79">
        <f>'Yellow Grease'!AA16</f>
        <v>9.4139999999999997</v>
      </c>
      <c r="AB17" s="79">
        <f>'Yellow Grease'!AB16</f>
        <v>21.278849999999998</v>
      </c>
      <c r="AC17" s="79">
        <f>'Yellow Grease'!AC16</f>
        <v>22.160699999999999</v>
      </c>
      <c r="AD17" s="79">
        <f>'Yellow Grease'!AD16</f>
        <v>42.762500000000003</v>
      </c>
      <c r="AE17" s="79">
        <f>'Yellow Grease'!AE16</f>
        <v>60.5</v>
      </c>
      <c r="AF17" s="79">
        <f>'Yellow Grease'!AF16</f>
        <v>47.079549999999998</v>
      </c>
      <c r="AG17" s="80">
        <f>'Yellow Grease'!AG16</f>
        <v>35</v>
      </c>
      <c r="AH17" s="80">
        <f>'Yellow Grease'!AH16</f>
        <v>38.25</v>
      </c>
      <c r="AI17" s="80">
        <f>'Yellow Grease'!AI16</f>
        <v>33</v>
      </c>
      <c r="AJ17" s="80">
        <f>'Yellow Grease'!AJ16</f>
        <v>34.375</v>
      </c>
      <c r="AK17" s="80">
        <f>'Yellow Grease'!AK16</f>
        <v>32</v>
      </c>
      <c r="AL17" s="80">
        <f>'Yellow Grease'!AL16</f>
        <v>33.75</v>
      </c>
      <c r="AM17" s="80">
        <f>'Yellow Grease'!AM16</f>
        <v>37.875</v>
      </c>
      <c r="AN17" s="80">
        <f>'Yellow Grease'!AN16</f>
        <v>32.5</v>
      </c>
      <c r="AO17" s="80">
        <f>'Yellow Grease'!AO16</f>
        <v>32.375</v>
      </c>
      <c r="AP17" s="80">
        <f>'Yellow Grease'!AP16</f>
        <v>40.75</v>
      </c>
      <c r="AQ17" s="80">
        <f>'Yellow Grease'!AQ16</f>
        <v>43.625</v>
      </c>
      <c r="AR17" s="40"/>
      <c r="AS17" s="40"/>
      <c r="AT17" s="40"/>
      <c r="AU17" s="40"/>
      <c r="AV17" s="40"/>
      <c r="AW17" s="40"/>
    </row>
    <row r="18" spans="1:49" x14ac:dyDescent="0.2">
      <c r="A18" s="40"/>
      <c r="B18" s="40" t="s">
        <v>176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79">
        <f>UCO!Y16</f>
        <v>75.618899999999996</v>
      </c>
      <c r="Z18" s="79">
        <f>UCO!Z16</f>
        <v>76.844700000000003</v>
      </c>
      <c r="AA18" s="79">
        <f>UCO!AA16</f>
        <v>84.725999999999999</v>
      </c>
      <c r="AB18" s="79">
        <f>UCO!AB16</f>
        <v>24.5</v>
      </c>
      <c r="AC18" s="79">
        <f>UCO!AC16</f>
        <v>26</v>
      </c>
      <c r="AD18" s="79">
        <f>UCO!AD16</f>
        <v>51.593049999999998</v>
      </c>
      <c r="AE18" s="79">
        <f>UCO!AE16</f>
        <v>65.592261904761898</v>
      </c>
      <c r="AF18" s="79">
        <f>UCO!AF16</f>
        <v>49.052489177489178</v>
      </c>
      <c r="AG18" s="80">
        <f>UCO!AG16</f>
        <v>36.586956521739125</v>
      </c>
      <c r="AH18" s="80">
        <f>UCO!AH16</f>
        <v>40.75</v>
      </c>
      <c r="AI18" s="80">
        <f>UCO!AI16</f>
        <v>40.75</v>
      </c>
      <c r="AJ18" s="80">
        <f>UCO!AJ16</f>
        <v>38.375</v>
      </c>
      <c r="AK18" s="80">
        <f>UCO!AK16</f>
        <v>37.75</v>
      </c>
      <c r="AL18" s="80">
        <f>UCO!AL16</f>
        <v>38.75</v>
      </c>
      <c r="AM18" s="80">
        <f>UCO!AM16</f>
        <v>43.125</v>
      </c>
      <c r="AN18" s="80">
        <f>UCO!AN16</f>
        <v>36.375</v>
      </c>
      <c r="AO18" s="80">
        <f>UCO!AO16</f>
        <v>36.125</v>
      </c>
      <c r="AP18" s="80">
        <f>UCO!AP16</f>
        <v>49.875</v>
      </c>
      <c r="AQ18" s="80">
        <f>UCO!AQ16</f>
        <v>53.125</v>
      </c>
      <c r="AR18" s="40"/>
      <c r="AS18" s="40"/>
      <c r="AT18" s="40"/>
      <c r="AU18" s="40"/>
      <c r="AV18" s="40"/>
      <c r="AW18" s="40"/>
    </row>
    <row r="19" spans="1:49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8096-00F8-4E5E-A1AD-411B91A3E917}">
  <dimension ref="A1:BI34"/>
  <sheetViews>
    <sheetView zoomScaleNormal="100" workbookViewId="0">
      <pane xSplit="2" ySplit="3" topLeftCell="AB4" activePane="bottomRight" state="frozen"/>
      <selection activeCell="M14" sqref="M14"/>
      <selection pane="topRight" activeCell="M14" sqref="M14"/>
      <selection pane="bottomLeft" activeCell="M14" sqref="M14"/>
      <selection pane="bottomRight" activeCell="M14" sqref="M14"/>
    </sheetView>
  </sheetViews>
  <sheetFormatPr defaultColWidth="9" defaultRowHeight="11.25" x14ac:dyDescent="0.2"/>
  <cols>
    <col min="1" max="1" width="4.1640625" style="41" customWidth="1"/>
    <col min="2" max="2" width="58.33203125" style="41" customWidth="1"/>
    <col min="3" max="27" width="9" style="41" hidden="1" customWidth="1"/>
    <col min="28" max="28" width="9" style="41" customWidth="1"/>
    <col min="29" max="37" width="9.1640625" style="41" bestFit="1" customWidth="1"/>
    <col min="38" max="40" width="10.83203125" style="41" bestFit="1" customWidth="1"/>
    <col min="41" max="49" width="9" style="41" customWidth="1"/>
    <col min="50" max="16384" width="9" style="41"/>
  </cols>
  <sheetData>
    <row r="1" spans="1:6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61" ht="12" thickBot="1" x14ac:dyDescent="0.25">
      <c r="A2" s="40"/>
      <c r="B2" s="40" t="s">
        <v>177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 spans="1:61" ht="12" thickBot="1" x14ac:dyDescent="0.25">
      <c r="A3" s="40"/>
      <c r="B3" s="58"/>
      <c r="C3" s="44">
        <f>SBO!C3</f>
        <v>1994</v>
      </c>
      <c r="D3" s="44">
        <f>SBO!D3</f>
        <v>1995</v>
      </c>
      <c r="E3" s="44">
        <f>SBO!E3</f>
        <v>1996</v>
      </c>
      <c r="F3" s="44">
        <f>SBO!F3</f>
        <v>1997</v>
      </c>
      <c r="G3" s="44">
        <f>SBO!G3</f>
        <v>1998</v>
      </c>
      <c r="H3" s="44">
        <f>SBO!H3</f>
        <v>1999</v>
      </c>
      <c r="I3" s="44">
        <f>SBO!I3</f>
        <v>2000</v>
      </c>
      <c r="J3" s="44">
        <f>SBO!J3</f>
        <v>2001</v>
      </c>
      <c r="K3" s="44">
        <f>SBO!K3</f>
        <v>2002</v>
      </c>
      <c r="L3" s="44">
        <f>SBO!L3</f>
        <v>2003</v>
      </c>
      <c r="M3" s="44">
        <f>SBO!M3</f>
        <v>2004</v>
      </c>
      <c r="N3" s="44">
        <f>SBO!N3</f>
        <v>2005</v>
      </c>
      <c r="O3" s="44">
        <f>SBO!O3</f>
        <v>2006</v>
      </c>
      <c r="P3" s="44">
        <f>SBO!P3</f>
        <v>2007</v>
      </c>
      <c r="Q3" s="44">
        <f>SBO!Q3</f>
        <v>2008</v>
      </c>
      <c r="R3" s="44">
        <f>SBO!R3</f>
        <v>2009</v>
      </c>
      <c r="S3" s="44">
        <f>SBO!S3</f>
        <v>2010</v>
      </c>
      <c r="T3" s="44">
        <f>SBO!T3</f>
        <v>2011</v>
      </c>
      <c r="U3" s="44">
        <f>SBO!U3</f>
        <v>2012</v>
      </c>
      <c r="V3" s="44">
        <f>SBO!V3</f>
        <v>2013</v>
      </c>
      <c r="W3" s="44">
        <f>SBO!W3</f>
        <v>2014</v>
      </c>
      <c r="X3" s="44">
        <f>SBO!X3</f>
        <v>2015</v>
      </c>
      <c r="Y3" s="44">
        <f>SBO!Y3</f>
        <v>2016</v>
      </c>
      <c r="Z3" s="44">
        <f>SBO!Z3</f>
        <v>2017</v>
      </c>
      <c r="AA3" s="44">
        <f>SBO!AA3</f>
        <v>2018</v>
      </c>
      <c r="AB3" s="44">
        <f>SBO!AB3</f>
        <v>2019</v>
      </c>
      <c r="AC3" s="44">
        <f>SBO!AC3</f>
        <v>2020</v>
      </c>
      <c r="AD3" s="44">
        <f>SBO!AD3</f>
        <v>2021</v>
      </c>
      <c r="AE3" s="44">
        <f>SBO!AE3</f>
        <v>2022</v>
      </c>
      <c r="AF3" s="44">
        <f>SBO!AF3</f>
        <v>2023</v>
      </c>
      <c r="AG3" s="44">
        <f>SBO!AG3</f>
        <v>2024</v>
      </c>
      <c r="AH3" s="44">
        <f>SBO!AH3</f>
        <v>2025</v>
      </c>
      <c r="AI3" s="44">
        <f>SBO!AI3</f>
        <v>2026</v>
      </c>
      <c r="AJ3" s="44">
        <f>SBO!AJ3</f>
        <v>2027</v>
      </c>
      <c r="AK3" s="44">
        <f>SBO!AK3</f>
        <v>2028</v>
      </c>
      <c r="AL3" s="44">
        <f>SBO!AL3</f>
        <v>2029</v>
      </c>
      <c r="AM3" s="44">
        <f>SBO!AM3</f>
        <v>2030</v>
      </c>
      <c r="AN3" s="44">
        <f>SBO!AN3</f>
        <v>2031</v>
      </c>
      <c r="AO3" s="44">
        <f>SBO!AO3</f>
        <v>2032</v>
      </c>
      <c r="AP3" s="44">
        <f>SBO!AP3</f>
        <v>2033</v>
      </c>
      <c r="AQ3" s="44">
        <f>SBO!AQ3</f>
        <v>2034</v>
      </c>
      <c r="AR3" s="44">
        <f>SBO!AR3</f>
        <v>2035</v>
      </c>
      <c r="AS3" s="44">
        <f>SBO!AS3</f>
        <v>2036</v>
      </c>
      <c r="AT3" s="44">
        <f>SBO!AT3</f>
        <v>2037</v>
      </c>
      <c r="AU3" s="44">
        <f>SBO!AU3</f>
        <v>2038</v>
      </c>
      <c r="AV3" s="44">
        <f>SBO!AV3</f>
        <v>2039</v>
      </c>
      <c r="AW3" s="44">
        <f>SBO!AW3</f>
        <v>2040</v>
      </c>
      <c r="AX3" s="44">
        <f>SBO!AX3</f>
        <v>2041</v>
      </c>
      <c r="AY3" s="44">
        <f>SBO!AY3</f>
        <v>2042</v>
      </c>
      <c r="AZ3" s="44">
        <f>SBO!AZ3</f>
        <v>2043</v>
      </c>
      <c r="BA3" s="44">
        <f>SBO!BA3</f>
        <v>2044</v>
      </c>
      <c r="BB3" s="44">
        <f>SBO!BB3</f>
        <v>2045</v>
      </c>
      <c r="BC3" s="44">
        <f>SBO!BC3</f>
        <v>2046</v>
      </c>
      <c r="BD3" s="44">
        <f>SBO!BD3</f>
        <v>2047</v>
      </c>
      <c r="BE3" s="44">
        <f>SBO!BE3</f>
        <v>2048</v>
      </c>
      <c r="BF3" s="44">
        <f>SBO!BF3</f>
        <v>2049</v>
      </c>
      <c r="BG3" s="44">
        <f>SBO!BG3</f>
        <v>2050</v>
      </c>
    </row>
    <row r="4" spans="1:61" x14ac:dyDescent="0.2">
      <c r="A4" s="40"/>
      <c r="B4" s="40" t="s">
        <v>70</v>
      </c>
      <c r="C4" s="45">
        <f>'[1]Used Cooking Oil Complex'!B$169</f>
        <v>124.23748842289046</v>
      </c>
      <c r="D4" s="45">
        <f>'[1]Used Cooking Oil Complex'!C$169</f>
        <v>132.29077300781483</v>
      </c>
      <c r="E4" s="45">
        <f>'[1]Used Cooking Oil Complex'!D$169</f>
        <v>112.16838568412425</v>
      </c>
      <c r="F4" s="45">
        <f>'[1]Used Cooking Oil Complex'!E$169</f>
        <v>109.4644614663614</v>
      </c>
      <c r="G4" s="45">
        <f>'[1]Used Cooking Oil Complex'!F$169</f>
        <v>114.19007378621234</v>
      </c>
      <c r="H4" s="45">
        <f>'[1]Used Cooking Oil Complex'!G$169</f>
        <v>124.05378341094512</v>
      </c>
      <c r="I4" s="45">
        <f>'[1]Used Cooking Oil Complex'!H$169</f>
        <v>103.72409947288517</v>
      </c>
      <c r="J4" s="45">
        <f>'[1]Used Cooking Oil Complex'!I$169</f>
        <v>106.92040168671249</v>
      </c>
      <c r="K4" s="45">
        <f>'[1]Used Cooking Oil Complex'!J$169</f>
        <v>121.38104282050747</v>
      </c>
      <c r="L4" s="45">
        <f>'[1]Used Cooking Oil Complex'!K$169</f>
        <v>110.02974175675085</v>
      </c>
      <c r="M4" s="45">
        <f>'[1]Used Cooking Oil Complex'!L$169</f>
        <v>117.86445624792935</v>
      </c>
      <c r="N4" s="45">
        <f>'[1]Used Cooking Oil Complex'!M$169</f>
        <v>124.49629613624634</v>
      </c>
      <c r="O4" s="45">
        <f>'[1]Used Cooking Oil Complex'!N$169</f>
        <v>122.10238781863592</v>
      </c>
      <c r="P4" s="45">
        <f>'[1]Used Cooking Oil Complex'!O$169</f>
        <v>108.03673056373489</v>
      </c>
      <c r="Q4" s="45">
        <f>'[1]Used Cooking Oil Complex'!P$169</f>
        <v>102.98652142607303</v>
      </c>
      <c r="R4" s="45">
        <f>'[1]Used Cooking Oil Complex'!Q$169</f>
        <v>144.09598939997537</v>
      </c>
      <c r="S4" s="45">
        <f>'[1]Used Cooking Oil Complex'!R$169</f>
        <v>100.2511680090069</v>
      </c>
      <c r="T4" s="45">
        <f>'[1]Used Cooking Oil Complex'!S$169</f>
        <v>92.984013182629397</v>
      </c>
      <c r="U4" s="45">
        <f>'[1]Used Cooking Oil Complex'!T$169</f>
        <v>87.96707570462236</v>
      </c>
      <c r="V4" s="45">
        <f>'[1]Used Cooking Oil Complex'!U$169</f>
        <v>104.78900083338131</v>
      </c>
      <c r="W4" s="45">
        <f>'[1]Used Cooking Oil Complex'!V$169</f>
        <v>51.353261903573127</v>
      </c>
      <c r="X4" s="45">
        <f>'[1]Used Cooking Oil Complex'!W$169</f>
        <v>53.768066141284208</v>
      </c>
      <c r="Y4" s="45">
        <f>'[1]Used Cooking Oil Complex'!X$169</f>
        <v>59.060658429072987</v>
      </c>
      <c r="Z4" s="45">
        <f>'[1]Used Cooking Oil Complex'!Y$169</f>
        <v>47.433002706579401</v>
      </c>
      <c r="AA4" s="45">
        <f>'[1]Used Cooking Oil Complex'!Z$169</f>
        <v>41.351869935892395</v>
      </c>
      <c r="AB4" s="45">
        <f>'[1]Used Cooking Oil Complex'!AA$185</f>
        <v>84.031199999999998</v>
      </c>
      <c r="AC4" s="45">
        <f>'[1]Used Cooking Oil Complex'!AB$185</f>
        <v>81.558000000000007</v>
      </c>
      <c r="AD4" s="45">
        <f>'[1]Used Cooking Oil Complex'!AC$185</f>
        <v>79.229700000000008</v>
      </c>
      <c r="AE4" s="45">
        <f>'[1]Used Cooking Oil Complex'!AD$185</f>
        <v>81.886499999999998</v>
      </c>
      <c r="AF4" s="45">
        <f>'[1]Used Cooking Oil Complex'!AE$185</f>
        <v>89.079300000000003</v>
      </c>
      <c r="AG4" s="45">
        <f>'[1]Used Cooking Oil Complex'!AF$185</f>
        <v>93.15</v>
      </c>
      <c r="AH4" s="45">
        <f>'[1]Used Cooking Oil Complex'!AG$185</f>
        <v>86.940000000000012</v>
      </c>
      <c r="AI4" s="45">
        <f>'[1]Used Cooking Oil Complex'!AH$185</f>
        <v>718.23893285134227</v>
      </c>
      <c r="AJ4" s="45">
        <f>'[1]Used Cooking Oil Complex'!AI$185</f>
        <v>638.89966329445349</v>
      </c>
      <c r="AK4" s="45">
        <f>'[1]Used Cooking Oil Complex'!AJ$185</f>
        <v>1994.2349358564047</v>
      </c>
      <c r="AL4" s="45">
        <f>'[1]Used Cooking Oil Complex'!AK$185</f>
        <v>4893.6287303635572</v>
      </c>
      <c r="AM4" s="45">
        <f>'[1]Used Cooking Oil Complex'!AL$185</f>
        <v>6853.4629526445178</v>
      </c>
      <c r="AN4" s="45">
        <f>'[1]Used Cooking Oil Complex'!AM$185</f>
        <v>8950.6710912594917</v>
      </c>
      <c r="AO4" s="45">
        <f>'[1]Used Cooking Oil Complex'!AN$185</f>
        <v>11391.919971614097</v>
      </c>
      <c r="AP4" s="45">
        <f>'[1]Used Cooking Oil Complex'!AO$185</f>
        <v>14449.75416231304</v>
      </c>
      <c r="AQ4" s="45">
        <f>'[1]Used Cooking Oil Complex'!AP$185</f>
        <v>19063.361374732449</v>
      </c>
      <c r="AR4" s="45">
        <f>'[1]Used Cooking Oil Complex'!AQ$185</f>
        <v>23993.167724399522</v>
      </c>
      <c r="AS4" s="45">
        <f>'[1]Used Cooking Oil Complex'!AR$185</f>
        <v>28870.95415094179</v>
      </c>
      <c r="AT4" s="45">
        <f>'[1]Used Cooking Oil Complex'!AS$185</f>
        <v>32180.090024205085</v>
      </c>
      <c r="AU4" s="45">
        <f>'[1]Used Cooking Oil Complex'!AT$185</f>
        <v>36964.552117023071</v>
      </c>
      <c r="AV4" s="45">
        <f>'[1]Used Cooking Oil Complex'!AU$185</f>
        <v>42166.225884778833</v>
      </c>
      <c r="AW4" s="45">
        <f>'[1]Used Cooking Oil Complex'!AV$185</f>
        <v>45713.43272184016</v>
      </c>
      <c r="AX4" s="45">
        <f>'[1]Used Cooking Oil Complex'!AW$185</f>
        <v>49972.940892458864</v>
      </c>
      <c r="AY4" s="45">
        <f>'[1]Used Cooking Oil Complex'!AX$185</f>
        <v>53685.673848947852</v>
      </c>
      <c r="AZ4" s="45">
        <f>'[1]Used Cooking Oil Complex'!AY$185</f>
        <v>57263.030226743387</v>
      </c>
      <c r="BA4" s="45">
        <f>'[1]Used Cooking Oil Complex'!AZ$185</f>
        <v>60115.116021051668</v>
      </c>
      <c r="BB4" s="45">
        <f>'[1]Used Cooking Oil Complex'!BA$185</f>
        <v>62597.296769190798</v>
      </c>
      <c r="BC4" s="45">
        <f>'[1]Used Cooking Oil Complex'!BB$185</f>
        <v>66310.659053992946</v>
      </c>
      <c r="BD4" s="45">
        <f>'[1]Used Cooking Oil Complex'!BC$185</f>
        <v>69549.901232365068</v>
      </c>
      <c r="BE4" s="45">
        <f>'[1]Used Cooking Oil Complex'!BD$185</f>
        <v>75244.143415726998</v>
      </c>
      <c r="BF4" s="45">
        <f>'[1]Used Cooking Oil Complex'!BE$185</f>
        <v>79050.909844716574</v>
      </c>
      <c r="BG4" s="45">
        <f>'[1]Used Cooking Oil Complex'!BF$185</f>
        <v>84240.221009444722</v>
      </c>
    </row>
    <row r="5" spans="1:61" x14ac:dyDescent="0.2">
      <c r="A5" s="40"/>
      <c r="B5" s="40" t="s">
        <v>71</v>
      </c>
      <c r="C5" s="45">
        <f>SUM('[1]Used Cooking Oil Complex'!B$26:B$34,'[1]Used Cooking Oil Complex'!C$23:C$25)</f>
        <v>1236.0880169098862</v>
      </c>
      <c r="D5" s="45">
        <f>SUM('[1]Used Cooking Oil Complex'!C$26:C$34,'[1]Used Cooking Oil Complex'!D$23:D$25)</f>
        <v>1231.0172796377258</v>
      </c>
      <c r="E5" s="45">
        <f>SUM('[1]Used Cooking Oil Complex'!D$26:D$34,'[1]Used Cooking Oil Complex'!E$23:E$25)</f>
        <v>1157.0678755599968</v>
      </c>
      <c r="F5" s="45">
        <f>SUM('[1]Used Cooking Oil Complex'!E$26:E$34,'[1]Used Cooking Oil Complex'!F$23:F$25)</f>
        <v>1130.954910703472</v>
      </c>
      <c r="G5" s="45">
        <f>SUM('[1]Used Cooking Oil Complex'!F$26:F$34,'[1]Used Cooking Oil Complex'!G$23:G$25)</f>
        <v>1221.0508233519868</v>
      </c>
      <c r="H5" s="45">
        <f>SUM('[1]Used Cooking Oil Complex'!G$26:G$34,'[1]Used Cooking Oil Complex'!H$23:H$25)</f>
        <v>1324.8019206598883</v>
      </c>
      <c r="I5" s="45">
        <f>SUM('[1]Used Cooking Oil Complex'!H$26:H$34,'[1]Used Cooking Oil Complex'!I$23:I$25)</f>
        <v>1091.7846959608669</v>
      </c>
      <c r="J5" s="45">
        <f>SUM('[1]Used Cooking Oil Complex'!I$26:I$34,'[1]Used Cooking Oil Complex'!J$23:J$25)</f>
        <v>1024.5451411619244</v>
      </c>
      <c r="K5" s="45">
        <f>SUM('[1]Used Cooking Oil Complex'!J$26:J$34,'[1]Used Cooking Oil Complex'!K$23:K$25)</f>
        <v>1140.8890793542005</v>
      </c>
      <c r="L5" s="45">
        <f>SUM('[1]Used Cooking Oil Complex'!K$26:K$34,'[1]Used Cooking Oil Complex'!L$23:L$25)</f>
        <v>1175.1310256698753</v>
      </c>
      <c r="M5" s="45">
        <f>SUM('[1]Used Cooking Oil Complex'!L$26:L$34,'[1]Used Cooking Oil Complex'!M$23:M$25)</f>
        <v>1274.8990103123156</v>
      </c>
      <c r="N5" s="45">
        <f>SUM('[1]Used Cooking Oil Complex'!M$26:M$34,'[1]Used Cooking Oil Complex'!N$23:N$25)</f>
        <v>1291.8237868919307</v>
      </c>
      <c r="O5" s="45">
        <f>SUM('[1]Used Cooking Oil Complex'!N$26:N$34,'[1]Used Cooking Oil Complex'!O$23:O$25)</f>
        <v>1322.4896754293177</v>
      </c>
      <c r="P5" s="45">
        <f>SUM('[1]Used Cooking Oil Complex'!O$26:O$34,'[1]Used Cooking Oil Complex'!P$23:P$25)</f>
        <v>1351.3167854986846</v>
      </c>
      <c r="Q5" s="45">
        <f>SUM('[1]Used Cooking Oil Complex'!P$26:P$34,'[1]Used Cooking Oil Complex'!Q$23:Q$25)</f>
        <v>1372.8190924710041</v>
      </c>
      <c r="R5" s="45">
        <f>SUM('[1]Used Cooking Oil Complex'!Q$26:Q$34,'[1]Used Cooking Oil Complex'!R$23:R$25)</f>
        <v>1323.3984078893691</v>
      </c>
      <c r="S5" s="45">
        <f>SUM('[1]Used Cooking Oil Complex'!R$26:R$34,'[1]Used Cooking Oil Complex'!S$23:S$25)</f>
        <v>1284.8277185989994</v>
      </c>
      <c r="T5" s="45">
        <f>SUM('[1]Used Cooking Oil Complex'!S$26:S$34,'[1]Used Cooking Oil Complex'!T$23:T$25)</f>
        <v>1303.922568879037</v>
      </c>
      <c r="U5" s="45">
        <f>SUM('[1]Used Cooking Oil Complex'!T$26:T$34,'[1]Used Cooking Oil Complex'!U$23:U$25)</f>
        <v>1360.0005701963889</v>
      </c>
      <c r="V5" s="45">
        <f>SUM('[1]Used Cooking Oil Complex'!U$26:U$34,'[1]Used Cooking Oil Complex'!V$23:V$25)</f>
        <v>1413.0499172073</v>
      </c>
      <c r="W5" s="45">
        <f>SUM('[1]Used Cooking Oil Complex'!V$26:V$34,'[1]Used Cooking Oil Complex'!W$23:W$25)</f>
        <v>1467.1910446665815</v>
      </c>
      <c r="X5" s="45">
        <f>SUM('[1]Used Cooking Oil Complex'!W$26:W$34,'[1]Used Cooking Oil Complex'!X$23:X$25)</f>
        <v>1544.3385005786058</v>
      </c>
      <c r="Y5" s="45">
        <f>SUM('[1]Used Cooking Oil Complex'!X$26:X$34,'[1]Used Cooking Oil Complex'!Y$23:Y$25)</f>
        <v>1685.7572180145914</v>
      </c>
      <c r="Z5" s="45">
        <f>SUM('[1]Used Cooking Oil Complex'!Y$26:Y$34,'[1]Used Cooking Oil Complex'!Z$23:Z$25)</f>
        <v>1911.9783702886486</v>
      </c>
      <c r="AA5" s="45">
        <f>SUM('[1]Used Cooking Oil Complex'!Z$26:Z$34,'[1]Used Cooking Oil Complex'!AA$23:AA$25)</f>
        <v>2019.8349574593144</v>
      </c>
      <c r="AB5" s="45">
        <f>SUM('[1]Used Cooking Oil Complex'!AA$26:AA$34,'[1]Used Cooking Oil Complex'!AB$23:AB$25)</f>
        <v>2053.6593478423506</v>
      </c>
      <c r="AC5" s="45">
        <f>SUM('[1]Used Cooking Oil Complex'!AB$26:AB$34,'[1]Used Cooking Oil Complex'!AC$23:AC$25)</f>
        <v>1758.9907533554049</v>
      </c>
      <c r="AD5" s="45">
        <f>SUM('[1]Used Cooking Oil Complex'!AC$26:AC$34,'[1]Used Cooking Oil Complex'!AD$23:AD$25)</f>
        <v>2330.1389352941178</v>
      </c>
      <c r="AE5" s="45">
        <f>SUM('[1]Used Cooking Oil Complex'!AD$26:AD$34,'[1]Used Cooking Oil Complex'!AE$23:AE$25)</f>
        <v>3703.4203205882354</v>
      </c>
      <c r="AF5" s="45">
        <f>SUM('[1]Used Cooking Oil Complex'!AE$26:AE$34,'[1]Used Cooking Oil Complex'!AF$23:AF$25)</f>
        <v>4549.9405588235286</v>
      </c>
      <c r="AG5" s="45">
        <f>SUM('[1]Used Cooking Oil Complex'!AF$26:AF$34,'[1]Used Cooking Oil Complex'!AG$23:AG$25)</f>
        <v>4635.9424588235297</v>
      </c>
      <c r="AH5" s="45">
        <f>SUM('[1]Used Cooking Oil Complex'!AG$26:AG$34,'[1]Used Cooking Oil Complex'!AH$23:AH$25)</f>
        <v>4757.1207450498396</v>
      </c>
      <c r="AI5" s="45">
        <f>SUM('[1]Used Cooking Oil Complex'!AH$26:AH$34,'[1]Used Cooking Oil Complex'!AI$23:AI$25)</f>
        <v>5087.5918095525058</v>
      </c>
      <c r="AJ5" s="45">
        <f>SUM('[1]Used Cooking Oil Complex'!AI$26:AI$34,'[1]Used Cooking Oil Complex'!AJ$23:AJ$25)</f>
        <v>5402.6459505659241</v>
      </c>
      <c r="AK5" s="45">
        <f>SUM('[1]Used Cooking Oil Complex'!AJ$26:AJ$34,'[1]Used Cooking Oil Complex'!AK$23:AK$25)</f>
        <v>5758.4792914281707</v>
      </c>
      <c r="AL5" s="45">
        <f>SUM('[1]Used Cooking Oil Complex'!AK$26:AK$34,'[1]Used Cooking Oil Complex'!AL$23:AL$25)</f>
        <v>6079.0711586302377</v>
      </c>
      <c r="AM5" s="45">
        <f>SUM('[1]Used Cooking Oil Complex'!AL$26:AL$34,'[1]Used Cooking Oil Complex'!AM$23:AM$25)</f>
        <v>6654.286311724054</v>
      </c>
      <c r="AN5" s="45">
        <f>SUM('[1]Used Cooking Oil Complex'!AM$26:AM$34,'[1]Used Cooking Oil Complex'!AN$23:AN$25)</f>
        <v>7053.3442043201621</v>
      </c>
      <c r="AO5" s="45">
        <f>SUM('[1]Used Cooking Oil Complex'!AN$26:AN$34,'[1]Used Cooking Oil Complex'!AO$23:AO$25)</f>
        <v>7715.2205470299014</v>
      </c>
      <c r="AP5" s="45">
        <f>SUM('[1]Used Cooking Oil Complex'!AO$26:AO$34,'[1]Used Cooking Oil Complex'!AP$23:AP$25)</f>
        <v>8123.4189047943655</v>
      </c>
      <c r="AQ5" s="45">
        <f>SUM('[1]Used Cooking Oil Complex'!AP$26:AP$34,'[1]Used Cooking Oil Complex'!AQ$23:AQ$25)</f>
        <v>9559.9418231207947</v>
      </c>
      <c r="AR5" s="45">
        <f>SUM('[1]Used Cooking Oil Complex'!AQ$26:AQ$34,'[1]Used Cooking Oil Complex'!AR$23:AR$25)</f>
        <v>9631.3736000845693</v>
      </c>
      <c r="AS5" s="45">
        <f>SUM('[1]Used Cooking Oil Complex'!AR$26:AR$34,'[1]Used Cooking Oil Complex'!AS$23:AS$25)</f>
        <v>10262.707561558143</v>
      </c>
      <c r="AT5" s="45">
        <f>SUM('[1]Used Cooking Oil Complex'!AS$26:AS$34,'[1]Used Cooking Oil Complex'!AT$23:AT$25)</f>
        <v>10957.686994475347</v>
      </c>
      <c r="AU5" s="45">
        <f>SUM('[1]Used Cooking Oil Complex'!AT$26:AT$34,'[1]Used Cooking Oil Complex'!AU$23:AU$25)</f>
        <v>11976.731861774479</v>
      </c>
      <c r="AV5" s="45">
        <f>SUM('[1]Used Cooking Oil Complex'!AU$26:AU$34,'[1]Used Cooking Oil Complex'!AV$23:AV$25)</f>
        <v>12829.042407417315</v>
      </c>
      <c r="AW5" s="45">
        <f>SUM('[1]Used Cooking Oil Complex'!AV$26:AV$34,'[1]Used Cooking Oil Complex'!AW$23:AW$25)</f>
        <v>13810.657772173088</v>
      </c>
      <c r="AX5" s="45">
        <f>SUM('[1]Used Cooking Oil Complex'!AW$26:AW$34,'[1]Used Cooking Oil Complex'!AX$23:AX$25)</f>
        <v>14887.506330067852</v>
      </c>
      <c r="AY5" s="45">
        <f>SUM('[1]Used Cooking Oil Complex'!AX$26:AX$34,'[1]Used Cooking Oil Complex'!AY$23:AY$25)</f>
        <v>16085.973566144467</v>
      </c>
      <c r="AZ5" s="45">
        <f>SUM('[1]Used Cooking Oil Complex'!AY$26:AY$34,'[1]Used Cooking Oil Complex'!AZ$23:AZ$25)</f>
        <v>17089.757296602598</v>
      </c>
      <c r="BA5" s="45">
        <f>SUM('[1]Used Cooking Oil Complex'!AZ$26:AZ$34,'[1]Used Cooking Oil Complex'!BA$23:BA$25)</f>
        <v>18373.01467848165</v>
      </c>
      <c r="BB5" s="45">
        <f>SUM('[1]Used Cooking Oil Complex'!BA$26:BA$34,'[1]Used Cooking Oil Complex'!BB$23:BB$25)</f>
        <v>19793.068188848581</v>
      </c>
      <c r="BC5" s="45">
        <f>SUM('[1]Used Cooking Oil Complex'!BB$26:BB$34,'[1]Used Cooking Oil Complex'!BC$23:BC$25)</f>
        <v>21367.718614257901</v>
      </c>
      <c r="BD5" s="45">
        <f>SUM('[1]Used Cooking Oil Complex'!BC$26:BC$34,'[1]Used Cooking Oil Complex'!BD$23:BD$25)</f>
        <v>22937.68307774152</v>
      </c>
      <c r="BE5" s="45">
        <f>SUM('[1]Used Cooking Oil Complex'!BD$26:BD$34,'[1]Used Cooking Oil Complex'!BE$23:BE$25)</f>
        <v>24639.970610446158</v>
      </c>
      <c r="BF5" s="45">
        <f>SUM('[1]Used Cooking Oil Complex'!BE$26:BE$34,'[1]Used Cooking Oil Complex'!BF$23:BF$25)</f>
        <v>26476.881433572249</v>
      </c>
      <c r="BG5" s="45">
        <f>SUM('[1]Used Cooking Oil Complex'!BF$26:BF$34,'[1]Used Cooking Oil Complex'!BG$23:BG$25)</f>
        <v>28466.643294076355</v>
      </c>
    </row>
    <row r="6" spans="1:61" x14ac:dyDescent="0.2">
      <c r="A6" s="40"/>
      <c r="B6" s="40" t="s">
        <v>72</v>
      </c>
      <c r="C6" s="45">
        <f>SUM('[1]Used Cooking Oil Complex'!B$42:B$50,'[1]Used Cooking Oil Complex'!C$39:C$41)</f>
        <v>8.3916439999999994</v>
      </c>
      <c r="D6" s="45">
        <f>SUM('[1]Used Cooking Oil Complex'!C$42:C$50,'[1]Used Cooking Oil Complex'!D$39:D$41)</f>
        <v>16.364951000000001</v>
      </c>
      <c r="E6" s="45">
        <f>SUM('[1]Used Cooking Oil Complex'!D$42:D$50,'[1]Used Cooking Oil Complex'!E$39:E$41)</f>
        <v>13.59653</v>
      </c>
      <c r="F6" s="45">
        <f>SUM('[1]Used Cooking Oil Complex'!E$42:E$50,'[1]Used Cooking Oil Complex'!F$39:F$41)</f>
        <v>17.850022999999997</v>
      </c>
      <c r="G6" s="45">
        <f>SUM('[1]Used Cooking Oil Complex'!F$42:F$50,'[1]Used Cooking Oil Complex'!G$39:G$41)</f>
        <v>18.104696000000001</v>
      </c>
      <c r="H6" s="45">
        <f>SUM('[1]Used Cooking Oil Complex'!G$42:G$50,'[1]Used Cooking Oil Complex'!H$39:H$41)</f>
        <v>10.305243999999998</v>
      </c>
      <c r="I6" s="45">
        <f>SUM('[1]Used Cooking Oil Complex'!H$42:H$50,'[1]Used Cooking Oil Complex'!I$39:I$41)</f>
        <v>10.876274</v>
      </c>
      <c r="J6" s="45">
        <f>SUM('[1]Used Cooking Oil Complex'!I$42:I$50,'[1]Used Cooking Oil Complex'!J$39:J$41)</f>
        <v>11.895062999999997</v>
      </c>
      <c r="K6" s="45">
        <f>SUM('[1]Used Cooking Oil Complex'!J$42:J$50,'[1]Used Cooking Oil Complex'!K$39:K$41)</f>
        <v>12.348555000000001</v>
      </c>
      <c r="L6" s="45">
        <f>SUM('[1]Used Cooking Oil Complex'!K$42:K$50,'[1]Used Cooking Oil Complex'!L$39:L$41)</f>
        <v>6.6214430000000011</v>
      </c>
      <c r="M6" s="45">
        <f>SUM('[1]Used Cooking Oil Complex'!L$42:L$50,'[1]Used Cooking Oil Complex'!M$39:M$41)</f>
        <v>5.0003600000000006</v>
      </c>
      <c r="N6" s="45">
        <f>SUM('[1]Used Cooking Oil Complex'!M$42:M$50,'[1]Used Cooking Oil Complex'!N$39:N$41)</f>
        <v>9.199720000000001</v>
      </c>
      <c r="O6" s="45">
        <f>SUM('[1]Used Cooking Oil Complex'!N$42:N$50,'[1]Used Cooking Oil Complex'!O$39:O$41)</f>
        <v>33.542471999999997</v>
      </c>
      <c r="P6" s="45">
        <f>SUM('[1]Used Cooking Oil Complex'!O$42:O$50,'[1]Used Cooking Oil Complex'!P$39:P$41)</f>
        <v>15.666243000000001</v>
      </c>
      <c r="Q6" s="45">
        <f>SUM('[1]Used Cooking Oil Complex'!P$42:P$50,'[1]Used Cooking Oil Complex'!Q$39:Q$41)</f>
        <v>36.658507999999998</v>
      </c>
      <c r="R6" s="45">
        <f>SUM('[1]Used Cooking Oil Complex'!Q$42:Q$50,'[1]Used Cooking Oil Complex'!R$39:R$41)</f>
        <v>12.953274999999998</v>
      </c>
      <c r="S6" s="45">
        <f>SUM('[1]Used Cooking Oil Complex'!R$42:R$50,'[1]Used Cooking Oil Complex'!S$39:S$41)</f>
        <v>19.062950000000001</v>
      </c>
      <c r="T6" s="45">
        <f>SUM('[1]Used Cooking Oil Complex'!S$42:S$50,'[1]Used Cooking Oil Complex'!T$39:T$41)</f>
        <v>42.494542000000003</v>
      </c>
      <c r="U6" s="45">
        <f>SUM('[1]Used Cooking Oil Complex'!T$42:T$50,'[1]Used Cooking Oil Complex'!U$39:U$41)</f>
        <v>33.306471999999999</v>
      </c>
      <c r="V6" s="45">
        <f>SUM('[1]Used Cooking Oil Complex'!U$42:U$50,'[1]Used Cooking Oil Complex'!V$39:V$41)</f>
        <v>43.950066</v>
      </c>
      <c r="W6" s="45">
        <f>SUM('[1]Used Cooking Oil Complex'!V$42:V$50,'[1]Used Cooking Oil Complex'!W$39:W$41)</f>
        <v>35.722635999999994</v>
      </c>
      <c r="X6" s="45">
        <f>SUM('[1]Used Cooking Oil Complex'!W$42:W$50,'[1]Used Cooking Oil Complex'!X$39:X$41)</f>
        <v>47.470011999999997</v>
      </c>
      <c r="Y6" s="45">
        <f>SUM('[1]Used Cooking Oil Complex'!X$42:X$50,'[1]Used Cooking Oil Complex'!Y$39:Y$41)</f>
        <v>49.753743</v>
      </c>
      <c r="Z6" s="45">
        <f>SUM('[1]Used Cooking Oil Complex'!Y$42:Y$50,'[1]Used Cooking Oil Complex'!Z$39:Z$41)</f>
        <v>83.687485999999993</v>
      </c>
      <c r="AA6" s="45">
        <f>SUM('[1]Used Cooking Oil Complex'!Z$42:Z$50,'[1]Used Cooking Oil Complex'!AA$39:AA$41)</f>
        <v>136.88149899999999</v>
      </c>
      <c r="AB6" s="45">
        <f>SUM('[1]Used Cooking Oil Complex'!AA$42:AA$50,'[1]Used Cooking Oil Complex'!AB$39:AB$41)</f>
        <v>191.76184899999998</v>
      </c>
      <c r="AC6" s="45">
        <f>SUM('[1]Used Cooking Oil Complex'!AB$42:AB$50,'[1]Used Cooking Oil Complex'!AC$39:AC$41)</f>
        <v>181.770273</v>
      </c>
      <c r="AD6" s="45">
        <f>SUM('[1]Used Cooking Oil Complex'!AC$42:AC$50,'[1]Used Cooking Oil Complex'!AD$39:AD$41)</f>
        <v>292.50858599999998</v>
      </c>
      <c r="AE6" s="45">
        <f>SUM('[1]Used Cooking Oil Complex'!AD$42:AD$50,'[1]Used Cooking Oil Complex'!AE$39:AE$41)</f>
        <v>725.9360180000001</v>
      </c>
      <c r="AF6" s="45">
        <f>SUM('[1]Used Cooking Oil Complex'!AE$42:AE$50,'[1]Used Cooking Oil Complex'!AF$39:AF$41)</f>
        <v>3019.642902</v>
      </c>
      <c r="AG6" s="45">
        <f>SUM('[1]Used Cooking Oil Complex'!AF$42:AF$50,'[1]Used Cooking Oil Complex'!AG$39:AG$41)</f>
        <v>5396.4669739999999</v>
      </c>
      <c r="AH6" s="45">
        <f>SUM('[1]Used Cooking Oil Complex'!AG$42:AG$50,'[1]Used Cooking Oil Complex'!AH$39:AH$41)</f>
        <v>5719.3464266659912</v>
      </c>
      <c r="AI6" s="45">
        <f>SUM('[1]Used Cooking Oil Complex'!AH$42:AH$50,'[1]Used Cooking Oil Complex'!AI$39:AI$41)</f>
        <v>7089.679546988953</v>
      </c>
      <c r="AJ6" s="45">
        <f>SUM('[1]Used Cooking Oil Complex'!AI$42:AI$50,'[1]Used Cooking Oil Complex'!AJ$39:AJ$41)</f>
        <v>10072.92521391198</v>
      </c>
      <c r="AK6" s="45">
        <f>SUM('[1]Used Cooking Oil Complex'!AJ$42:AJ$50,'[1]Used Cooking Oil Complex'!AK$39:AK$41)</f>
        <v>12499.510921922878</v>
      </c>
      <c r="AL6" s="45">
        <f>SUM('[1]Used Cooking Oil Complex'!AK$42:AK$50,'[1]Used Cooking Oil Complex'!AL$39:AL$41)</f>
        <v>15201.877675392243</v>
      </c>
      <c r="AM6" s="45">
        <f>SUM('[1]Used Cooking Oil Complex'!AL$42:AL$50,'[1]Used Cooking Oil Complex'!AM$39:AM$41)</f>
        <v>18720.193250657456</v>
      </c>
      <c r="AN6" s="45">
        <f>SUM('[1]Used Cooking Oil Complex'!AM$42:AM$50,'[1]Used Cooking Oil Complex'!AN$39:AN$41)</f>
        <v>21590.784675196559</v>
      </c>
      <c r="AO6" s="45">
        <f>SUM('[1]Used Cooking Oil Complex'!AN$42:AN$50,'[1]Used Cooking Oil Complex'!AO$39:AO$41)</f>
        <v>25062.605395928942</v>
      </c>
      <c r="AP6" s="45">
        <f>SUM('[1]Used Cooking Oil Complex'!AO$42:AO$50,'[1]Used Cooking Oil Complex'!AP$39:AP$41)</f>
        <v>28187.596955993678</v>
      </c>
      <c r="AQ6" s="45">
        <f>SUM('[1]Used Cooking Oil Complex'!AP$42:AP$50,'[1]Used Cooking Oil Complex'!AQ$39:AQ$41)</f>
        <v>27151.273851292899</v>
      </c>
      <c r="AR6" s="45">
        <f>SUM('[1]Used Cooking Oil Complex'!AQ$42:AQ$50,'[1]Used Cooking Oil Complex'!AR$39:AR$41)</f>
        <v>26659.762420182731</v>
      </c>
      <c r="AS6" s="45">
        <f>SUM('[1]Used Cooking Oil Complex'!AR$42:AR$50,'[1]Used Cooking Oil Complex'!AS$39:AS$41)</f>
        <v>25398.864958226182</v>
      </c>
      <c r="AT6" s="45">
        <f>SUM('[1]Used Cooking Oil Complex'!AS$42:AS$50,'[1]Used Cooking Oil Complex'!AT$39:AT$41)</f>
        <v>26863.72456573118</v>
      </c>
      <c r="AU6" s="45">
        <f>SUM('[1]Used Cooking Oil Complex'!AT$42:AT$50,'[1]Used Cooking Oil Complex'!AU$39:AU$41)</f>
        <v>29540.170870625174</v>
      </c>
      <c r="AV6" s="45">
        <f>SUM('[1]Used Cooking Oil Complex'!AU$42:AU$50,'[1]Used Cooking Oil Complex'!AV$39:AV$41)</f>
        <v>28779.167759768476</v>
      </c>
      <c r="AW6" s="45">
        <f>SUM('[1]Used Cooking Oil Complex'!AV$42:AV$50,'[1]Used Cooking Oil Complex'!AW$39:AW$41)</f>
        <v>26409.520257144119</v>
      </c>
      <c r="AX6" s="45">
        <f>SUM('[1]Used Cooking Oil Complex'!AW$42:AW$50,'[1]Used Cooking Oil Complex'!AX$39:AX$41)</f>
        <v>27331.633967393998</v>
      </c>
      <c r="AY6" s="45">
        <f>SUM('[1]Used Cooking Oil Complex'!AX$42:AX$50,'[1]Used Cooking Oil Complex'!AY$39:AY$41)</f>
        <v>27807.563086185892</v>
      </c>
      <c r="AZ6" s="45">
        <f>SUM('[1]Used Cooking Oil Complex'!AY$42:AY$50,'[1]Used Cooking Oil Complex'!AZ$39:AZ$41)</f>
        <v>28653.229736047346</v>
      </c>
      <c r="BA6" s="45">
        <f>SUM('[1]Used Cooking Oil Complex'!AZ$42:AZ$50,'[1]Used Cooking Oil Complex'!BA$39:BA$41)</f>
        <v>28414.240162930324</v>
      </c>
      <c r="BB6" s="45">
        <f>SUM('[1]Used Cooking Oil Complex'!BA$42:BA$50,'[1]Used Cooking Oil Complex'!BB$39:BB$41)</f>
        <v>27456.8094954427</v>
      </c>
      <c r="BC6" s="45">
        <f>SUM('[1]Used Cooking Oil Complex'!BB$42:BB$50,'[1]Used Cooking Oil Complex'!BC$39:BC$41)</f>
        <v>26409.838926033754</v>
      </c>
      <c r="BD6" s="45">
        <f>SUM('[1]Used Cooking Oil Complex'!BC$42:BC$50,'[1]Used Cooking Oil Complex'!BD$39:BD$41)</f>
        <v>25899.146710562669</v>
      </c>
      <c r="BE6" s="45">
        <f>SUM('[1]Used Cooking Oil Complex'!BD$42:BD$50,'[1]Used Cooking Oil Complex'!BE$39:BE$41)</f>
        <v>25770.849780642151</v>
      </c>
      <c r="BF6" s="45">
        <f>SUM('[1]Used Cooking Oil Complex'!BE$42:BE$50,'[1]Used Cooking Oil Complex'!BF$39:BF$41)</f>
        <v>25625.816179156256</v>
      </c>
      <c r="BG6" s="45">
        <f>SUM('[1]Used Cooking Oil Complex'!BF$42:BF$50,'[1]Used Cooking Oil Complex'!BG$39:BG$41)</f>
        <v>24127.564327126976</v>
      </c>
    </row>
    <row r="7" spans="1:61" x14ac:dyDescent="0.2">
      <c r="A7" s="40"/>
      <c r="B7" s="61" t="s">
        <v>73</v>
      </c>
      <c r="C7" s="62">
        <f>SUM(C4:C6)</f>
        <v>1368.7171493327767</v>
      </c>
      <c r="D7" s="62">
        <f t="shared" ref="D7:AA7" si="0">SUM(D4:D6)</f>
        <v>1379.6730036455406</v>
      </c>
      <c r="E7" s="62">
        <f t="shared" si="0"/>
        <v>1282.8327912441212</v>
      </c>
      <c r="F7" s="62">
        <f t="shared" si="0"/>
        <v>1258.2693951698334</v>
      </c>
      <c r="G7" s="62">
        <f t="shared" si="0"/>
        <v>1353.3455931381993</v>
      </c>
      <c r="H7" s="62">
        <f t="shared" si="0"/>
        <v>1459.1609480708332</v>
      </c>
      <c r="I7" s="62">
        <f t="shared" si="0"/>
        <v>1206.3850694337521</v>
      </c>
      <c r="J7" s="62">
        <f t="shared" si="0"/>
        <v>1143.3606058486369</v>
      </c>
      <c r="K7" s="62">
        <f t="shared" si="0"/>
        <v>1274.618677174708</v>
      </c>
      <c r="L7" s="62">
        <f t="shared" si="0"/>
        <v>1291.7822104266261</v>
      </c>
      <c r="M7" s="62">
        <f t="shared" si="0"/>
        <v>1397.763826560245</v>
      </c>
      <c r="N7" s="62">
        <f t="shared" si="0"/>
        <v>1425.5198030281772</v>
      </c>
      <c r="O7" s="62">
        <f t="shared" si="0"/>
        <v>1478.1345352479536</v>
      </c>
      <c r="P7" s="62">
        <f t="shared" si="0"/>
        <v>1475.0197590624193</v>
      </c>
      <c r="Q7" s="62">
        <f t="shared" si="0"/>
        <v>1512.4641218970771</v>
      </c>
      <c r="R7" s="62">
        <f t="shared" si="0"/>
        <v>1480.4476722893446</v>
      </c>
      <c r="S7" s="62">
        <f t="shared" si="0"/>
        <v>1404.1418366080063</v>
      </c>
      <c r="T7" s="62">
        <f t="shared" si="0"/>
        <v>1439.4011240616665</v>
      </c>
      <c r="U7" s="62">
        <f t="shared" si="0"/>
        <v>1481.2741179010113</v>
      </c>
      <c r="V7" s="62">
        <f t="shared" si="0"/>
        <v>1561.7889840406815</v>
      </c>
      <c r="W7" s="62">
        <f t="shared" si="0"/>
        <v>1554.2669425701547</v>
      </c>
      <c r="X7" s="62">
        <f t="shared" si="0"/>
        <v>1645.57657871989</v>
      </c>
      <c r="Y7" s="62">
        <f t="shared" si="0"/>
        <v>1794.5716194436643</v>
      </c>
      <c r="Z7" s="62">
        <f t="shared" si="0"/>
        <v>2043.0988589952281</v>
      </c>
      <c r="AA7" s="62">
        <f t="shared" si="0"/>
        <v>2198.0683263952069</v>
      </c>
      <c r="AB7" s="62">
        <f>SUM(AB4:AB6)</f>
        <v>2329.4523968423505</v>
      </c>
      <c r="AC7" s="62">
        <f t="shared" ref="AC7:BG7" si="1">SUM(AC4:AC6)</f>
        <v>2022.319026355405</v>
      </c>
      <c r="AD7" s="62">
        <f t="shared" si="1"/>
        <v>2701.8772212941176</v>
      </c>
      <c r="AE7" s="62">
        <f t="shared" si="1"/>
        <v>4511.2428385882358</v>
      </c>
      <c r="AF7" s="62">
        <f t="shared" si="1"/>
        <v>7658.6627608235285</v>
      </c>
      <c r="AG7" s="62">
        <f t="shared" si="1"/>
        <v>10125.559432823529</v>
      </c>
      <c r="AH7" s="62">
        <f t="shared" si="1"/>
        <v>10563.407171715829</v>
      </c>
      <c r="AI7" s="62">
        <f t="shared" si="1"/>
        <v>12895.510289392801</v>
      </c>
      <c r="AJ7" s="62">
        <f t="shared" si="1"/>
        <v>16114.470827772358</v>
      </c>
      <c r="AK7" s="62">
        <f t="shared" si="1"/>
        <v>20252.225149207454</v>
      </c>
      <c r="AL7" s="62">
        <f t="shared" si="1"/>
        <v>26174.57756438604</v>
      </c>
      <c r="AM7" s="62">
        <f t="shared" si="1"/>
        <v>32227.942515026029</v>
      </c>
      <c r="AN7" s="62">
        <f t="shared" si="1"/>
        <v>37594.799970776214</v>
      </c>
      <c r="AO7" s="62">
        <f t="shared" si="1"/>
        <v>44169.745914572937</v>
      </c>
      <c r="AP7" s="62">
        <f t="shared" si="1"/>
        <v>50760.770023101082</v>
      </c>
      <c r="AQ7" s="62">
        <f t="shared" si="1"/>
        <v>55774.577049146144</v>
      </c>
      <c r="AR7" s="62">
        <f t="shared" si="1"/>
        <v>60284.303744666817</v>
      </c>
      <c r="AS7" s="62">
        <f t="shared" si="1"/>
        <v>64532.526670726118</v>
      </c>
      <c r="AT7" s="62">
        <f t="shared" si="1"/>
        <v>70001.501584411613</v>
      </c>
      <c r="AU7" s="62">
        <f t="shared" si="1"/>
        <v>78481.454849422735</v>
      </c>
      <c r="AV7" s="62">
        <f t="shared" si="1"/>
        <v>83774.436051964614</v>
      </c>
      <c r="AW7" s="62">
        <f t="shared" si="1"/>
        <v>85933.610751157365</v>
      </c>
      <c r="AX7" s="62">
        <f t="shared" si="1"/>
        <v>92192.081189920718</v>
      </c>
      <c r="AY7" s="62">
        <f t="shared" si="1"/>
        <v>97579.210501278212</v>
      </c>
      <c r="AZ7" s="62">
        <f t="shared" si="1"/>
        <v>103006.01725939334</v>
      </c>
      <c r="BA7" s="62">
        <f t="shared" si="1"/>
        <v>106902.37086246363</v>
      </c>
      <c r="BB7" s="62">
        <f t="shared" si="1"/>
        <v>109847.17445348209</v>
      </c>
      <c r="BC7" s="62">
        <f t="shared" si="1"/>
        <v>114088.2165942846</v>
      </c>
      <c r="BD7" s="62">
        <f t="shared" si="1"/>
        <v>118386.73102066925</v>
      </c>
      <c r="BE7" s="62">
        <f t="shared" si="1"/>
        <v>125654.96380681531</v>
      </c>
      <c r="BF7" s="62">
        <f t="shared" si="1"/>
        <v>131153.60745744506</v>
      </c>
      <c r="BG7" s="62">
        <f t="shared" si="1"/>
        <v>136834.42863064806</v>
      </c>
    </row>
    <row r="8" spans="1:61" x14ac:dyDescent="0.2">
      <c r="A8" s="40"/>
      <c r="B8" s="40" t="s">
        <v>74</v>
      </c>
      <c r="C8" s="45" t="e">
        <f t="shared" ref="C8:AA8" si="2">C9+C12</f>
        <v>#REF!</v>
      </c>
      <c r="D8" s="45" t="e">
        <f t="shared" si="2"/>
        <v>#REF!</v>
      </c>
      <c r="E8" s="45" t="e">
        <f t="shared" si="2"/>
        <v>#REF!</v>
      </c>
      <c r="F8" s="45" t="e">
        <f t="shared" si="2"/>
        <v>#REF!</v>
      </c>
      <c r="G8" s="45" t="e">
        <f t="shared" si="2"/>
        <v>#REF!</v>
      </c>
      <c r="H8" s="45" t="e">
        <f t="shared" si="2"/>
        <v>#REF!</v>
      </c>
      <c r="I8" s="45" t="e">
        <f t="shared" si="2"/>
        <v>#REF!</v>
      </c>
      <c r="J8" s="45" t="e">
        <f t="shared" si="2"/>
        <v>#REF!</v>
      </c>
      <c r="K8" s="45" t="e">
        <f t="shared" si="2"/>
        <v>#REF!</v>
      </c>
      <c r="L8" s="45" t="e">
        <f t="shared" si="2"/>
        <v>#REF!</v>
      </c>
      <c r="M8" s="45" t="e">
        <f t="shared" si="2"/>
        <v>#REF!</v>
      </c>
      <c r="N8" s="45" t="e">
        <f t="shared" si="2"/>
        <v>#REF!</v>
      </c>
      <c r="O8" s="45" t="e">
        <f t="shared" si="2"/>
        <v>#REF!</v>
      </c>
      <c r="P8" s="45" t="e">
        <f t="shared" si="2"/>
        <v>#REF!</v>
      </c>
      <c r="Q8" s="45" t="e">
        <f t="shared" si="2"/>
        <v>#REF!</v>
      </c>
      <c r="R8" s="45" t="e">
        <f t="shared" si="2"/>
        <v>#REF!</v>
      </c>
      <c r="S8" s="45" t="e">
        <f t="shared" si="2"/>
        <v>#REF!</v>
      </c>
      <c r="T8" s="45" t="e">
        <f t="shared" si="2"/>
        <v>#REF!</v>
      </c>
      <c r="U8" s="45" t="e">
        <f t="shared" si="2"/>
        <v>#REF!</v>
      </c>
      <c r="V8" s="45" t="e">
        <f t="shared" si="2"/>
        <v>#REF!</v>
      </c>
      <c r="W8" s="45" t="e">
        <f t="shared" si="2"/>
        <v>#REF!</v>
      </c>
      <c r="X8" s="45" t="e">
        <f t="shared" si="2"/>
        <v>#REF!</v>
      </c>
      <c r="Y8" s="45" t="e">
        <f t="shared" si="2"/>
        <v>#REF!</v>
      </c>
      <c r="Z8" s="45" t="e">
        <f t="shared" si="2"/>
        <v>#REF!</v>
      </c>
      <c r="AA8" s="45" t="e">
        <f t="shared" si="2"/>
        <v>#REF!</v>
      </c>
      <c r="AB8" s="45">
        <f>AB14-AB13</f>
        <v>1695.1085648423505</v>
      </c>
      <c r="AC8" s="45">
        <f t="shared" ref="AC8:BG8" si="3">AC14-AC13</f>
        <v>1056.2767983554049</v>
      </c>
      <c r="AD8" s="45">
        <f t="shared" si="3"/>
        <v>2335.4981502941173</v>
      </c>
      <c r="AE8" s="45">
        <f t="shared" si="3"/>
        <v>3582.6723555882354</v>
      </c>
      <c r="AF8" s="45">
        <f t="shared" si="3"/>
        <v>7156.7486558235287</v>
      </c>
      <c r="AG8" s="45">
        <f t="shared" si="3"/>
        <v>9693.8816063880859</v>
      </c>
      <c r="AH8" s="45">
        <f t="shared" si="3"/>
        <v>9651.2369818217649</v>
      </c>
      <c r="AI8" s="45">
        <f t="shared" si="3"/>
        <v>12058.665405428672</v>
      </c>
      <c r="AJ8" s="45">
        <f t="shared" si="3"/>
        <v>13965.719333750943</v>
      </c>
      <c r="AK8" s="45">
        <f t="shared" si="3"/>
        <v>15209.770904687326</v>
      </c>
      <c r="AL8" s="45">
        <f t="shared" si="3"/>
        <v>19201.580203316174</v>
      </c>
      <c r="AM8" s="45">
        <f t="shared" si="3"/>
        <v>23175.448453444398</v>
      </c>
      <c r="AN8" s="45">
        <f t="shared" si="3"/>
        <v>26103.978093205285</v>
      </c>
      <c r="AO8" s="45">
        <f t="shared" si="3"/>
        <v>29620.213611657979</v>
      </c>
      <c r="AP8" s="45">
        <f t="shared" si="3"/>
        <v>31598.648666784695</v>
      </c>
      <c r="AQ8" s="45">
        <f t="shared" si="3"/>
        <v>31680.249587290888</v>
      </c>
      <c r="AR8" s="45">
        <f t="shared" si="3"/>
        <v>31313.309557256223</v>
      </c>
      <c r="AS8" s="45">
        <f t="shared" si="3"/>
        <v>32252.35209933692</v>
      </c>
      <c r="AT8" s="45">
        <f t="shared" si="3"/>
        <v>32937.221506975096</v>
      </c>
      <c r="AU8" s="45">
        <f t="shared" si="3"/>
        <v>36215.264475985001</v>
      </c>
      <c r="AV8" s="45">
        <f t="shared" si="3"/>
        <v>37961.04887750325</v>
      </c>
      <c r="AW8" s="45">
        <f t="shared" si="3"/>
        <v>35860.474504662299</v>
      </c>
      <c r="AX8" s="45">
        <f t="shared" si="3"/>
        <v>38406.453043903573</v>
      </c>
      <c r="AY8" s="45">
        <f t="shared" si="3"/>
        <v>40216.194913952051</v>
      </c>
      <c r="AZ8" s="45">
        <f t="shared" si="3"/>
        <v>42790.94192778186</v>
      </c>
      <c r="BA8" s="45">
        <f t="shared" si="3"/>
        <v>44205.063302679162</v>
      </c>
      <c r="BB8" s="45">
        <f t="shared" si="3"/>
        <v>43436.505644515288</v>
      </c>
      <c r="BC8" s="45">
        <f t="shared" si="3"/>
        <v>44438.294339351189</v>
      </c>
      <c r="BD8" s="45">
        <f t="shared" si="3"/>
        <v>43042.603702186367</v>
      </c>
      <c r="BE8" s="45">
        <f t="shared" si="3"/>
        <v>46504.056714243045</v>
      </c>
      <c r="BF8" s="45">
        <f t="shared" si="3"/>
        <v>46813.389491710026</v>
      </c>
      <c r="BG8" s="45">
        <f t="shared" si="3"/>
        <v>48508.224907615811</v>
      </c>
    </row>
    <row r="9" spans="1:61" x14ac:dyDescent="0.2">
      <c r="A9" s="40"/>
      <c r="B9" s="40" t="s">
        <v>75</v>
      </c>
      <c r="C9" s="45" t="e">
        <f>C10+C11+#REF!</f>
        <v>#REF!</v>
      </c>
      <c r="D9" s="45" t="e">
        <f>D10+D11+#REF!</f>
        <v>#REF!</v>
      </c>
      <c r="E9" s="45" t="e">
        <f>E10+E11+#REF!</f>
        <v>#REF!</v>
      </c>
      <c r="F9" s="45" t="e">
        <f>F10+F11+#REF!</f>
        <v>#REF!</v>
      </c>
      <c r="G9" s="45" t="e">
        <f>G10+G11+#REF!</f>
        <v>#REF!</v>
      </c>
      <c r="H9" s="45" t="e">
        <f>H10+H11+#REF!</f>
        <v>#REF!</v>
      </c>
      <c r="I9" s="45" t="e">
        <f>I10+I11+#REF!</f>
        <v>#REF!</v>
      </c>
      <c r="J9" s="45" t="e">
        <f>J10+J11+#REF!</f>
        <v>#REF!</v>
      </c>
      <c r="K9" s="45" t="e">
        <f>K10+K11+#REF!</f>
        <v>#REF!</v>
      </c>
      <c r="L9" s="45" t="e">
        <f>L10+L11+#REF!</f>
        <v>#REF!</v>
      </c>
      <c r="M9" s="45" t="e">
        <f>M10+M11+#REF!</f>
        <v>#REF!</v>
      </c>
      <c r="N9" s="45" t="e">
        <f>N10+N11+#REF!</f>
        <v>#REF!</v>
      </c>
      <c r="O9" s="45" t="e">
        <f>O10+O11+#REF!</f>
        <v>#REF!</v>
      </c>
      <c r="P9" s="45" t="e">
        <f>P10+P11+#REF!</f>
        <v>#REF!</v>
      </c>
      <c r="Q9" s="45" t="e">
        <f>Q10+Q11+#REF!</f>
        <v>#REF!</v>
      </c>
      <c r="R9" s="45" t="e">
        <f>R10+R11+#REF!</f>
        <v>#REF!</v>
      </c>
      <c r="S9" s="45" t="e">
        <f>S10+S11+#REF!</f>
        <v>#REF!</v>
      </c>
      <c r="T9" s="45" t="e">
        <f>T10+T11+#REF!</f>
        <v>#REF!</v>
      </c>
      <c r="U9" s="45" t="e">
        <f>U10+U11+#REF!</f>
        <v>#REF!</v>
      </c>
      <c r="V9" s="45" t="e">
        <f>V10+V11+#REF!</f>
        <v>#REF!</v>
      </c>
      <c r="W9" s="45" t="e">
        <f>W10+W11+#REF!</f>
        <v>#REF!</v>
      </c>
      <c r="X9" s="45" t="e">
        <f>X10+X11+#REF!</f>
        <v>#REF!</v>
      </c>
      <c r="Y9" s="45" t="e">
        <f>Y10+Y11+#REF!</f>
        <v>#REF!</v>
      </c>
      <c r="Z9" s="45" t="e">
        <f>Z10+Z11+#REF!</f>
        <v>#REF!</v>
      </c>
      <c r="AA9" s="45" t="e">
        <f>AA10+AA11+#REF!</f>
        <v>#REF!</v>
      </c>
      <c r="AB9" s="45">
        <f>SUM(AB10:AB11)</f>
        <v>1129.4020614988938</v>
      </c>
      <c r="AC9" s="45">
        <f t="shared" ref="AC9:BG9" si="4">SUM(AC10:AC11)</f>
        <v>726.08898262237506</v>
      </c>
      <c r="AD9" s="45">
        <f t="shared" si="4"/>
        <v>2157.5286307318729</v>
      </c>
      <c r="AE9" s="45">
        <f t="shared" si="4"/>
        <v>7766.9492912725036</v>
      </c>
      <c r="AF9" s="45">
        <f t="shared" si="4"/>
        <v>9046.8661463398385</v>
      </c>
      <c r="AG9" s="45">
        <f t="shared" si="4"/>
        <v>9442.2935227577836</v>
      </c>
      <c r="AH9" s="45">
        <f t="shared" si="4"/>
        <v>9736.0129644469489</v>
      </c>
      <c r="AI9" s="45">
        <f t="shared" si="4"/>
        <v>11222.365111861491</v>
      </c>
      <c r="AJ9" s="45">
        <f t="shared" si="4"/>
        <v>13743.877855831977</v>
      </c>
      <c r="AK9" s="45">
        <f t="shared" si="4"/>
        <v>14821.862271519256</v>
      </c>
      <c r="AL9" s="45">
        <f t="shared" si="4"/>
        <v>18986.838173347434</v>
      </c>
      <c r="AM9" s="45">
        <f t="shared" si="4"/>
        <v>22551.187197600808</v>
      </c>
      <c r="AN9" s="45">
        <f t="shared" si="4"/>
        <v>25248.774802805729</v>
      </c>
      <c r="AO9" s="45">
        <f t="shared" si="4"/>
        <v>30903.202873564675</v>
      </c>
      <c r="AP9" s="45">
        <f t="shared" si="4"/>
        <v>29952.857329324906</v>
      </c>
      <c r="AQ9" s="45">
        <f t="shared" si="4"/>
        <v>30680.42439779624</v>
      </c>
      <c r="AR9" s="45">
        <f t="shared" si="4"/>
        <v>32476.907826903225</v>
      </c>
      <c r="AS9" s="45">
        <f t="shared" si="4"/>
        <v>30383.933737078743</v>
      </c>
      <c r="AT9" s="45">
        <f t="shared" si="4"/>
        <v>32601.375049815015</v>
      </c>
      <c r="AU9" s="45">
        <f t="shared" si="4"/>
        <v>36491.775004453179</v>
      </c>
      <c r="AV9" s="45">
        <f t="shared" si="4"/>
        <v>37993.792262158109</v>
      </c>
      <c r="AW9" s="45">
        <f t="shared" si="4"/>
        <v>34457.678262502784</v>
      </c>
      <c r="AX9" s="45">
        <f t="shared" si="4"/>
        <v>37150.170516573955</v>
      </c>
      <c r="AY9" s="45">
        <f t="shared" si="4"/>
        <v>39481.633484261081</v>
      </c>
      <c r="AZ9" s="45">
        <f t="shared" si="4"/>
        <v>42553.807665076623</v>
      </c>
      <c r="BA9" s="45">
        <f t="shared" si="4"/>
        <v>43563.186045467774</v>
      </c>
      <c r="BB9" s="45">
        <f t="shared" si="4"/>
        <v>42856.899429069199</v>
      </c>
      <c r="BC9" s="45">
        <f t="shared" si="4"/>
        <v>43268.763995531823</v>
      </c>
      <c r="BD9" s="45">
        <f t="shared" si="4"/>
        <v>42552.711363709772</v>
      </c>
      <c r="BE9" s="45">
        <f t="shared" si="4"/>
        <v>46106.514812468471</v>
      </c>
      <c r="BF9" s="45">
        <f t="shared" si="4"/>
        <v>45904.781408178278</v>
      </c>
      <c r="BG9" s="45">
        <f t="shared" si="4"/>
        <v>48337.535296270209</v>
      </c>
    </row>
    <row r="10" spans="1:61" x14ac:dyDescent="0.2">
      <c r="A10" s="40"/>
      <c r="B10" s="40" t="s">
        <v>76</v>
      </c>
      <c r="C10" s="45">
        <f>SUM('[1]Used Cooking Oil Complex'!B$106:B$114,'[1]Used Cooking Oil Complex'!C$103:C$105)</f>
        <v>0</v>
      </c>
      <c r="D10" s="45">
        <f>SUM('[1]Used Cooking Oil Complex'!C$106:C$114,'[1]Used Cooking Oil Complex'!D$103:D$105)</f>
        <v>0</v>
      </c>
      <c r="E10" s="45">
        <f>SUM('[1]Used Cooking Oil Complex'!D$106:D$114,'[1]Used Cooking Oil Complex'!E$103:E$105)</f>
        <v>0</v>
      </c>
      <c r="F10" s="45">
        <f>SUM('[1]Used Cooking Oil Complex'!E$106:E$114,'[1]Used Cooking Oil Complex'!F$103:F$105)</f>
        <v>0</v>
      </c>
      <c r="G10" s="45">
        <f>SUM('[1]Used Cooking Oil Complex'!F$106:F$114,'[1]Used Cooking Oil Complex'!G$103:G$105)</f>
        <v>0</v>
      </c>
      <c r="H10" s="45">
        <f>SUM('[1]Used Cooking Oil Complex'!G$106:G$114,'[1]Used Cooking Oil Complex'!H$103:H$105)</f>
        <v>0</v>
      </c>
      <c r="I10" s="45">
        <f>SUM('[1]Used Cooking Oil Complex'!H$106:H$114,'[1]Used Cooking Oil Complex'!I$103:I$105)</f>
        <v>0</v>
      </c>
      <c r="J10" s="45">
        <f>SUM('[1]Used Cooking Oil Complex'!I$106:I$114,'[1]Used Cooking Oil Complex'!J$103:J$105)</f>
        <v>0</v>
      </c>
      <c r="K10" s="45">
        <f>SUM('[1]Used Cooking Oil Complex'!J$106:J$114,'[1]Used Cooking Oil Complex'!K$103:K$105)</f>
        <v>0</v>
      </c>
      <c r="L10" s="45">
        <f>SUM('[1]Used Cooking Oil Complex'!K$106:K$114,'[1]Used Cooking Oil Complex'!L$103:L$105)</f>
        <v>0</v>
      </c>
      <c r="M10" s="45">
        <f>SUM('[1]Used Cooking Oil Complex'!L$106:L$114,'[1]Used Cooking Oil Complex'!M$103:M$105)</f>
        <v>0</v>
      </c>
      <c r="N10" s="45">
        <f>SUM('[1]Used Cooking Oil Complex'!M$106:M$114,'[1]Used Cooking Oil Complex'!N$103:N$105)</f>
        <v>0</v>
      </c>
      <c r="O10" s="45">
        <f>SUM('[1]Used Cooking Oil Complex'!N$106:N$114,'[1]Used Cooking Oil Complex'!O$103:O$105)</f>
        <v>0</v>
      </c>
      <c r="P10" s="45">
        <f>SUM('[1]Used Cooking Oil Complex'!O$106:O$114,'[1]Used Cooking Oil Complex'!P$103:P$105)</f>
        <v>24.41576369758188</v>
      </c>
      <c r="Q10" s="45">
        <f>SUM('[1]Used Cooking Oil Complex'!P$106:P$114,'[1]Used Cooking Oil Complex'!Q$103:Q$105)</f>
        <v>58.05</v>
      </c>
      <c r="R10" s="45">
        <f>SUM('[1]Used Cooking Oil Complex'!Q$106:Q$114,'[1]Used Cooking Oil Complex'!R$103:R$105)</f>
        <v>132.29950000000002</v>
      </c>
      <c r="S10" s="45">
        <f>SUM('[1]Used Cooking Oil Complex'!R$106:R$114,'[1]Used Cooking Oil Complex'!S$103:S$105)</f>
        <v>122</v>
      </c>
      <c r="T10" s="45">
        <f>SUM('[1]Used Cooking Oil Complex'!S$106:S$114,'[1]Used Cooking Oil Complex'!T$103:T$105)</f>
        <v>235.5</v>
      </c>
      <c r="U10" s="45">
        <f>SUM('[1]Used Cooking Oil Complex'!T$106:T$114,'[1]Used Cooking Oil Complex'!U$103:U$105)</f>
        <v>336</v>
      </c>
      <c r="V10" s="45">
        <f>SUM('[1]Used Cooking Oil Complex'!U$106:U$114,'[1]Used Cooking Oil Complex'!V$103:V$105)</f>
        <v>524</v>
      </c>
      <c r="W10" s="45">
        <f>SUM('[1]Used Cooking Oil Complex'!V$106:V$114,'[1]Used Cooking Oil Complex'!W$103:W$105)</f>
        <v>536.96499999999992</v>
      </c>
      <c r="X10" s="45">
        <f>SUM('[1]Used Cooking Oil Complex'!W$106:W$114,'[1]Used Cooking Oil Complex'!X$103:X$105)</f>
        <v>659.7</v>
      </c>
      <c r="Y10" s="45">
        <f>SUM('[1]Used Cooking Oil Complex'!X$106:X$114,'[1]Used Cooking Oil Complex'!Y$103:Y$105)</f>
        <v>749.82550000000003</v>
      </c>
      <c r="Z10" s="45">
        <f>SUM('[1]Used Cooking Oil Complex'!Y$106:Y$114,'[1]Used Cooking Oil Complex'!Z$103:Z$105)</f>
        <v>956.3839999999999</v>
      </c>
      <c r="AA10" s="45">
        <f>SUM('[1]Used Cooking Oil Complex'!Z$106:Z$114,'[1]Used Cooking Oil Complex'!AA$103:AA$105)</f>
        <v>1084.4275000000002</v>
      </c>
      <c r="AB10" s="45">
        <f>SUM('[1]Used Cooking Oil Complex'!AA$106:AA$114,'[1]Used Cooking Oil Complex'!AB$103:AB$105)</f>
        <v>905.52700000000004</v>
      </c>
      <c r="AC10" s="45">
        <f>SUM('[1]Used Cooking Oil Complex'!AB$106:AB$114,'[1]Used Cooking Oil Complex'!AC$103:AC$105)</f>
        <v>596.86699999999996</v>
      </c>
      <c r="AD10" s="45">
        <f>SUM('[1]Used Cooking Oil Complex'!AC$106:AC$114,'[1]Used Cooking Oil Complex'!AD$103:AD$105)</f>
        <v>751.08775337489988</v>
      </c>
      <c r="AE10" s="45">
        <f>SUM('[1]Used Cooking Oil Complex'!AD$106:AD$114,'[1]Used Cooking Oil Complex'!AE$103:AE$105)</f>
        <v>795.12000000000012</v>
      </c>
      <c r="AF10" s="45">
        <f>SUM('[1]Used Cooking Oil Complex'!AE$106:AE$114,'[1]Used Cooking Oil Complex'!AF$103:AF$105)</f>
        <v>661.97210000000018</v>
      </c>
      <c r="AG10" s="45">
        <f>SUM('[1]Used Cooking Oil Complex'!AF$106:AF$114,'[1]Used Cooking Oil Complex'!AG$103:AG$105)</f>
        <v>835</v>
      </c>
      <c r="AH10" s="45">
        <f>SUM('[1]Used Cooking Oil Complex'!AG$106:AG$114,'[1]Used Cooking Oil Complex'!AH$103:AH$105)</f>
        <v>747.54714105570599</v>
      </c>
      <c r="AI10" s="45">
        <f>SUM('[1]Used Cooking Oil Complex'!AH$106:AH$114,'[1]Used Cooking Oil Complex'!AI$103:AI$105)</f>
        <v>844.52366738150715</v>
      </c>
      <c r="AJ10" s="45">
        <f>SUM('[1]Used Cooking Oil Complex'!AI$106:AI$114,'[1]Used Cooking Oil Complex'!AJ$103:AJ$105)</f>
        <v>895.84481917361359</v>
      </c>
      <c r="AK10" s="45">
        <f>SUM('[1]Used Cooking Oil Complex'!AJ$106:AJ$114,'[1]Used Cooking Oil Complex'!AK$103:AK$105)</f>
        <v>747.07302031672532</v>
      </c>
      <c r="AL10" s="45">
        <f>SUM('[1]Used Cooking Oil Complex'!AK$106:AK$114,'[1]Used Cooking Oil Complex'!AL$103:AL$105)</f>
        <v>907.39957255907893</v>
      </c>
      <c r="AM10" s="45">
        <f>SUM('[1]Used Cooking Oil Complex'!AL$106:AL$114,'[1]Used Cooking Oil Complex'!AM$103:AM$105)</f>
        <v>987.43458642537257</v>
      </c>
      <c r="AN10" s="45">
        <f>SUM('[1]Used Cooking Oil Complex'!AM$106:AM$114,'[1]Used Cooking Oil Complex'!AN$103:AN$105)</f>
        <v>1065.9249743435146</v>
      </c>
      <c r="AO10" s="45">
        <f>SUM('[1]Used Cooking Oil Complex'!AN$106:AN$114,'[1]Used Cooking Oil Complex'!AO$103:AO$105)</f>
        <v>1201.0093673235865</v>
      </c>
      <c r="AP10" s="45">
        <f>SUM('[1]Used Cooking Oil Complex'!AO$106:AO$114,'[1]Used Cooking Oil Complex'!AP$103:AP$105)</f>
        <v>1202.9906820396081</v>
      </c>
      <c r="AQ10" s="45">
        <f>SUM('[1]Used Cooking Oil Complex'!AP$106:AP$114,'[1]Used Cooking Oil Complex'!AQ$103:AQ$105)</f>
        <v>1236.5082651160744</v>
      </c>
      <c r="AR10" s="45">
        <f>SUM('[1]Used Cooking Oil Complex'!AQ$106:AQ$114,'[1]Used Cooking Oil Complex'!AR$103:AR$105)</f>
        <v>1214.9737048425013</v>
      </c>
      <c r="AS10" s="45">
        <f>SUM('[1]Used Cooking Oil Complex'!AR$106:AR$114,'[1]Used Cooking Oil Complex'!AS$103:AS$105)</f>
        <v>1064.4184031826708</v>
      </c>
      <c r="AT10" s="45">
        <f>SUM('[1]Used Cooking Oil Complex'!AS$106:AS$114,'[1]Used Cooking Oil Complex'!AT$103:AT$105)</f>
        <v>833.40544362024298</v>
      </c>
      <c r="AU10" s="45">
        <f>SUM('[1]Used Cooking Oil Complex'!AT$106:AT$114,'[1]Used Cooking Oil Complex'!AU$103:AU$105)</f>
        <v>840.58947984732845</v>
      </c>
      <c r="AV10" s="45">
        <f>SUM('[1]Used Cooking Oil Complex'!AU$106:AU$114,'[1]Used Cooking Oil Complex'!AV$103:AV$105)</f>
        <v>840.58947984732845</v>
      </c>
      <c r="AW10" s="45">
        <f>SUM('[1]Used Cooking Oil Complex'!AV$106:AV$114,'[1]Used Cooking Oil Complex'!AW$103:AW$105)</f>
        <v>840.58947984732845</v>
      </c>
      <c r="AX10" s="45">
        <f>SUM('[1]Used Cooking Oil Complex'!AW$106:AW$114,'[1]Used Cooking Oil Complex'!AX$103:AX$105)</f>
        <v>937.62487669857876</v>
      </c>
      <c r="AY10" s="45">
        <f>SUM('[1]Used Cooking Oil Complex'!AX$106:AX$114,'[1]Used Cooking Oil Complex'!AY$103:AY$105)</f>
        <v>1211.8419763995416</v>
      </c>
      <c r="AZ10" s="45">
        <f>SUM('[1]Used Cooking Oil Complex'!AY$106:AY$114,'[1]Used Cooking Oil Complex'!AZ$103:AZ$105)</f>
        <v>1211.8419763995416</v>
      </c>
      <c r="BA10" s="45">
        <f>SUM('[1]Used Cooking Oil Complex'!AZ$106:AZ$114,'[1]Used Cooking Oil Complex'!BA$103:BA$105)</f>
        <v>1211.8419763995416</v>
      </c>
      <c r="BB10" s="45">
        <f>SUM('[1]Used Cooking Oil Complex'!BA$106:BA$114,'[1]Used Cooking Oil Complex'!BB$103:BB$105)</f>
        <v>1211.8419763995416</v>
      </c>
      <c r="BC10" s="45">
        <f>SUM('[1]Used Cooking Oil Complex'!BB$106:BB$114,'[1]Used Cooking Oil Complex'!BC$103:BC$105)</f>
        <v>1211.8419763995416</v>
      </c>
      <c r="BD10" s="45">
        <f>SUM('[1]Used Cooking Oil Complex'!BC$106:BC$114,'[1]Used Cooking Oil Complex'!BD$103:BD$105)</f>
        <v>1211.8419763995416</v>
      </c>
      <c r="BE10" s="45">
        <f>SUM('[1]Used Cooking Oil Complex'!BD$106:BD$114,'[1]Used Cooking Oil Complex'!BE$103:BE$105)</f>
        <v>1211.8419763995416</v>
      </c>
      <c r="BF10" s="45">
        <f>SUM('[1]Used Cooking Oil Complex'!BE$106:BE$114,'[1]Used Cooking Oil Complex'!BF$103:BF$105)</f>
        <v>1211.8419763995416</v>
      </c>
      <c r="BG10" s="45">
        <f>SUM('[1]Used Cooking Oil Complex'!BF$106:BF$114,'[1]Used Cooking Oil Complex'!BG$103:BG$105)</f>
        <v>1211.8419763995416</v>
      </c>
    </row>
    <row r="11" spans="1:61" x14ac:dyDescent="0.2">
      <c r="A11" s="40"/>
      <c r="B11" s="40" t="s">
        <v>155</v>
      </c>
      <c r="C11" s="45">
        <f>SUM('[1]Used Cooking Oil Complex'!B$122:B$130,'[1]Used Cooking Oil Complex'!C$119:C$121)</f>
        <v>0</v>
      </c>
      <c r="D11" s="45">
        <f>SUM('[1]Used Cooking Oil Complex'!C$122:C$130,'[1]Used Cooking Oil Complex'!D$119:D$121)</f>
        <v>0</v>
      </c>
      <c r="E11" s="45">
        <f>SUM('[1]Used Cooking Oil Complex'!D$122:D$130,'[1]Used Cooking Oil Complex'!E$119:E$121)</f>
        <v>0</v>
      </c>
      <c r="F11" s="45">
        <f>SUM('[1]Used Cooking Oil Complex'!E$122:E$130,'[1]Used Cooking Oil Complex'!F$119:F$121)</f>
        <v>0</v>
      </c>
      <c r="G11" s="45">
        <f>SUM('[1]Used Cooking Oil Complex'!F$122:F$130,'[1]Used Cooking Oil Complex'!G$119:G$121)</f>
        <v>0</v>
      </c>
      <c r="H11" s="45">
        <f>SUM('[1]Used Cooking Oil Complex'!G$122:G$130,'[1]Used Cooking Oil Complex'!H$119:H$121)</f>
        <v>0</v>
      </c>
      <c r="I11" s="45">
        <f>SUM('[1]Used Cooking Oil Complex'!H$122:H$130,'[1]Used Cooking Oil Complex'!I$119:I$121)</f>
        <v>0</v>
      </c>
      <c r="J11" s="45">
        <f>SUM('[1]Used Cooking Oil Complex'!I$122:I$130,'[1]Used Cooking Oil Complex'!J$119:J$121)</f>
        <v>0</v>
      </c>
      <c r="K11" s="45">
        <f>SUM('[1]Used Cooking Oil Complex'!J$122:J$130,'[1]Used Cooking Oil Complex'!K$119:K$121)</f>
        <v>0</v>
      </c>
      <c r="L11" s="45">
        <f>SUM('[1]Used Cooking Oil Complex'!K$122:K$130,'[1]Used Cooking Oil Complex'!L$119:L$121)</f>
        <v>0</v>
      </c>
      <c r="M11" s="45">
        <f>SUM('[1]Used Cooking Oil Complex'!L$122:L$130,'[1]Used Cooking Oil Complex'!M$119:M$121)</f>
        <v>0</v>
      </c>
      <c r="N11" s="45">
        <f>SUM('[1]Used Cooking Oil Complex'!M$122:M$130,'[1]Used Cooking Oil Complex'!N$119:N$121)+SUM('[1]Used Cooking Oil Complex'!M$265:M$273,'[1]Used Cooking Oil Complex'!N$262:N$264)</f>
        <v>0</v>
      </c>
      <c r="O11" s="45">
        <f>SUM('[1]Used Cooking Oil Complex'!N$122:N$130,'[1]Used Cooking Oil Complex'!O$119:O$121)+SUM('[1]Used Cooking Oil Complex'!N$265:N$273,'[1]Used Cooking Oil Complex'!O$262:O$264)</f>
        <v>0</v>
      </c>
      <c r="P11" s="45">
        <f>SUM('[1]Used Cooking Oil Complex'!O$122:O$130,'[1]Used Cooking Oil Complex'!P$119:P$121)+SUM('[1]Used Cooking Oil Complex'!O$265:O$273,'[1]Used Cooking Oil Complex'!P$262:P$264)</f>
        <v>0</v>
      </c>
      <c r="Q11" s="45">
        <f>SUM('[1]Used Cooking Oil Complex'!P$122:P$130,'[1]Used Cooking Oil Complex'!Q$119:Q$121)+SUM('[1]Used Cooking Oil Complex'!P$265:P$273,'[1]Used Cooking Oil Complex'!Q$262:Q$264)</f>
        <v>0</v>
      </c>
      <c r="R11" s="45">
        <f>SUM('[1]Used Cooking Oil Complex'!Q$122:Q$130,'[1]Used Cooking Oil Complex'!R$119:R$121)+SUM('[1]Used Cooking Oil Complex'!Q$265:Q$273,'[1]Used Cooking Oil Complex'!R$262:R$264)</f>
        <v>0</v>
      </c>
      <c r="S11" s="45">
        <f>SUM('[1]Used Cooking Oil Complex'!R$122:R$130,'[1]Used Cooking Oil Complex'!S$119:S$121)+SUM('[1]Used Cooking Oil Complex'!R$265:R$273,'[1]Used Cooking Oil Complex'!S$262:S$264)</f>
        <v>0</v>
      </c>
      <c r="T11" s="45">
        <f>SUM('[1]Used Cooking Oil Complex'!S$122:S$130,'[1]Used Cooking Oil Complex'!T$119:T$121)+SUM('[1]Used Cooking Oil Complex'!S$265:S$273,'[1]Used Cooking Oil Complex'!T$262:T$264)</f>
        <v>42.712277502429131</v>
      </c>
      <c r="U11" s="45">
        <f>SUM('[1]Used Cooking Oil Complex'!T$122:T$130,'[1]Used Cooking Oil Complex'!U$119:U$121)+SUM('[1]Used Cooking Oil Complex'!T$265:T$273,'[1]Used Cooking Oil Complex'!U$262:U$264)</f>
        <v>114.41496948944996</v>
      </c>
      <c r="V11" s="45">
        <f>SUM('[1]Used Cooking Oil Complex'!U$122:U$130,'[1]Used Cooking Oil Complex'!V$119:V$121)+SUM('[1]Used Cooking Oil Complex'!U$265:U$273,'[1]Used Cooking Oil Complex'!V$262:V$264)</f>
        <v>204.96646600036294</v>
      </c>
      <c r="W11" s="45">
        <f>SUM('[1]Used Cooking Oil Complex'!V$122:V$130,'[1]Used Cooking Oil Complex'!W$119:W$121)+SUM('[1]Used Cooking Oil Complex'!V$265:V$273,'[1]Used Cooking Oil Complex'!W$262:W$264)</f>
        <v>406.14140574158864</v>
      </c>
      <c r="X11" s="45">
        <f>SUM('[1]Used Cooking Oil Complex'!W$122:W$130,'[1]Used Cooking Oil Complex'!X$119:X$121)+SUM('[1]Used Cooking Oil Complex'!W$265:W$273,'[1]Used Cooking Oil Complex'!X$262:X$264)</f>
        <v>298.26948392282031</v>
      </c>
      <c r="Y11" s="45">
        <f>SUM('[1]Used Cooking Oil Complex'!X$122:X$130,'[1]Used Cooking Oil Complex'!Y$119:Y$121)+SUM('[1]Used Cooking Oil Complex'!X$265:X$273,'[1]Used Cooking Oil Complex'!Y$262:Y$264)</f>
        <v>288.20295569890249</v>
      </c>
      <c r="Z11" s="45">
        <f>SUM('[1]Used Cooking Oil Complex'!Y$122:Y$130,'[1]Used Cooking Oil Complex'!Z$119:Z$121)+SUM('[1]Used Cooking Oil Complex'!Y$265:Y$273,'[1]Used Cooking Oil Complex'!Z$262:Z$264)</f>
        <v>305.89646674532082</v>
      </c>
      <c r="AA11" s="45">
        <f>SUM('[1]Used Cooking Oil Complex'!Z$122:Z$130,'[1]Used Cooking Oil Complex'!AA$119:AA$121)+SUM('[1]Used Cooking Oil Complex'!Z$265:Z$273,'[1]Used Cooking Oil Complex'!AA$262:AA$264)</f>
        <v>245.3039698726885</v>
      </c>
      <c r="AB11" s="45">
        <f>SUM('[1]Used Cooking Oil Complex'!AA$122:AA$130,'[1]Used Cooking Oil Complex'!AB$119:AB$121,'[1]Used Cooking Oil Complex'!AA$138:AA$146,'[1]Used Cooking Oil Complex'!AB$135:AB$137,'[1]Used Cooking Oil Complex'!AA$154:AA$162,'[1]Used Cooking Oil Complex'!AB$151:AB$153)</f>
        <v>223.87506149889381</v>
      </c>
      <c r="AC11" s="45">
        <f>SUM('[1]Used Cooking Oil Complex'!AB$122:AB$130,'[1]Used Cooking Oil Complex'!AC$119:AC$121,'[1]Used Cooking Oil Complex'!AB$138:AB$146,'[1]Used Cooking Oil Complex'!AC$135:AC$137,'[1]Used Cooking Oil Complex'!AB$154:AB$162,'[1]Used Cooking Oil Complex'!AC$151:AC$153)</f>
        <v>129.22198262237509</v>
      </c>
      <c r="AD11" s="45">
        <f>SUM('[1]Used Cooking Oil Complex'!AC$122:AC$130,'[1]Used Cooking Oil Complex'!AD$119:AD$121,'[1]Used Cooking Oil Complex'!AC$138:AC$146,'[1]Used Cooking Oil Complex'!AD$135:AD$137,'[1]Used Cooking Oil Complex'!AC$154:AC$162,'[1]Used Cooking Oil Complex'!AD$151:AD$153)</f>
        <v>1406.440877356973</v>
      </c>
      <c r="AE11" s="45">
        <f>SUM('[1]Used Cooking Oil Complex'!AD$122:AD$130,'[1]Used Cooking Oil Complex'!AE$119:AE$121,'[1]Used Cooking Oil Complex'!AD$138:AD$146,'[1]Used Cooking Oil Complex'!AE$135:AE$137,'[1]Used Cooking Oil Complex'!AD$154:AD$162,'[1]Used Cooking Oil Complex'!AE$151:AE$153)</f>
        <v>6971.8292912725037</v>
      </c>
      <c r="AF11" s="45">
        <f>SUM('[1]Used Cooking Oil Complex'!AE$122:AE$130,'[1]Used Cooking Oil Complex'!AF$119:AF$121,'[1]Used Cooking Oil Complex'!AE$138:AE$146,'[1]Used Cooking Oil Complex'!AF$135:AF$137,'[1]Used Cooking Oil Complex'!AE$154:AE$162,'[1]Used Cooking Oil Complex'!AF$151:AF$153)</f>
        <v>8384.8940463398376</v>
      </c>
      <c r="AG11" s="45">
        <f>SUM('[1]Used Cooking Oil Complex'!AF$122:AF$130,'[1]Used Cooking Oil Complex'!AG$119:AG$121,'[1]Used Cooking Oil Complex'!AF$138:AF$146,'[1]Used Cooking Oil Complex'!AG$135:AG$137,'[1]Used Cooking Oil Complex'!AF$154:AF$162,'[1]Used Cooking Oil Complex'!AG$151:AG$153)</f>
        <v>8607.2935227577836</v>
      </c>
      <c r="AH11" s="45">
        <f>SUM('[1]Used Cooking Oil Complex'!AG$122:AG$130,'[1]Used Cooking Oil Complex'!AH$119:AH$121,'[1]Used Cooking Oil Complex'!AG$138:AG$146,'[1]Used Cooking Oil Complex'!AH$135:AH$137,'[1]Used Cooking Oil Complex'!AG$154:AG$162,'[1]Used Cooking Oil Complex'!AH$151:AH$153)</f>
        <v>8988.4658233912432</v>
      </c>
      <c r="AI11" s="45">
        <f>SUM('[1]Used Cooking Oil Complex'!AH$122:AH$130,'[1]Used Cooking Oil Complex'!AI$119:AI$121,'[1]Used Cooking Oil Complex'!AH$138:AH$146,'[1]Used Cooking Oil Complex'!AI$135:AI$137,'[1]Used Cooking Oil Complex'!AH$154:AH$162,'[1]Used Cooking Oil Complex'!AI$151:AI$153)</f>
        <v>10377.841444479984</v>
      </c>
      <c r="AJ11" s="45">
        <f>SUM('[1]Used Cooking Oil Complex'!AI$122:AI$130,'[1]Used Cooking Oil Complex'!AJ$119:AJ$121,'[1]Used Cooking Oil Complex'!AI$138:AI$146,'[1]Used Cooking Oil Complex'!AJ$135:AJ$137,'[1]Used Cooking Oil Complex'!AI$154:AI$162,'[1]Used Cooking Oil Complex'!AJ$151:AJ$153)</f>
        <v>12848.033036658364</v>
      </c>
      <c r="AK11" s="45">
        <f>SUM('[1]Used Cooking Oil Complex'!AJ$122:AJ$130,'[1]Used Cooking Oil Complex'!AK$119:AK$121,'[1]Used Cooking Oil Complex'!AJ$138:AJ$146,'[1]Used Cooking Oil Complex'!AK$135:AK$137,'[1]Used Cooking Oil Complex'!AJ$154:AJ$162,'[1]Used Cooking Oil Complex'!AK$151:AK$153)</f>
        <v>14074.78925120253</v>
      </c>
      <c r="AL11" s="45">
        <f>SUM('[1]Used Cooking Oil Complex'!AK$122:AK$130,'[1]Used Cooking Oil Complex'!AL$119:AL$121,'[1]Used Cooking Oil Complex'!AK$138:AK$146,'[1]Used Cooking Oil Complex'!AL$135:AL$137,'[1]Used Cooking Oil Complex'!AK$154:AK$162,'[1]Used Cooking Oil Complex'!AL$151:AL$153)</f>
        <v>18079.438600788355</v>
      </c>
      <c r="AM11" s="45">
        <f>SUM('[1]Used Cooking Oil Complex'!AL$122:AL$130,'[1]Used Cooking Oil Complex'!AM$119:AM$121,'[1]Used Cooking Oil Complex'!AL$138:AL$146,'[1]Used Cooking Oil Complex'!AM$135:AM$137,'[1]Used Cooking Oil Complex'!AL$154:AL$162,'[1]Used Cooking Oil Complex'!AM$151:AM$153)</f>
        <v>21563.752611175434</v>
      </c>
      <c r="AN11" s="45">
        <f>SUM('[1]Used Cooking Oil Complex'!AM$122:AM$130,'[1]Used Cooking Oil Complex'!AN$119:AN$121,'[1]Used Cooking Oil Complex'!AM$138:AM$146,'[1]Used Cooking Oil Complex'!AN$135:AN$137,'[1]Used Cooking Oil Complex'!AM$154:AM$162,'[1]Used Cooking Oil Complex'!AN$151:AN$153)</f>
        <v>24182.849828462215</v>
      </c>
      <c r="AO11" s="45">
        <f>SUM('[1]Used Cooking Oil Complex'!AN$122:AN$130,'[1]Used Cooking Oil Complex'!AO$119:AO$121,'[1]Used Cooking Oil Complex'!AN$138:AN$146,'[1]Used Cooking Oil Complex'!AO$135:AO$137,'[1]Used Cooking Oil Complex'!AN$154:AN$162,'[1]Used Cooking Oil Complex'!AO$151:AO$153)</f>
        <v>29702.193506241088</v>
      </c>
      <c r="AP11" s="45">
        <f>SUM('[1]Used Cooking Oil Complex'!AO$122:AO$130,'[1]Used Cooking Oil Complex'!AP$119:AP$121,'[1]Used Cooking Oil Complex'!AO$138:AO$146,'[1]Used Cooking Oil Complex'!AP$135:AP$137,'[1]Used Cooking Oil Complex'!AO$154:AO$162,'[1]Used Cooking Oil Complex'!AP$151:AP$153)</f>
        <v>28749.866647285296</v>
      </c>
      <c r="AQ11" s="45">
        <f>SUM('[1]Used Cooking Oil Complex'!AP$122:AP$130,'[1]Used Cooking Oil Complex'!AQ$119:AQ$121,'[1]Used Cooking Oil Complex'!AP$138:AP$146,'[1]Used Cooking Oil Complex'!AQ$135:AQ$137,'[1]Used Cooking Oil Complex'!AP$154:AP$162,'[1]Used Cooking Oil Complex'!AQ$151:AQ$153)</f>
        <v>29443.916132680166</v>
      </c>
      <c r="AR11" s="45">
        <f>SUM('[1]Used Cooking Oil Complex'!AQ$122:AQ$130,'[1]Used Cooking Oil Complex'!AR$119:AR$121,'[1]Used Cooking Oil Complex'!AQ$138:AQ$146,'[1]Used Cooking Oil Complex'!AR$135:AR$137,'[1]Used Cooking Oil Complex'!AQ$154:AQ$162,'[1]Used Cooking Oil Complex'!AR$151:AR$153)</f>
        <v>31261.934122060724</v>
      </c>
      <c r="AS11" s="45">
        <f>SUM('[1]Used Cooking Oil Complex'!AR$122:AR$130,'[1]Used Cooking Oil Complex'!AS$119:AS$121,'[1]Used Cooking Oil Complex'!AR$138:AR$146,'[1]Used Cooking Oil Complex'!AS$135:AS$137,'[1]Used Cooking Oil Complex'!AR$154:AR$162,'[1]Used Cooking Oil Complex'!AS$151:AS$153)</f>
        <v>29319.515333896074</v>
      </c>
      <c r="AT11" s="45">
        <f>SUM('[1]Used Cooking Oil Complex'!AS$122:AS$130,'[1]Used Cooking Oil Complex'!AT$119:AT$121,'[1]Used Cooking Oil Complex'!AS$138:AS$146,'[1]Used Cooking Oil Complex'!AT$135:AT$137,'[1]Used Cooking Oil Complex'!AS$154:AS$162,'[1]Used Cooking Oil Complex'!AT$151:AT$153)</f>
        <v>31767.969606194772</v>
      </c>
      <c r="AU11" s="45">
        <f>SUM('[1]Used Cooking Oil Complex'!AT$122:AT$130,'[1]Used Cooking Oil Complex'!AU$119:AU$121,'[1]Used Cooking Oil Complex'!AT$138:AT$146,'[1]Used Cooking Oil Complex'!AU$135:AU$137,'[1]Used Cooking Oil Complex'!AT$154:AT$162,'[1]Used Cooking Oil Complex'!AU$151:AU$153)</f>
        <v>35651.185524605848</v>
      </c>
      <c r="AV11" s="45">
        <f>SUM('[1]Used Cooking Oil Complex'!AU$122:AU$130,'[1]Used Cooking Oil Complex'!AV$119:AV$121,'[1]Used Cooking Oil Complex'!AU$138:AU$146,'[1]Used Cooking Oil Complex'!AV$135:AV$137,'[1]Used Cooking Oil Complex'!AU$154:AU$162,'[1]Used Cooking Oil Complex'!AV$151:AV$153)</f>
        <v>37153.202782310778</v>
      </c>
      <c r="AW11" s="45">
        <f>SUM('[1]Used Cooking Oil Complex'!AV$122:AV$130,'[1]Used Cooking Oil Complex'!AW$119:AW$121,'[1]Used Cooking Oil Complex'!AV$138:AV$146,'[1]Used Cooking Oil Complex'!AW$135:AW$137,'[1]Used Cooking Oil Complex'!AV$154:AV$162,'[1]Used Cooking Oil Complex'!AW$151:AW$153)</f>
        <v>33617.088782655454</v>
      </c>
      <c r="AX11" s="45">
        <f>SUM('[1]Used Cooking Oil Complex'!AW$122:AW$130,'[1]Used Cooking Oil Complex'!AX$119:AX$121,'[1]Used Cooking Oil Complex'!AW$138:AW$146,'[1]Used Cooking Oil Complex'!AX$135:AX$137,'[1]Used Cooking Oil Complex'!AW$154:AW$162,'[1]Used Cooking Oil Complex'!AX$151:AX$153)</f>
        <v>36212.545639875374</v>
      </c>
      <c r="AY11" s="45">
        <f>SUM('[1]Used Cooking Oil Complex'!AX$122:AX$130,'[1]Used Cooking Oil Complex'!AY$119:AY$121,'[1]Used Cooking Oil Complex'!AX$138:AX$146,'[1]Used Cooking Oil Complex'!AY$135:AY$137,'[1]Used Cooking Oil Complex'!AX$154:AX$162,'[1]Used Cooking Oil Complex'!AY$151:AY$153)</f>
        <v>38269.791507861541</v>
      </c>
      <c r="AZ11" s="45">
        <f>SUM('[1]Used Cooking Oil Complex'!AY$122:AY$130,'[1]Used Cooking Oil Complex'!AZ$119:AZ$121,'[1]Used Cooking Oil Complex'!AY$138:AY$146,'[1]Used Cooking Oil Complex'!AZ$135:AZ$137,'[1]Used Cooking Oil Complex'!AY$154:AY$162,'[1]Used Cooking Oil Complex'!AZ$151:AZ$153)</f>
        <v>41341.965688677083</v>
      </c>
      <c r="BA11" s="45">
        <f>SUM('[1]Used Cooking Oil Complex'!AZ$122:AZ$130,'[1]Used Cooking Oil Complex'!BA$119:BA$121,'[1]Used Cooking Oil Complex'!AZ$138:AZ$146,'[1]Used Cooking Oil Complex'!BA$135:BA$137,'[1]Used Cooking Oil Complex'!AZ$154:AZ$162,'[1]Used Cooking Oil Complex'!BA$151:BA$153)</f>
        <v>42351.344069068233</v>
      </c>
      <c r="BB11" s="45">
        <f>SUM('[1]Used Cooking Oil Complex'!BA$122:BA$130,'[1]Used Cooking Oil Complex'!BB$119:BB$121,'[1]Used Cooking Oil Complex'!BA$138:BA$146,'[1]Used Cooking Oil Complex'!BB$135:BB$137,'[1]Used Cooking Oil Complex'!BA$154:BA$162,'[1]Used Cooking Oil Complex'!BB$151:BB$153)</f>
        <v>41645.057452669658</v>
      </c>
      <c r="BC11" s="45">
        <f>SUM('[1]Used Cooking Oil Complex'!BB$122:BB$130,'[1]Used Cooking Oil Complex'!BC$119:BC$121,'[1]Used Cooking Oil Complex'!BB$138:BB$146,'[1]Used Cooking Oil Complex'!BC$135:BC$137,'[1]Used Cooking Oil Complex'!BB$154:BB$162,'[1]Used Cooking Oil Complex'!BC$151:BC$153)</f>
        <v>42056.922019132282</v>
      </c>
      <c r="BD11" s="45">
        <f>SUM('[1]Used Cooking Oil Complex'!BC$122:BC$130,'[1]Used Cooking Oil Complex'!BD$119:BD$121,'[1]Used Cooking Oil Complex'!BC$138:BC$146,'[1]Used Cooking Oil Complex'!BD$135:BD$137,'[1]Used Cooking Oil Complex'!BC$154:BC$162,'[1]Used Cooking Oil Complex'!BD$151:BD$153)</f>
        <v>41340.869387310231</v>
      </c>
      <c r="BE11" s="45">
        <f>SUM('[1]Used Cooking Oil Complex'!BD$122:BD$130,'[1]Used Cooking Oil Complex'!BE$119:BE$121,'[1]Used Cooking Oil Complex'!BD$138:BD$146,'[1]Used Cooking Oil Complex'!BE$135:BE$137,'[1]Used Cooking Oil Complex'!BD$154:BD$162,'[1]Used Cooking Oil Complex'!BE$151:BE$153)</f>
        <v>44894.67283606893</v>
      </c>
      <c r="BF11" s="45">
        <f>SUM('[1]Used Cooking Oil Complex'!BE$122:BE$130,'[1]Used Cooking Oil Complex'!BF$119:BF$121,'[1]Used Cooking Oil Complex'!BE$138:BE$146,'[1]Used Cooking Oil Complex'!BF$135:BF$137,'[1]Used Cooking Oil Complex'!BE$154:BE$162,'[1]Used Cooking Oil Complex'!BF$151:BF$153)</f>
        <v>44692.939431778737</v>
      </c>
      <c r="BG11" s="45">
        <f>SUM('[1]Used Cooking Oil Complex'!BF$122:BF$130,'[1]Used Cooking Oil Complex'!BG$119:BG$121,'[1]Used Cooking Oil Complex'!BF$138:BF$146,'[1]Used Cooking Oil Complex'!BG$135:BG$137,'[1]Used Cooking Oil Complex'!BF$154:BF$162,'[1]Used Cooking Oil Complex'!BG$151:BG$153)</f>
        <v>47125.693319870668</v>
      </c>
    </row>
    <row r="12" spans="1:61" x14ac:dyDescent="0.2">
      <c r="A12" s="40"/>
      <c r="B12" s="40" t="s">
        <v>78</v>
      </c>
      <c r="C12" s="45">
        <f>SUM('[1]Used Cooking Oil Complex'!B$154:B$162,'[1]Used Cooking Oil Complex'!C$151:C$153)</f>
        <v>0</v>
      </c>
      <c r="D12" s="45">
        <f>SUM('[1]Used Cooking Oil Complex'!C$154:C$162,'[1]Used Cooking Oil Complex'!D$151:D$153)</f>
        <v>0</v>
      </c>
      <c r="E12" s="45">
        <f>SUM('[1]Used Cooking Oil Complex'!D$154:D$162,'[1]Used Cooking Oil Complex'!E$151:E$153)</f>
        <v>0</v>
      </c>
      <c r="F12" s="45">
        <f>SUM('[1]Used Cooking Oil Complex'!E$154:E$162,'[1]Used Cooking Oil Complex'!F$151:F$153)</f>
        <v>0</v>
      </c>
      <c r="G12" s="45">
        <f>SUM('[1]Used Cooking Oil Complex'!F$154:F$162,'[1]Used Cooking Oil Complex'!G$151:G$153)</f>
        <v>0</v>
      </c>
      <c r="H12" s="45">
        <f>SUM('[1]Used Cooking Oil Complex'!G$154:G$162,'[1]Used Cooking Oil Complex'!H$151:H$153)</f>
        <v>0</v>
      </c>
      <c r="I12" s="45">
        <f>SUM('[1]Used Cooking Oil Complex'!H$154:H$162,'[1]Used Cooking Oil Complex'!I$151:I$153)</f>
        <v>0</v>
      </c>
      <c r="J12" s="45">
        <f>SUM('[1]Used Cooking Oil Complex'!I$154:I$162,'[1]Used Cooking Oil Complex'!J$151:J$153)</f>
        <v>0</v>
      </c>
      <c r="K12" s="45">
        <f>SUM('[1]Used Cooking Oil Complex'!J$154:J$162,'[1]Used Cooking Oil Complex'!K$151:K$153)</f>
        <v>0</v>
      </c>
      <c r="L12" s="45">
        <f>SUM('[1]Used Cooking Oil Complex'!K$154:K$162,'[1]Used Cooking Oil Complex'!L$151:L$153)</f>
        <v>0</v>
      </c>
      <c r="M12" s="45">
        <f>SUM('[1]Used Cooking Oil Complex'!L$154:L$162,'[1]Used Cooking Oil Complex'!M$151:M$153)</f>
        <v>0</v>
      </c>
      <c r="N12" s="45">
        <f>SUM('[1]Used Cooking Oil Complex'!M$154:M$162,'[1]Used Cooking Oil Complex'!N$151:N$153)</f>
        <v>0</v>
      </c>
      <c r="O12" s="45">
        <f>SUM('[1]Used Cooking Oil Complex'!N$154:N$162,'[1]Used Cooking Oil Complex'!O$151:O$153)</f>
        <v>0</v>
      </c>
      <c r="P12" s="45">
        <f>SUM('[1]Used Cooking Oil Complex'!O$154:O$162,'[1]Used Cooking Oil Complex'!P$151:P$153)</f>
        <v>0</v>
      </c>
      <c r="Q12" s="45">
        <f>SUM('[1]Used Cooking Oil Complex'!P$154:P$162,'[1]Used Cooking Oil Complex'!Q$151:Q$153)</f>
        <v>0</v>
      </c>
      <c r="R12" s="45">
        <f>SUM('[1]Used Cooking Oil Complex'!Q$154:Q$162,'[1]Used Cooking Oil Complex'!R$151:R$153)</f>
        <v>0</v>
      </c>
      <c r="S12" s="45">
        <f>SUM('[1]Used Cooking Oil Complex'!R$154:R$162,'[1]Used Cooking Oil Complex'!S$151:S$153)</f>
        <v>0</v>
      </c>
      <c r="T12" s="45">
        <f>SUM('[1]Used Cooking Oil Complex'!S$154:S$162,'[1]Used Cooking Oil Complex'!T$151:T$153)</f>
        <v>0</v>
      </c>
      <c r="U12" s="45">
        <f>SUM('[1]Used Cooking Oil Complex'!T$154:T$162,'[1]Used Cooking Oil Complex'!U$151:U$153)</f>
        <v>0</v>
      </c>
      <c r="V12" s="45">
        <f>SUM('[1]Used Cooking Oil Complex'!U$154:U$162,'[1]Used Cooking Oil Complex'!V$151:V$153)</f>
        <v>0</v>
      </c>
      <c r="W12" s="45">
        <f>SUM('[1]Used Cooking Oil Complex'!V$154:V$162,'[1]Used Cooking Oil Complex'!W$151:W$153)</f>
        <v>0</v>
      </c>
      <c r="X12" s="45">
        <f>SUM('[1]Used Cooking Oil Complex'!W$154:W$162,'[1]Used Cooking Oil Complex'!X$151:X$153)</f>
        <v>0</v>
      </c>
      <c r="Y12" s="45">
        <f>SUM('[1]Used Cooking Oil Complex'!X$154:X$162,'[1]Used Cooking Oil Complex'!Y$151:Y$153)</f>
        <v>0</v>
      </c>
      <c r="Z12" s="45">
        <f>SUM('[1]Used Cooking Oil Complex'!Y$154:Y$162,'[1]Used Cooking Oil Complex'!Z$151:Z$153)</f>
        <v>0.48854433031757022</v>
      </c>
      <c r="AA12" s="45">
        <f>SUM('[1]Used Cooking Oil Complex'!Z$154:Z$162,'[1]Used Cooking Oil Complex'!AA$151:AA$153)</f>
        <v>1.0637831118141898</v>
      </c>
      <c r="AB12" s="45">
        <f>AB8-AB9</f>
        <v>565.70650334345669</v>
      </c>
      <c r="AC12" s="45">
        <f t="shared" ref="AC12:BG12" si="5">AC8-AC9</f>
        <v>330.18781573302988</v>
      </c>
      <c r="AD12" s="45">
        <f t="shared" si="5"/>
        <v>177.96951956224439</v>
      </c>
      <c r="AE12" s="45">
        <f t="shared" si="5"/>
        <v>-4184.2769356842682</v>
      </c>
      <c r="AF12" s="45">
        <f t="shared" si="5"/>
        <v>-1890.1174905163098</v>
      </c>
      <c r="AG12" s="45">
        <f t="shared" si="5"/>
        <v>251.58808363030221</v>
      </c>
      <c r="AH12" s="45">
        <f t="shared" si="5"/>
        <v>-84.775982625184042</v>
      </c>
      <c r="AI12" s="45">
        <f t="shared" si="5"/>
        <v>836.30029356718114</v>
      </c>
      <c r="AJ12" s="45">
        <f t="shared" si="5"/>
        <v>221.84147791896612</v>
      </c>
      <c r="AK12" s="45">
        <f t="shared" si="5"/>
        <v>387.90863316807008</v>
      </c>
      <c r="AL12" s="45">
        <f t="shared" si="5"/>
        <v>214.7420299687401</v>
      </c>
      <c r="AM12" s="45">
        <f t="shared" si="5"/>
        <v>624.26125584359033</v>
      </c>
      <c r="AN12" s="45">
        <f t="shared" si="5"/>
        <v>855.20329039955686</v>
      </c>
      <c r="AO12" s="45">
        <f t="shared" si="5"/>
        <v>-1282.9892619066959</v>
      </c>
      <c r="AP12" s="45">
        <f t="shared" si="5"/>
        <v>1645.7913374597883</v>
      </c>
      <c r="AQ12" s="45">
        <f t="shared" si="5"/>
        <v>999.82518949464793</v>
      </c>
      <c r="AR12" s="45">
        <f t="shared" si="5"/>
        <v>-1163.5982696470019</v>
      </c>
      <c r="AS12" s="45">
        <f t="shared" si="5"/>
        <v>1868.4183622581768</v>
      </c>
      <c r="AT12" s="45">
        <f t="shared" si="5"/>
        <v>335.84645716008163</v>
      </c>
      <c r="AU12" s="45">
        <f t="shared" si="5"/>
        <v>-276.51052846817765</v>
      </c>
      <c r="AV12" s="45">
        <f t="shared" si="5"/>
        <v>-32.743384654859256</v>
      </c>
      <c r="AW12" s="45">
        <f t="shared" si="5"/>
        <v>1402.7962421595148</v>
      </c>
      <c r="AX12" s="45">
        <f t="shared" si="5"/>
        <v>1256.2825273296185</v>
      </c>
      <c r="AY12" s="45">
        <f t="shared" si="5"/>
        <v>734.56142969096982</v>
      </c>
      <c r="AZ12" s="45">
        <f t="shared" si="5"/>
        <v>237.13426270523632</v>
      </c>
      <c r="BA12" s="45">
        <f t="shared" si="5"/>
        <v>641.8772572113885</v>
      </c>
      <c r="BB12" s="45">
        <f t="shared" si="5"/>
        <v>579.60621544608875</v>
      </c>
      <c r="BC12" s="45">
        <f t="shared" si="5"/>
        <v>1169.530343819366</v>
      </c>
      <c r="BD12" s="45">
        <f t="shared" si="5"/>
        <v>489.89233847659489</v>
      </c>
      <c r="BE12" s="45">
        <f t="shared" si="5"/>
        <v>397.54190177457349</v>
      </c>
      <c r="BF12" s="45">
        <f t="shared" si="5"/>
        <v>908.60808353174798</v>
      </c>
      <c r="BG12" s="45">
        <f t="shared" si="5"/>
        <v>170.68961134560232</v>
      </c>
      <c r="BI12" s="41" t="s">
        <v>178</v>
      </c>
    </row>
    <row r="13" spans="1:61" x14ac:dyDescent="0.2">
      <c r="A13" s="40"/>
      <c r="B13" s="40" t="s">
        <v>79</v>
      </c>
      <c r="C13" s="45">
        <f>SUM('[1]Used Cooking Oil Complex'!B$58:B$66,'[1]Used Cooking Oil Complex'!C$55:C$57)</f>
        <v>16.088826000000001</v>
      </c>
      <c r="D13" s="45">
        <f>SUM('[1]Used Cooking Oil Complex'!C$58:C$66,'[1]Used Cooking Oil Complex'!D$55:D$57)</f>
        <v>16.671734000000001</v>
      </c>
      <c r="E13" s="45">
        <f>SUM('[1]Used Cooking Oil Complex'!D$58:D$66,'[1]Used Cooking Oil Complex'!E$55:E$57)</f>
        <v>22.0230946</v>
      </c>
      <c r="F13" s="45">
        <f>SUM('[1]Used Cooking Oil Complex'!E$58:E$66,'[1]Used Cooking Oil Complex'!F$55:F$57)</f>
        <v>36.015987599999995</v>
      </c>
      <c r="G13" s="45">
        <f>SUM('[1]Used Cooking Oil Complex'!F$58:F$66,'[1]Used Cooking Oil Complex'!G$55:G$57)</f>
        <v>41.262671800000007</v>
      </c>
      <c r="H13" s="45">
        <f>SUM('[1]Used Cooking Oil Complex'!G$58:G$66,'[1]Used Cooking Oil Complex'!H$55:H$57)</f>
        <v>25.556314799999999</v>
      </c>
      <c r="I13" s="45">
        <f>SUM('[1]Used Cooking Oil Complex'!H$58:H$66,'[1]Used Cooking Oil Complex'!I$55:I$57)</f>
        <v>21.414992000000002</v>
      </c>
      <c r="J13" s="45">
        <f>SUM('[1]Used Cooking Oil Complex'!I$58:I$66,'[1]Used Cooking Oil Complex'!J$55:J$57)</f>
        <v>21.968807800000004</v>
      </c>
      <c r="K13" s="45">
        <f>SUM('[1]Used Cooking Oil Complex'!J$58:J$66,'[1]Used Cooking Oil Complex'!K$55:K$57)</f>
        <v>24.510644400000004</v>
      </c>
      <c r="L13" s="45">
        <f>SUM('[1]Used Cooking Oil Complex'!K$58:K$66,'[1]Used Cooking Oil Complex'!L$55:L$57)</f>
        <v>17.188116400000002</v>
      </c>
      <c r="M13" s="45">
        <f>SUM('[1]Used Cooking Oil Complex'!L$58:L$66,'[1]Used Cooking Oil Complex'!M$55:M$57)</f>
        <v>24.041263800000003</v>
      </c>
      <c r="N13" s="45">
        <f>SUM('[1]Used Cooking Oil Complex'!M$58:M$66,'[1]Used Cooking Oil Complex'!N$55:N$57)</f>
        <v>26.688780600000005</v>
      </c>
      <c r="O13" s="45">
        <f>SUM('[1]Used Cooking Oil Complex'!N$58:N$66,'[1]Used Cooking Oil Complex'!O$55:O$57)</f>
        <v>71.634621199999998</v>
      </c>
      <c r="P13" s="45">
        <f>SUM('[1]Used Cooking Oil Complex'!O$58:O$66,'[1]Used Cooking Oil Complex'!P$55:P$57)</f>
        <v>78.097463200000007</v>
      </c>
      <c r="Q13" s="45">
        <f>SUM('[1]Used Cooking Oil Complex'!P$58:P$66,'[1]Used Cooking Oil Complex'!Q$55:Q$57)</f>
        <v>128.5742114</v>
      </c>
      <c r="R13" s="45">
        <f>SUM('[1]Used Cooking Oil Complex'!Q$58:Q$66,'[1]Used Cooking Oil Complex'!R$55:R$57)</f>
        <v>70.815501799999993</v>
      </c>
      <c r="S13" s="45">
        <f>SUM('[1]Used Cooking Oil Complex'!R$58:R$66,'[1]Used Cooking Oil Complex'!S$55:S$57)</f>
        <v>136.72657159999997</v>
      </c>
      <c r="T13" s="45">
        <f>SUM('[1]Used Cooking Oil Complex'!S$58:S$66,'[1]Used Cooking Oil Complex'!T$55:T$57)</f>
        <v>245.89829280000001</v>
      </c>
      <c r="U13" s="45">
        <f>SUM('[1]Used Cooking Oil Complex'!T$58:T$66,'[1]Used Cooking Oil Complex'!U$55:U$57)</f>
        <v>38.406605000000006</v>
      </c>
      <c r="V13" s="45">
        <f>SUM('[1]Used Cooking Oil Complex'!U$58:U$66,'[1]Used Cooking Oil Complex'!V$55:V$57)</f>
        <v>84.597702999999996</v>
      </c>
      <c r="W13" s="45">
        <f>SUM('[1]Used Cooking Oil Complex'!V$58:V$66,'[1]Used Cooking Oil Complex'!W$55:W$57)</f>
        <v>89.996085999999991</v>
      </c>
      <c r="X13" s="45">
        <f>SUM('[1]Used Cooking Oil Complex'!W$58:W$66,'[1]Used Cooking Oil Complex'!X$55:X$57)</f>
        <v>73.46495800000001</v>
      </c>
      <c r="Y13" s="45">
        <f>SUM('[1]Used Cooking Oil Complex'!X$58:X$66,'[1]Used Cooking Oil Complex'!Y$55:Y$57)</f>
        <v>200.070863</v>
      </c>
      <c r="Z13" s="45">
        <f>SUM('[1]Used Cooking Oil Complex'!Y$58:Y$66,'[1]Used Cooking Oil Complex'!Z$55:Z$57)</f>
        <v>212.62250899999998</v>
      </c>
      <c r="AA13" s="45">
        <f>SUM('[1]Used Cooking Oil Complex'!Z$58:Z$66,'[1]Used Cooking Oil Complex'!AA$55:AA$57)</f>
        <v>344.93598699999995</v>
      </c>
      <c r="AB13" s="45">
        <f>SUM('[1]Used Cooking Oil Complex'!AA$58:AA$66,'[1]Used Cooking Oil Complex'!AB$55:AB$57)</f>
        <v>552.78583199999991</v>
      </c>
      <c r="AC13" s="45">
        <f>SUM('[1]Used Cooking Oil Complex'!AB$58:AB$66,'[1]Used Cooking Oil Complex'!AC$55:AC$57)</f>
        <v>886.81252800000004</v>
      </c>
      <c r="AD13" s="45">
        <f>SUM('[1]Used Cooking Oil Complex'!AC$58:AC$66,'[1]Used Cooking Oil Complex'!AD$55:AD$57)</f>
        <v>284.492571</v>
      </c>
      <c r="AE13" s="45">
        <f>SUM('[1]Used Cooking Oil Complex'!AD$58:AD$66,'[1]Used Cooking Oil Complex'!AE$55:AE$57)</f>
        <v>839.49118300000009</v>
      </c>
      <c r="AF13" s="45">
        <f>SUM('[1]Used Cooking Oil Complex'!AE$58:AE$66,'[1]Used Cooking Oil Complex'!AF$55:AF$57)</f>
        <v>408.76410499999997</v>
      </c>
      <c r="AG13" s="45">
        <f>SUM('[1]Used Cooking Oil Complex'!AF$58:AF$66,'[1]Used Cooking Oil Complex'!AG$55:AG$57)</f>
        <v>344.73782643544376</v>
      </c>
      <c r="AH13" s="45">
        <f>SUM('[1]Used Cooking Oil Complex'!AG$58:AG$66,'[1]Used Cooking Oil Complex'!AH$55:AH$57)</f>
        <v>193.93125704272327</v>
      </c>
      <c r="AI13" s="45">
        <f>SUM('[1]Used Cooking Oil Complex'!AH$58:AH$66,'[1]Used Cooking Oil Complex'!AI$55:AI$57)</f>
        <v>197.94522066967767</v>
      </c>
      <c r="AJ13" s="45">
        <f>SUM('[1]Used Cooking Oil Complex'!AI$58:AI$66,'[1]Used Cooking Oil Complex'!AJ$55:AJ$57)</f>
        <v>154.51655816501105</v>
      </c>
      <c r="AK13" s="45">
        <f>SUM('[1]Used Cooking Oil Complex'!AJ$58:AJ$66,'[1]Used Cooking Oil Complex'!AK$55:AK$57)</f>
        <v>148.82551415657031</v>
      </c>
      <c r="AL13" s="45">
        <f>SUM('[1]Used Cooking Oil Complex'!AK$58:AK$66,'[1]Used Cooking Oil Complex'!AL$55:AL$57)</f>
        <v>119.53440842534911</v>
      </c>
      <c r="AM13" s="45">
        <f>SUM('[1]Used Cooking Oil Complex'!AL$58:AL$66,'[1]Used Cooking Oil Complex'!AM$55:AM$57)</f>
        <v>101.82297032213512</v>
      </c>
      <c r="AN13" s="45">
        <f>SUM('[1]Used Cooking Oil Complex'!AM$58:AM$66,'[1]Used Cooking Oil Complex'!AN$55:AN$57)</f>
        <v>98.901905956832209</v>
      </c>
      <c r="AO13" s="45">
        <f>SUM('[1]Used Cooking Oil Complex'!AN$58:AN$66,'[1]Used Cooking Oil Complex'!AO$55:AO$57)</f>
        <v>99.778140601920882</v>
      </c>
      <c r="AP13" s="45">
        <f>SUM('[1]Used Cooking Oil Complex'!AO$58:AO$66,'[1]Used Cooking Oil Complex'!AP$55:AP$57)</f>
        <v>98.759981583938327</v>
      </c>
      <c r="AQ13" s="45">
        <f>SUM('[1]Used Cooking Oil Complex'!AP$58:AP$66,'[1]Used Cooking Oil Complex'!AQ$55:AQ$57)</f>
        <v>101.15973745573493</v>
      </c>
      <c r="AR13" s="45">
        <f>SUM('[1]Used Cooking Oil Complex'!AQ$58:AQ$66,'[1]Used Cooking Oil Complex'!AR$55:AR$57)</f>
        <v>100.04003646880196</v>
      </c>
      <c r="AS13" s="45">
        <f>SUM('[1]Used Cooking Oil Complex'!AR$58:AR$66,'[1]Used Cooking Oil Complex'!AS$55:AS$57)</f>
        <v>100.0845471841123</v>
      </c>
      <c r="AT13" s="45">
        <f>SUM('[1]Used Cooking Oil Complex'!AS$58:AS$66,'[1]Used Cooking Oil Complex'!AT$55:AT$57)</f>
        <v>99.727960413445672</v>
      </c>
      <c r="AU13" s="45">
        <f>SUM('[1]Used Cooking Oil Complex'!AT$58:AT$66,'[1]Used Cooking Oil Complex'!AU$55:AU$57)</f>
        <v>99.964488658901686</v>
      </c>
      <c r="AV13" s="45">
        <f>SUM('[1]Used Cooking Oil Complex'!AU$58:AU$66,'[1]Used Cooking Oil Complex'!AV$55:AV$57)</f>
        <v>99.954452621206627</v>
      </c>
      <c r="AW13" s="45">
        <f>SUM('[1]Used Cooking Oil Complex'!AV$58:AV$66,'[1]Used Cooking Oil Complex'!AW$55:AW$57)</f>
        <v>100.1953540361993</v>
      </c>
      <c r="AX13" s="45">
        <f>SUM('[1]Used Cooking Oil Complex'!AW$58:AW$66,'[1]Used Cooking Oil Complex'!AX$55:AX$57)</f>
        <v>99.954297069293631</v>
      </c>
      <c r="AY13" s="45">
        <f>SUM('[1]Used Cooking Oil Complex'!AX$58:AX$66,'[1]Used Cooking Oil Complex'!AY$55:AY$57)</f>
        <v>99.985360582773112</v>
      </c>
      <c r="AZ13" s="45">
        <f>SUM('[1]Used Cooking Oil Complex'!AY$58:AY$66,'[1]Used Cooking Oil Complex'!AZ$55:AZ$57)</f>
        <v>99.959310559809381</v>
      </c>
      <c r="BA13" s="45">
        <f>SUM('[1]Used Cooking Oil Complex'!AZ$58:AZ$66,'[1]Used Cooking Oil Complex'!BA$55:BA$57)</f>
        <v>100.01079059367487</v>
      </c>
      <c r="BB13" s="45">
        <f>SUM('[1]Used Cooking Oil Complex'!BA$58:BA$66,'[1]Used Cooking Oil Complex'!BB$55:BB$57)</f>
        <v>100.00975497385646</v>
      </c>
      <c r="BC13" s="45">
        <f>SUM('[1]Used Cooking Oil Complex'!BB$58:BB$66,'[1]Used Cooking Oil Complex'!BC$55:BC$57)</f>
        <v>100.02102256835008</v>
      </c>
      <c r="BD13" s="45">
        <f>SUM('[1]Used Cooking Oil Complex'!BC$58:BC$66,'[1]Used Cooking Oil Complex'!BD$55:BD$57)</f>
        <v>99.983902755881473</v>
      </c>
      <c r="BE13" s="45">
        <f>SUM('[1]Used Cooking Oil Complex'!BD$58:BD$66,'[1]Used Cooking Oil Complex'!BE$55:BE$57)</f>
        <v>99.997247855692763</v>
      </c>
      <c r="BF13" s="45">
        <f>SUM('[1]Used Cooking Oil Complex'!BE$58:BE$66,'[1]Used Cooking Oil Complex'!BF$55:BF$57)</f>
        <v>99.996956290314458</v>
      </c>
      <c r="BG13" s="45">
        <f>SUM('[1]Used Cooking Oil Complex'!BF$58:BF$66,'[1]Used Cooking Oil Complex'!BG$55:BG$57)</f>
        <v>100.00454374949112</v>
      </c>
    </row>
    <row r="14" spans="1:61" x14ac:dyDescent="0.2">
      <c r="A14" s="40"/>
      <c r="B14" s="61" t="s">
        <v>80</v>
      </c>
      <c r="C14" s="62" t="e">
        <f t="shared" ref="C14:AA14" si="6">C13+C8</f>
        <v>#REF!</v>
      </c>
      <c r="D14" s="62" t="e">
        <f t="shared" si="6"/>
        <v>#REF!</v>
      </c>
      <c r="E14" s="62" t="e">
        <f t="shared" si="6"/>
        <v>#REF!</v>
      </c>
      <c r="F14" s="62" t="e">
        <f t="shared" si="6"/>
        <v>#REF!</v>
      </c>
      <c r="G14" s="62" t="e">
        <f t="shared" si="6"/>
        <v>#REF!</v>
      </c>
      <c r="H14" s="62" t="e">
        <f t="shared" si="6"/>
        <v>#REF!</v>
      </c>
      <c r="I14" s="62" t="e">
        <f t="shared" si="6"/>
        <v>#REF!</v>
      </c>
      <c r="J14" s="62" t="e">
        <f t="shared" si="6"/>
        <v>#REF!</v>
      </c>
      <c r="K14" s="62" t="e">
        <f t="shared" si="6"/>
        <v>#REF!</v>
      </c>
      <c r="L14" s="62" t="e">
        <f t="shared" si="6"/>
        <v>#REF!</v>
      </c>
      <c r="M14" s="62" t="e">
        <f t="shared" si="6"/>
        <v>#REF!</v>
      </c>
      <c r="N14" s="62" t="e">
        <f t="shared" si="6"/>
        <v>#REF!</v>
      </c>
      <c r="O14" s="62" t="e">
        <f t="shared" si="6"/>
        <v>#REF!</v>
      </c>
      <c r="P14" s="62" t="e">
        <f t="shared" si="6"/>
        <v>#REF!</v>
      </c>
      <c r="Q14" s="62" t="e">
        <f t="shared" si="6"/>
        <v>#REF!</v>
      </c>
      <c r="R14" s="62" t="e">
        <f t="shared" si="6"/>
        <v>#REF!</v>
      </c>
      <c r="S14" s="62" t="e">
        <f t="shared" si="6"/>
        <v>#REF!</v>
      </c>
      <c r="T14" s="62" t="e">
        <f t="shared" si="6"/>
        <v>#REF!</v>
      </c>
      <c r="U14" s="62" t="e">
        <f t="shared" si="6"/>
        <v>#REF!</v>
      </c>
      <c r="V14" s="62" t="e">
        <f t="shared" si="6"/>
        <v>#REF!</v>
      </c>
      <c r="W14" s="62" t="e">
        <f t="shared" si="6"/>
        <v>#REF!</v>
      </c>
      <c r="X14" s="62" t="e">
        <f t="shared" si="6"/>
        <v>#REF!</v>
      </c>
      <c r="Y14" s="62" t="e">
        <f t="shared" si="6"/>
        <v>#REF!</v>
      </c>
      <c r="Z14" s="62" t="e">
        <f t="shared" si="6"/>
        <v>#REF!</v>
      </c>
      <c r="AA14" s="62" t="e">
        <f t="shared" si="6"/>
        <v>#REF!</v>
      </c>
      <c r="AB14" s="62">
        <f>AB7-AB15</f>
        <v>2247.8943968423505</v>
      </c>
      <c r="AC14" s="62">
        <f t="shared" ref="AC14:BG14" si="7">AC7-AC15</f>
        <v>1943.0893263554049</v>
      </c>
      <c r="AD14" s="62">
        <f t="shared" si="7"/>
        <v>2619.9907212941175</v>
      </c>
      <c r="AE14" s="62">
        <f t="shared" si="7"/>
        <v>4422.1635385882355</v>
      </c>
      <c r="AF14" s="62">
        <f t="shared" si="7"/>
        <v>7565.5127608235289</v>
      </c>
      <c r="AG14" s="62">
        <f t="shared" si="7"/>
        <v>10038.619432823529</v>
      </c>
      <c r="AH14" s="62">
        <f t="shared" si="7"/>
        <v>9845.1682388644876</v>
      </c>
      <c r="AI14" s="62">
        <f t="shared" si="7"/>
        <v>12256.610626098349</v>
      </c>
      <c r="AJ14" s="62">
        <f t="shared" si="7"/>
        <v>14120.235891915954</v>
      </c>
      <c r="AK14" s="62">
        <f t="shared" si="7"/>
        <v>15358.596418843896</v>
      </c>
      <c r="AL14" s="62">
        <f t="shared" si="7"/>
        <v>19321.114611741523</v>
      </c>
      <c r="AM14" s="62">
        <f t="shared" si="7"/>
        <v>23277.271423766535</v>
      </c>
      <c r="AN14" s="62">
        <f t="shared" si="7"/>
        <v>26202.879999162116</v>
      </c>
      <c r="AO14" s="62">
        <f t="shared" si="7"/>
        <v>29719.991752259899</v>
      </c>
      <c r="AP14" s="62">
        <f t="shared" si="7"/>
        <v>31697.408648368633</v>
      </c>
      <c r="AQ14" s="62">
        <f t="shared" si="7"/>
        <v>31781.409324746623</v>
      </c>
      <c r="AR14" s="62">
        <f t="shared" si="7"/>
        <v>31413.349593725026</v>
      </c>
      <c r="AS14" s="62">
        <f t="shared" si="7"/>
        <v>32352.436646521033</v>
      </c>
      <c r="AT14" s="62">
        <f t="shared" si="7"/>
        <v>33036.949467388542</v>
      </c>
      <c r="AU14" s="62">
        <f t="shared" si="7"/>
        <v>36315.228964643902</v>
      </c>
      <c r="AV14" s="62">
        <f t="shared" si="7"/>
        <v>38061.003330124455</v>
      </c>
      <c r="AW14" s="62">
        <f t="shared" si="7"/>
        <v>35960.6698586985</v>
      </c>
      <c r="AX14" s="62">
        <f t="shared" si="7"/>
        <v>38506.407340972866</v>
      </c>
      <c r="AY14" s="62">
        <f t="shared" si="7"/>
        <v>40316.180274534825</v>
      </c>
      <c r="AZ14" s="62">
        <f t="shared" si="7"/>
        <v>42890.90123834167</v>
      </c>
      <c r="BA14" s="62">
        <f t="shared" si="7"/>
        <v>44305.074093272837</v>
      </c>
      <c r="BB14" s="62">
        <f t="shared" si="7"/>
        <v>43536.515399489144</v>
      </c>
      <c r="BC14" s="62">
        <f t="shared" si="7"/>
        <v>44538.315361919536</v>
      </c>
      <c r="BD14" s="62">
        <f t="shared" si="7"/>
        <v>43142.587604942251</v>
      </c>
      <c r="BE14" s="62">
        <f t="shared" si="7"/>
        <v>46604.05396209874</v>
      </c>
      <c r="BF14" s="62">
        <f t="shared" si="7"/>
        <v>46913.386448000339</v>
      </c>
      <c r="BG14" s="62">
        <f t="shared" si="7"/>
        <v>48608.229451365303</v>
      </c>
    </row>
    <row r="15" spans="1:61" ht="12" thickBot="1" x14ac:dyDescent="0.25">
      <c r="A15" s="40"/>
      <c r="B15" s="40" t="s">
        <v>81</v>
      </c>
      <c r="C15" s="45">
        <f>'[1]Used Cooking Oil Complex'!C$169</f>
        <v>132.29077300781483</v>
      </c>
      <c r="D15" s="45">
        <f>'[1]Used Cooking Oil Complex'!D$169</f>
        <v>112.16838568412425</v>
      </c>
      <c r="E15" s="45">
        <f>'[1]Used Cooking Oil Complex'!E$169</f>
        <v>109.4644614663614</v>
      </c>
      <c r="F15" s="45">
        <f>'[1]Used Cooking Oil Complex'!F$169</f>
        <v>114.19007378621234</v>
      </c>
      <c r="G15" s="45">
        <f>'[1]Used Cooking Oil Complex'!G$169</f>
        <v>124.05378341094512</v>
      </c>
      <c r="H15" s="45">
        <f>'[1]Used Cooking Oil Complex'!H$169</f>
        <v>103.72409947288517</v>
      </c>
      <c r="I15" s="45">
        <f>'[1]Used Cooking Oil Complex'!I$169</f>
        <v>106.92040168671249</v>
      </c>
      <c r="J15" s="45">
        <f>'[1]Used Cooking Oil Complex'!J$169</f>
        <v>121.38104282050747</v>
      </c>
      <c r="K15" s="45">
        <f>'[1]Used Cooking Oil Complex'!K$169</f>
        <v>110.02974175675085</v>
      </c>
      <c r="L15" s="45">
        <f>'[1]Used Cooking Oil Complex'!L$169</f>
        <v>117.86445624792935</v>
      </c>
      <c r="M15" s="45">
        <f>'[1]Used Cooking Oil Complex'!M$169</f>
        <v>124.49629613624634</v>
      </c>
      <c r="N15" s="45">
        <f>'[1]Used Cooking Oil Complex'!N$169</f>
        <v>122.10238781863592</v>
      </c>
      <c r="O15" s="45">
        <f>'[1]Used Cooking Oil Complex'!O$169</f>
        <v>108.03673056373489</v>
      </c>
      <c r="P15" s="45">
        <f>'[1]Used Cooking Oil Complex'!P$169</f>
        <v>102.98652142607303</v>
      </c>
      <c r="Q15" s="45">
        <f>'[1]Used Cooking Oil Complex'!Q$169</f>
        <v>144.09598939997537</v>
      </c>
      <c r="R15" s="45">
        <f>'[1]Used Cooking Oil Complex'!R$169</f>
        <v>100.2511680090069</v>
      </c>
      <c r="S15" s="45">
        <f>'[1]Used Cooking Oil Complex'!S$169</f>
        <v>92.984013182629397</v>
      </c>
      <c r="T15" s="45">
        <f>'[1]Used Cooking Oil Complex'!T$169</f>
        <v>87.96707570462236</v>
      </c>
      <c r="U15" s="45">
        <f>'[1]Used Cooking Oil Complex'!U$169</f>
        <v>104.78900083338131</v>
      </c>
      <c r="V15" s="45">
        <f>'[1]Used Cooking Oil Complex'!V$169</f>
        <v>51.353261903573127</v>
      </c>
      <c r="W15" s="45">
        <f>'[1]Used Cooking Oil Complex'!W$169</f>
        <v>53.768066141284208</v>
      </c>
      <c r="X15" s="45">
        <f>'[1]Used Cooking Oil Complex'!X$169</f>
        <v>59.060658429072987</v>
      </c>
      <c r="Y15" s="45">
        <f>'[1]Used Cooking Oil Complex'!Y$169</f>
        <v>47.433002706579401</v>
      </c>
      <c r="Z15" s="45">
        <f>'[1]Used Cooking Oil Complex'!Z$169</f>
        <v>41.351869935892395</v>
      </c>
      <c r="AA15" s="45">
        <f>'[1]Used Cooking Oil Complex'!AA$169</f>
        <v>26.061126204581129</v>
      </c>
      <c r="AB15" s="45">
        <f>'[1]Used Cooking Oil Complex'!AB$185</f>
        <v>81.558000000000007</v>
      </c>
      <c r="AC15" s="45">
        <f>'[1]Used Cooking Oil Complex'!AC$185</f>
        <v>79.229700000000008</v>
      </c>
      <c r="AD15" s="45">
        <f>'[1]Used Cooking Oil Complex'!AD$185</f>
        <v>81.886499999999998</v>
      </c>
      <c r="AE15" s="45">
        <f>'[1]Used Cooking Oil Complex'!AE$185</f>
        <v>89.079300000000003</v>
      </c>
      <c r="AF15" s="45">
        <f>'[1]Used Cooking Oil Complex'!AF$185</f>
        <v>93.15</v>
      </c>
      <c r="AG15" s="45">
        <f>'[1]Used Cooking Oil Complex'!AG$185</f>
        <v>86.940000000000012</v>
      </c>
      <c r="AH15" s="45">
        <f>'[1]Used Cooking Oil Complex'!AH$185</f>
        <v>718.23893285134227</v>
      </c>
      <c r="AI15" s="45">
        <f>'[1]Used Cooking Oil Complex'!AI$185</f>
        <v>638.89966329445349</v>
      </c>
      <c r="AJ15" s="45">
        <f>'[1]Used Cooking Oil Complex'!AJ$185</f>
        <v>1994.2349358564047</v>
      </c>
      <c r="AK15" s="45">
        <f>'[1]Used Cooking Oil Complex'!AK$185</f>
        <v>4893.6287303635572</v>
      </c>
      <c r="AL15" s="45">
        <f>'[1]Used Cooking Oil Complex'!AL$185</f>
        <v>6853.4629526445178</v>
      </c>
      <c r="AM15" s="45">
        <f>'[1]Used Cooking Oil Complex'!AM$185</f>
        <v>8950.6710912594917</v>
      </c>
      <c r="AN15" s="45">
        <f>'[1]Used Cooking Oil Complex'!AN$185</f>
        <v>11391.919971614097</v>
      </c>
      <c r="AO15" s="45">
        <f>'[1]Used Cooking Oil Complex'!AO$185</f>
        <v>14449.75416231304</v>
      </c>
      <c r="AP15" s="45">
        <f>'[1]Used Cooking Oil Complex'!AP$185</f>
        <v>19063.361374732449</v>
      </c>
      <c r="AQ15" s="45">
        <f>'[1]Used Cooking Oil Complex'!AQ$185</f>
        <v>23993.167724399522</v>
      </c>
      <c r="AR15" s="45">
        <f>'[1]Used Cooking Oil Complex'!AR$185</f>
        <v>28870.95415094179</v>
      </c>
      <c r="AS15" s="45">
        <f>'[1]Used Cooking Oil Complex'!AS$185</f>
        <v>32180.090024205085</v>
      </c>
      <c r="AT15" s="45">
        <f>'[1]Used Cooking Oil Complex'!AT$185</f>
        <v>36964.552117023071</v>
      </c>
      <c r="AU15" s="45">
        <f>'[1]Used Cooking Oil Complex'!AU$185</f>
        <v>42166.225884778833</v>
      </c>
      <c r="AV15" s="45">
        <f>'[1]Used Cooking Oil Complex'!AV$185</f>
        <v>45713.43272184016</v>
      </c>
      <c r="AW15" s="45">
        <f>'[1]Used Cooking Oil Complex'!AW$185</f>
        <v>49972.940892458864</v>
      </c>
      <c r="AX15" s="45">
        <f>'[1]Used Cooking Oil Complex'!AX$185</f>
        <v>53685.673848947852</v>
      </c>
      <c r="AY15" s="45">
        <f>'[1]Used Cooking Oil Complex'!AY$185</f>
        <v>57263.030226743387</v>
      </c>
      <c r="AZ15" s="45">
        <f>'[1]Used Cooking Oil Complex'!AZ$185</f>
        <v>60115.116021051668</v>
      </c>
      <c r="BA15" s="45">
        <f>'[1]Used Cooking Oil Complex'!BA$185</f>
        <v>62597.296769190798</v>
      </c>
      <c r="BB15" s="45">
        <f>'[1]Used Cooking Oil Complex'!BB$185</f>
        <v>66310.659053992946</v>
      </c>
      <c r="BC15" s="45">
        <f>'[1]Used Cooking Oil Complex'!BC$185</f>
        <v>69549.901232365068</v>
      </c>
      <c r="BD15" s="45">
        <f>'[1]Used Cooking Oil Complex'!BD$185</f>
        <v>75244.143415726998</v>
      </c>
      <c r="BE15" s="45">
        <f>'[1]Used Cooking Oil Complex'!BE$185</f>
        <v>79050.909844716574</v>
      </c>
      <c r="BF15" s="45">
        <f>'[1]Used Cooking Oil Complex'!BF$185</f>
        <v>84240.221009444722</v>
      </c>
      <c r="BG15" s="45">
        <f>'[1]Used Cooking Oil Complex'!BG$185</f>
        <v>88226.199179282761</v>
      </c>
    </row>
    <row r="16" spans="1:61" x14ac:dyDescent="0.2">
      <c r="A16" s="40"/>
      <c r="B16" s="49" t="s">
        <v>179</v>
      </c>
      <c r="C16" s="49"/>
      <c r="D16" s="49"/>
      <c r="E16" s="49"/>
      <c r="F16" s="49"/>
      <c r="G16" s="49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>
        <f>MEDIAN('[1]Used Cooking Oil Complex'!T$185:T$193,'[1]Used Cooking Oil Complex'!U$182:U$184)</f>
        <v>81.583043510698317</v>
      </c>
      <c r="V16" s="72">
        <f>MEDIAN('[1]Used Cooking Oil Complex'!U$185:U$193,'[1]Used Cooking Oil Complex'!V$182:V$184)</f>
        <v>75.910804273029214</v>
      </c>
      <c r="W16" s="72">
        <f>MEDIAN('[1]Used Cooking Oil Complex'!V$185:V$193,'[1]Used Cooking Oil Complex'!W$182:W$184)</f>
        <v>76.229193033976358</v>
      </c>
      <c r="X16" s="72">
        <f>MEDIAN('[1]Used Cooking Oil Complex'!W$185:W$193,'[1]Used Cooking Oil Complex'!X$182:X$184)</f>
        <v>82.991921843762356</v>
      </c>
      <c r="Y16" s="72">
        <f>MEDIAN('[1]Used Cooking Oil Complex'!X$185:X$193,'[1]Used Cooking Oil Complex'!Y$182:Y$184)</f>
        <v>75.618899999999996</v>
      </c>
      <c r="Z16" s="72">
        <f>MEDIAN('[1]Used Cooking Oil Complex'!Y$185:Y$193,'[1]Used Cooking Oil Complex'!Z$182:Z$184)</f>
        <v>76.844700000000003</v>
      </c>
      <c r="AA16" s="72">
        <f>MEDIAN('[1]Used Cooking Oil Complex'!Z$185:Z$193,'[1]Used Cooking Oil Complex'!AA$182:AA$184)</f>
        <v>84.725999999999999</v>
      </c>
      <c r="AB16" s="72">
        <f>MEDIAN('[1]Used Cooking Oil Complex'!AA$201:AA$209,'[1]Used Cooking Oil Complex'!AB$198:AB$200)</f>
        <v>24.5</v>
      </c>
      <c r="AC16" s="72">
        <f>MEDIAN('[1]Used Cooking Oil Complex'!AB$201:AB$209,'[1]Used Cooking Oil Complex'!AC$198:AC$200)</f>
        <v>26</v>
      </c>
      <c r="AD16" s="72">
        <f>MEDIAN('[1]Used Cooking Oil Complex'!AC$201:AC$209,'[1]Used Cooking Oil Complex'!AD$198:AD$200)</f>
        <v>51.593049999999998</v>
      </c>
      <c r="AE16" s="72">
        <f>MEDIAN('[1]Used Cooking Oil Complex'!AD$201:AD$209,'[1]Used Cooking Oil Complex'!AE$198:AE$200)</f>
        <v>65.592261904761898</v>
      </c>
      <c r="AF16" s="72">
        <f>MEDIAN('[1]Used Cooking Oil Complex'!AE$201:AE$209,'[1]Used Cooking Oil Complex'!AF$198:AF$200)</f>
        <v>49.052489177489178</v>
      </c>
      <c r="AG16" s="72">
        <f>MEDIAN('[1]Used Cooking Oil Complex'!AF$201:AF$209,'[1]Used Cooking Oil Complex'!AG$198:AG$200)</f>
        <v>36.586956521739125</v>
      </c>
      <c r="AH16" s="72">
        <f>MEDIAN('[1]Used Cooking Oil Complex'!AG$201:AG$209,'[1]Used Cooking Oil Complex'!AH$198:AH$200)</f>
        <v>40.75</v>
      </c>
      <c r="AI16" s="72">
        <f>MEDIAN('[1]Used Cooking Oil Complex'!AH$201:AH$209,'[1]Used Cooking Oil Complex'!AI$198:AI$200)</f>
        <v>40.75</v>
      </c>
      <c r="AJ16" s="72">
        <f>MEDIAN('[1]Used Cooking Oil Complex'!AI$201:AI$209,'[1]Used Cooking Oil Complex'!AJ$198:AJ$200)</f>
        <v>38.375</v>
      </c>
      <c r="AK16" s="72">
        <f>MEDIAN('[1]Used Cooking Oil Complex'!AJ$201:AJ$209,'[1]Used Cooking Oil Complex'!AK$198:AK$200)</f>
        <v>37.75</v>
      </c>
      <c r="AL16" s="72">
        <f>MEDIAN('[1]Used Cooking Oil Complex'!AK$201:AK$209,'[1]Used Cooking Oil Complex'!AL$198:AL$200)</f>
        <v>38.75</v>
      </c>
      <c r="AM16" s="72">
        <f>MEDIAN('[1]Used Cooking Oil Complex'!AL$201:AL$209,'[1]Used Cooking Oil Complex'!AM$198:AM$200)</f>
        <v>43.125</v>
      </c>
      <c r="AN16" s="72">
        <f>MEDIAN('[1]Used Cooking Oil Complex'!AM$201:AM$209,'[1]Used Cooking Oil Complex'!AN$198:AN$200)</f>
        <v>36.375</v>
      </c>
      <c r="AO16" s="72">
        <f>MEDIAN('[1]Used Cooking Oil Complex'!AN$201:AN$209,'[1]Used Cooking Oil Complex'!AO$198:AO$200)</f>
        <v>36.125</v>
      </c>
      <c r="AP16" s="72">
        <f>MEDIAN('[1]Used Cooking Oil Complex'!AO$201:AO$209,'[1]Used Cooking Oil Complex'!AP$198:AP$200)</f>
        <v>49.875</v>
      </c>
      <c r="AQ16" s="72">
        <f>MEDIAN('[1]Used Cooking Oil Complex'!AP$201:AP$209,'[1]Used Cooking Oil Complex'!AQ$198:AQ$200)</f>
        <v>53.125</v>
      </c>
      <c r="AR16" s="72">
        <f>MEDIAN('[1]Used Cooking Oil Complex'!AQ$201:AQ$209,'[1]Used Cooking Oil Complex'!AR$198:AR$200)</f>
        <v>51.875</v>
      </c>
      <c r="AS16" s="72">
        <f>MEDIAN('[1]Used Cooking Oil Complex'!AR$201:AR$209,'[1]Used Cooking Oil Complex'!AS$198:AS$200)</f>
        <v>42.375</v>
      </c>
      <c r="AT16" s="72">
        <f>MEDIAN('[1]Used Cooking Oil Complex'!AS$201:AS$209,'[1]Used Cooking Oil Complex'!AT$198:AT$200)</f>
        <v>29.625</v>
      </c>
      <c r="AU16" s="72" t="e">
        <f>MEDIAN('[1]Used Cooking Oil Complex'!AT$201:AT$209,'[1]Used Cooking Oil Complex'!AU$198:AU$200)</f>
        <v>#NUM!</v>
      </c>
      <c r="AV16" s="72" t="e">
        <f>MEDIAN('[1]Used Cooking Oil Complex'!AU$201:AU$209,'[1]Used Cooking Oil Complex'!AV$198:AV$200)</f>
        <v>#NUM!</v>
      </c>
      <c r="AW16" s="72" t="e">
        <f>MEDIAN('[1]Used Cooking Oil Complex'!AV$201:AV$209,'[1]Used Cooking Oil Complex'!AW$198:AW$200)</f>
        <v>#NUM!</v>
      </c>
      <c r="AX16" s="72" t="e">
        <f>MEDIAN('[1]Used Cooking Oil Complex'!AW$201:AW$209,'[1]Used Cooking Oil Complex'!AX$198:AX$200)</f>
        <v>#NUM!</v>
      </c>
      <c r="AY16" s="72" t="e">
        <f>MEDIAN('[1]Used Cooking Oil Complex'!AX$201:AX$209,'[1]Used Cooking Oil Complex'!AY$198:AY$200)</f>
        <v>#NUM!</v>
      </c>
      <c r="AZ16" s="72" t="e">
        <f>MEDIAN('[1]Used Cooking Oil Complex'!AY$201:AY$209,'[1]Used Cooking Oil Complex'!AZ$198:AZ$200)</f>
        <v>#NUM!</v>
      </c>
      <c r="BA16" s="72" t="e">
        <f>MEDIAN('[1]Used Cooking Oil Complex'!AZ$201:AZ$209,'[1]Used Cooking Oil Complex'!BA$198:BA$200)</f>
        <v>#NUM!</v>
      </c>
      <c r="BB16" s="72" t="e">
        <f>MEDIAN('[1]Used Cooking Oil Complex'!BA$201:BA$209,'[1]Used Cooking Oil Complex'!BB$198:BB$200)</f>
        <v>#NUM!</v>
      </c>
      <c r="BC16" s="72" t="e">
        <f>MEDIAN('[1]Used Cooking Oil Complex'!BB$201:BB$209,'[1]Used Cooking Oil Complex'!BC$198:BC$200)</f>
        <v>#NUM!</v>
      </c>
      <c r="BD16" s="72" t="e">
        <f>MEDIAN('[1]Used Cooking Oil Complex'!BC$201:BC$209,'[1]Used Cooking Oil Complex'!BD$198:BD$200)</f>
        <v>#NUM!</v>
      </c>
      <c r="BE16" s="72" t="e">
        <f>MEDIAN('[1]Used Cooking Oil Complex'!BD$201:BD$209,'[1]Used Cooking Oil Complex'!BE$198:BE$200)</f>
        <v>#NUM!</v>
      </c>
      <c r="BF16" s="72" t="e">
        <f>MEDIAN('[1]Used Cooking Oil Complex'!BE$201:BE$209,'[1]Used Cooking Oil Complex'!BF$198:BF$200)</f>
        <v>#NUM!</v>
      </c>
      <c r="BG16" s="72" t="e">
        <f>MEDIAN('[1]Used Cooking Oil Complex'!BF$201:BF$209,'[1]Used Cooking Oil Complex'!BG$198:BG$200)</f>
        <v>#NUM!</v>
      </c>
    </row>
    <row r="17" spans="1:59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5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</row>
    <row r="18" spans="1:59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</row>
    <row r="19" spans="1:59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</row>
    <row r="20" spans="1:59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</row>
    <row r="21" spans="1:59" x14ac:dyDescent="0.2">
      <c r="B21" s="41" t="s">
        <v>83</v>
      </c>
      <c r="C21" s="51">
        <f t="shared" ref="C21:BF21" si="8">C7</f>
        <v>1368.7171493327767</v>
      </c>
      <c r="D21" s="51">
        <f t="shared" si="8"/>
        <v>1379.6730036455406</v>
      </c>
      <c r="E21" s="51">
        <f t="shared" si="8"/>
        <v>1282.8327912441212</v>
      </c>
      <c r="F21" s="51">
        <f t="shared" si="8"/>
        <v>1258.2693951698334</v>
      </c>
      <c r="G21" s="51">
        <f t="shared" si="8"/>
        <v>1353.3455931381993</v>
      </c>
      <c r="H21" s="51">
        <f t="shared" si="8"/>
        <v>1459.1609480708332</v>
      </c>
      <c r="I21" s="51">
        <f t="shared" si="8"/>
        <v>1206.3850694337521</v>
      </c>
      <c r="J21" s="51">
        <f t="shared" si="8"/>
        <v>1143.3606058486369</v>
      </c>
      <c r="K21" s="51">
        <f t="shared" si="8"/>
        <v>1274.618677174708</v>
      </c>
      <c r="L21" s="51">
        <f t="shared" si="8"/>
        <v>1291.7822104266261</v>
      </c>
      <c r="M21" s="51">
        <f t="shared" si="8"/>
        <v>1397.763826560245</v>
      </c>
      <c r="N21" s="51">
        <f t="shared" si="8"/>
        <v>1425.5198030281772</v>
      </c>
      <c r="O21" s="51">
        <f t="shared" si="8"/>
        <v>1478.1345352479536</v>
      </c>
      <c r="P21" s="51">
        <f t="shared" si="8"/>
        <v>1475.0197590624193</v>
      </c>
      <c r="Q21" s="51">
        <f t="shared" si="8"/>
        <v>1512.4641218970771</v>
      </c>
      <c r="R21" s="51">
        <f t="shared" si="8"/>
        <v>1480.4476722893446</v>
      </c>
      <c r="S21" s="51">
        <f t="shared" si="8"/>
        <v>1404.1418366080063</v>
      </c>
      <c r="T21" s="51">
        <f t="shared" si="8"/>
        <v>1439.4011240616665</v>
      </c>
      <c r="U21" s="51">
        <f t="shared" si="8"/>
        <v>1481.2741179010113</v>
      </c>
      <c r="V21" s="51">
        <f t="shared" si="8"/>
        <v>1561.7889840406815</v>
      </c>
      <c r="W21" s="51">
        <f t="shared" si="8"/>
        <v>1554.2669425701547</v>
      </c>
      <c r="X21" s="51">
        <f t="shared" si="8"/>
        <v>1645.57657871989</v>
      </c>
      <c r="Y21" s="51">
        <f t="shared" si="8"/>
        <v>1794.5716194436643</v>
      </c>
      <c r="Z21" s="51">
        <f t="shared" si="8"/>
        <v>2043.0988589952281</v>
      </c>
      <c r="AA21" s="51">
        <f t="shared" si="8"/>
        <v>2198.0683263952069</v>
      </c>
      <c r="AB21" s="51">
        <f t="shared" si="8"/>
        <v>2329.4523968423505</v>
      </c>
      <c r="AC21" s="51">
        <f t="shared" si="8"/>
        <v>2022.319026355405</v>
      </c>
      <c r="AD21" s="51">
        <f t="shared" si="8"/>
        <v>2701.8772212941176</v>
      </c>
      <c r="AE21" s="51">
        <f t="shared" si="8"/>
        <v>4511.2428385882358</v>
      </c>
      <c r="AF21" s="51">
        <f t="shared" si="8"/>
        <v>7658.6627608235285</v>
      </c>
      <c r="AG21" s="51">
        <f t="shared" si="8"/>
        <v>10125.559432823529</v>
      </c>
      <c r="AH21" s="51">
        <f t="shared" si="8"/>
        <v>10563.407171715829</v>
      </c>
      <c r="AI21" s="51">
        <f t="shared" si="8"/>
        <v>12895.510289392801</v>
      </c>
      <c r="AJ21" s="51">
        <f t="shared" si="8"/>
        <v>16114.470827772358</v>
      </c>
      <c r="AK21" s="51">
        <f t="shared" si="8"/>
        <v>20252.225149207454</v>
      </c>
      <c r="AL21" s="51">
        <f t="shared" si="8"/>
        <v>26174.57756438604</v>
      </c>
      <c r="AM21" s="51">
        <f t="shared" si="8"/>
        <v>32227.942515026029</v>
      </c>
      <c r="AN21" s="51">
        <f t="shared" si="8"/>
        <v>37594.799970776214</v>
      </c>
      <c r="AO21" s="51">
        <f t="shared" si="8"/>
        <v>44169.745914572937</v>
      </c>
      <c r="AP21" s="51">
        <f t="shared" si="8"/>
        <v>50760.770023101082</v>
      </c>
      <c r="AQ21" s="51">
        <f t="shared" si="8"/>
        <v>55774.577049146144</v>
      </c>
      <c r="AR21" s="51">
        <f t="shared" si="8"/>
        <v>60284.303744666817</v>
      </c>
      <c r="AS21" s="51">
        <f t="shared" si="8"/>
        <v>64532.526670726118</v>
      </c>
      <c r="AT21" s="51">
        <f t="shared" si="8"/>
        <v>70001.501584411613</v>
      </c>
      <c r="AU21" s="51">
        <f t="shared" si="8"/>
        <v>78481.454849422735</v>
      </c>
      <c r="AV21" s="51">
        <f t="shared" si="8"/>
        <v>83774.436051964614</v>
      </c>
      <c r="AW21" s="51">
        <f t="shared" si="8"/>
        <v>85933.610751157365</v>
      </c>
      <c r="AX21" s="51">
        <f t="shared" si="8"/>
        <v>92192.081189920718</v>
      </c>
      <c r="AY21" s="51">
        <f t="shared" si="8"/>
        <v>97579.210501278212</v>
      </c>
      <c r="AZ21" s="51">
        <f t="shared" si="8"/>
        <v>103006.01725939334</v>
      </c>
      <c r="BA21" s="51">
        <f t="shared" si="8"/>
        <v>106902.37086246363</v>
      </c>
      <c r="BB21" s="51">
        <f t="shared" si="8"/>
        <v>109847.17445348209</v>
      </c>
      <c r="BC21" s="51">
        <f t="shared" si="8"/>
        <v>114088.2165942846</v>
      </c>
      <c r="BD21" s="51">
        <f t="shared" si="8"/>
        <v>118386.73102066925</v>
      </c>
      <c r="BE21" s="51">
        <f t="shared" si="8"/>
        <v>125654.96380681531</v>
      </c>
      <c r="BF21" s="51">
        <f t="shared" si="8"/>
        <v>131153.60745744506</v>
      </c>
      <c r="BG21" s="51">
        <f>BG7</f>
        <v>136834.42863064806</v>
      </c>
    </row>
    <row r="22" spans="1:59" x14ac:dyDescent="0.2">
      <c r="B22" s="41" t="s">
        <v>84</v>
      </c>
      <c r="C22" s="51">
        <f>C15</f>
        <v>132.29077300781483</v>
      </c>
      <c r="D22" s="51">
        <f t="shared" ref="D22:BF22" si="9">D15</f>
        <v>112.16838568412425</v>
      </c>
      <c r="E22" s="51">
        <f t="shared" si="9"/>
        <v>109.4644614663614</v>
      </c>
      <c r="F22" s="51">
        <f t="shared" si="9"/>
        <v>114.19007378621234</v>
      </c>
      <c r="G22" s="51">
        <f t="shared" si="9"/>
        <v>124.05378341094512</v>
      </c>
      <c r="H22" s="51">
        <f t="shared" si="9"/>
        <v>103.72409947288517</v>
      </c>
      <c r="I22" s="51">
        <f t="shared" si="9"/>
        <v>106.92040168671249</v>
      </c>
      <c r="J22" s="51">
        <f t="shared" si="9"/>
        <v>121.38104282050747</v>
      </c>
      <c r="K22" s="51">
        <f t="shared" si="9"/>
        <v>110.02974175675085</v>
      </c>
      <c r="L22" s="51">
        <f t="shared" si="9"/>
        <v>117.86445624792935</v>
      </c>
      <c r="M22" s="51">
        <f t="shared" si="9"/>
        <v>124.49629613624634</v>
      </c>
      <c r="N22" s="51">
        <f t="shared" si="9"/>
        <v>122.10238781863592</v>
      </c>
      <c r="O22" s="51">
        <f t="shared" si="9"/>
        <v>108.03673056373489</v>
      </c>
      <c r="P22" s="51">
        <f t="shared" si="9"/>
        <v>102.98652142607303</v>
      </c>
      <c r="Q22" s="51">
        <f t="shared" si="9"/>
        <v>144.09598939997537</v>
      </c>
      <c r="R22" s="51">
        <f t="shared" si="9"/>
        <v>100.2511680090069</v>
      </c>
      <c r="S22" s="51">
        <f t="shared" si="9"/>
        <v>92.984013182629397</v>
      </c>
      <c r="T22" s="51">
        <f t="shared" si="9"/>
        <v>87.96707570462236</v>
      </c>
      <c r="U22" s="51">
        <f t="shared" si="9"/>
        <v>104.78900083338131</v>
      </c>
      <c r="V22" s="51">
        <f t="shared" si="9"/>
        <v>51.353261903573127</v>
      </c>
      <c r="W22" s="51">
        <f t="shared" si="9"/>
        <v>53.768066141284208</v>
      </c>
      <c r="X22" s="51">
        <f t="shared" si="9"/>
        <v>59.060658429072987</v>
      </c>
      <c r="Y22" s="51">
        <f t="shared" si="9"/>
        <v>47.433002706579401</v>
      </c>
      <c r="Z22" s="51">
        <f t="shared" si="9"/>
        <v>41.351869935892395</v>
      </c>
      <c r="AA22" s="51">
        <f t="shared" si="9"/>
        <v>26.061126204581129</v>
      </c>
      <c r="AB22" s="51">
        <f t="shared" si="9"/>
        <v>81.558000000000007</v>
      </c>
      <c r="AC22" s="51">
        <f t="shared" si="9"/>
        <v>79.229700000000008</v>
      </c>
      <c r="AD22" s="51">
        <f t="shared" si="9"/>
        <v>81.886499999999998</v>
      </c>
      <c r="AE22" s="51">
        <f t="shared" si="9"/>
        <v>89.079300000000003</v>
      </c>
      <c r="AF22" s="51">
        <f t="shared" si="9"/>
        <v>93.15</v>
      </c>
      <c r="AG22" s="51">
        <f>AG15</f>
        <v>86.940000000000012</v>
      </c>
      <c r="AH22" s="51">
        <f t="shared" si="9"/>
        <v>718.23893285134227</v>
      </c>
      <c r="AI22" s="51">
        <f t="shared" si="9"/>
        <v>638.89966329445349</v>
      </c>
      <c r="AJ22" s="51">
        <f t="shared" si="9"/>
        <v>1994.2349358564047</v>
      </c>
      <c r="AK22" s="51">
        <f t="shared" si="9"/>
        <v>4893.6287303635572</v>
      </c>
      <c r="AL22" s="51">
        <f t="shared" si="9"/>
        <v>6853.4629526445178</v>
      </c>
      <c r="AM22" s="51">
        <f t="shared" si="9"/>
        <v>8950.6710912594917</v>
      </c>
      <c r="AN22" s="51">
        <f t="shared" si="9"/>
        <v>11391.919971614097</v>
      </c>
      <c r="AO22" s="51">
        <f t="shared" si="9"/>
        <v>14449.75416231304</v>
      </c>
      <c r="AP22" s="51">
        <f t="shared" si="9"/>
        <v>19063.361374732449</v>
      </c>
      <c r="AQ22" s="51">
        <f t="shared" si="9"/>
        <v>23993.167724399522</v>
      </c>
      <c r="AR22" s="51">
        <f t="shared" si="9"/>
        <v>28870.95415094179</v>
      </c>
      <c r="AS22" s="51">
        <f t="shared" si="9"/>
        <v>32180.090024205085</v>
      </c>
      <c r="AT22" s="51">
        <f t="shared" si="9"/>
        <v>36964.552117023071</v>
      </c>
      <c r="AU22" s="51">
        <f t="shared" si="9"/>
        <v>42166.225884778833</v>
      </c>
      <c r="AV22" s="51">
        <f t="shared" si="9"/>
        <v>45713.43272184016</v>
      </c>
      <c r="AW22" s="51">
        <f t="shared" si="9"/>
        <v>49972.940892458864</v>
      </c>
      <c r="AX22" s="51">
        <f t="shared" si="9"/>
        <v>53685.673848947852</v>
      </c>
      <c r="AY22" s="51">
        <f t="shared" si="9"/>
        <v>57263.030226743387</v>
      </c>
      <c r="AZ22" s="51">
        <f t="shared" si="9"/>
        <v>60115.116021051668</v>
      </c>
      <c r="BA22" s="51">
        <f t="shared" si="9"/>
        <v>62597.296769190798</v>
      </c>
      <c r="BB22" s="51">
        <f t="shared" si="9"/>
        <v>66310.659053992946</v>
      </c>
      <c r="BC22" s="51">
        <f t="shared" si="9"/>
        <v>69549.901232365068</v>
      </c>
      <c r="BD22" s="51">
        <f t="shared" si="9"/>
        <v>75244.143415726998</v>
      </c>
      <c r="BE22" s="51">
        <f t="shared" si="9"/>
        <v>79050.909844716574</v>
      </c>
      <c r="BF22" s="51">
        <f t="shared" si="9"/>
        <v>84240.221009444722</v>
      </c>
      <c r="BG22" s="51">
        <f>BG15</f>
        <v>88226.199179282761</v>
      </c>
    </row>
    <row r="23" spans="1:59" x14ac:dyDescent="0.2">
      <c r="B23" s="41" t="s">
        <v>85</v>
      </c>
      <c r="C23" s="51">
        <f>C21-C22</f>
        <v>1236.4263763249619</v>
      </c>
      <c r="D23" s="51">
        <f t="shared" ref="D23:BF23" si="10">D21-D22</f>
        <v>1267.5046179614164</v>
      </c>
      <c r="E23" s="51">
        <f t="shared" si="10"/>
        <v>1173.3683297777598</v>
      </c>
      <c r="F23" s="51">
        <f t="shared" si="10"/>
        <v>1144.0793213836209</v>
      </c>
      <c r="G23" s="51">
        <f t="shared" si="10"/>
        <v>1229.2918097272543</v>
      </c>
      <c r="H23" s="51">
        <f t="shared" si="10"/>
        <v>1355.436848597948</v>
      </c>
      <c r="I23" s="51">
        <f t="shared" si="10"/>
        <v>1099.4646677470396</v>
      </c>
      <c r="J23" s="51">
        <f t="shared" si="10"/>
        <v>1021.9795630281294</v>
      </c>
      <c r="K23" s="51">
        <f t="shared" si="10"/>
        <v>1164.5889354179571</v>
      </c>
      <c r="L23" s="51">
        <f t="shared" si="10"/>
        <v>1173.9177541786967</v>
      </c>
      <c r="M23" s="51">
        <f t="shared" si="10"/>
        <v>1273.2675304239986</v>
      </c>
      <c r="N23" s="51">
        <f t="shared" si="10"/>
        <v>1303.4174152095413</v>
      </c>
      <c r="O23" s="51">
        <f t="shared" si="10"/>
        <v>1370.0978046842188</v>
      </c>
      <c r="P23" s="51">
        <f t="shared" si="10"/>
        <v>1372.0332376363463</v>
      </c>
      <c r="Q23" s="51">
        <f t="shared" si="10"/>
        <v>1368.3681324971017</v>
      </c>
      <c r="R23" s="51">
        <f t="shared" si="10"/>
        <v>1380.1965042803376</v>
      </c>
      <c r="S23" s="51">
        <f t="shared" si="10"/>
        <v>1311.1578234253768</v>
      </c>
      <c r="T23" s="51">
        <f t="shared" si="10"/>
        <v>1351.434048357044</v>
      </c>
      <c r="U23" s="51">
        <f t="shared" si="10"/>
        <v>1376.48511706763</v>
      </c>
      <c r="V23" s="51">
        <f t="shared" si="10"/>
        <v>1510.4357221371083</v>
      </c>
      <c r="W23" s="51">
        <f t="shared" si="10"/>
        <v>1500.4988764288705</v>
      </c>
      <c r="X23" s="51">
        <f t="shared" si="10"/>
        <v>1586.5159202908171</v>
      </c>
      <c r="Y23" s="51">
        <f t="shared" si="10"/>
        <v>1747.1386167370849</v>
      </c>
      <c r="Z23" s="51">
        <f t="shared" si="10"/>
        <v>2001.7469890593356</v>
      </c>
      <c r="AA23" s="51">
        <f t="shared" si="10"/>
        <v>2172.0072001906256</v>
      </c>
      <c r="AB23" s="51">
        <f t="shared" si="10"/>
        <v>2247.8943968423505</v>
      </c>
      <c r="AC23" s="51">
        <f t="shared" si="10"/>
        <v>1943.0893263554049</v>
      </c>
      <c r="AD23" s="51">
        <f t="shared" si="10"/>
        <v>2619.9907212941175</v>
      </c>
      <c r="AE23" s="51">
        <f t="shared" si="10"/>
        <v>4422.1635385882355</v>
      </c>
      <c r="AF23" s="51">
        <f t="shared" si="10"/>
        <v>7565.5127608235289</v>
      </c>
      <c r="AG23" s="51">
        <f>AG21-AG22</f>
        <v>10038.619432823529</v>
      </c>
      <c r="AH23" s="51">
        <f t="shared" si="10"/>
        <v>9845.1682388644876</v>
      </c>
      <c r="AI23" s="51">
        <f t="shared" si="10"/>
        <v>12256.610626098349</v>
      </c>
      <c r="AJ23" s="51">
        <f t="shared" si="10"/>
        <v>14120.235891915954</v>
      </c>
      <c r="AK23" s="51">
        <f t="shared" si="10"/>
        <v>15358.596418843896</v>
      </c>
      <c r="AL23" s="51">
        <f t="shared" si="10"/>
        <v>19321.114611741523</v>
      </c>
      <c r="AM23" s="51">
        <f t="shared" si="10"/>
        <v>23277.271423766535</v>
      </c>
      <c r="AN23" s="51">
        <f t="shared" si="10"/>
        <v>26202.879999162116</v>
      </c>
      <c r="AO23" s="51">
        <f t="shared" si="10"/>
        <v>29719.991752259899</v>
      </c>
      <c r="AP23" s="51">
        <f t="shared" si="10"/>
        <v>31697.408648368633</v>
      </c>
      <c r="AQ23" s="51">
        <f t="shared" si="10"/>
        <v>31781.409324746623</v>
      </c>
      <c r="AR23" s="51">
        <f t="shared" si="10"/>
        <v>31413.349593725026</v>
      </c>
      <c r="AS23" s="51">
        <f t="shared" si="10"/>
        <v>32352.436646521033</v>
      </c>
      <c r="AT23" s="51">
        <f t="shared" si="10"/>
        <v>33036.949467388542</v>
      </c>
      <c r="AU23" s="51">
        <f t="shared" si="10"/>
        <v>36315.228964643902</v>
      </c>
      <c r="AV23" s="51">
        <f t="shared" si="10"/>
        <v>38061.003330124455</v>
      </c>
      <c r="AW23" s="51">
        <f t="shared" si="10"/>
        <v>35960.6698586985</v>
      </c>
      <c r="AX23" s="51">
        <f t="shared" si="10"/>
        <v>38506.407340972866</v>
      </c>
      <c r="AY23" s="51">
        <f t="shared" si="10"/>
        <v>40316.180274534825</v>
      </c>
      <c r="AZ23" s="51">
        <f t="shared" si="10"/>
        <v>42890.90123834167</v>
      </c>
      <c r="BA23" s="51">
        <f t="shared" si="10"/>
        <v>44305.074093272837</v>
      </c>
      <c r="BB23" s="51">
        <f t="shared" si="10"/>
        <v>43536.515399489144</v>
      </c>
      <c r="BC23" s="51">
        <f t="shared" si="10"/>
        <v>44538.315361919536</v>
      </c>
      <c r="BD23" s="51">
        <f t="shared" si="10"/>
        <v>43142.587604942251</v>
      </c>
      <c r="BE23" s="51">
        <f t="shared" si="10"/>
        <v>46604.05396209874</v>
      </c>
      <c r="BF23" s="51">
        <f t="shared" si="10"/>
        <v>46913.386448000339</v>
      </c>
      <c r="BG23" s="51">
        <f>BG21-BG22</f>
        <v>48608.229451365303</v>
      </c>
    </row>
    <row r="24" spans="1:59" x14ac:dyDescent="0.2">
      <c r="B24" s="70" t="s">
        <v>86</v>
      </c>
      <c r="C24" s="52" t="e">
        <f>C23-C14</f>
        <v>#REF!</v>
      </c>
      <c r="D24" s="52" t="e">
        <f t="shared" ref="D24:BF24" si="11">D23-D14</f>
        <v>#REF!</v>
      </c>
      <c r="E24" s="52" t="e">
        <f t="shared" si="11"/>
        <v>#REF!</v>
      </c>
      <c r="F24" s="52" t="e">
        <f t="shared" si="11"/>
        <v>#REF!</v>
      </c>
      <c r="G24" s="52" t="e">
        <f t="shared" si="11"/>
        <v>#REF!</v>
      </c>
      <c r="H24" s="52" t="e">
        <f t="shared" si="11"/>
        <v>#REF!</v>
      </c>
      <c r="I24" s="52" t="e">
        <f t="shared" si="11"/>
        <v>#REF!</v>
      </c>
      <c r="J24" s="52" t="e">
        <f t="shared" si="11"/>
        <v>#REF!</v>
      </c>
      <c r="K24" s="52" t="e">
        <f t="shared" si="11"/>
        <v>#REF!</v>
      </c>
      <c r="L24" s="52" t="e">
        <f t="shared" si="11"/>
        <v>#REF!</v>
      </c>
      <c r="M24" s="52" t="e">
        <f t="shared" si="11"/>
        <v>#REF!</v>
      </c>
      <c r="N24" s="52" t="e">
        <f t="shared" si="11"/>
        <v>#REF!</v>
      </c>
      <c r="O24" s="52" t="e">
        <f t="shared" si="11"/>
        <v>#REF!</v>
      </c>
      <c r="P24" s="52" t="e">
        <f t="shared" si="11"/>
        <v>#REF!</v>
      </c>
      <c r="Q24" s="52" t="e">
        <f t="shared" si="11"/>
        <v>#REF!</v>
      </c>
      <c r="R24" s="52" t="e">
        <f t="shared" si="11"/>
        <v>#REF!</v>
      </c>
      <c r="S24" s="52" t="e">
        <f t="shared" si="11"/>
        <v>#REF!</v>
      </c>
      <c r="T24" s="52" t="e">
        <f t="shared" si="11"/>
        <v>#REF!</v>
      </c>
      <c r="U24" s="52" t="e">
        <f t="shared" si="11"/>
        <v>#REF!</v>
      </c>
      <c r="V24" s="52" t="e">
        <f t="shared" si="11"/>
        <v>#REF!</v>
      </c>
      <c r="W24" s="52" t="e">
        <f t="shared" si="11"/>
        <v>#REF!</v>
      </c>
      <c r="X24" s="52" t="e">
        <f t="shared" si="11"/>
        <v>#REF!</v>
      </c>
      <c r="Y24" s="52" t="e">
        <f t="shared" si="11"/>
        <v>#REF!</v>
      </c>
      <c r="Z24" s="52" t="e">
        <f t="shared" si="11"/>
        <v>#REF!</v>
      </c>
      <c r="AA24" s="52" t="e">
        <f t="shared" si="11"/>
        <v>#REF!</v>
      </c>
      <c r="AB24" s="52">
        <f t="shared" si="11"/>
        <v>0</v>
      </c>
      <c r="AC24" s="52">
        <f t="shared" si="11"/>
        <v>0</v>
      </c>
      <c r="AD24" s="52">
        <f t="shared" si="11"/>
        <v>0</v>
      </c>
      <c r="AE24" s="52">
        <f t="shared" si="11"/>
        <v>0</v>
      </c>
      <c r="AF24" s="52">
        <f t="shared" si="11"/>
        <v>0</v>
      </c>
      <c r="AG24" s="52">
        <f>AG23-AG14</f>
        <v>0</v>
      </c>
      <c r="AH24" s="52">
        <f t="shared" si="11"/>
        <v>0</v>
      </c>
      <c r="AI24" s="52">
        <f t="shared" si="11"/>
        <v>0</v>
      </c>
      <c r="AJ24" s="52">
        <f t="shared" si="11"/>
        <v>0</v>
      </c>
      <c r="AK24" s="52">
        <f t="shared" si="11"/>
        <v>0</v>
      </c>
      <c r="AL24" s="52">
        <f t="shared" si="11"/>
        <v>0</v>
      </c>
      <c r="AM24" s="52">
        <f t="shared" si="11"/>
        <v>0</v>
      </c>
      <c r="AN24" s="52">
        <f t="shared" si="11"/>
        <v>0</v>
      </c>
      <c r="AO24" s="52">
        <f t="shared" si="11"/>
        <v>0</v>
      </c>
      <c r="AP24" s="52">
        <f t="shared" si="11"/>
        <v>0</v>
      </c>
      <c r="AQ24" s="52">
        <f t="shared" si="11"/>
        <v>0</v>
      </c>
      <c r="AR24" s="52">
        <f t="shared" si="11"/>
        <v>0</v>
      </c>
      <c r="AS24" s="52">
        <f t="shared" si="11"/>
        <v>0</v>
      </c>
      <c r="AT24" s="52">
        <f t="shared" si="11"/>
        <v>0</v>
      </c>
      <c r="AU24" s="52">
        <f t="shared" si="11"/>
        <v>0</v>
      </c>
      <c r="AV24" s="52">
        <f t="shared" si="11"/>
        <v>0</v>
      </c>
      <c r="AW24" s="52">
        <f t="shared" si="11"/>
        <v>0</v>
      </c>
      <c r="AX24" s="52">
        <f t="shared" si="11"/>
        <v>0</v>
      </c>
      <c r="AY24" s="52">
        <f t="shared" si="11"/>
        <v>0</v>
      </c>
      <c r="AZ24" s="52">
        <f t="shared" si="11"/>
        <v>0</v>
      </c>
      <c r="BA24" s="52">
        <f t="shared" si="11"/>
        <v>0</v>
      </c>
      <c r="BB24" s="52">
        <f t="shared" si="11"/>
        <v>0</v>
      </c>
      <c r="BC24" s="52">
        <f t="shared" si="11"/>
        <v>0</v>
      </c>
      <c r="BD24" s="52">
        <f t="shared" si="11"/>
        <v>0</v>
      </c>
      <c r="BE24" s="52">
        <f t="shared" si="11"/>
        <v>0</v>
      </c>
      <c r="BF24" s="52">
        <f t="shared" si="11"/>
        <v>0</v>
      </c>
      <c r="BG24" s="52">
        <f>BG23-BG14</f>
        <v>0</v>
      </c>
    </row>
    <row r="25" spans="1:59" x14ac:dyDescent="0.2">
      <c r="B25" s="41" t="s">
        <v>79</v>
      </c>
      <c r="C25" s="51">
        <f>C13</f>
        <v>16.088826000000001</v>
      </c>
      <c r="D25" s="51">
        <f t="shared" ref="D25:BF25" si="12">D13</f>
        <v>16.671734000000001</v>
      </c>
      <c r="E25" s="51">
        <f t="shared" si="12"/>
        <v>22.0230946</v>
      </c>
      <c r="F25" s="51">
        <f t="shared" si="12"/>
        <v>36.015987599999995</v>
      </c>
      <c r="G25" s="51">
        <f t="shared" si="12"/>
        <v>41.262671800000007</v>
      </c>
      <c r="H25" s="51">
        <f t="shared" si="12"/>
        <v>25.556314799999999</v>
      </c>
      <c r="I25" s="51">
        <f t="shared" si="12"/>
        <v>21.414992000000002</v>
      </c>
      <c r="J25" s="51">
        <f t="shared" si="12"/>
        <v>21.968807800000004</v>
      </c>
      <c r="K25" s="51">
        <f t="shared" si="12"/>
        <v>24.510644400000004</v>
      </c>
      <c r="L25" s="51">
        <f t="shared" si="12"/>
        <v>17.188116400000002</v>
      </c>
      <c r="M25" s="51">
        <f t="shared" si="12"/>
        <v>24.041263800000003</v>
      </c>
      <c r="N25" s="51">
        <f t="shared" si="12"/>
        <v>26.688780600000005</v>
      </c>
      <c r="O25" s="51">
        <f t="shared" si="12"/>
        <v>71.634621199999998</v>
      </c>
      <c r="P25" s="51">
        <f t="shared" si="12"/>
        <v>78.097463200000007</v>
      </c>
      <c r="Q25" s="51">
        <f t="shared" si="12"/>
        <v>128.5742114</v>
      </c>
      <c r="R25" s="51">
        <f t="shared" si="12"/>
        <v>70.815501799999993</v>
      </c>
      <c r="S25" s="51">
        <f t="shared" si="12"/>
        <v>136.72657159999997</v>
      </c>
      <c r="T25" s="51">
        <f t="shared" si="12"/>
        <v>245.89829280000001</v>
      </c>
      <c r="U25" s="51">
        <f t="shared" si="12"/>
        <v>38.406605000000006</v>
      </c>
      <c r="V25" s="51">
        <f t="shared" si="12"/>
        <v>84.597702999999996</v>
      </c>
      <c r="W25" s="51">
        <f t="shared" si="12"/>
        <v>89.996085999999991</v>
      </c>
      <c r="X25" s="51">
        <f t="shared" si="12"/>
        <v>73.46495800000001</v>
      </c>
      <c r="Y25" s="51">
        <f t="shared" si="12"/>
        <v>200.070863</v>
      </c>
      <c r="Z25" s="51">
        <f t="shared" si="12"/>
        <v>212.62250899999998</v>
      </c>
      <c r="AA25" s="51">
        <f t="shared" si="12"/>
        <v>344.93598699999995</v>
      </c>
      <c r="AB25" s="51">
        <f t="shared" si="12"/>
        <v>552.78583199999991</v>
      </c>
      <c r="AC25" s="51">
        <f t="shared" si="12"/>
        <v>886.81252800000004</v>
      </c>
      <c r="AD25" s="51">
        <f t="shared" si="12"/>
        <v>284.492571</v>
      </c>
      <c r="AE25" s="51">
        <f t="shared" si="12"/>
        <v>839.49118300000009</v>
      </c>
      <c r="AF25" s="51">
        <f t="shared" si="12"/>
        <v>408.76410499999997</v>
      </c>
      <c r="AG25" s="51">
        <f>AG13</f>
        <v>344.73782643544376</v>
      </c>
      <c r="AH25" s="51">
        <f t="shared" si="12"/>
        <v>193.93125704272327</v>
      </c>
      <c r="AI25" s="51">
        <f t="shared" si="12"/>
        <v>197.94522066967767</v>
      </c>
      <c r="AJ25" s="51">
        <f t="shared" si="12"/>
        <v>154.51655816501105</v>
      </c>
      <c r="AK25" s="51">
        <f t="shared" si="12"/>
        <v>148.82551415657031</v>
      </c>
      <c r="AL25" s="51">
        <f t="shared" si="12"/>
        <v>119.53440842534911</v>
      </c>
      <c r="AM25" s="51">
        <f t="shared" si="12"/>
        <v>101.82297032213512</v>
      </c>
      <c r="AN25" s="51">
        <f t="shared" si="12"/>
        <v>98.901905956832209</v>
      </c>
      <c r="AO25" s="51">
        <f t="shared" si="12"/>
        <v>99.778140601920882</v>
      </c>
      <c r="AP25" s="51">
        <f t="shared" si="12"/>
        <v>98.759981583938327</v>
      </c>
      <c r="AQ25" s="51">
        <f t="shared" si="12"/>
        <v>101.15973745573493</v>
      </c>
      <c r="AR25" s="51">
        <f t="shared" si="12"/>
        <v>100.04003646880196</v>
      </c>
      <c r="AS25" s="51">
        <f t="shared" si="12"/>
        <v>100.0845471841123</v>
      </c>
      <c r="AT25" s="51">
        <f t="shared" si="12"/>
        <v>99.727960413445672</v>
      </c>
      <c r="AU25" s="51">
        <f t="shared" si="12"/>
        <v>99.964488658901686</v>
      </c>
      <c r="AV25" s="51">
        <f t="shared" si="12"/>
        <v>99.954452621206627</v>
      </c>
      <c r="AW25" s="51">
        <f t="shared" si="12"/>
        <v>100.1953540361993</v>
      </c>
      <c r="AX25" s="51">
        <f t="shared" si="12"/>
        <v>99.954297069293631</v>
      </c>
      <c r="AY25" s="51">
        <f t="shared" si="12"/>
        <v>99.985360582773112</v>
      </c>
      <c r="AZ25" s="51">
        <f t="shared" si="12"/>
        <v>99.959310559809381</v>
      </c>
      <c r="BA25" s="51">
        <f t="shared" si="12"/>
        <v>100.01079059367487</v>
      </c>
      <c r="BB25" s="51">
        <f t="shared" si="12"/>
        <v>100.00975497385646</v>
      </c>
      <c r="BC25" s="51">
        <f t="shared" si="12"/>
        <v>100.02102256835008</v>
      </c>
      <c r="BD25" s="51">
        <f t="shared" si="12"/>
        <v>99.983902755881473</v>
      </c>
      <c r="BE25" s="51">
        <f t="shared" si="12"/>
        <v>99.997247855692763</v>
      </c>
      <c r="BF25" s="51">
        <f t="shared" si="12"/>
        <v>99.996956290314458</v>
      </c>
      <c r="BG25" s="51">
        <f>BG13</f>
        <v>100.00454374949112</v>
      </c>
    </row>
    <row r="26" spans="1:59" x14ac:dyDescent="0.2">
      <c r="B26" s="41" t="s">
        <v>157</v>
      </c>
      <c r="C26" s="51">
        <f>C23-C25</f>
        <v>1220.337550324962</v>
      </c>
      <c r="D26" s="51">
        <f t="shared" ref="D26:BF26" si="13">D23-D25</f>
        <v>1250.8328839614164</v>
      </c>
      <c r="E26" s="51">
        <f t="shared" si="13"/>
        <v>1151.3452351777598</v>
      </c>
      <c r="F26" s="51">
        <f t="shared" si="13"/>
        <v>1108.0633337836209</v>
      </c>
      <c r="G26" s="51">
        <f t="shared" si="13"/>
        <v>1188.0291379272544</v>
      </c>
      <c r="H26" s="51">
        <f t="shared" si="13"/>
        <v>1329.8805337979479</v>
      </c>
      <c r="I26" s="51">
        <f t="shared" si="13"/>
        <v>1078.0496757470396</v>
      </c>
      <c r="J26" s="51">
        <f t="shared" si="13"/>
        <v>1000.0107552281294</v>
      </c>
      <c r="K26" s="51">
        <f t="shared" si="13"/>
        <v>1140.0782910179571</v>
      </c>
      <c r="L26" s="51">
        <f t="shared" si="13"/>
        <v>1156.7296377786968</v>
      </c>
      <c r="M26" s="51">
        <f t="shared" si="13"/>
        <v>1249.2262666239985</v>
      </c>
      <c r="N26" s="51">
        <f t="shared" si="13"/>
        <v>1276.7286346095414</v>
      </c>
      <c r="O26" s="51">
        <f t="shared" si="13"/>
        <v>1298.4631834842187</v>
      </c>
      <c r="P26" s="51">
        <f t="shared" si="13"/>
        <v>1293.9357744363463</v>
      </c>
      <c r="Q26" s="51">
        <f t="shared" si="13"/>
        <v>1239.7939210971017</v>
      </c>
      <c r="R26" s="51">
        <f t="shared" si="13"/>
        <v>1309.3810024803377</v>
      </c>
      <c r="S26" s="51">
        <f t="shared" si="13"/>
        <v>1174.4312518253769</v>
      </c>
      <c r="T26" s="51">
        <f t="shared" si="13"/>
        <v>1105.535755557044</v>
      </c>
      <c r="U26" s="51">
        <f t="shared" si="13"/>
        <v>1338.0785120676301</v>
      </c>
      <c r="V26" s="51">
        <f t="shared" si="13"/>
        <v>1425.8380191371084</v>
      </c>
      <c r="W26" s="51">
        <f t="shared" si="13"/>
        <v>1410.5027904288704</v>
      </c>
      <c r="X26" s="51">
        <f t="shared" si="13"/>
        <v>1513.0509622908171</v>
      </c>
      <c r="Y26" s="51">
        <f t="shared" si="13"/>
        <v>1547.067753737085</v>
      </c>
      <c r="Z26" s="51">
        <f t="shared" si="13"/>
        <v>1789.1244800593356</v>
      </c>
      <c r="AA26" s="51">
        <f t="shared" si="13"/>
        <v>1827.0712131906257</v>
      </c>
      <c r="AB26" s="51">
        <f t="shared" si="13"/>
        <v>1695.1085648423505</v>
      </c>
      <c r="AC26" s="51">
        <f t="shared" si="13"/>
        <v>1056.2767983554049</v>
      </c>
      <c r="AD26" s="51">
        <f t="shared" si="13"/>
        <v>2335.4981502941173</v>
      </c>
      <c r="AE26" s="51">
        <f t="shared" si="13"/>
        <v>3582.6723555882354</v>
      </c>
      <c r="AF26" s="51">
        <f t="shared" si="13"/>
        <v>7156.7486558235287</v>
      </c>
      <c r="AG26" s="51">
        <f>AG23-AG25</f>
        <v>9693.8816063880859</v>
      </c>
      <c r="AH26" s="51">
        <f t="shared" si="13"/>
        <v>9651.2369818217649</v>
      </c>
      <c r="AI26" s="51">
        <f t="shared" si="13"/>
        <v>12058.665405428672</v>
      </c>
      <c r="AJ26" s="51">
        <f t="shared" si="13"/>
        <v>13965.719333750943</v>
      </c>
      <c r="AK26" s="51">
        <f t="shared" si="13"/>
        <v>15209.770904687326</v>
      </c>
      <c r="AL26" s="51">
        <f t="shared" si="13"/>
        <v>19201.580203316174</v>
      </c>
      <c r="AM26" s="51">
        <f t="shared" si="13"/>
        <v>23175.448453444398</v>
      </c>
      <c r="AN26" s="51">
        <f t="shared" si="13"/>
        <v>26103.978093205285</v>
      </c>
      <c r="AO26" s="51">
        <f t="shared" si="13"/>
        <v>29620.213611657979</v>
      </c>
      <c r="AP26" s="51">
        <f t="shared" si="13"/>
        <v>31598.648666784695</v>
      </c>
      <c r="AQ26" s="51">
        <f t="shared" si="13"/>
        <v>31680.249587290888</v>
      </c>
      <c r="AR26" s="51">
        <f t="shared" si="13"/>
        <v>31313.309557256223</v>
      </c>
      <c r="AS26" s="51">
        <f t="shared" si="13"/>
        <v>32252.35209933692</v>
      </c>
      <c r="AT26" s="51">
        <f t="shared" si="13"/>
        <v>32937.221506975096</v>
      </c>
      <c r="AU26" s="51">
        <f t="shared" si="13"/>
        <v>36215.264475985001</v>
      </c>
      <c r="AV26" s="51">
        <f t="shared" si="13"/>
        <v>37961.04887750325</v>
      </c>
      <c r="AW26" s="51">
        <f t="shared" si="13"/>
        <v>35860.474504662299</v>
      </c>
      <c r="AX26" s="51">
        <f t="shared" si="13"/>
        <v>38406.453043903573</v>
      </c>
      <c r="AY26" s="51">
        <f t="shared" si="13"/>
        <v>40216.194913952051</v>
      </c>
      <c r="AZ26" s="51">
        <f t="shared" si="13"/>
        <v>42790.94192778186</v>
      </c>
      <c r="BA26" s="51">
        <f t="shared" si="13"/>
        <v>44205.063302679162</v>
      </c>
      <c r="BB26" s="51">
        <f t="shared" si="13"/>
        <v>43436.505644515288</v>
      </c>
      <c r="BC26" s="51">
        <f t="shared" si="13"/>
        <v>44438.294339351189</v>
      </c>
      <c r="BD26" s="51">
        <f t="shared" si="13"/>
        <v>43042.603702186367</v>
      </c>
      <c r="BE26" s="51">
        <f t="shared" si="13"/>
        <v>46504.056714243045</v>
      </c>
      <c r="BF26" s="51">
        <f t="shared" si="13"/>
        <v>46813.389491710026</v>
      </c>
      <c r="BG26" s="51">
        <f>BG23-BG25</f>
        <v>48508.224907615811</v>
      </c>
    </row>
    <row r="27" spans="1:59" x14ac:dyDescent="0.2">
      <c r="B27" s="70" t="s">
        <v>86</v>
      </c>
      <c r="C27" s="52" t="e">
        <f t="shared" ref="C27:BG27" si="14">C26-C8</f>
        <v>#REF!</v>
      </c>
      <c r="D27" s="52" t="e">
        <f t="shared" si="14"/>
        <v>#REF!</v>
      </c>
      <c r="E27" s="52" t="e">
        <f t="shared" si="14"/>
        <v>#REF!</v>
      </c>
      <c r="F27" s="52" t="e">
        <f t="shared" si="14"/>
        <v>#REF!</v>
      </c>
      <c r="G27" s="52" t="e">
        <f t="shared" si="14"/>
        <v>#REF!</v>
      </c>
      <c r="H27" s="52" t="e">
        <f t="shared" si="14"/>
        <v>#REF!</v>
      </c>
      <c r="I27" s="52" t="e">
        <f t="shared" si="14"/>
        <v>#REF!</v>
      </c>
      <c r="J27" s="52" t="e">
        <f t="shared" si="14"/>
        <v>#REF!</v>
      </c>
      <c r="K27" s="52" t="e">
        <f t="shared" si="14"/>
        <v>#REF!</v>
      </c>
      <c r="L27" s="52" t="e">
        <f t="shared" si="14"/>
        <v>#REF!</v>
      </c>
      <c r="M27" s="52" t="e">
        <f t="shared" si="14"/>
        <v>#REF!</v>
      </c>
      <c r="N27" s="52" t="e">
        <f t="shared" si="14"/>
        <v>#REF!</v>
      </c>
      <c r="O27" s="52" t="e">
        <f t="shared" si="14"/>
        <v>#REF!</v>
      </c>
      <c r="P27" s="52" t="e">
        <f t="shared" si="14"/>
        <v>#REF!</v>
      </c>
      <c r="Q27" s="52" t="e">
        <f t="shared" si="14"/>
        <v>#REF!</v>
      </c>
      <c r="R27" s="52" t="e">
        <f t="shared" si="14"/>
        <v>#REF!</v>
      </c>
      <c r="S27" s="52" t="e">
        <f t="shared" si="14"/>
        <v>#REF!</v>
      </c>
      <c r="T27" s="52" t="e">
        <f t="shared" si="14"/>
        <v>#REF!</v>
      </c>
      <c r="U27" s="52" t="e">
        <f t="shared" si="14"/>
        <v>#REF!</v>
      </c>
      <c r="V27" s="52" t="e">
        <f t="shared" si="14"/>
        <v>#REF!</v>
      </c>
      <c r="W27" s="52" t="e">
        <f t="shared" si="14"/>
        <v>#REF!</v>
      </c>
      <c r="X27" s="52" t="e">
        <f t="shared" si="14"/>
        <v>#REF!</v>
      </c>
      <c r="Y27" s="52" t="e">
        <f t="shared" si="14"/>
        <v>#REF!</v>
      </c>
      <c r="Z27" s="52" t="e">
        <f t="shared" si="14"/>
        <v>#REF!</v>
      </c>
      <c r="AA27" s="52" t="e">
        <f t="shared" si="14"/>
        <v>#REF!</v>
      </c>
      <c r="AB27" s="52">
        <f t="shared" si="14"/>
        <v>0</v>
      </c>
      <c r="AC27" s="52">
        <f t="shared" si="14"/>
        <v>0</v>
      </c>
      <c r="AD27" s="52">
        <f t="shared" si="14"/>
        <v>0</v>
      </c>
      <c r="AE27" s="52">
        <f t="shared" si="14"/>
        <v>0</v>
      </c>
      <c r="AF27" s="52">
        <f t="shared" si="14"/>
        <v>0</v>
      </c>
      <c r="AG27" s="52">
        <f t="shared" si="14"/>
        <v>0</v>
      </c>
      <c r="AH27" s="52">
        <f t="shared" si="14"/>
        <v>0</v>
      </c>
      <c r="AI27" s="52">
        <f t="shared" si="14"/>
        <v>0</v>
      </c>
      <c r="AJ27" s="52">
        <f t="shared" si="14"/>
        <v>0</v>
      </c>
      <c r="AK27" s="52">
        <f t="shared" si="14"/>
        <v>0</v>
      </c>
      <c r="AL27" s="52">
        <f t="shared" si="14"/>
        <v>0</v>
      </c>
      <c r="AM27" s="52">
        <f t="shared" si="14"/>
        <v>0</v>
      </c>
      <c r="AN27" s="52">
        <f t="shared" si="14"/>
        <v>0</v>
      </c>
      <c r="AO27" s="52">
        <f t="shared" si="14"/>
        <v>0</v>
      </c>
      <c r="AP27" s="52">
        <f t="shared" si="14"/>
        <v>0</v>
      </c>
      <c r="AQ27" s="52">
        <f t="shared" si="14"/>
        <v>0</v>
      </c>
      <c r="AR27" s="52">
        <f t="shared" si="14"/>
        <v>0</v>
      </c>
      <c r="AS27" s="52">
        <f t="shared" si="14"/>
        <v>0</v>
      </c>
      <c r="AT27" s="52">
        <f t="shared" si="14"/>
        <v>0</v>
      </c>
      <c r="AU27" s="52">
        <f t="shared" si="14"/>
        <v>0</v>
      </c>
      <c r="AV27" s="52">
        <f t="shared" si="14"/>
        <v>0</v>
      </c>
      <c r="AW27" s="52">
        <f t="shared" si="14"/>
        <v>0</v>
      </c>
      <c r="AX27" s="52">
        <f t="shared" si="14"/>
        <v>0</v>
      </c>
      <c r="AY27" s="52">
        <f t="shared" si="14"/>
        <v>0</v>
      </c>
      <c r="AZ27" s="52">
        <f t="shared" si="14"/>
        <v>0</v>
      </c>
      <c r="BA27" s="52">
        <f t="shared" si="14"/>
        <v>0</v>
      </c>
      <c r="BB27" s="52">
        <f t="shared" si="14"/>
        <v>0</v>
      </c>
      <c r="BC27" s="52">
        <f t="shared" si="14"/>
        <v>0</v>
      </c>
      <c r="BD27" s="52">
        <f t="shared" si="14"/>
        <v>0</v>
      </c>
      <c r="BE27" s="52">
        <f t="shared" si="14"/>
        <v>0</v>
      </c>
      <c r="BF27" s="52">
        <f t="shared" si="14"/>
        <v>0</v>
      </c>
      <c r="BG27" s="52">
        <f t="shared" si="14"/>
        <v>0</v>
      </c>
    </row>
    <row r="28" spans="1:59" x14ac:dyDescent="0.2">
      <c r="B28" s="41" t="s">
        <v>158</v>
      </c>
      <c r="C28" s="51" t="e">
        <f t="shared" ref="C28:BF28" si="15">C9</f>
        <v>#REF!</v>
      </c>
      <c r="D28" s="51" t="e">
        <f t="shared" si="15"/>
        <v>#REF!</v>
      </c>
      <c r="E28" s="51" t="e">
        <f t="shared" si="15"/>
        <v>#REF!</v>
      </c>
      <c r="F28" s="51" t="e">
        <f t="shared" si="15"/>
        <v>#REF!</v>
      </c>
      <c r="G28" s="51" t="e">
        <f t="shared" si="15"/>
        <v>#REF!</v>
      </c>
      <c r="H28" s="51" t="e">
        <f t="shared" si="15"/>
        <v>#REF!</v>
      </c>
      <c r="I28" s="51" t="e">
        <f t="shared" si="15"/>
        <v>#REF!</v>
      </c>
      <c r="J28" s="51" t="e">
        <f t="shared" si="15"/>
        <v>#REF!</v>
      </c>
      <c r="K28" s="51" t="e">
        <f t="shared" si="15"/>
        <v>#REF!</v>
      </c>
      <c r="L28" s="51" t="e">
        <f t="shared" si="15"/>
        <v>#REF!</v>
      </c>
      <c r="M28" s="51" t="e">
        <f t="shared" si="15"/>
        <v>#REF!</v>
      </c>
      <c r="N28" s="51" t="e">
        <f t="shared" si="15"/>
        <v>#REF!</v>
      </c>
      <c r="O28" s="51" t="e">
        <f t="shared" si="15"/>
        <v>#REF!</v>
      </c>
      <c r="P28" s="51" t="e">
        <f t="shared" si="15"/>
        <v>#REF!</v>
      </c>
      <c r="Q28" s="51" t="e">
        <f t="shared" si="15"/>
        <v>#REF!</v>
      </c>
      <c r="R28" s="51" t="e">
        <f t="shared" si="15"/>
        <v>#REF!</v>
      </c>
      <c r="S28" s="51" t="e">
        <f t="shared" si="15"/>
        <v>#REF!</v>
      </c>
      <c r="T28" s="51" t="e">
        <f t="shared" si="15"/>
        <v>#REF!</v>
      </c>
      <c r="U28" s="51" t="e">
        <f t="shared" si="15"/>
        <v>#REF!</v>
      </c>
      <c r="V28" s="51" t="e">
        <f t="shared" si="15"/>
        <v>#REF!</v>
      </c>
      <c r="W28" s="51" t="e">
        <f t="shared" si="15"/>
        <v>#REF!</v>
      </c>
      <c r="X28" s="51" t="e">
        <f t="shared" si="15"/>
        <v>#REF!</v>
      </c>
      <c r="Y28" s="51" t="e">
        <f t="shared" si="15"/>
        <v>#REF!</v>
      </c>
      <c r="Z28" s="51" t="e">
        <f t="shared" si="15"/>
        <v>#REF!</v>
      </c>
      <c r="AA28" s="51" t="e">
        <f t="shared" si="15"/>
        <v>#REF!</v>
      </c>
      <c r="AB28" s="51">
        <f t="shared" si="15"/>
        <v>1129.4020614988938</v>
      </c>
      <c r="AC28" s="51">
        <f t="shared" si="15"/>
        <v>726.08898262237506</v>
      </c>
      <c r="AD28" s="51">
        <f t="shared" si="15"/>
        <v>2157.5286307318729</v>
      </c>
      <c r="AE28" s="51">
        <f t="shared" si="15"/>
        <v>7766.9492912725036</v>
      </c>
      <c r="AF28" s="51">
        <f t="shared" si="15"/>
        <v>9046.8661463398385</v>
      </c>
      <c r="AG28" s="51">
        <f t="shared" si="15"/>
        <v>9442.2935227577836</v>
      </c>
      <c r="AH28" s="51">
        <f t="shared" si="15"/>
        <v>9736.0129644469489</v>
      </c>
      <c r="AI28" s="51">
        <f t="shared" si="15"/>
        <v>11222.365111861491</v>
      </c>
      <c r="AJ28" s="51">
        <f t="shared" si="15"/>
        <v>13743.877855831977</v>
      </c>
      <c r="AK28" s="51">
        <f t="shared" si="15"/>
        <v>14821.862271519256</v>
      </c>
      <c r="AL28" s="51">
        <f t="shared" si="15"/>
        <v>18986.838173347434</v>
      </c>
      <c r="AM28" s="51">
        <f t="shared" si="15"/>
        <v>22551.187197600808</v>
      </c>
      <c r="AN28" s="51">
        <f t="shared" si="15"/>
        <v>25248.774802805729</v>
      </c>
      <c r="AO28" s="51">
        <f t="shared" si="15"/>
        <v>30903.202873564675</v>
      </c>
      <c r="AP28" s="51">
        <f t="shared" si="15"/>
        <v>29952.857329324906</v>
      </c>
      <c r="AQ28" s="51">
        <f t="shared" si="15"/>
        <v>30680.42439779624</v>
      </c>
      <c r="AR28" s="51">
        <f t="shared" si="15"/>
        <v>32476.907826903225</v>
      </c>
      <c r="AS28" s="51">
        <f t="shared" si="15"/>
        <v>30383.933737078743</v>
      </c>
      <c r="AT28" s="51">
        <f t="shared" si="15"/>
        <v>32601.375049815015</v>
      </c>
      <c r="AU28" s="51">
        <f t="shared" si="15"/>
        <v>36491.775004453179</v>
      </c>
      <c r="AV28" s="51">
        <f t="shared" si="15"/>
        <v>37993.792262158109</v>
      </c>
      <c r="AW28" s="51">
        <f t="shared" si="15"/>
        <v>34457.678262502784</v>
      </c>
      <c r="AX28" s="51">
        <f t="shared" si="15"/>
        <v>37150.170516573955</v>
      </c>
      <c r="AY28" s="51">
        <f t="shared" si="15"/>
        <v>39481.633484261081</v>
      </c>
      <c r="AZ28" s="51">
        <f t="shared" si="15"/>
        <v>42553.807665076623</v>
      </c>
      <c r="BA28" s="51">
        <f t="shared" si="15"/>
        <v>43563.186045467774</v>
      </c>
      <c r="BB28" s="51">
        <f t="shared" si="15"/>
        <v>42856.899429069199</v>
      </c>
      <c r="BC28" s="51">
        <f t="shared" si="15"/>
        <v>43268.763995531823</v>
      </c>
      <c r="BD28" s="51">
        <f t="shared" si="15"/>
        <v>42552.711363709772</v>
      </c>
      <c r="BE28" s="51">
        <f t="shared" si="15"/>
        <v>46106.514812468471</v>
      </c>
      <c r="BF28" s="51">
        <f t="shared" si="15"/>
        <v>45904.781408178278</v>
      </c>
      <c r="BG28" s="51">
        <f>BG9</f>
        <v>48337.535296270209</v>
      </c>
    </row>
    <row r="29" spans="1:59" x14ac:dyDescent="0.2">
      <c r="B29" s="41" t="s">
        <v>159</v>
      </c>
      <c r="C29" s="51" t="e">
        <f>C26-C28</f>
        <v>#REF!</v>
      </c>
      <c r="D29" s="51" t="e">
        <f t="shared" ref="D29:BF29" si="16">D26-D28</f>
        <v>#REF!</v>
      </c>
      <c r="E29" s="51" t="e">
        <f t="shared" si="16"/>
        <v>#REF!</v>
      </c>
      <c r="F29" s="51" t="e">
        <f t="shared" si="16"/>
        <v>#REF!</v>
      </c>
      <c r="G29" s="51" t="e">
        <f t="shared" si="16"/>
        <v>#REF!</v>
      </c>
      <c r="H29" s="51" t="e">
        <f t="shared" si="16"/>
        <v>#REF!</v>
      </c>
      <c r="I29" s="51" t="e">
        <f t="shared" si="16"/>
        <v>#REF!</v>
      </c>
      <c r="J29" s="51" t="e">
        <f t="shared" si="16"/>
        <v>#REF!</v>
      </c>
      <c r="K29" s="51" t="e">
        <f t="shared" si="16"/>
        <v>#REF!</v>
      </c>
      <c r="L29" s="51" t="e">
        <f t="shared" si="16"/>
        <v>#REF!</v>
      </c>
      <c r="M29" s="51" t="e">
        <f t="shared" si="16"/>
        <v>#REF!</v>
      </c>
      <c r="N29" s="51" t="e">
        <f t="shared" si="16"/>
        <v>#REF!</v>
      </c>
      <c r="O29" s="51" t="e">
        <f t="shared" si="16"/>
        <v>#REF!</v>
      </c>
      <c r="P29" s="51" t="e">
        <f t="shared" si="16"/>
        <v>#REF!</v>
      </c>
      <c r="Q29" s="51" t="e">
        <f t="shared" si="16"/>
        <v>#REF!</v>
      </c>
      <c r="R29" s="51" t="e">
        <f t="shared" si="16"/>
        <v>#REF!</v>
      </c>
      <c r="S29" s="51" t="e">
        <f t="shared" si="16"/>
        <v>#REF!</v>
      </c>
      <c r="T29" s="51" t="e">
        <f t="shared" si="16"/>
        <v>#REF!</v>
      </c>
      <c r="U29" s="51" t="e">
        <f t="shared" si="16"/>
        <v>#REF!</v>
      </c>
      <c r="V29" s="51" t="e">
        <f t="shared" si="16"/>
        <v>#REF!</v>
      </c>
      <c r="W29" s="51" t="e">
        <f t="shared" si="16"/>
        <v>#REF!</v>
      </c>
      <c r="X29" s="51" t="e">
        <f t="shared" si="16"/>
        <v>#REF!</v>
      </c>
      <c r="Y29" s="51" t="e">
        <f t="shared" si="16"/>
        <v>#REF!</v>
      </c>
      <c r="Z29" s="51" t="e">
        <f t="shared" si="16"/>
        <v>#REF!</v>
      </c>
      <c r="AA29" s="51" t="e">
        <f t="shared" si="16"/>
        <v>#REF!</v>
      </c>
      <c r="AB29" s="51">
        <f t="shared" si="16"/>
        <v>565.70650334345669</v>
      </c>
      <c r="AC29" s="51">
        <f t="shared" si="16"/>
        <v>330.18781573302988</v>
      </c>
      <c r="AD29" s="51">
        <f t="shared" si="16"/>
        <v>177.96951956224439</v>
      </c>
      <c r="AE29" s="51">
        <f t="shared" si="16"/>
        <v>-4184.2769356842682</v>
      </c>
      <c r="AF29" s="51">
        <f t="shared" si="16"/>
        <v>-1890.1174905163098</v>
      </c>
      <c r="AG29" s="51">
        <f>AG26-AG28</f>
        <v>251.58808363030221</v>
      </c>
      <c r="AH29" s="51">
        <f t="shared" si="16"/>
        <v>-84.775982625184042</v>
      </c>
      <c r="AI29" s="51">
        <f t="shared" si="16"/>
        <v>836.30029356718114</v>
      </c>
      <c r="AJ29" s="51">
        <f t="shared" si="16"/>
        <v>221.84147791896612</v>
      </c>
      <c r="AK29" s="51">
        <f t="shared" si="16"/>
        <v>387.90863316807008</v>
      </c>
      <c r="AL29" s="51">
        <f t="shared" si="16"/>
        <v>214.7420299687401</v>
      </c>
      <c r="AM29" s="51">
        <f t="shared" si="16"/>
        <v>624.26125584359033</v>
      </c>
      <c r="AN29" s="51">
        <f t="shared" si="16"/>
        <v>855.20329039955686</v>
      </c>
      <c r="AO29" s="51">
        <f t="shared" si="16"/>
        <v>-1282.9892619066959</v>
      </c>
      <c r="AP29" s="51">
        <f t="shared" si="16"/>
        <v>1645.7913374597883</v>
      </c>
      <c r="AQ29" s="51">
        <f t="shared" si="16"/>
        <v>999.82518949464793</v>
      </c>
      <c r="AR29" s="51">
        <f t="shared" si="16"/>
        <v>-1163.5982696470019</v>
      </c>
      <c r="AS29" s="51">
        <f t="shared" si="16"/>
        <v>1868.4183622581768</v>
      </c>
      <c r="AT29" s="51">
        <f t="shared" si="16"/>
        <v>335.84645716008163</v>
      </c>
      <c r="AU29" s="51">
        <f t="shared" si="16"/>
        <v>-276.51052846817765</v>
      </c>
      <c r="AV29" s="51">
        <f t="shared" si="16"/>
        <v>-32.743384654859256</v>
      </c>
      <c r="AW29" s="51">
        <f t="shared" si="16"/>
        <v>1402.7962421595148</v>
      </c>
      <c r="AX29" s="51">
        <f t="shared" si="16"/>
        <v>1256.2825273296185</v>
      </c>
      <c r="AY29" s="51">
        <f t="shared" si="16"/>
        <v>734.56142969096982</v>
      </c>
      <c r="AZ29" s="51">
        <f t="shared" si="16"/>
        <v>237.13426270523632</v>
      </c>
      <c r="BA29" s="51">
        <f t="shared" si="16"/>
        <v>641.8772572113885</v>
      </c>
      <c r="BB29" s="51">
        <f t="shared" si="16"/>
        <v>579.60621544608875</v>
      </c>
      <c r="BC29" s="51">
        <f t="shared" si="16"/>
        <v>1169.530343819366</v>
      </c>
      <c r="BD29" s="51">
        <f t="shared" si="16"/>
        <v>489.89233847659489</v>
      </c>
      <c r="BE29" s="51">
        <f t="shared" si="16"/>
        <v>397.54190177457349</v>
      </c>
      <c r="BF29" s="51">
        <f t="shared" si="16"/>
        <v>908.60808353174798</v>
      </c>
      <c r="BG29" s="51">
        <f>BG26-BG28</f>
        <v>170.68961134560232</v>
      </c>
    </row>
    <row r="30" spans="1:59" x14ac:dyDescent="0.2">
      <c r="B30" s="70" t="s">
        <v>86</v>
      </c>
      <c r="C30" s="52" t="e">
        <f>C29-C12</f>
        <v>#REF!</v>
      </c>
      <c r="D30" s="52" t="e">
        <f t="shared" ref="D30:BF30" si="17">D29-D12</f>
        <v>#REF!</v>
      </c>
      <c r="E30" s="52" t="e">
        <f t="shared" si="17"/>
        <v>#REF!</v>
      </c>
      <c r="F30" s="52" t="e">
        <f t="shared" si="17"/>
        <v>#REF!</v>
      </c>
      <c r="G30" s="52" t="e">
        <f t="shared" si="17"/>
        <v>#REF!</v>
      </c>
      <c r="H30" s="52" t="e">
        <f t="shared" si="17"/>
        <v>#REF!</v>
      </c>
      <c r="I30" s="52" t="e">
        <f t="shared" si="17"/>
        <v>#REF!</v>
      </c>
      <c r="J30" s="52" t="e">
        <f t="shared" si="17"/>
        <v>#REF!</v>
      </c>
      <c r="K30" s="52" t="e">
        <f t="shared" si="17"/>
        <v>#REF!</v>
      </c>
      <c r="L30" s="52" t="e">
        <f t="shared" si="17"/>
        <v>#REF!</v>
      </c>
      <c r="M30" s="52" t="e">
        <f t="shared" si="17"/>
        <v>#REF!</v>
      </c>
      <c r="N30" s="52" t="e">
        <f t="shared" si="17"/>
        <v>#REF!</v>
      </c>
      <c r="O30" s="52" t="e">
        <f t="shared" si="17"/>
        <v>#REF!</v>
      </c>
      <c r="P30" s="52" t="e">
        <f t="shared" si="17"/>
        <v>#REF!</v>
      </c>
      <c r="Q30" s="52" t="e">
        <f t="shared" si="17"/>
        <v>#REF!</v>
      </c>
      <c r="R30" s="52" t="e">
        <f t="shared" si="17"/>
        <v>#REF!</v>
      </c>
      <c r="S30" s="52" t="e">
        <f t="shared" si="17"/>
        <v>#REF!</v>
      </c>
      <c r="T30" s="52" t="e">
        <f t="shared" si="17"/>
        <v>#REF!</v>
      </c>
      <c r="U30" s="52" t="e">
        <f t="shared" si="17"/>
        <v>#REF!</v>
      </c>
      <c r="V30" s="52" t="e">
        <f t="shared" si="17"/>
        <v>#REF!</v>
      </c>
      <c r="W30" s="52" t="e">
        <f t="shared" si="17"/>
        <v>#REF!</v>
      </c>
      <c r="X30" s="52" t="e">
        <f t="shared" si="17"/>
        <v>#REF!</v>
      </c>
      <c r="Y30" s="52" t="e">
        <f t="shared" si="17"/>
        <v>#REF!</v>
      </c>
      <c r="Z30" s="52" t="e">
        <f t="shared" si="17"/>
        <v>#REF!</v>
      </c>
      <c r="AA30" s="52" t="e">
        <f t="shared" si="17"/>
        <v>#REF!</v>
      </c>
      <c r="AB30" s="52">
        <f t="shared" si="17"/>
        <v>0</v>
      </c>
      <c r="AC30" s="52">
        <f t="shared" si="17"/>
        <v>0</v>
      </c>
      <c r="AD30" s="52">
        <f t="shared" si="17"/>
        <v>0</v>
      </c>
      <c r="AE30" s="52">
        <f t="shared" si="17"/>
        <v>0</v>
      </c>
      <c r="AF30" s="52">
        <f t="shared" si="17"/>
        <v>0</v>
      </c>
      <c r="AG30" s="52">
        <f>AG29-AG12</f>
        <v>0</v>
      </c>
      <c r="AH30" s="52">
        <f t="shared" si="17"/>
        <v>0</v>
      </c>
      <c r="AI30" s="52">
        <f t="shared" si="17"/>
        <v>0</v>
      </c>
      <c r="AJ30" s="52">
        <f t="shared" si="17"/>
        <v>0</v>
      </c>
      <c r="AK30" s="52">
        <f t="shared" si="17"/>
        <v>0</v>
      </c>
      <c r="AL30" s="52">
        <f t="shared" si="17"/>
        <v>0</v>
      </c>
      <c r="AM30" s="52">
        <f t="shared" si="17"/>
        <v>0</v>
      </c>
      <c r="AN30" s="52">
        <f t="shared" si="17"/>
        <v>0</v>
      </c>
      <c r="AO30" s="52">
        <f t="shared" si="17"/>
        <v>0</v>
      </c>
      <c r="AP30" s="52">
        <f t="shared" si="17"/>
        <v>0</v>
      </c>
      <c r="AQ30" s="52">
        <f t="shared" si="17"/>
        <v>0</v>
      </c>
      <c r="AR30" s="52">
        <f t="shared" si="17"/>
        <v>0</v>
      </c>
      <c r="AS30" s="52">
        <f t="shared" si="17"/>
        <v>0</v>
      </c>
      <c r="AT30" s="52">
        <f t="shared" si="17"/>
        <v>0</v>
      </c>
      <c r="AU30" s="52">
        <f t="shared" si="17"/>
        <v>0</v>
      </c>
      <c r="AV30" s="52">
        <f t="shared" si="17"/>
        <v>0</v>
      </c>
      <c r="AW30" s="52">
        <f t="shared" si="17"/>
        <v>0</v>
      </c>
      <c r="AX30" s="52">
        <f t="shared" si="17"/>
        <v>0</v>
      </c>
      <c r="AY30" s="52">
        <f t="shared" si="17"/>
        <v>0</v>
      </c>
      <c r="AZ30" s="52">
        <f t="shared" si="17"/>
        <v>0</v>
      </c>
      <c r="BA30" s="52">
        <f t="shared" si="17"/>
        <v>0</v>
      </c>
      <c r="BB30" s="52">
        <f t="shared" si="17"/>
        <v>0</v>
      </c>
      <c r="BC30" s="52">
        <f t="shared" si="17"/>
        <v>0</v>
      </c>
      <c r="BD30" s="52">
        <f t="shared" si="17"/>
        <v>0</v>
      </c>
      <c r="BE30" s="52">
        <f t="shared" si="17"/>
        <v>0</v>
      </c>
      <c r="BF30" s="52">
        <f t="shared" si="17"/>
        <v>0</v>
      </c>
      <c r="BG30" s="52">
        <f>BG29-BG12</f>
        <v>0</v>
      </c>
    </row>
    <row r="34" spans="29:29" x14ac:dyDescent="0.2">
      <c r="AC34" s="41" t="s">
        <v>180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3612-7904-475E-BA6F-3DF9AB6A76E9}">
  <dimension ref="A1:BI30"/>
  <sheetViews>
    <sheetView zoomScaleNormal="100" workbookViewId="0">
      <pane xSplit="2" ySplit="3" topLeftCell="AL4" activePane="bottomRight" state="frozen"/>
      <selection activeCell="M14" sqref="M14"/>
      <selection pane="topRight" activeCell="M14" sqref="M14"/>
      <selection pane="bottomLeft" activeCell="M14" sqref="M14"/>
      <selection pane="bottomRight" activeCell="M14" sqref="M14"/>
    </sheetView>
  </sheetViews>
  <sheetFormatPr defaultColWidth="9" defaultRowHeight="11.25" x14ac:dyDescent="0.2"/>
  <cols>
    <col min="1" max="1" width="4.1640625" style="41" customWidth="1"/>
    <col min="2" max="2" width="58.33203125" style="41" customWidth="1"/>
    <col min="3" max="24" width="9" style="41" hidden="1" customWidth="1"/>
    <col min="25" max="27" width="0" style="41" hidden="1" customWidth="1"/>
    <col min="28" max="33" width="9.1640625" style="41" bestFit="1" customWidth="1"/>
    <col min="34" max="34" width="10" style="41" bestFit="1" customWidth="1"/>
    <col min="35" max="40" width="9.1640625" style="41" bestFit="1" customWidth="1"/>
    <col min="41" max="59" width="9" style="41" customWidth="1"/>
    <col min="60" max="16384" width="9" style="41"/>
  </cols>
  <sheetData>
    <row r="1" spans="1:61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61" ht="12" thickBot="1" x14ac:dyDescent="0.25">
      <c r="A2" s="40"/>
      <c r="B2" s="40" t="s">
        <v>181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 spans="1:61" ht="12" thickBot="1" x14ac:dyDescent="0.25">
      <c r="A3" s="40"/>
      <c r="B3" s="58"/>
      <c r="C3" s="44">
        <f>SBO!C3</f>
        <v>1994</v>
      </c>
      <c r="D3" s="44">
        <f>SBO!D3</f>
        <v>1995</v>
      </c>
      <c r="E3" s="44">
        <f>SBO!E3</f>
        <v>1996</v>
      </c>
      <c r="F3" s="44">
        <f>SBO!F3</f>
        <v>1997</v>
      </c>
      <c r="G3" s="44">
        <f>SBO!G3</f>
        <v>1998</v>
      </c>
      <c r="H3" s="44">
        <f>SBO!H3</f>
        <v>1999</v>
      </c>
      <c r="I3" s="44">
        <f>SBO!I3</f>
        <v>2000</v>
      </c>
      <c r="J3" s="44">
        <f>SBO!J3</f>
        <v>2001</v>
      </c>
      <c r="K3" s="44">
        <f>SBO!K3</f>
        <v>2002</v>
      </c>
      <c r="L3" s="44">
        <f>SBO!L3</f>
        <v>2003</v>
      </c>
      <c r="M3" s="44">
        <f>SBO!M3</f>
        <v>2004</v>
      </c>
      <c r="N3" s="44">
        <f>SBO!N3</f>
        <v>2005</v>
      </c>
      <c r="O3" s="44">
        <f>SBO!O3</f>
        <v>2006</v>
      </c>
      <c r="P3" s="44">
        <f>SBO!P3</f>
        <v>2007</v>
      </c>
      <c r="Q3" s="44">
        <f>SBO!Q3</f>
        <v>2008</v>
      </c>
      <c r="R3" s="44">
        <f>SBO!R3</f>
        <v>2009</v>
      </c>
      <c r="S3" s="44">
        <f>SBO!S3</f>
        <v>2010</v>
      </c>
      <c r="T3" s="44">
        <f>SBO!T3</f>
        <v>2011</v>
      </c>
      <c r="U3" s="44">
        <f>SBO!U3</f>
        <v>2012</v>
      </c>
      <c r="V3" s="44">
        <f>SBO!V3</f>
        <v>2013</v>
      </c>
      <c r="W3" s="44">
        <f>SBO!W3</f>
        <v>2014</v>
      </c>
      <c r="X3" s="44">
        <f>SBO!X3</f>
        <v>2015</v>
      </c>
      <c r="Y3" s="44">
        <f>SBO!Y3</f>
        <v>2016</v>
      </c>
      <c r="Z3" s="44">
        <f>SBO!Z3</f>
        <v>2017</v>
      </c>
      <c r="AA3" s="44">
        <f>SBO!AA3</f>
        <v>2018</v>
      </c>
      <c r="AB3" s="44">
        <f>SBO!AB3</f>
        <v>2019</v>
      </c>
      <c r="AC3" s="44">
        <f>SBO!AC3</f>
        <v>2020</v>
      </c>
      <c r="AD3" s="44">
        <f>SBO!AD3</f>
        <v>2021</v>
      </c>
      <c r="AE3" s="44">
        <f>SBO!AE3</f>
        <v>2022</v>
      </c>
      <c r="AF3" s="44">
        <f>SBO!AF3</f>
        <v>2023</v>
      </c>
      <c r="AG3" s="44">
        <f>SBO!AG3</f>
        <v>2024</v>
      </c>
      <c r="AH3" s="44">
        <f>SBO!AH3</f>
        <v>2025</v>
      </c>
      <c r="AI3" s="44">
        <f>SBO!AI3</f>
        <v>2026</v>
      </c>
      <c r="AJ3" s="44">
        <f>SBO!AJ3</f>
        <v>2027</v>
      </c>
      <c r="AK3" s="44">
        <f>SBO!AK3</f>
        <v>2028</v>
      </c>
      <c r="AL3" s="44">
        <f>SBO!AL3</f>
        <v>2029</v>
      </c>
      <c r="AM3" s="44">
        <f>SBO!AM3</f>
        <v>2030</v>
      </c>
      <c r="AN3" s="44">
        <f>SBO!AN3</f>
        <v>2031</v>
      </c>
      <c r="AO3" s="44">
        <f>SBO!AO3</f>
        <v>2032</v>
      </c>
      <c r="AP3" s="44">
        <f>SBO!AP3</f>
        <v>2033</v>
      </c>
      <c r="AQ3" s="44">
        <f>SBO!AQ3</f>
        <v>2034</v>
      </c>
      <c r="AR3" s="44">
        <f>SBO!AR3</f>
        <v>2035</v>
      </c>
      <c r="AS3" s="44">
        <f>SBO!AS3</f>
        <v>2036</v>
      </c>
      <c r="AT3" s="44">
        <f>SBO!AT3</f>
        <v>2037</v>
      </c>
      <c r="AU3" s="44">
        <f>SBO!AU3</f>
        <v>2038</v>
      </c>
      <c r="AV3" s="44">
        <f>SBO!AV3</f>
        <v>2039</v>
      </c>
      <c r="AW3" s="44">
        <f>SBO!AW3</f>
        <v>2040</v>
      </c>
      <c r="AX3" s="44">
        <f>SBO!AX3</f>
        <v>2041</v>
      </c>
      <c r="AY3" s="44">
        <f>SBO!AY3</f>
        <v>2042</v>
      </c>
      <c r="AZ3" s="44">
        <f>SBO!AZ3</f>
        <v>2043</v>
      </c>
      <c r="BA3" s="44">
        <f>SBO!BA3</f>
        <v>2044</v>
      </c>
      <c r="BB3" s="44">
        <f>SBO!BB3</f>
        <v>2045</v>
      </c>
      <c r="BC3" s="44">
        <f>SBO!BC3</f>
        <v>2046</v>
      </c>
      <c r="BD3" s="44">
        <f>SBO!BD3</f>
        <v>2047</v>
      </c>
      <c r="BE3" s="44">
        <f>SBO!BE3</f>
        <v>2048</v>
      </c>
      <c r="BF3" s="44">
        <f>SBO!BF3</f>
        <v>2049</v>
      </c>
      <c r="BG3" s="44">
        <f>SBO!BG3</f>
        <v>2050</v>
      </c>
    </row>
    <row r="4" spans="1:61" x14ac:dyDescent="0.2">
      <c r="A4" s="40"/>
      <c r="B4" s="40" t="s">
        <v>70</v>
      </c>
      <c r="C4" s="45">
        <f>'[1]Yellow Grease Complex'!B$169</f>
        <v>101.80031020907023</v>
      </c>
      <c r="D4" s="45">
        <f>'[1]Yellow Grease Complex'!C$169</f>
        <v>104.02239198119223</v>
      </c>
      <c r="E4" s="45">
        <f>'[1]Yellow Grease Complex'!D$169</f>
        <v>84.869557839917633</v>
      </c>
      <c r="F4" s="45">
        <f>'[1]Yellow Grease Complex'!E$169</f>
        <v>82.701599340746085</v>
      </c>
      <c r="G4" s="45">
        <f>'[1]Yellow Grease Complex'!F$169</f>
        <v>95.382232490888455</v>
      </c>
      <c r="H4" s="45">
        <f>'[1]Yellow Grease Complex'!G$169</f>
        <v>99.102131963525238</v>
      </c>
      <c r="I4" s="45">
        <f>'[1]Yellow Grease Complex'!H$169</f>
        <v>89.267075026034973</v>
      </c>
      <c r="J4" s="45">
        <f>'[1]Yellow Grease Complex'!I$169</f>
        <v>71.197399136576919</v>
      </c>
      <c r="K4" s="45">
        <f>'[1]Yellow Grease Complex'!J$169</f>
        <v>82.486256682034281</v>
      </c>
      <c r="L4" s="45">
        <f>'[1]Yellow Grease Complex'!K$169</f>
        <v>61.786998894083453</v>
      </c>
      <c r="M4" s="45">
        <f>'[1]Yellow Grease Complex'!L$169</f>
        <v>62.365952199999988</v>
      </c>
      <c r="N4" s="45">
        <f>'[1]Yellow Grease Complex'!M$169</f>
        <v>74.212704000000002</v>
      </c>
      <c r="O4" s="45">
        <f>'[1]Yellow Grease Complex'!N$169</f>
        <v>68.352831171199995</v>
      </c>
      <c r="P4" s="45">
        <f>'[1]Yellow Grease Complex'!O$169</f>
        <v>74.105648118600001</v>
      </c>
      <c r="Q4" s="45">
        <f>'[1]Yellow Grease Complex'!P$169</f>
        <v>62.688645799999996</v>
      </c>
      <c r="R4" s="45">
        <f>'[1]Yellow Grease Complex'!Q$169</f>
        <v>108.08640440760001</v>
      </c>
      <c r="S4" s="45">
        <f>'[1]Yellow Grease Complex'!R$169</f>
        <v>34.79694039999999</v>
      </c>
      <c r="T4" s="45">
        <f>'[1]Yellow Grease Complex'!S$169</f>
        <v>20.483886500000004</v>
      </c>
      <c r="U4" s="45">
        <f>'[1]Yellow Grease Complex'!T$169</f>
        <v>47.542315290778681</v>
      </c>
      <c r="V4" s="45">
        <f>'[1]Yellow Grease Complex'!U$169</f>
        <v>78.797356417204327</v>
      </c>
      <c r="W4" s="45">
        <f>'[1]Yellow Grease Complex'!V$169</f>
        <v>47.866547642397805</v>
      </c>
      <c r="X4" s="45">
        <f>'[1]Yellow Grease Complex'!W$169</f>
        <v>48.083573577697464</v>
      </c>
      <c r="Y4" s="45">
        <f>'[1]Yellow Grease Complex'!X$169</f>
        <v>98.060416623635049</v>
      </c>
      <c r="Z4" s="45">
        <f>'[1]Yellow Grease Complex'!Y$169</f>
        <v>69.915189524505621</v>
      </c>
      <c r="AA4" s="45">
        <f>'[1]Yellow Grease Complex'!Z$169</f>
        <v>78.714340522118704</v>
      </c>
      <c r="AB4" s="45">
        <f>'[1]Yellow Grease Complex'!AA$185</f>
        <v>9.3368000000000002</v>
      </c>
      <c r="AC4" s="45">
        <f>'[1]Yellow Grease Complex'!AB$185</f>
        <v>9.0620000000000012</v>
      </c>
      <c r="AD4" s="45">
        <f>'[1]Yellow Grease Complex'!AC$185</f>
        <v>8.8033000000000001</v>
      </c>
      <c r="AE4" s="45">
        <f>'[1]Yellow Grease Complex'!AD$185</f>
        <v>9.0984999999999996</v>
      </c>
      <c r="AF4" s="45">
        <f>'[1]Yellow Grease Complex'!AE$185</f>
        <v>9.8977000000000004</v>
      </c>
      <c r="AG4" s="45">
        <f>'[1]Yellow Grease Complex'!AF$185</f>
        <v>10.350000000000001</v>
      </c>
      <c r="AH4" s="45">
        <f>'[1]Yellow Grease Complex'!AG$185</f>
        <v>9.6600000000000019</v>
      </c>
      <c r="AI4" s="45">
        <f>'[1]Yellow Grease Complex'!AH$185</f>
        <v>8.0027494845708702</v>
      </c>
      <c r="AJ4" s="45">
        <f>'[1]Yellow Grease Complex'!AI$185</f>
        <v>9.7261176830159286</v>
      </c>
      <c r="AK4" s="45">
        <f>'[1]Yellow Grease Complex'!AJ$185</f>
        <v>9.5826344638105354</v>
      </c>
      <c r="AL4" s="45">
        <f>'[1]Yellow Grease Complex'!AK$185</f>
        <v>11.600927601980857</v>
      </c>
      <c r="AM4" s="45">
        <f>'[1]Yellow Grease Complex'!AL$185</f>
        <v>7.6628932353370942</v>
      </c>
      <c r="AN4" s="45">
        <f>'[1]Yellow Grease Complex'!AM$185</f>
        <v>7.3199355901694219</v>
      </c>
      <c r="AO4" s="45">
        <f>'[1]Yellow Grease Complex'!AN$185</f>
        <v>9.401506631164068</v>
      </c>
      <c r="AP4" s="45">
        <f>'[1]Yellow Grease Complex'!AO$185</f>
        <v>11.507594799071313</v>
      </c>
      <c r="AQ4" s="45">
        <f>'[1]Yellow Grease Complex'!AP$185</f>
        <v>11.074545822530183</v>
      </c>
      <c r="AR4" s="45">
        <f>'[1]Yellow Grease Complex'!AQ$185</f>
        <v>7.3160914386795355</v>
      </c>
      <c r="AS4" s="45">
        <f>'[1]Yellow Grease Complex'!AR$185</f>
        <v>7.6343908503040439</v>
      </c>
      <c r="AT4" s="45">
        <f>'[1]Yellow Grease Complex'!AS$185</f>
        <v>13.397442340893917</v>
      </c>
      <c r="AU4" s="45">
        <f>'[1]Yellow Grease Complex'!AT$185</f>
        <v>5.3179015938720227</v>
      </c>
      <c r="AV4" s="45">
        <f>'[1]Yellow Grease Complex'!AU$185</f>
        <v>-26.734256761286701</v>
      </c>
      <c r="AW4" s="45">
        <f>'[1]Yellow Grease Complex'!AV$185</f>
        <v>10.084019808379594</v>
      </c>
      <c r="AX4" s="45">
        <f>'[1]Yellow Grease Complex'!AW$185</f>
        <v>7.9697290622860635</v>
      </c>
      <c r="AY4" s="45">
        <f>'[1]Yellow Grease Complex'!AX$185</f>
        <v>10.523825864032517</v>
      </c>
      <c r="AZ4" s="45">
        <f>'[1]Yellow Grease Complex'!AY$185</f>
        <v>14.662412692676298</v>
      </c>
      <c r="BA4" s="45">
        <f>'[1]Yellow Grease Complex'!AZ$185</f>
        <v>10.194771633725793</v>
      </c>
      <c r="BB4" s="45">
        <f>'[1]Yellow Grease Complex'!BA$185</f>
        <v>11.730476321729725</v>
      </c>
      <c r="BC4" s="45">
        <f>'[1]Yellow Grease Complex'!BB$185</f>
        <v>8.7853111808796598</v>
      </c>
      <c r="BD4" s="45">
        <f>'[1]Yellow Grease Complex'!BC$185</f>
        <v>5.7469131188518929</v>
      </c>
      <c r="BE4" s="45">
        <f>'[1]Yellow Grease Complex'!BD$185</f>
        <v>7.3868024194737245</v>
      </c>
      <c r="BF4" s="45">
        <f>'[1]Yellow Grease Complex'!BE$185</f>
        <v>5.1167935471509622</v>
      </c>
      <c r="BG4" s="45">
        <f>'[1]Yellow Grease Complex'!BF$185</f>
        <v>6.0040375027771802</v>
      </c>
    </row>
    <row r="5" spans="1:61" x14ac:dyDescent="0.2">
      <c r="A5" s="40"/>
      <c r="B5" s="40" t="s">
        <v>71</v>
      </c>
      <c r="C5" s="45">
        <f>SUM('[1]Yellow Grease Complex'!B$26:B$34,'[1]Yellow Grease Complex'!C$23:C$25)</f>
        <v>1257.4229668412102</v>
      </c>
      <c r="D5" s="45">
        <f>SUM('[1]Yellow Grease Complex'!C$26:C$34,'[1]Yellow Grease Complex'!D$23:D$25)</f>
        <v>1253.9755367909429</v>
      </c>
      <c r="E5" s="45">
        <f>SUM('[1]Yellow Grease Complex'!D$26:D$34,'[1]Yellow Grease Complex'!E$23:E$25)</f>
        <v>1178.045600314932</v>
      </c>
      <c r="F5" s="45">
        <f>SUM('[1]Yellow Grease Complex'!E$26:E$34,'[1]Yellow Grease Complex'!F$23:F$25)</f>
        <v>1150.2665335371312</v>
      </c>
      <c r="G5" s="45">
        <f>SUM('[1]Yellow Grease Complex'!F$26:F$34,'[1]Yellow Grease Complex'!G$23:G$25)</f>
        <v>1241.9592766146191</v>
      </c>
      <c r="H5" s="45">
        <f>SUM('[1]Yellow Grease Complex'!G$26:G$34,'[1]Yellow Grease Complex'!H$23:H$25)</f>
        <v>1348.622728811785</v>
      </c>
      <c r="I5" s="45">
        <f>SUM('[1]Yellow Grease Complex'!H$26:H$34,'[1]Yellow Grease Complex'!I$23:I$25)</f>
        <v>1111.6880977848818</v>
      </c>
      <c r="J5" s="45">
        <f>SUM('[1]Yellow Grease Complex'!I$26:I$34,'[1]Yellow Grease Complex'!J$23:J$25)</f>
        <v>1039.7776594450404</v>
      </c>
      <c r="K5" s="45">
        <f>SUM('[1]Yellow Grease Complex'!J$26:J$34,'[1]Yellow Grease Complex'!K$23:K$25)</f>
        <v>1162.8520310385975</v>
      </c>
      <c r="L5" s="45">
        <f>SUM('[1]Yellow Grease Complex'!K$26:K$34,'[1]Yellow Grease Complex'!L$23:L$25)</f>
        <v>968.4000000000002</v>
      </c>
      <c r="M5" s="45">
        <f>SUM('[1]Yellow Grease Complex'!L$26:L$34,'[1]Yellow Grease Complex'!M$23:M$25)</f>
        <v>1142.3250000000003</v>
      </c>
      <c r="N5" s="45">
        <f>SUM('[1]Yellow Grease Complex'!M$26:M$34,'[1]Yellow Grease Complex'!N$23:N$25)</f>
        <v>1103.625</v>
      </c>
      <c r="O5" s="45">
        <f>SUM('[1]Yellow Grease Complex'!N$26:N$34,'[1]Yellow Grease Complex'!O$23:O$25)</f>
        <v>1110.1500000000001</v>
      </c>
      <c r="P5" s="45">
        <f>SUM('[1]Yellow Grease Complex'!O$26:O$34,'[1]Yellow Grease Complex'!P$23:P$25)</f>
        <v>1157.4749999999999</v>
      </c>
      <c r="Q5" s="45">
        <f>SUM('[1]Yellow Grease Complex'!P$26:P$34,'[1]Yellow Grease Complex'!Q$23:Q$25)</f>
        <v>1271.7000000000003</v>
      </c>
      <c r="R5" s="45">
        <f>SUM('[1]Yellow Grease Complex'!Q$26:Q$34,'[1]Yellow Grease Complex'!R$23:R$25)</f>
        <v>1224.1500000000001</v>
      </c>
      <c r="S5" s="45">
        <f>SUM('[1]Yellow Grease Complex'!R$26:R$34,'[1]Yellow Grease Complex'!S$23:S$25)</f>
        <v>1052.6720324999999</v>
      </c>
      <c r="T5" s="45">
        <f>SUM('[1]Yellow Grease Complex'!S$26:S$34,'[1]Yellow Grease Complex'!T$23:T$25)</f>
        <v>1125.0398289922696</v>
      </c>
      <c r="U5" s="45">
        <f>SUM('[1]Yellow Grease Complex'!T$26:T$34,'[1]Yellow Grease Complex'!U$23:U$25)</f>
        <v>1185.6704362974685</v>
      </c>
      <c r="V5" s="45">
        <f>SUM('[1]Yellow Grease Complex'!U$26:U$34,'[1]Yellow Grease Complex'!V$23:V$25)</f>
        <v>1258.0145108096508</v>
      </c>
      <c r="W5" s="45">
        <f>SUM('[1]Yellow Grease Complex'!V$26:V$34,'[1]Yellow Grease Complex'!W$23:W$25)</f>
        <v>1330.6697216521045</v>
      </c>
      <c r="X5" s="45">
        <f>SUM('[1]Yellow Grease Complex'!W$26:W$34,'[1]Yellow Grease Complex'!X$23:X$25)</f>
        <v>1410.9061880204736</v>
      </c>
      <c r="Y5" s="45">
        <f>SUM('[1]Yellow Grease Complex'!X$26:X$34,'[1]Yellow Grease Complex'!Y$23:Y$25)</f>
        <v>1515.1874999999998</v>
      </c>
      <c r="Z5" s="45">
        <f>SUM('[1]Yellow Grease Complex'!Y$26:Y$34,'[1]Yellow Grease Complex'!Z$23:Z$25)</f>
        <v>1509.633</v>
      </c>
      <c r="AA5" s="45">
        <f>SUM('[1]Yellow Grease Complex'!Z$26:Z$34,'[1]Yellow Grease Complex'!AA$23:AA$25)</f>
        <v>1640.6054999999997</v>
      </c>
      <c r="AB5" s="45">
        <f>SUM('[1]Yellow Grease Complex'!AA$26:AA$34,'[1]Yellow Grease Complex'!AB$23:AB$25)</f>
        <v>1666.1917500000002</v>
      </c>
      <c r="AC5" s="45">
        <f>SUM('[1]Yellow Grease Complex'!AB$26:AB$34,'[1]Yellow Grease Complex'!AC$23:AC$25)</f>
        <v>1565.2837499999998</v>
      </c>
      <c r="AD5" s="45">
        <f>SUM('[1]Yellow Grease Complex'!AC$26:AC$34,'[1]Yellow Grease Complex'!AD$23:AD$25)</f>
        <v>1653.135</v>
      </c>
      <c r="AE5" s="45">
        <f>SUM('[1]Yellow Grease Complex'!AD$26:AD$34,'[1]Yellow Grease Complex'!AE$23:AE$25)</f>
        <v>1709.5342499999999</v>
      </c>
      <c r="AF5" s="45">
        <f>SUM('[1]Yellow Grease Complex'!AE$26:AE$34,'[1]Yellow Grease Complex'!AF$23:AF$25)</f>
        <v>2023.5839999999998</v>
      </c>
      <c r="AG5" s="45">
        <f>SUM('[1]Yellow Grease Complex'!AF$26:AF$34,'[1]Yellow Grease Complex'!AG$23:AG$25)</f>
        <v>2427.0750000000007</v>
      </c>
      <c r="AH5" s="45">
        <f>SUM('[1]Yellow Grease Complex'!AG$26:AG$34,'[1]Yellow Grease Complex'!AH$23:AH$25)</f>
        <v>2446.3497536740574</v>
      </c>
      <c r="AI5" s="45">
        <f>SUM('[1]Yellow Grease Complex'!AH$26:AH$34,'[1]Yellow Grease Complex'!AI$23:AI$25)</f>
        <v>2580.6790665163999</v>
      </c>
      <c r="AJ5" s="45">
        <f>SUM('[1]Yellow Grease Complex'!AI$26:AI$34,'[1]Yellow Grease Complex'!AJ$23:AJ$25)</f>
        <v>2904.0413700618428</v>
      </c>
      <c r="AK5" s="45">
        <f>SUM('[1]Yellow Grease Complex'!AJ$26:AJ$34,'[1]Yellow Grease Complex'!AK$23:AK$25)</f>
        <v>2993.8814748024829</v>
      </c>
      <c r="AL5" s="45">
        <f>SUM('[1]Yellow Grease Complex'!AK$26:AK$34,'[1]Yellow Grease Complex'!AL$23:AL$25)</f>
        <v>2862.206040750074</v>
      </c>
      <c r="AM5" s="45">
        <f>SUM('[1]Yellow Grease Complex'!AL$26:AL$34,'[1]Yellow Grease Complex'!AM$23:AM$25)</f>
        <v>3333.4196581373944</v>
      </c>
      <c r="AN5" s="45">
        <f>SUM('[1]Yellow Grease Complex'!AM$26:AM$34,'[1]Yellow Grease Complex'!AN$23:AN$25)</f>
        <v>3729.6504012487248</v>
      </c>
      <c r="AO5" s="45">
        <f>SUM('[1]Yellow Grease Complex'!AN$26:AN$34,'[1]Yellow Grease Complex'!AO$23:AO$25)</f>
        <v>4272.1154052396123</v>
      </c>
      <c r="AP5" s="45">
        <f>SUM('[1]Yellow Grease Complex'!AO$26:AO$34,'[1]Yellow Grease Complex'!AP$23:AP$25)</f>
        <v>4505.4778726037002</v>
      </c>
      <c r="AQ5" s="45">
        <f>SUM('[1]Yellow Grease Complex'!AP$26:AP$34,'[1]Yellow Grease Complex'!AQ$23:AQ$25)</f>
        <v>4613.181996473586</v>
      </c>
      <c r="AR5" s="45">
        <f>SUM('[1]Yellow Grease Complex'!AQ$26:AQ$34,'[1]Yellow Grease Complex'!AR$23:AR$25)</f>
        <v>4668.8009842662077</v>
      </c>
      <c r="AS5" s="45">
        <f>SUM('[1]Yellow Grease Complex'!AR$26:AR$34,'[1]Yellow Grease Complex'!AS$23:AS$25)</f>
        <v>4724.0874659184556</v>
      </c>
      <c r="AT5" s="45">
        <f>SUM('[1]Yellow Grease Complex'!AS$26:AS$34,'[1]Yellow Grease Complex'!AT$23:AT$25)</f>
        <v>4777.793336191331</v>
      </c>
      <c r="AU5" s="45">
        <f>SUM('[1]Yellow Grease Complex'!AT$26:AT$34,'[1]Yellow Grease Complex'!AU$23:AU$25)</f>
        <v>4833.7502090823846</v>
      </c>
      <c r="AV5" s="45">
        <f>SUM('[1]Yellow Grease Complex'!AU$26:AU$34,'[1]Yellow Grease Complex'!AV$23:AV$25)</f>
        <v>4889.6546177743076</v>
      </c>
      <c r="AW5" s="45">
        <f>SUM('[1]Yellow Grease Complex'!AV$26:AV$34,'[1]Yellow Grease Complex'!AW$23:AW$25)</f>
        <v>4949.7513956142739</v>
      </c>
      <c r="AX5" s="45">
        <f>SUM('[1]Yellow Grease Complex'!AW$26:AW$34,'[1]Yellow Grease Complex'!AX$23:AX$25)</f>
        <v>5009.802756323641</v>
      </c>
      <c r="AY5" s="45">
        <f>SUM('[1]Yellow Grease Complex'!AX$26:AX$34,'[1]Yellow Grease Complex'!AY$23:AY$25)</f>
        <v>5069.7445960648065</v>
      </c>
      <c r="AZ5" s="45">
        <f>SUM('[1]Yellow Grease Complex'!AY$26:AY$34,'[1]Yellow Grease Complex'!AZ$23:AZ$25)</f>
        <v>5129.6371198109773</v>
      </c>
      <c r="BA5" s="45">
        <f>SUM('[1]Yellow Grease Complex'!AZ$26:AZ$34,'[1]Yellow Grease Complex'!BA$23:BA$25)</f>
        <v>5191.0166301313475</v>
      </c>
      <c r="BB5" s="45">
        <f>SUM('[1]Yellow Grease Complex'!BA$26:BA$34,'[1]Yellow Grease Complex'!BB$23:BB$25)</f>
        <v>5255.9451334138539</v>
      </c>
      <c r="BC5" s="45">
        <f>SUM('[1]Yellow Grease Complex'!BB$26:BB$34,'[1]Yellow Grease Complex'!BC$23:BC$25)</f>
        <v>5320.9733010193204</v>
      </c>
      <c r="BD5" s="45">
        <f>SUM('[1]Yellow Grease Complex'!BC$26:BC$34,'[1]Yellow Grease Complex'!BD$23:BD$25)</f>
        <v>5385.9661517964969</v>
      </c>
      <c r="BE5" s="45">
        <f>SUM('[1]Yellow Grease Complex'!BD$26:BD$34,'[1]Yellow Grease Complex'!BE$23:BE$25)</f>
        <v>5450.9541322550212</v>
      </c>
      <c r="BF5" s="45">
        <f>SUM('[1]Yellow Grease Complex'!BE$26:BE$34,'[1]Yellow Grease Complex'!BF$23:BF$25)</f>
        <v>5515.9528263464936</v>
      </c>
      <c r="BG5" s="45">
        <f>SUM('[1]Yellow Grease Complex'!BF$26:BF$34,'[1]Yellow Grease Complex'!BG$23:BG$25)</f>
        <v>5582.1993444254958</v>
      </c>
    </row>
    <row r="6" spans="1:61" x14ac:dyDescent="0.2">
      <c r="A6" s="40"/>
      <c r="B6" s="40" t="s">
        <v>72</v>
      </c>
      <c r="C6" s="45">
        <f>SUM('[1]Yellow Grease Complex'!B$42:B$50,'[1]Yellow Grease Complex'!C$39:C$41)</f>
        <v>2.1423634747199998</v>
      </c>
      <c r="D6" s="45">
        <f>SUM('[1]Yellow Grease Complex'!C$42:C$50,'[1]Yellow Grease Complex'!D$39:D$41)</f>
        <v>6.4614825273599994</v>
      </c>
      <c r="E6" s="45">
        <f>SUM('[1]Yellow Grease Complex'!D$42:D$50,'[1]Yellow Grease Complex'!E$39:E$41)</f>
        <v>4.4433715485600009</v>
      </c>
      <c r="F6" s="45">
        <f>SUM('[1]Yellow Grease Complex'!E$42:E$50,'[1]Yellow Grease Complex'!F$39:F$41)</f>
        <v>5.0226139328400006</v>
      </c>
      <c r="G6" s="45">
        <f>SUM('[1]Yellow Grease Complex'!F$42:F$50,'[1]Yellow Grease Complex'!G$39:G$41)</f>
        <v>0.44207080344000005</v>
      </c>
      <c r="H6" s="45">
        <f>SUM('[1]Yellow Grease Complex'!G$42:G$50,'[1]Yellow Grease Complex'!H$39:H$41)</f>
        <v>0.92686718123999989</v>
      </c>
      <c r="I6" s="45">
        <f>SUM('[1]Yellow Grease Complex'!H$42:H$50,'[1]Yellow Grease Complex'!I$39:I$41)</f>
        <v>0.85786251264000002</v>
      </c>
      <c r="J6" s="45">
        <f>SUM('[1]Yellow Grease Complex'!I$42:I$50,'[1]Yellow Grease Complex'!J$39:J$41)</f>
        <v>2.6869051087200004</v>
      </c>
      <c r="K6" s="45">
        <f>SUM('[1]Yellow Grease Complex'!J$42:J$50,'[1]Yellow Grease Complex'!K$39:K$41)</f>
        <v>3.0341771661600001</v>
      </c>
      <c r="L6" s="45">
        <f>SUM('[1]Yellow Grease Complex'!K$42:K$50,'[1]Yellow Grease Complex'!L$39:L$41)</f>
        <v>1.4838869757599999</v>
      </c>
      <c r="M6" s="45">
        <f>SUM('[1]Yellow Grease Complex'!L$42:L$50,'[1]Yellow Grease Complex'!M$39:M$41)</f>
        <v>2.11643712E-2</v>
      </c>
      <c r="N6" s="45">
        <f>SUM('[1]Yellow Grease Complex'!M$42:M$50,'[1]Yellow Grease Complex'!N$39:N$41)</f>
        <v>4.8060759600000003E-2</v>
      </c>
      <c r="O6" s="45">
        <f>SUM('[1]Yellow Grease Complex'!N$42:N$50,'[1]Yellow Grease Complex'!O$39:O$41)</f>
        <v>9.5901056999999998E-2</v>
      </c>
      <c r="P6" s="45">
        <f>SUM('[1]Yellow Grease Complex'!O$42:O$50,'[1]Yellow Grease Complex'!P$39:P$41)</f>
        <v>0.12235652099999998</v>
      </c>
      <c r="Q6" s="45">
        <f>SUM('[1]Yellow Grease Complex'!P$42:P$50,'[1]Yellow Grease Complex'!Q$39:Q$41)</f>
        <v>4.3651515600000003E-2</v>
      </c>
      <c r="R6" s="45">
        <f>SUM('[1]Yellow Grease Complex'!Q$42:Q$50,'[1]Yellow Grease Complex'!R$39:R$41)</f>
        <v>0</v>
      </c>
      <c r="S6" s="45">
        <f>SUM('[1]Yellow Grease Complex'!R$42:R$50,'[1]Yellow Grease Complex'!S$39:S$41)</f>
        <v>9.1888999999999998E-2</v>
      </c>
      <c r="T6" s="45">
        <f>SUM('[1]Yellow Grease Complex'!S$42:S$50,'[1]Yellow Grease Complex'!T$39:T$41)</f>
        <v>0</v>
      </c>
      <c r="U6" s="45">
        <f>SUM('[1]Yellow Grease Complex'!T$42:T$50,'[1]Yellow Grease Complex'!U$39:U$41)</f>
        <v>4.7E-2</v>
      </c>
      <c r="V6" s="45">
        <f>SUM('[1]Yellow Grease Complex'!U$42:U$50,'[1]Yellow Grease Complex'!V$39:V$41)</f>
        <v>4.1520000000000001E-2</v>
      </c>
      <c r="W6" s="45">
        <f>SUM('[1]Yellow Grease Complex'!V$42:V$50,'[1]Yellow Grease Complex'!W$39:W$41)</f>
        <v>0</v>
      </c>
      <c r="X6" s="45">
        <f>SUM('[1]Yellow Grease Complex'!W$42:W$50,'[1]Yellow Grease Complex'!X$39:X$41)</f>
        <v>0</v>
      </c>
      <c r="Y6" s="45">
        <f>SUM('[1]Yellow Grease Complex'!X$42:X$50,'[1]Yellow Grease Complex'!Y$39:Y$41)</f>
        <v>0</v>
      </c>
      <c r="Z6" s="45">
        <f>SUM('[1]Yellow Grease Complex'!Y$42:Y$50,'[1]Yellow Grease Complex'!Z$39:Z$41)</f>
        <v>0</v>
      </c>
      <c r="AA6" s="45">
        <f>SUM('[1]Yellow Grease Complex'!Z$42:Z$50,'[1]Yellow Grease Complex'!AA$39:AA$41)</f>
        <v>0</v>
      </c>
      <c r="AB6" s="45">
        <f>SUM('[1]Yellow Grease Complex'!AA$42:AA$50,'[1]Yellow Grease Complex'!AB$39:AB$41)</f>
        <v>0.24460100000000001</v>
      </c>
      <c r="AC6" s="45">
        <f>SUM('[1]Yellow Grease Complex'!AB$42:AB$50,'[1]Yellow Grease Complex'!AC$39:AC$41)</f>
        <v>0</v>
      </c>
      <c r="AD6" s="45">
        <f>SUM('[1]Yellow Grease Complex'!AC$42:AC$50,'[1]Yellow Grease Complex'!AD$39:AD$41)</f>
        <v>0</v>
      </c>
      <c r="AE6" s="45">
        <f>SUM('[1]Yellow Grease Complex'!AD$42:AD$50,'[1]Yellow Grease Complex'!AE$39:AE$41)</f>
        <v>0</v>
      </c>
      <c r="AF6" s="45">
        <f>SUM('[1]Yellow Grease Complex'!AE$42:AE$50,'[1]Yellow Grease Complex'!AF$39:AF$41)</f>
        <v>0</v>
      </c>
      <c r="AG6" s="45">
        <f>SUM('[1]Yellow Grease Complex'!AF$42:AF$50,'[1]Yellow Grease Complex'!AG$39:AG$41)</f>
        <v>0</v>
      </c>
      <c r="AH6" s="45">
        <f>SUM('[1]Yellow Grease Complex'!AG$42:AG$50,'[1]Yellow Grease Complex'!AH$39:AH$41)</f>
        <v>0</v>
      </c>
      <c r="AI6" s="45">
        <f>SUM('[1]Yellow Grease Complex'!AH$42:AH$50,'[1]Yellow Grease Complex'!AI$39:AI$41)</f>
        <v>0</v>
      </c>
      <c r="AJ6" s="45">
        <f>SUM('[1]Yellow Grease Complex'!AI$42:AI$50,'[1]Yellow Grease Complex'!AJ$39:AJ$41)</f>
        <v>0</v>
      </c>
      <c r="AK6" s="45">
        <f>SUM('[1]Yellow Grease Complex'!AJ$42:AJ$50,'[1]Yellow Grease Complex'!AK$39:AK$41)</f>
        <v>0</v>
      </c>
      <c r="AL6" s="45">
        <f>SUM('[1]Yellow Grease Complex'!AK$42:AK$50,'[1]Yellow Grease Complex'!AL$39:AL$41)</f>
        <v>0</v>
      </c>
      <c r="AM6" s="45">
        <f>SUM('[1]Yellow Grease Complex'!AL$42:AL$50,'[1]Yellow Grease Complex'!AM$39:AM$41)</f>
        <v>0</v>
      </c>
      <c r="AN6" s="45">
        <f>SUM('[1]Yellow Grease Complex'!AM$42:AM$50,'[1]Yellow Grease Complex'!AN$39:AN$41)</f>
        <v>0</v>
      </c>
      <c r="AO6" s="45">
        <f>SUM('[1]Yellow Grease Complex'!AN$42:AN$50,'[1]Yellow Grease Complex'!AO$39:AO$41)</f>
        <v>0</v>
      </c>
      <c r="AP6" s="45">
        <f>SUM('[1]Yellow Grease Complex'!AO$42:AO$50,'[1]Yellow Grease Complex'!AP$39:AP$41)</f>
        <v>0</v>
      </c>
      <c r="AQ6" s="45">
        <f>SUM('[1]Yellow Grease Complex'!AP$42:AP$50,'[1]Yellow Grease Complex'!AQ$39:AQ$41)</f>
        <v>0</v>
      </c>
      <c r="AR6" s="45">
        <f>SUM('[1]Yellow Grease Complex'!AQ$42:AQ$50,'[1]Yellow Grease Complex'!AR$39:AR$41)</f>
        <v>0</v>
      </c>
      <c r="AS6" s="45">
        <f>SUM('[1]Yellow Grease Complex'!AR$42:AR$50,'[1]Yellow Grease Complex'!AS$39:AS$41)</f>
        <v>0</v>
      </c>
      <c r="AT6" s="45">
        <f>SUM('[1]Yellow Grease Complex'!AS$42:AS$50,'[1]Yellow Grease Complex'!AT$39:AT$41)</f>
        <v>0</v>
      </c>
      <c r="AU6" s="45">
        <f>SUM('[1]Yellow Grease Complex'!AT$42:AT$50,'[1]Yellow Grease Complex'!AU$39:AU$41)</f>
        <v>0</v>
      </c>
      <c r="AV6" s="45">
        <f>SUM('[1]Yellow Grease Complex'!AU$42:AU$50,'[1]Yellow Grease Complex'!AV$39:AV$41)</f>
        <v>3</v>
      </c>
      <c r="AW6" s="45">
        <f>SUM('[1]Yellow Grease Complex'!AV$42:AV$50,'[1]Yellow Grease Complex'!AW$39:AW$41)</f>
        <v>15</v>
      </c>
      <c r="AX6" s="45">
        <f>SUM('[1]Yellow Grease Complex'!AW$42:AW$50,'[1]Yellow Grease Complex'!AX$39:AX$41)</f>
        <v>27</v>
      </c>
      <c r="AY6" s="45">
        <f>SUM('[1]Yellow Grease Complex'!AX$42:AX$50,'[1]Yellow Grease Complex'!AY$39:AY$41)</f>
        <v>39</v>
      </c>
      <c r="AZ6" s="45">
        <f>SUM('[1]Yellow Grease Complex'!AY$42:AY$50,'[1]Yellow Grease Complex'!AZ$39:AZ$41)</f>
        <v>51</v>
      </c>
      <c r="BA6" s="45">
        <f>SUM('[1]Yellow Grease Complex'!AZ$42:AZ$50,'[1]Yellow Grease Complex'!BA$39:BA$41)</f>
        <v>63</v>
      </c>
      <c r="BB6" s="45">
        <f>SUM('[1]Yellow Grease Complex'!BA$42:BA$50,'[1]Yellow Grease Complex'!BB$39:BB$41)</f>
        <v>75</v>
      </c>
      <c r="BC6" s="45">
        <f>SUM('[1]Yellow Grease Complex'!BB$42:BB$50,'[1]Yellow Grease Complex'!BC$39:BC$41)</f>
        <v>87</v>
      </c>
      <c r="BD6" s="45">
        <f>SUM('[1]Yellow Grease Complex'!BC$42:BC$50,'[1]Yellow Grease Complex'!BD$39:BD$41)</f>
        <v>99</v>
      </c>
      <c r="BE6" s="45">
        <f>SUM('[1]Yellow Grease Complex'!BD$42:BD$50,'[1]Yellow Grease Complex'!BE$39:BE$41)</f>
        <v>111</v>
      </c>
      <c r="BF6" s="45">
        <f>SUM('[1]Yellow Grease Complex'!BE$42:BE$50,'[1]Yellow Grease Complex'!BF$39:BF$41)</f>
        <v>123</v>
      </c>
      <c r="BG6" s="45">
        <f>SUM('[1]Yellow Grease Complex'!BF$42:BF$50,'[1]Yellow Grease Complex'!BG$39:BG$41)</f>
        <v>135</v>
      </c>
    </row>
    <row r="7" spans="1:61" x14ac:dyDescent="0.2">
      <c r="A7" s="40"/>
      <c r="B7" s="61" t="s">
        <v>73</v>
      </c>
      <c r="C7" s="62">
        <f>SUM(C4:C6)</f>
        <v>1361.3656405250003</v>
      </c>
      <c r="D7" s="62">
        <f t="shared" ref="D7:BG7" si="0">SUM(D4:D6)</f>
        <v>1364.4594112994951</v>
      </c>
      <c r="E7" s="62">
        <f t="shared" si="0"/>
        <v>1267.3585297034097</v>
      </c>
      <c r="F7" s="62">
        <f t="shared" si="0"/>
        <v>1237.9907468107172</v>
      </c>
      <c r="G7" s="62">
        <f t="shared" si="0"/>
        <v>1337.7835799089476</v>
      </c>
      <c r="H7" s="62">
        <f t="shared" si="0"/>
        <v>1448.6517279565501</v>
      </c>
      <c r="I7" s="62">
        <f t="shared" si="0"/>
        <v>1201.8130353235567</v>
      </c>
      <c r="J7" s="62">
        <f t="shared" si="0"/>
        <v>1113.6619636903374</v>
      </c>
      <c r="K7" s="62">
        <f t="shared" si="0"/>
        <v>1248.3724648867917</v>
      </c>
      <c r="L7" s="62">
        <f t="shared" si="0"/>
        <v>1031.6708858698437</v>
      </c>
      <c r="M7" s="62">
        <f t="shared" si="0"/>
        <v>1204.7121165712003</v>
      </c>
      <c r="N7" s="62">
        <f t="shared" si="0"/>
        <v>1177.8857647596001</v>
      </c>
      <c r="O7" s="62">
        <f t="shared" si="0"/>
        <v>1178.5987322282001</v>
      </c>
      <c r="P7" s="62">
        <f t="shared" si="0"/>
        <v>1231.7030046395998</v>
      </c>
      <c r="Q7" s="62">
        <f t="shared" si="0"/>
        <v>1334.4322973156002</v>
      </c>
      <c r="R7" s="62">
        <f t="shared" si="0"/>
        <v>1332.2364044076</v>
      </c>
      <c r="S7" s="62">
        <f t="shared" si="0"/>
        <v>1087.5608619</v>
      </c>
      <c r="T7" s="62">
        <f t="shared" si="0"/>
        <v>1145.5237154922695</v>
      </c>
      <c r="U7" s="62">
        <f t="shared" si="0"/>
        <v>1233.2597515882474</v>
      </c>
      <c r="V7" s="62">
        <f t="shared" si="0"/>
        <v>1336.8533872268551</v>
      </c>
      <c r="W7" s="62">
        <f t="shared" si="0"/>
        <v>1378.5362692945023</v>
      </c>
      <c r="X7" s="62">
        <f t="shared" si="0"/>
        <v>1458.9897615981711</v>
      </c>
      <c r="Y7" s="62">
        <f t="shared" si="0"/>
        <v>1613.2479166236349</v>
      </c>
      <c r="Z7" s="62">
        <f t="shared" si="0"/>
        <v>1579.5481895245057</v>
      </c>
      <c r="AA7" s="62">
        <f t="shared" si="0"/>
        <v>1719.3198405221183</v>
      </c>
      <c r="AB7" s="62">
        <f t="shared" si="0"/>
        <v>1675.7731510000003</v>
      </c>
      <c r="AC7" s="62">
        <f t="shared" si="0"/>
        <v>1574.3457499999997</v>
      </c>
      <c r="AD7" s="62">
        <f t="shared" si="0"/>
        <v>1661.9383</v>
      </c>
      <c r="AE7" s="62">
        <f t="shared" si="0"/>
        <v>1718.63275</v>
      </c>
      <c r="AF7" s="62">
        <f t="shared" si="0"/>
        <v>2033.4816999999998</v>
      </c>
      <c r="AG7" s="62">
        <f t="shared" si="0"/>
        <v>2437.4250000000006</v>
      </c>
      <c r="AH7" s="62">
        <f t="shared" si="0"/>
        <v>2456.0097536740573</v>
      </c>
      <c r="AI7" s="62">
        <f t="shared" si="0"/>
        <v>2588.6818160009707</v>
      </c>
      <c r="AJ7" s="62">
        <f t="shared" si="0"/>
        <v>2913.767487744859</v>
      </c>
      <c r="AK7" s="62">
        <f t="shared" si="0"/>
        <v>3003.4641092662932</v>
      </c>
      <c r="AL7" s="62">
        <f t="shared" si="0"/>
        <v>2873.8069683520548</v>
      </c>
      <c r="AM7" s="62">
        <f t="shared" si="0"/>
        <v>3341.0825513727314</v>
      </c>
      <c r="AN7" s="62">
        <f t="shared" si="0"/>
        <v>3736.9703368388941</v>
      </c>
      <c r="AO7" s="62">
        <f t="shared" si="0"/>
        <v>4281.5169118707763</v>
      </c>
      <c r="AP7" s="62">
        <f t="shared" si="0"/>
        <v>4516.985467402772</v>
      </c>
      <c r="AQ7" s="62">
        <f t="shared" si="0"/>
        <v>4624.2565422961161</v>
      </c>
      <c r="AR7" s="62">
        <f t="shared" si="0"/>
        <v>4676.1170757048876</v>
      </c>
      <c r="AS7" s="62">
        <f t="shared" si="0"/>
        <v>4731.7218567687596</v>
      </c>
      <c r="AT7" s="62">
        <f t="shared" si="0"/>
        <v>4791.1907785322246</v>
      </c>
      <c r="AU7" s="62">
        <f t="shared" si="0"/>
        <v>4839.0681106762568</v>
      </c>
      <c r="AV7" s="62">
        <f t="shared" si="0"/>
        <v>4865.9203610130207</v>
      </c>
      <c r="AW7" s="62">
        <f t="shared" si="0"/>
        <v>4974.8354154226536</v>
      </c>
      <c r="AX7" s="62">
        <f t="shared" si="0"/>
        <v>5044.7724853859272</v>
      </c>
      <c r="AY7" s="62">
        <f t="shared" si="0"/>
        <v>5119.2684219288394</v>
      </c>
      <c r="AZ7" s="62">
        <f t="shared" si="0"/>
        <v>5195.2995325036536</v>
      </c>
      <c r="BA7" s="62">
        <f t="shared" si="0"/>
        <v>5264.2114017650729</v>
      </c>
      <c r="BB7" s="62">
        <f t="shared" si="0"/>
        <v>5342.6756097355837</v>
      </c>
      <c r="BC7" s="62">
        <f t="shared" si="0"/>
        <v>5416.7586122002003</v>
      </c>
      <c r="BD7" s="62">
        <f t="shared" si="0"/>
        <v>5490.7130649153487</v>
      </c>
      <c r="BE7" s="62">
        <f t="shared" si="0"/>
        <v>5569.3409346744947</v>
      </c>
      <c r="BF7" s="62">
        <f t="shared" si="0"/>
        <v>5644.0696198936448</v>
      </c>
      <c r="BG7" s="62">
        <f t="shared" si="0"/>
        <v>5723.2033819282733</v>
      </c>
    </row>
    <row r="8" spans="1:61" x14ac:dyDescent="0.2">
      <c r="A8" s="40"/>
      <c r="B8" s="40" t="s">
        <v>74</v>
      </c>
      <c r="C8" s="45" t="e">
        <f t="shared" ref="C8:AA8" si="1">C9+C12</f>
        <v>#REF!</v>
      </c>
      <c r="D8" s="45" t="e">
        <f t="shared" si="1"/>
        <v>#REF!</v>
      </c>
      <c r="E8" s="45" t="e">
        <f t="shared" si="1"/>
        <v>#REF!</v>
      </c>
      <c r="F8" s="45" t="e">
        <f t="shared" si="1"/>
        <v>#REF!</v>
      </c>
      <c r="G8" s="45" t="e">
        <f t="shared" si="1"/>
        <v>#REF!</v>
      </c>
      <c r="H8" s="45" t="e">
        <f t="shared" si="1"/>
        <v>#REF!</v>
      </c>
      <c r="I8" s="45" t="e">
        <f t="shared" si="1"/>
        <v>#REF!</v>
      </c>
      <c r="J8" s="45" t="e">
        <f t="shared" si="1"/>
        <v>#REF!</v>
      </c>
      <c r="K8" s="45" t="e">
        <f t="shared" si="1"/>
        <v>#REF!</v>
      </c>
      <c r="L8" s="45" t="e">
        <f t="shared" si="1"/>
        <v>#REF!</v>
      </c>
      <c r="M8" s="45" t="e">
        <f t="shared" si="1"/>
        <v>#REF!</v>
      </c>
      <c r="N8" s="45" t="e">
        <f t="shared" si="1"/>
        <v>#REF!</v>
      </c>
      <c r="O8" s="45" t="e">
        <f t="shared" si="1"/>
        <v>#REF!</v>
      </c>
      <c r="P8" s="45" t="e">
        <f t="shared" si="1"/>
        <v>#REF!</v>
      </c>
      <c r="Q8" s="45" t="e">
        <f t="shared" si="1"/>
        <v>#REF!</v>
      </c>
      <c r="R8" s="45" t="e">
        <f t="shared" si="1"/>
        <v>#REF!</v>
      </c>
      <c r="S8" s="45" t="e">
        <f t="shared" si="1"/>
        <v>#REF!</v>
      </c>
      <c r="T8" s="45" t="e">
        <f t="shared" si="1"/>
        <v>#REF!</v>
      </c>
      <c r="U8" s="45" t="e">
        <f t="shared" si="1"/>
        <v>#REF!</v>
      </c>
      <c r="V8" s="45" t="e">
        <f t="shared" si="1"/>
        <v>#REF!</v>
      </c>
      <c r="W8" s="45" t="e">
        <f t="shared" si="1"/>
        <v>#REF!</v>
      </c>
      <c r="X8" s="45" t="e">
        <f t="shared" si="1"/>
        <v>#REF!</v>
      </c>
      <c r="Y8" s="45" t="e">
        <f t="shared" si="1"/>
        <v>#REF!</v>
      </c>
      <c r="Z8" s="45" t="e">
        <f t="shared" si="1"/>
        <v>#REF!</v>
      </c>
      <c r="AA8" s="45" t="e">
        <f t="shared" si="1"/>
        <v>#REF!</v>
      </c>
      <c r="AB8" s="45">
        <f>AB14-AB13</f>
        <v>1662.2664110000005</v>
      </c>
      <c r="AC8" s="45">
        <f t="shared" ref="AC8:BG8" si="2">AC14-AC13</f>
        <v>1560.5137129999998</v>
      </c>
      <c r="AD8" s="45">
        <f t="shared" si="2"/>
        <v>1651.7950680000001</v>
      </c>
      <c r="AE8" s="45">
        <f t="shared" si="2"/>
        <v>1709.5395820000001</v>
      </c>
      <c r="AF8" s="45">
        <f t="shared" si="2"/>
        <v>2024.4193389999998</v>
      </c>
      <c r="AG8" s="45">
        <f t="shared" si="2"/>
        <v>2428.3629880000008</v>
      </c>
      <c r="AH8" s="45">
        <f t="shared" si="2"/>
        <v>2446.9477536740574</v>
      </c>
      <c r="AI8" s="45">
        <f t="shared" si="2"/>
        <v>2579.6198160009708</v>
      </c>
      <c r="AJ8" s="45">
        <f t="shared" si="2"/>
        <v>2904.7054877448591</v>
      </c>
      <c r="AK8" s="45">
        <f t="shared" si="2"/>
        <v>2994.4021092662933</v>
      </c>
      <c r="AL8" s="45">
        <f t="shared" si="2"/>
        <v>2864.7449683520549</v>
      </c>
      <c r="AM8" s="45">
        <f t="shared" si="2"/>
        <v>3332.0205513727315</v>
      </c>
      <c r="AN8" s="45">
        <f t="shared" si="2"/>
        <v>3727.9083368388942</v>
      </c>
      <c r="AO8" s="45">
        <f t="shared" si="2"/>
        <v>4272.4549118707764</v>
      </c>
      <c r="AP8" s="45">
        <f t="shared" si="2"/>
        <v>4507.9234674027721</v>
      </c>
      <c r="AQ8" s="45">
        <f t="shared" si="2"/>
        <v>4615.1945422961162</v>
      </c>
      <c r="AR8" s="45">
        <f t="shared" si="2"/>
        <v>4667.0550757048877</v>
      </c>
      <c r="AS8" s="45">
        <f t="shared" si="2"/>
        <v>4722.6598567687597</v>
      </c>
      <c r="AT8" s="45">
        <f t="shared" si="2"/>
        <v>4782.1287785322247</v>
      </c>
      <c r="AU8" s="45">
        <f t="shared" si="2"/>
        <v>4830.0061106762569</v>
      </c>
      <c r="AV8" s="45">
        <f t="shared" si="2"/>
        <v>4856.8583610130208</v>
      </c>
      <c r="AW8" s="45">
        <f t="shared" si="2"/>
        <v>4965.7734154226537</v>
      </c>
      <c r="AX8" s="45">
        <f t="shared" si="2"/>
        <v>5035.7104853859273</v>
      </c>
      <c r="AY8" s="45">
        <f t="shared" si="2"/>
        <v>5110.2064219288395</v>
      </c>
      <c r="AZ8" s="45">
        <f t="shared" si="2"/>
        <v>5186.2375325036537</v>
      </c>
      <c r="BA8" s="45">
        <f t="shared" si="2"/>
        <v>5255.149401765073</v>
      </c>
      <c r="BB8" s="45">
        <f t="shared" si="2"/>
        <v>5333.6136097355839</v>
      </c>
      <c r="BC8" s="45">
        <f t="shared" si="2"/>
        <v>5407.6966122002004</v>
      </c>
      <c r="BD8" s="45">
        <f t="shared" si="2"/>
        <v>5481.6510649153488</v>
      </c>
      <c r="BE8" s="45">
        <f t="shared" si="2"/>
        <v>5560.2789346744948</v>
      </c>
      <c r="BF8" s="45">
        <f t="shared" si="2"/>
        <v>5635.0076198936449</v>
      </c>
      <c r="BG8" s="45">
        <f t="shared" si="2"/>
        <v>5714.1413819282734</v>
      </c>
    </row>
    <row r="9" spans="1:61" x14ac:dyDescent="0.2">
      <c r="A9" s="40"/>
      <c r="B9" s="40" t="s">
        <v>75</v>
      </c>
      <c r="C9" s="45" t="e">
        <f>C10+C11+#REF!</f>
        <v>#REF!</v>
      </c>
      <c r="D9" s="45" t="e">
        <f>D10+D11+#REF!</f>
        <v>#REF!</v>
      </c>
      <c r="E9" s="45" t="e">
        <f>E10+E11+#REF!</f>
        <v>#REF!</v>
      </c>
      <c r="F9" s="45" t="e">
        <f>F10+F11+#REF!</f>
        <v>#REF!</v>
      </c>
      <c r="G9" s="45" t="e">
        <f>G10+G11+#REF!</f>
        <v>#REF!</v>
      </c>
      <c r="H9" s="45" t="e">
        <f>H10+H11+#REF!</f>
        <v>#REF!</v>
      </c>
      <c r="I9" s="45" t="e">
        <f>I10+I11+#REF!</f>
        <v>#REF!</v>
      </c>
      <c r="J9" s="45" t="e">
        <f>J10+J11+#REF!</f>
        <v>#REF!</v>
      </c>
      <c r="K9" s="45" t="e">
        <f>K10+K11+#REF!</f>
        <v>#REF!</v>
      </c>
      <c r="L9" s="45" t="e">
        <f>L10+L11+#REF!</f>
        <v>#REF!</v>
      </c>
      <c r="M9" s="45" t="e">
        <f>M10+M11+#REF!</f>
        <v>#REF!</v>
      </c>
      <c r="N9" s="45" t="e">
        <f>N10+N11+#REF!</f>
        <v>#REF!</v>
      </c>
      <c r="O9" s="45" t="e">
        <f>O10+O11+#REF!</f>
        <v>#REF!</v>
      </c>
      <c r="P9" s="45" t="e">
        <f>P10+P11+#REF!</f>
        <v>#REF!</v>
      </c>
      <c r="Q9" s="45" t="e">
        <f>Q10+Q11+#REF!</f>
        <v>#REF!</v>
      </c>
      <c r="R9" s="45" t="e">
        <f>R10+R11+#REF!</f>
        <v>#REF!</v>
      </c>
      <c r="S9" s="45" t="e">
        <f>S10+S11+#REF!</f>
        <v>#REF!</v>
      </c>
      <c r="T9" s="45" t="e">
        <f>T10+T11+#REF!</f>
        <v>#REF!</v>
      </c>
      <c r="U9" s="45" t="e">
        <f>U10+U11+#REF!</f>
        <v>#REF!</v>
      </c>
      <c r="V9" s="45" t="e">
        <f>V10+V11+#REF!</f>
        <v>#REF!</v>
      </c>
      <c r="W9" s="45" t="e">
        <f>W10+W11+#REF!</f>
        <v>#REF!</v>
      </c>
      <c r="X9" s="45" t="e">
        <f>X10+X11+#REF!</f>
        <v>#REF!</v>
      </c>
      <c r="Y9" s="45" t="e">
        <f>Y10+Y11+#REF!</f>
        <v>#REF!</v>
      </c>
      <c r="Z9" s="45" t="e">
        <f>Z10+Z11+#REF!</f>
        <v>#REF!</v>
      </c>
      <c r="AA9" s="45" t="e">
        <f>AA10+AA11+#REF!</f>
        <v>#REF!</v>
      </c>
      <c r="AB9" s="45">
        <f>SUM(AB10:AB11)</f>
        <v>766.93695167839985</v>
      </c>
      <c r="AC9" s="45">
        <f t="shared" ref="AC9:BG9" si="3">SUM(AC10:AC11)</f>
        <v>708.51525752563225</v>
      </c>
      <c r="AD9" s="45">
        <f t="shared" si="3"/>
        <v>1017.7635</v>
      </c>
      <c r="AE9" s="45">
        <f t="shared" si="3"/>
        <v>1502.8190999999997</v>
      </c>
      <c r="AF9" s="45">
        <f t="shared" si="3"/>
        <v>2055.15702746223</v>
      </c>
      <c r="AG9" s="45">
        <f t="shared" si="3"/>
        <v>2216.8264293672601</v>
      </c>
      <c r="AH9" s="45">
        <f t="shared" si="3"/>
        <v>2110.569322178008</v>
      </c>
      <c r="AI9" s="45">
        <f t="shared" si="3"/>
        <v>2428.5527316458333</v>
      </c>
      <c r="AJ9" s="45">
        <f t="shared" si="3"/>
        <v>2952.5321948876349</v>
      </c>
      <c r="AK9" s="45">
        <f t="shared" si="3"/>
        <v>2929.2272635823797</v>
      </c>
      <c r="AL9" s="45">
        <f t="shared" si="3"/>
        <v>2865.5712380217315</v>
      </c>
      <c r="AM9" s="45">
        <f t="shared" si="3"/>
        <v>3329.5684016316422</v>
      </c>
      <c r="AN9" s="45">
        <f t="shared" si="3"/>
        <v>3643.0716642257812</v>
      </c>
      <c r="AO9" s="45">
        <f t="shared" si="3"/>
        <v>4392.0148433974837</v>
      </c>
      <c r="AP9" s="45">
        <f t="shared" si="3"/>
        <v>4478.4773812409676</v>
      </c>
      <c r="AQ9" s="45">
        <f t="shared" si="3"/>
        <v>4579.2601228046224</v>
      </c>
      <c r="AR9" s="45">
        <f t="shared" si="3"/>
        <v>4739.5442386063141</v>
      </c>
      <c r="AS9" s="45">
        <f t="shared" si="3"/>
        <v>4541.96446998803</v>
      </c>
      <c r="AT9" s="45">
        <f t="shared" si="3"/>
        <v>4749.5640860790463</v>
      </c>
      <c r="AU9" s="45">
        <f t="shared" si="3"/>
        <v>4851.4218233969423</v>
      </c>
      <c r="AV9" s="45">
        <f t="shared" si="3"/>
        <v>5029.1913287064599</v>
      </c>
      <c r="AW9" s="45">
        <f t="shared" si="3"/>
        <v>4884.1078325793906</v>
      </c>
      <c r="AX9" s="45">
        <f t="shared" si="3"/>
        <v>4937.8668390872708</v>
      </c>
      <c r="AY9" s="45">
        <f t="shared" si="3"/>
        <v>4996.1784788988907</v>
      </c>
      <c r="AZ9" s="45">
        <f t="shared" si="3"/>
        <v>5203.3393397004093</v>
      </c>
      <c r="BA9" s="45">
        <f t="shared" si="3"/>
        <v>5345.6907668825816</v>
      </c>
      <c r="BB9" s="45">
        <f t="shared" si="3"/>
        <v>5266.253611183487</v>
      </c>
      <c r="BC9" s="45">
        <f t="shared" si="3"/>
        <v>5365.7871422247181</v>
      </c>
      <c r="BD9" s="45">
        <f t="shared" si="3"/>
        <v>5481.1259389211955</v>
      </c>
      <c r="BE9" s="45">
        <f t="shared" si="3"/>
        <v>5482.2552702682651</v>
      </c>
      <c r="BF9" s="45">
        <f t="shared" si="3"/>
        <v>5567.3421528843055</v>
      </c>
      <c r="BG9" s="45">
        <f t="shared" si="3"/>
        <v>5752.4606189778287</v>
      </c>
    </row>
    <row r="10" spans="1:61" x14ac:dyDescent="0.2">
      <c r="A10" s="40"/>
      <c r="B10" s="40" t="s">
        <v>76</v>
      </c>
      <c r="C10" s="45">
        <f>SUM('[1]Yellow Grease Complex'!B$106:B$114,'[1]Yellow Grease Complex'!C$103:C$105)</f>
        <v>0</v>
      </c>
      <c r="D10" s="45">
        <f>SUM('[1]Yellow Grease Complex'!C$106:C$114,'[1]Yellow Grease Complex'!D$103:D$105)</f>
        <v>0</v>
      </c>
      <c r="E10" s="45">
        <f>SUM('[1]Yellow Grease Complex'!D$106:D$114,'[1]Yellow Grease Complex'!E$103:E$105)</f>
        <v>0</v>
      </c>
      <c r="F10" s="45">
        <f>SUM('[1]Yellow Grease Complex'!E$106:E$114,'[1]Yellow Grease Complex'!F$103:F$105)</f>
        <v>0</v>
      </c>
      <c r="G10" s="45">
        <f>SUM('[1]Yellow Grease Complex'!F$106:F$114,'[1]Yellow Grease Complex'!G$103:G$105)</f>
        <v>0</v>
      </c>
      <c r="H10" s="45">
        <f>SUM('[1]Yellow Grease Complex'!G$106:G$114,'[1]Yellow Grease Complex'!H$103:H$105)</f>
        <v>0</v>
      </c>
      <c r="I10" s="45">
        <f>SUM('[1]Yellow Grease Complex'!H$106:H$114,'[1]Yellow Grease Complex'!I$103:I$105)</f>
        <v>0</v>
      </c>
      <c r="J10" s="45">
        <f>SUM('[1]Yellow Grease Complex'!I$106:I$114,'[1]Yellow Grease Complex'!J$103:J$105)</f>
        <v>0</v>
      </c>
      <c r="K10" s="45">
        <f>SUM('[1]Yellow Grease Complex'!J$106:J$114,'[1]Yellow Grease Complex'!K$103:K$105)</f>
        <v>0</v>
      </c>
      <c r="L10" s="45">
        <f>SUM('[1]Yellow Grease Complex'!K$106:K$114,'[1]Yellow Grease Complex'!L$103:L$105)</f>
        <v>0</v>
      </c>
      <c r="M10" s="45">
        <f>SUM('[1]Yellow Grease Complex'!L$106:L$114,'[1]Yellow Grease Complex'!M$103:M$105)</f>
        <v>0</v>
      </c>
      <c r="N10" s="45">
        <f>SUM('[1]Yellow Grease Complex'!M$106:M$114,'[1]Yellow Grease Complex'!N$103:N$105)</f>
        <v>0</v>
      </c>
      <c r="O10" s="45">
        <f>SUM('[1]Yellow Grease Complex'!N$106:N$114,'[1]Yellow Grease Complex'!O$103:O$105)</f>
        <v>0</v>
      </c>
      <c r="P10" s="45">
        <f>SUM('[1]Yellow Grease Complex'!O$106:O$114,'[1]Yellow Grease Complex'!P$103:P$105)</f>
        <v>24.41576369758188</v>
      </c>
      <c r="Q10" s="45">
        <f>SUM('[1]Yellow Grease Complex'!P$106:P$114,'[1]Yellow Grease Complex'!Q$103:Q$105)</f>
        <v>58.05</v>
      </c>
      <c r="R10" s="45">
        <f>SUM('[1]Yellow Grease Complex'!Q$106:Q$114,'[1]Yellow Grease Complex'!R$103:R$105)</f>
        <v>132.29950000000002</v>
      </c>
      <c r="S10" s="45">
        <f>SUM('[1]Yellow Grease Complex'!R$106:R$114,'[1]Yellow Grease Complex'!S$103:S$105)</f>
        <v>122</v>
      </c>
      <c r="T10" s="45">
        <f>SUM('[1]Yellow Grease Complex'!S$106:S$114,'[1]Yellow Grease Complex'!T$103:T$105)</f>
        <v>235.5</v>
      </c>
      <c r="U10" s="45">
        <f>SUM('[1]Yellow Grease Complex'!T$106:T$114,'[1]Yellow Grease Complex'!U$103:U$105)</f>
        <v>336</v>
      </c>
      <c r="V10" s="45">
        <f>SUM('[1]Yellow Grease Complex'!U$106:U$114,'[1]Yellow Grease Complex'!V$103:V$105)</f>
        <v>524</v>
      </c>
      <c r="W10" s="45">
        <f>SUM('[1]Yellow Grease Complex'!V$106:V$114,'[1]Yellow Grease Complex'!W$103:W$105)</f>
        <v>536.96499999999992</v>
      </c>
      <c r="X10" s="45">
        <f>SUM('[1]Yellow Grease Complex'!W$106:W$114,'[1]Yellow Grease Complex'!X$103:X$105)</f>
        <v>489.70000000000005</v>
      </c>
      <c r="Y10" s="45">
        <f>SUM('[1]Yellow Grease Complex'!X$106:X$114,'[1]Yellow Grease Complex'!Y$103:Y$105)</f>
        <v>230.7645</v>
      </c>
      <c r="Z10" s="45">
        <f>SUM('[1]Yellow Grease Complex'!Y$106:Y$114,'[1]Yellow Grease Complex'!Z$103:Z$105)</f>
        <v>514.976</v>
      </c>
      <c r="AA10" s="45">
        <f>SUM('[1]Yellow Grease Complex'!Z$106:Z$114,'[1]Yellow Grease Complex'!AA$103:AA$105)</f>
        <v>583.92250000000001</v>
      </c>
      <c r="AB10" s="45">
        <f>SUM('[1]Yellow Grease Complex'!AA$106:AA$114,'[1]Yellow Grease Complex'!AB$103:AB$105)</f>
        <v>539.95299999999997</v>
      </c>
      <c r="AC10" s="45">
        <f>SUM('[1]Yellow Grease Complex'!AB$106:AB$114,'[1]Yellow Grease Complex'!AC$103:AC$105)</f>
        <v>456.63300000000004</v>
      </c>
      <c r="AD10" s="45">
        <f>SUM('[1]Yellow Grease Complex'!AC$106:AC$114,'[1]Yellow Grease Complex'!AD$103:AD$105)</f>
        <v>615.39745261591747</v>
      </c>
      <c r="AE10" s="45">
        <f>SUM('[1]Yellow Grease Complex'!AD$106:AD$114,'[1]Yellow Grease Complex'!AE$103:AE$105)</f>
        <v>673.71493929583096</v>
      </c>
      <c r="AF10" s="45">
        <f>SUM('[1]Yellow Grease Complex'!AE$106:AE$114,'[1]Yellow Grease Complex'!AF$103:AF$105)</f>
        <v>774.48666077672965</v>
      </c>
      <c r="AG10" s="45">
        <f>SUM('[1]Yellow Grease Complex'!AF$106:AF$114,'[1]Yellow Grease Complex'!AG$103:AG$105)</f>
        <v>902.99299465815443</v>
      </c>
      <c r="AH10" s="45">
        <f>SUM('[1]Yellow Grease Complex'!AG$106:AG$114,'[1]Yellow Grease Complex'!AH$103:AH$105)</f>
        <v>788.00730953568291</v>
      </c>
      <c r="AI10" s="45">
        <f>SUM('[1]Yellow Grease Complex'!AH$106:AH$114,'[1]Yellow Grease Complex'!AI$103:AI$105)</f>
        <v>676.24681338217363</v>
      </c>
      <c r="AJ10" s="45">
        <f>SUM('[1]Yellow Grease Complex'!AI$106:AI$114,'[1]Yellow Grease Complex'!AJ$103:AJ$105)</f>
        <v>708.90229741641087</v>
      </c>
      <c r="AK10" s="45">
        <f>SUM('[1]Yellow Grease Complex'!AJ$106:AJ$114,'[1]Yellow Grease Complex'!AK$103:AK$105)</f>
        <v>481.48629424194115</v>
      </c>
      <c r="AL10" s="45">
        <f>SUM('[1]Yellow Grease Complex'!AK$106:AK$114,'[1]Yellow Grease Complex'!AL$103:AL$105)</f>
        <v>337.38467438511782</v>
      </c>
      <c r="AM10" s="45">
        <f>SUM('[1]Yellow Grease Complex'!AL$106:AL$114,'[1]Yellow Grease Complex'!AM$103:AM$105)</f>
        <v>324.89390756061226</v>
      </c>
      <c r="AN10" s="45">
        <f>SUM('[1]Yellow Grease Complex'!AM$106:AM$114,'[1]Yellow Grease Complex'!AN$103:AN$105)</f>
        <v>319.41867274074434</v>
      </c>
      <c r="AO10" s="45">
        <f>SUM('[1]Yellow Grease Complex'!AN$106:AN$114,'[1]Yellow Grease Complex'!AO$103:AO$105)</f>
        <v>339.00595246419164</v>
      </c>
      <c r="AP10" s="45">
        <f>SUM('[1]Yellow Grease Complex'!AO$106:AO$114,'[1]Yellow Grease Complex'!AP$103:AP$105)</f>
        <v>317.19382356323376</v>
      </c>
      <c r="AQ10" s="45">
        <f>SUM('[1]Yellow Grease Complex'!AP$106:AP$114,'[1]Yellow Grease Complex'!AQ$103:AQ$105)</f>
        <v>309.11854345885286</v>
      </c>
      <c r="AR10" s="45">
        <f>SUM('[1]Yellow Grease Complex'!AQ$106:AQ$114,'[1]Yellow Grease Complex'!AR$103:AR$105)</f>
        <v>234.65928928628509</v>
      </c>
      <c r="AS10" s="45">
        <f>SUM('[1]Yellow Grease Complex'!AR$106:AR$114,'[1]Yellow Grease Complex'!AS$103:AS$105)</f>
        <v>83.430993420849717</v>
      </c>
      <c r="AT10" s="45">
        <f>SUM('[1]Yellow Grease Complex'!AS$106:AS$114,'[1]Yellow Grease Complex'!AT$103:AT$105)</f>
        <v>58.181292556017112</v>
      </c>
      <c r="AU10" s="45">
        <f>SUM('[1]Yellow Grease Complex'!AT$106:AT$114,'[1]Yellow Grease Complex'!AU$103:AU$105)</f>
        <v>47.169507756028196</v>
      </c>
      <c r="AV10" s="45">
        <f>SUM('[1]Yellow Grease Complex'!AU$106:AU$114,'[1]Yellow Grease Complex'!AV$103:AV$105)</f>
        <v>39.564637403474997</v>
      </c>
      <c r="AW10" s="45">
        <f>SUM('[1]Yellow Grease Complex'!AV$106:AV$114,'[1]Yellow Grease Complex'!AW$103:AW$105)</f>
        <v>33.663510042559878</v>
      </c>
      <c r="AX10" s="45">
        <f>SUM('[1]Yellow Grease Complex'!AW$106:AW$114,'[1]Yellow Grease Complex'!AX$103:AX$105)</f>
        <v>29.084430779486084</v>
      </c>
      <c r="AY10" s="45">
        <f>SUM('[1]Yellow Grease Complex'!AX$106:AX$114,'[1]Yellow Grease Complex'!AY$103:AY$105)</f>
        <v>25.531217026400626</v>
      </c>
      <c r="AZ10" s="45">
        <f>SUM('[1]Yellow Grease Complex'!AY$106:AY$114,'[1]Yellow Grease Complex'!AZ$103:AZ$105)</f>
        <v>22.774040910903416</v>
      </c>
      <c r="BA10" s="45">
        <f>SUM('[1]Yellow Grease Complex'!AZ$106:AZ$114,'[1]Yellow Grease Complex'!BA$103:BA$105)</f>
        <v>20.634563620727164</v>
      </c>
      <c r="BB10" s="45">
        <f>SUM('[1]Yellow Grease Complex'!BA$106:BA$114,'[1]Yellow Grease Complex'!BB$103:BB$105)</f>
        <v>18.974400147870995</v>
      </c>
      <c r="BC10" s="45">
        <f>SUM('[1]Yellow Grease Complex'!BB$106:BB$114,'[1]Yellow Grease Complex'!BC$103:BC$105)</f>
        <v>17.686168312337561</v>
      </c>
      <c r="BD10" s="45">
        <f>SUM('[1]Yellow Grease Complex'!BC$106:BC$114,'[1]Yellow Grease Complex'!BD$103:BD$105)</f>
        <v>16.686543101196907</v>
      </c>
      <c r="BE10" s="45">
        <f>SUM('[1]Yellow Grease Complex'!BD$106:BD$114,'[1]Yellow Grease Complex'!BE$103:BE$105)</f>
        <v>15.910867065885906</v>
      </c>
      <c r="BF10" s="45">
        <f>SUM('[1]Yellow Grease Complex'!BE$106:BE$114,'[1]Yellow Grease Complex'!BF$103:BF$105)</f>
        <v>15.308968169129152</v>
      </c>
      <c r="BG10" s="45">
        <f>SUM('[1]Yellow Grease Complex'!BF$106:BF$114,'[1]Yellow Grease Complex'!BG$103:BG$105)</f>
        <v>14.841914572750163</v>
      </c>
    </row>
    <row r="11" spans="1:61" x14ac:dyDescent="0.2">
      <c r="A11" s="40"/>
      <c r="B11" s="40" t="s">
        <v>155</v>
      </c>
      <c r="C11" s="45">
        <f>SUM('[1]Yellow Grease Complex'!B$122:B$130,'[1]Yellow Grease Complex'!C$119:C$121)</f>
        <v>0</v>
      </c>
      <c r="D11" s="45">
        <f>SUM('[1]Yellow Grease Complex'!C$122:C$130,'[1]Yellow Grease Complex'!D$119:D$121)</f>
        <v>0</v>
      </c>
      <c r="E11" s="45">
        <f>SUM('[1]Yellow Grease Complex'!D$122:D$130,'[1]Yellow Grease Complex'!E$119:E$121)+SUM('[1]Yellow Grease Complex'!D$249:D$257,'[1]Yellow Grease Complex'!E$246:E$248)</f>
        <v>0</v>
      </c>
      <c r="F11" s="45">
        <f>SUM('[1]Yellow Grease Complex'!E$122:E$130,'[1]Yellow Grease Complex'!F$119:F$121)+SUM('[1]Yellow Grease Complex'!E$249:E$257,'[1]Yellow Grease Complex'!F$246:F$248)</f>
        <v>0</v>
      </c>
      <c r="G11" s="45">
        <f>SUM('[1]Yellow Grease Complex'!F$122:F$130,'[1]Yellow Grease Complex'!G$119:G$121)+SUM('[1]Yellow Grease Complex'!F$249:F$257,'[1]Yellow Grease Complex'!G$246:G$248)</f>
        <v>0</v>
      </c>
      <c r="H11" s="45">
        <f>SUM('[1]Yellow Grease Complex'!G$122:G$130,'[1]Yellow Grease Complex'!H$119:H$121)+SUM('[1]Yellow Grease Complex'!G$249:G$257,'[1]Yellow Grease Complex'!H$246:H$248)</f>
        <v>0</v>
      </c>
      <c r="I11" s="45">
        <f>SUM('[1]Yellow Grease Complex'!H$122:H$130,'[1]Yellow Grease Complex'!I$119:I$121)+SUM('[1]Yellow Grease Complex'!H$249:H$257,'[1]Yellow Grease Complex'!I$246:I$248)</f>
        <v>0</v>
      </c>
      <c r="J11" s="45">
        <f>SUM('[1]Yellow Grease Complex'!I$122:I$130,'[1]Yellow Grease Complex'!J$119:J$121)+SUM('[1]Yellow Grease Complex'!I$249:I$257,'[1]Yellow Grease Complex'!J$246:J$248)</f>
        <v>0</v>
      </c>
      <c r="K11" s="45">
        <f>SUM('[1]Yellow Grease Complex'!J$122:J$130,'[1]Yellow Grease Complex'!K$119:K$121)+SUM('[1]Yellow Grease Complex'!J$249:J$257,'[1]Yellow Grease Complex'!K$246:K$248)</f>
        <v>0</v>
      </c>
      <c r="L11" s="45">
        <f>SUM('[1]Yellow Grease Complex'!K$122:K$130,'[1]Yellow Grease Complex'!L$119:L$121)+SUM('[1]Yellow Grease Complex'!K$249:K$257,'[1]Yellow Grease Complex'!L$246:L$248)</f>
        <v>0</v>
      </c>
      <c r="M11" s="45">
        <f>SUM('[1]Yellow Grease Complex'!L$122:L$130,'[1]Yellow Grease Complex'!M$119:M$121)+SUM('[1]Yellow Grease Complex'!L$249:L$257,'[1]Yellow Grease Complex'!M$246:M$248)</f>
        <v>0</v>
      </c>
      <c r="N11" s="45">
        <f>SUM('[1]Yellow Grease Complex'!M$122:M$130,'[1]Yellow Grease Complex'!N$119:N$121)+SUM('[1]Yellow Grease Complex'!M$249:M$257,'[1]Yellow Grease Complex'!N$246:N$248)</f>
        <v>-18.772799999999997</v>
      </c>
      <c r="O11" s="45">
        <f>SUM('[1]Yellow Grease Complex'!N$122:N$130,'[1]Yellow Grease Complex'!O$119:O$121)+SUM('[1]Yellow Grease Complex'!N$249:N$257,'[1]Yellow Grease Complex'!O$246:O$248)</f>
        <v>-8.5437999999999992</v>
      </c>
      <c r="P11" s="45">
        <f>SUM('[1]Yellow Grease Complex'!O$122:O$130,'[1]Yellow Grease Complex'!P$119:P$121)+SUM('[1]Yellow Grease Complex'!O$249:O$257,'[1]Yellow Grease Complex'!P$246:P$248)</f>
        <v>-19.217499999999998</v>
      </c>
      <c r="Q11" s="45">
        <f>SUM('[1]Yellow Grease Complex'!P$122:P$130,'[1]Yellow Grease Complex'!Q$119:Q$121)+SUM('[1]Yellow Grease Complex'!P$249:P$257,'[1]Yellow Grease Complex'!Q$246:Q$248)</f>
        <v>-13.688800000000004</v>
      </c>
      <c r="R11" s="45">
        <f>SUM('[1]Yellow Grease Complex'!Q$122:Q$130,'[1]Yellow Grease Complex'!R$119:R$121)+SUM('[1]Yellow Grease Complex'!Q$249:Q$257,'[1]Yellow Grease Complex'!R$246:R$248)</f>
        <v>-54.794200000000004</v>
      </c>
      <c r="S11" s="45">
        <f>SUM('[1]Yellow Grease Complex'!R$122:R$130,'[1]Yellow Grease Complex'!S$119:S$121)+SUM('[1]Yellow Grease Complex'!R$249:R$257,'[1]Yellow Grease Complex'!S$246:S$248)</f>
        <v>-36.240400000000001</v>
      </c>
      <c r="T11" s="45">
        <f>SUM('[1]Yellow Grease Complex'!S$122:S$130,'[1]Yellow Grease Complex'!T$119:T$121)+SUM('[1]Yellow Grease Complex'!S$249:S$257,'[1]Yellow Grease Complex'!T$246:T$248)</f>
        <v>9.4767549848081565</v>
      </c>
      <c r="U11" s="45">
        <f>SUM('[1]Yellow Grease Complex'!T$122:T$130,'[1]Yellow Grease Complex'!U$119:U$121)+SUM('[1]Yellow Grease Complex'!T$249:T$257,'[1]Yellow Grease Complex'!U$246:U$248)</f>
        <v>43.301029310442672</v>
      </c>
      <c r="V11" s="45">
        <f>SUM('[1]Yellow Grease Complex'!U$122:U$130,'[1]Yellow Grease Complex'!V$119:V$121)+SUM('[1]Yellow Grease Complex'!U$249:U$257,'[1]Yellow Grease Complex'!V$246:V$248)</f>
        <v>95.198280167683492</v>
      </c>
      <c r="W11" s="45">
        <f>SUM('[1]Yellow Grease Complex'!V$122:V$130,'[1]Yellow Grease Complex'!W$119:W$121)+SUM('[1]Yellow Grease Complex'!V$249:V$257,'[1]Yellow Grease Complex'!W$246:W$248)</f>
        <v>203.54977011866077</v>
      </c>
      <c r="X11" s="45">
        <f>SUM('[1]Yellow Grease Complex'!W$122:W$130,'[1]Yellow Grease Complex'!X$119:X$121)+SUM('[1]Yellow Grease Complex'!W$249:W$257,'[1]Yellow Grease Complex'!X$246:X$248)</f>
        <v>153.55258561077662</v>
      </c>
      <c r="Y11" s="45">
        <f>SUM('[1]Yellow Grease Complex'!X$122:X$130,'[1]Yellow Grease Complex'!Y$119:Y$121)+SUM('[1]Yellow Grease Complex'!X$249:X$257,'[1]Yellow Grease Complex'!Y$246:Y$248)</f>
        <v>149.03186151639963</v>
      </c>
      <c r="Z11" s="45">
        <f>SUM('[1]Yellow Grease Complex'!Y$122:Y$130,'[1]Yellow Grease Complex'!Z$119:Z$121)+SUM('[1]Yellow Grease Complex'!Y$249:Y$257,'[1]Yellow Grease Complex'!Z$246:Z$248)</f>
        <v>159.1321964402444</v>
      </c>
      <c r="AA11" s="45">
        <f>SUM('[1]Yellow Grease Complex'!Z$122:Z$130,'[1]Yellow Grease Complex'!AA$119:AA$121)+SUM('[1]Yellow Grease Complex'!Z$249:Z$257,'[1]Yellow Grease Complex'!AA$246:AA$248)</f>
        <v>210.5327423409976</v>
      </c>
      <c r="AB11" s="45">
        <f>SUM('[1]Yellow Grease Complex'!AA$122:AA$130,'[1]Yellow Grease Complex'!AB$119:AB$121,'[1]Yellow Grease Complex'!AA$138:AA$146,'[1]Yellow Grease Complex'!AB$135:AB$137,'[1]Yellow Grease Complex'!AA$154:AA$162,'[1]Yellow Grease Complex'!AB$151:AB$153)</f>
        <v>226.98395167839985</v>
      </c>
      <c r="AC11" s="45">
        <f>SUM('[1]Yellow Grease Complex'!AB$122:AB$130,'[1]Yellow Grease Complex'!AC$119:AC$121,'[1]Yellow Grease Complex'!AB$138:AB$146,'[1]Yellow Grease Complex'!AC$135:AC$137,'[1]Yellow Grease Complex'!AB$154:AB$162,'[1]Yellow Grease Complex'!AC$151:AC$153)</f>
        <v>251.88225752563224</v>
      </c>
      <c r="AD11" s="45">
        <f>SUM('[1]Yellow Grease Complex'!AC$122:AC$130,'[1]Yellow Grease Complex'!AD$119:AD$121,'[1]Yellow Grease Complex'!AC$138:AC$146,'[1]Yellow Grease Complex'!AD$135:AD$137,'[1]Yellow Grease Complex'!AC$154:AC$162,'[1]Yellow Grease Complex'!AD$151:AD$153)</f>
        <v>402.36604738408249</v>
      </c>
      <c r="AE11" s="45">
        <f>SUM('[1]Yellow Grease Complex'!AD$122:AD$130,'[1]Yellow Grease Complex'!AE$119:AE$121,'[1]Yellow Grease Complex'!AD$138:AD$146,'[1]Yellow Grease Complex'!AE$135:AE$137,'[1]Yellow Grease Complex'!AD$154:AD$162,'[1]Yellow Grease Complex'!AE$151:AE$153)</f>
        <v>829.10416070416886</v>
      </c>
      <c r="AF11" s="45">
        <f>SUM('[1]Yellow Grease Complex'!AE$122:AE$130,'[1]Yellow Grease Complex'!AF$119:AF$121,'[1]Yellow Grease Complex'!AE$138:AE$146,'[1]Yellow Grease Complex'!AF$135:AF$137,'[1]Yellow Grease Complex'!AE$154:AE$162,'[1]Yellow Grease Complex'!AF$151:AF$153)</f>
        <v>1280.6703666855001</v>
      </c>
      <c r="AG11" s="45">
        <f>SUM('[1]Yellow Grease Complex'!AF$122:AF$130,'[1]Yellow Grease Complex'!AG$119:AG$121,'[1]Yellow Grease Complex'!AF$138:AF$146,'[1]Yellow Grease Complex'!AG$135:AG$137,'[1]Yellow Grease Complex'!AF$154:AF$162,'[1]Yellow Grease Complex'!AG$151:AG$153)</f>
        <v>1313.8334347091056</v>
      </c>
      <c r="AH11" s="45">
        <f>SUM('[1]Yellow Grease Complex'!AG$122:AG$130,'[1]Yellow Grease Complex'!AH$119:AH$121,'[1]Yellow Grease Complex'!AG$138:AG$146,'[1]Yellow Grease Complex'!AH$135:AH$137,'[1]Yellow Grease Complex'!AG$154:AG$162,'[1]Yellow Grease Complex'!AH$151:AH$153)</f>
        <v>1322.562012642325</v>
      </c>
      <c r="AI11" s="45">
        <f>SUM('[1]Yellow Grease Complex'!AH$122:AH$130,'[1]Yellow Grease Complex'!AI$119:AI$121,'[1]Yellow Grease Complex'!AH$138:AH$146,'[1]Yellow Grease Complex'!AI$135:AI$137,'[1]Yellow Grease Complex'!AH$154:AH$162,'[1]Yellow Grease Complex'!AI$151:AI$153)</f>
        <v>1752.3059182636596</v>
      </c>
      <c r="AJ11" s="45">
        <f>SUM('[1]Yellow Grease Complex'!AI$122:AI$130,'[1]Yellow Grease Complex'!AJ$119:AJ$121,'[1]Yellow Grease Complex'!AI$138:AI$146,'[1]Yellow Grease Complex'!AJ$135:AJ$137,'[1]Yellow Grease Complex'!AI$154:AI$162,'[1]Yellow Grease Complex'!AJ$151:AJ$153)</f>
        <v>2243.629897471224</v>
      </c>
      <c r="AK11" s="45">
        <f>SUM('[1]Yellow Grease Complex'!AJ$122:AJ$130,'[1]Yellow Grease Complex'!AK$119:AK$121,'[1]Yellow Grease Complex'!AJ$138:AJ$146,'[1]Yellow Grease Complex'!AK$135:AK$137,'[1]Yellow Grease Complex'!AJ$154:AJ$162,'[1]Yellow Grease Complex'!AK$151:AK$153)</f>
        <v>2447.7409693404384</v>
      </c>
      <c r="AL11" s="45">
        <f>SUM('[1]Yellow Grease Complex'!AK$122:AK$130,'[1]Yellow Grease Complex'!AL$119:AL$121,'[1]Yellow Grease Complex'!AK$138:AK$146,'[1]Yellow Grease Complex'!AL$135:AL$137,'[1]Yellow Grease Complex'!AK$154:AK$162,'[1]Yellow Grease Complex'!AL$151:AL$153)</f>
        <v>2528.1865636366138</v>
      </c>
      <c r="AM11" s="45">
        <f>SUM('[1]Yellow Grease Complex'!AL$122:AL$130,'[1]Yellow Grease Complex'!AM$119:AM$121,'[1]Yellow Grease Complex'!AL$138:AL$146,'[1]Yellow Grease Complex'!AM$135:AM$137,'[1]Yellow Grease Complex'!AL$154:AL$162,'[1]Yellow Grease Complex'!AM$151:AM$153)</f>
        <v>3004.67449407103</v>
      </c>
      <c r="AN11" s="45">
        <f>SUM('[1]Yellow Grease Complex'!AM$122:AM$130,'[1]Yellow Grease Complex'!AN$119:AN$121,'[1]Yellow Grease Complex'!AM$138:AM$146,'[1]Yellow Grease Complex'!AN$135:AN$137,'[1]Yellow Grease Complex'!AM$154:AM$162,'[1]Yellow Grease Complex'!AN$151:AN$153)</f>
        <v>3323.6529914850371</v>
      </c>
      <c r="AO11" s="45">
        <f>SUM('[1]Yellow Grease Complex'!AN$122:AN$130,'[1]Yellow Grease Complex'!AO$119:AO$121,'[1]Yellow Grease Complex'!AN$138:AN$146,'[1]Yellow Grease Complex'!AO$135:AO$137,'[1]Yellow Grease Complex'!AN$154:AN$162,'[1]Yellow Grease Complex'!AO$151:AO$153)</f>
        <v>4053.0088909332917</v>
      </c>
      <c r="AP11" s="45">
        <f>SUM('[1]Yellow Grease Complex'!AO$122:AO$130,'[1]Yellow Grease Complex'!AP$119:AP$121,'[1]Yellow Grease Complex'!AO$138:AO$146,'[1]Yellow Grease Complex'!AP$135:AP$137,'[1]Yellow Grease Complex'!AO$154:AO$162,'[1]Yellow Grease Complex'!AP$151:AP$153)</f>
        <v>4161.2835576777343</v>
      </c>
      <c r="AQ11" s="45">
        <f>SUM('[1]Yellow Grease Complex'!AP$122:AP$130,'[1]Yellow Grease Complex'!AQ$119:AQ$121,'[1]Yellow Grease Complex'!AP$138:AP$146,'[1]Yellow Grease Complex'!AQ$135:AQ$137,'[1]Yellow Grease Complex'!AP$154:AP$162,'[1]Yellow Grease Complex'!AQ$151:AQ$153)</f>
        <v>4270.14157934577</v>
      </c>
      <c r="AR11" s="45">
        <f>SUM('[1]Yellow Grease Complex'!AQ$122:AQ$130,'[1]Yellow Grease Complex'!AR$119:AR$121,'[1]Yellow Grease Complex'!AQ$138:AQ$146,'[1]Yellow Grease Complex'!AR$135:AR$137,'[1]Yellow Grease Complex'!AQ$154:AQ$162,'[1]Yellow Grease Complex'!AR$151:AR$153)</f>
        <v>4504.8849493200287</v>
      </c>
      <c r="AS11" s="45">
        <f>SUM('[1]Yellow Grease Complex'!AR$122:AR$130,'[1]Yellow Grease Complex'!AS$119:AS$121,'[1]Yellow Grease Complex'!AR$138:AR$146,'[1]Yellow Grease Complex'!AS$135:AS$137,'[1]Yellow Grease Complex'!AR$154:AR$162,'[1]Yellow Grease Complex'!AS$151:AS$153)</f>
        <v>4458.5334765671805</v>
      </c>
      <c r="AT11" s="45">
        <f>SUM('[1]Yellow Grease Complex'!AS$122:AS$130,'[1]Yellow Grease Complex'!AT$119:AT$121,'[1]Yellow Grease Complex'!AS$138:AS$146,'[1]Yellow Grease Complex'!AT$135:AT$137,'[1]Yellow Grease Complex'!AS$154:AS$162,'[1]Yellow Grease Complex'!AT$151:AT$153)</f>
        <v>4691.3827935230292</v>
      </c>
      <c r="AU11" s="45">
        <f>SUM('[1]Yellow Grease Complex'!AT$122:AT$130,'[1]Yellow Grease Complex'!AU$119:AU$121,'[1]Yellow Grease Complex'!AT$138:AT$146,'[1]Yellow Grease Complex'!AU$135:AU$137,'[1]Yellow Grease Complex'!AT$154:AT$162,'[1]Yellow Grease Complex'!AU$151:AU$153)</f>
        <v>4804.2523156409143</v>
      </c>
      <c r="AV11" s="45">
        <f>SUM('[1]Yellow Grease Complex'!AU$122:AU$130,'[1]Yellow Grease Complex'!AV$119:AV$121,'[1]Yellow Grease Complex'!AU$138:AU$146,'[1]Yellow Grease Complex'!AV$135:AV$137,'[1]Yellow Grease Complex'!AU$154:AU$162,'[1]Yellow Grease Complex'!AV$151:AV$153)</f>
        <v>4989.6266913029849</v>
      </c>
      <c r="AW11" s="45">
        <f>SUM('[1]Yellow Grease Complex'!AV$122:AV$130,'[1]Yellow Grease Complex'!AW$119:AW$121,'[1]Yellow Grease Complex'!AV$138:AV$146,'[1]Yellow Grease Complex'!AW$135:AW$137,'[1]Yellow Grease Complex'!AV$154:AV$162,'[1]Yellow Grease Complex'!AW$151:AW$153)</f>
        <v>4850.4443225368304</v>
      </c>
      <c r="AX11" s="45">
        <f>SUM('[1]Yellow Grease Complex'!AW$122:AW$130,'[1]Yellow Grease Complex'!AX$119:AX$121,'[1]Yellow Grease Complex'!AW$138:AW$146,'[1]Yellow Grease Complex'!AX$135:AX$137,'[1]Yellow Grease Complex'!AW$154:AW$162,'[1]Yellow Grease Complex'!AX$151:AX$153)</f>
        <v>4908.7824083077849</v>
      </c>
      <c r="AY11" s="45">
        <f>SUM('[1]Yellow Grease Complex'!AX$122:AX$130,'[1]Yellow Grease Complex'!AY$119:AY$121,'[1]Yellow Grease Complex'!AX$138:AX$146,'[1]Yellow Grease Complex'!AY$135:AY$137,'[1]Yellow Grease Complex'!AX$154:AX$162,'[1]Yellow Grease Complex'!AY$151:AY$153)</f>
        <v>4970.6472618724902</v>
      </c>
      <c r="AZ11" s="45">
        <f>SUM('[1]Yellow Grease Complex'!AY$122:AY$130,'[1]Yellow Grease Complex'!AZ$119:AZ$121,'[1]Yellow Grease Complex'!AY$138:AY$146,'[1]Yellow Grease Complex'!AZ$135:AZ$137,'[1]Yellow Grease Complex'!AY$154:AY$162,'[1]Yellow Grease Complex'!AZ$151:AZ$153)</f>
        <v>5180.5652987895055</v>
      </c>
      <c r="BA11" s="45">
        <f>SUM('[1]Yellow Grease Complex'!AZ$122:AZ$130,'[1]Yellow Grease Complex'!BA$119:BA$121,'[1]Yellow Grease Complex'!AZ$138:AZ$146,'[1]Yellow Grease Complex'!BA$135:BA$137,'[1]Yellow Grease Complex'!AZ$154:AZ$162,'[1]Yellow Grease Complex'!BA$151:BA$153)</f>
        <v>5325.0562032618545</v>
      </c>
      <c r="BB11" s="45">
        <f>SUM('[1]Yellow Grease Complex'!BA$122:BA$130,'[1]Yellow Grease Complex'!BB$119:BB$121,'[1]Yellow Grease Complex'!BA$138:BA$146,'[1]Yellow Grease Complex'!BB$135:BB$137,'[1]Yellow Grease Complex'!BA$154:BA$162,'[1]Yellow Grease Complex'!BB$151:BB$153)</f>
        <v>5247.2792110356158</v>
      </c>
      <c r="BC11" s="45">
        <f>SUM('[1]Yellow Grease Complex'!BB$122:BB$130,'[1]Yellow Grease Complex'!BC$119:BC$121,'[1]Yellow Grease Complex'!BB$138:BB$146,'[1]Yellow Grease Complex'!BC$135:BC$137,'[1]Yellow Grease Complex'!BB$154:BB$162,'[1]Yellow Grease Complex'!BC$151:BC$153)</f>
        <v>5348.1009739123801</v>
      </c>
      <c r="BD11" s="45">
        <f>SUM('[1]Yellow Grease Complex'!BC$122:BC$130,'[1]Yellow Grease Complex'!BD$119:BD$121,'[1]Yellow Grease Complex'!BC$138:BC$146,'[1]Yellow Grease Complex'!BD$135:BD$137,'[1]Yellow Grease Complex'!BC$154:BC$162,'[1]Yellow Grease Complex'!BD$151:BD$153)</f>
        <v>5464.4393958199989</v>
      </c>
      <c r="BE11" s="45">
        <f>SUM('[1]Yellow Grease Complex'!BD$122:BD$130,'[1]Yellow Grease Complex'!BE$119:BE$121,'[1]Yellow Grease Complex'!BD$138:BD$146,'[1]Yellow Grease Complex'!BE$135:BE$137,'[1]Yellow Grease Complex'!BD$154:BD$162,'[1]Yellow Grease Complex'!BE$151:BE$153)</f>
        <v>5466.344403202379</v>
      </c>
      <c r="BF11" s="45">
        <f>SUM('[1]Yellow Grease Complex'!BE$122:BE$130,'[1]Yellow Grease Complex'!BF$119:BF$121,'[1]Yellow Grease Complex'!BE$138:BE$146,'[1]Yellow Grease Complex'!BF$135:BF$137,'[1]Yellow Grease Complex'!BE$154:BE$162,'[1]Yellow Grease Complex'!BF$151:BF$153)</f>
        <v>5552.0331847151765</v>
      </c>
      <c r="BG11" s="45">
        <f>SUM('[1]Yellow Grease Complex'!BF$122:BF$130,'[1]Yellow Grease Complex'!BG$119:BG$121,'[1]Yellow Grease Complex'!BF$138:BF$146,'[1]Yellow Grease Complex'!BG$135:BG$137,'[1]Yellow Grease Complex'!BF$154:BF$162,'[1]Yellow Grease Complex'!BG$151:BG$153)</f>
        <v>5737.6187044050785</v>
      </c>
    </row>
    <row r="12" spans="1:61" x14ac:dyDescent="0.2">
      <c r="A12" s="40"/>
      <c r="B12" s="40" t="s">
        <v>78</v>
      </c>
      <c r="C12" s="45">
        <f>SUM('[1]Yellow Grease Complex'!B$154:B$162,'[1]Yellow Grease Complex'!C$151:C$153)</f>
        <v>0</v>
      </c>
      <c r="D12" s="45">
        <f>SUM('[1]Yellow Grease Complex'!C$154:C$162,'[1]Yellow Grease Complex'!D$151:D$153)</f>
        <v>0</v>
      </c>
      <c r="E12" s="45">
        <f>SUM('[1]Yellow Grease Complex'!D$154:D$162,'[1]Yellow Grease Complex'!E$151:E$153)</f>
        <v>0</v>
      </c>
      <c r="F12" s="45">
        <f>SUM('[1]Yellow Grease Complex'!E$154:E$162,'[1]Yellow Grease Complex'!F$151:F$153)</f>
        <v>0</v>
      </c>
      <c r="G12" s="45">
        <f>SUM('[1]Yellow Grease Complex'!F$154:F$162,'[1]Yellow Grease Complex'!G$151:G$153)</f>
        <v>0</v>
      </c>
      <c r="H12" s="45">
        <f>SUM('[1]Yellow Grease Complex'!G$154:G$162,'[1]Yellow Grease Complex'!H$151:H$153)</f>
        <v>0</v>
      </c>
      <c r="I12" s="45">
        <f>SUM('[1]Yellow Grease Complex'!H$154:H$162,'[1]Yellow Grease Complex'!I$151:I$153)</f>
        <v>0</v>
      </c>
      <c r="J12" s="45">
        <f>SUM('[1]Yellow Grease Complex'!I$154:I$162,'[1]Yellow Grease Complex'!J$151:J$153)</f>
        <v>0</v>
      </c>
      <c r="K12" s="45">
        <f>SUM('[1]Yellow Grease Complex'!J$154:J$162,'[1]Yellow Grease Complex'!K$151:K$153)</f>
        <v>0</v>
      </c>
      <c r="L12" s="45">
        <f>SUM('[1]Yellow Grease Complex'!K$154:K$162,'[1]Yellow Grease Complex'!L$151:L$153)</f>
        <v>0</v>
      </c>
      <c r="M12" s="45">
        <f>SUM('[1]Yellow Grease Complex'!L$154:L$162,'[1]Yellow Grease Complex'!M$151:M$153)</f>
        <v>0</v>
      </c>
      <c r="N12" s="45">
        <f>SUM('[1]Yellow Grease Complex'!M$154:M$162,'[1]Yellow Grease Complex'!N$151:N$153)</f>
        <v>0</v>
      </c>
      <c r="O12" s="45">
        <f>SUM('[1]Yellow Grease Complex'!N$154:N$162,'[1]Yellow Grease Complex'!O$151:O$153)</f>
        <v>0</v>
      </c>
      <c r="P12" s="45">
        <f>SUM('[1]Yellow Grease Complex'!O$154:O$162,'[1]Yellow Grease Complex'!P$151:P$153)</f>
        <v>0</v>
      </c>
      <c r="Q12" s="45">
        <f>SUM('[1]Yellow Grease Complex'!P$154:P$162,'[1]Yellow Grease Complex'!Q$151:Q$153)</f>
        <v>0</v>
      </c>
      <c r="R12" s="45">
        <f>SUM('[1]Yellow Grease Complex'!Q$154:Q$162,'[1]Yellow Grease Complex'!R$151:R$153)</f>
        <v>0</v>
      </c>
      <c r="S12" s="45">
        <f>SUM('[1]Yellow Grease Complex'!R$154:R$162,'[1]Yellow Grease Complex'!S$151:S$153)</f>
        <v>0</v>
      </c>
      <c r="T12" s="45">
        <f>SUM('[1]Yellow Grease Complex'!S$154:S$162,'[1]Yellow Grease Complex'!T$151:T$153)</f>
        <v>0</v>
      </c>
      <c r="U12" s="45">
        <f>SUM('[1]Yellow Grease Complex'!T$154:T$162,'[1]Yellow Grease Complex'!U$151:U$153)</f>
        <v>0</v>
      </c>
      <c r="V12" s="45">
        <f>SUM('[1]Yellow Grease Complex'!U$154:U$162,'[1]Yellow Grease Complex'!V$151:V$153)</f>
        <v>0</v>
      </c>
      <c r="W12" s="45">
        <f>SUM('[1]Yellow Grease Complex'!V$154:V$162,'[1]Yellow Grease Complex'!W$151:W$153)</f>
        <v>0</v>
      </c>
      <c r="X12" s="45">
        <f>SUM('[1]Yellow Grease Complex'!W$154:W$162,'[1]Yellow Grease Complex'!X$151:X$153)</f>
        <v>0</v>
      </c>
      <c r="Y12" s="45">
        <f>SUM('[1]Yellow Grease Complex'!X$154:X$162,'[1]Yellow Grease Complex'!Y$151:Y$153)</f>
        <v>0</v>
      </c>
      <c r="Z12" s="45">
        <f>SUM('[1]Yellow Grease Complex'!Y$154:Y$162,'[1]Yellow Grease Complex'!Z$151:Z$153)</f>
        <v>0.26145569348105813</v>
      </c>
      <c r="AA12" s="45">
        <f>SUM('[1]Yellow Grease Complex'!Z$154:Z$162,'[1]Yellow Grease Complex'!AA$151:AA$153)</f>
        <v>1.1828277205888975</v>
      </c>
      <c r="AB12" s="45">
        <f>AB8-AB9</f>
        <v>895.32945932160067</v>
      </c>
      <c r="AC12" s="45">
        <f t="shared" ref="AC12:BG12" si="4">AC8-AC9</f>
        <v>851.99845547436757</v>
      </c>
      <c r="AD12" s="45">
        <f t="shared" si="4"/>
        <v>634.03156800000011</v>
      </c>
      <c r="AE12" s="45">
        <f t="shared" si="4"/>
        <v>206.7204820000004</v>
      </c>
      <c r="AF12" s="45">
        <f t="shared" si="4"/>
        <v>-30.737688462230153</v>
      </c>
      <c r="AG12" s="45">
        <f t="shared" si="4"/>
        <v>211.53655863274071</v>
      </c>
      <c r="AH12" s="45">
        <f t="shared" si="4"/>
        <v>336.37843149604942</v>
      </c>
      <c r="AI12" s="45">
        <f t="shared" si="4"/>
        <v>151.06708435513747</v>
      </c>
      <c r="AJ12" s="45">
        <f t="shared" si="4"/>
        <v>-47.826707142775831</v>
      </c>
      <c r="AK12" s="45">
        <f t="shared" si="4"/>
        <v>65.174845683913645</v>
      </c>
      <c r="AL12" s="45">
        <f t="shared" si="4"/>
        <v>-0.8262696696765488</v>
      </c>
      <c r="AM12" s="45">
        <f t="shared" si="4"/>
        <v>2.4521497410892152</v>
      </c>
      <c r="AN12" s="45">
        <f t="shared" si="4"/>
        <v>84.836672613113024</v>
      </c>
      <c r="AO12" s="45">
        <f t="shared" si="4"/>
        <v>-119.55993152670726</v>
      </c>
      <c r="AP12" s="45">
        <f t="shared" si="4"/>
        <v>29.446086161804487</v>
      </c>
      <c r="AQ12" s="45">
        <f t="shared" si="4"/>
        <v>35.934419491493827</v>
      </c>
      <c r="AR12" s="45">
        <f t="shared" si="4"/>
        <v>-72.489162901426425</v>
      </c>
      <c r="AS12" s="45">
        <f t="shared" si="4"/>
        <v>180.69538678072968</v>
      </c>
      <c r="AT12" s="45">
        <f t="shared" si="4"/>
        <v>32.564692453178395</v>
      </c>
      <c r="AU12" s="45">
        <f t="shared" si="4"/>
        <v>-21.415712720685406</v>
      </c>
      <c r="AV12" s="45">
        <f t="shared" si="4"/>
        <v>-172.33296769343906</v>
      </c>
      <c r="AW12" s="45">
        <f t="shared" si="4"/>
        <v>81.66558284326311</v>
      </c>
      <c r="AX12" s="45">
        <f t="shared" si="4"/>
        <v>97.843646298656495</v>
      </c>
      <c r="AY12" s="45">
        <f t="shared" si="4"/>
        <v>114.0279430299488</v>
      </c>
      <c r="AZ12" s="45">
        <f t="shared" si="4"/>
        <v>-17.101807196755544</v>
      </c>
      <c r="BA12" s="45">
        <f t="shared" si="4"/>
        <v>-90.541365117508576</v>
      </c>
      <c r="BB12" s="45">
        <f t="shared" si="4"/>
        <v>67.35999855209684</v>
      </c>
      <c r="BC12" s="45">
        <f t="shared" si="4"/>
        <v>41.909469975482352</v>
      </c>
      <c r="BD12" s="45">
        <f t="shared" si="4"/>
        <v>0.52512599415331351</v>
      </c>
      <c r="BE12" s="45">
        <f t="shared" si="4"/>
        <v>78.023664406229727</v>
      </c>
      <c r="BF12" s="45">
        <f t="shared" si="4"/>
        <v>67.665467009339409</v>
      </c>
      <c r="BG12" s="45">
        <f t="shared" si="4"/>
        <v>-38.31923704955534</v>
      </c>
      <c r="BI12" s="41" t="s">
        <v>182</v>
      </c>
    </row>
    <row r="13" spans="1:61" x14ac:dyDescent="0.2">
      <c r="A13" s="40"/>
      <c r="B13" s="40" t="s">
        <v>79</v>
      </c>
      <c r="C13" s="45">
        <f>SUM('[1]Yellow Grease Complex'!B$58:B$66,'[1]Yellow Grease Complex'!C$55:C$57)</f>
        <v>66.207886000000002</v>
      </c>
      <c r="D13" s="45">
        <f>SUM('[1]Yellow Grease Complex'!C$58:C$66,'[1]Yellow Grease Complex'!D$55:D$57)</f>
        <v>112.69208499999999</v>
      </c>
      <c r="E13" s="45">
        <f>SUM('[1]Yellow Grease Complex'!D$58:D$66,'[1]Yellow Grease Complex'!E$55:E$57)</f>
        <v>112.98522939999999</v>
      </c>
      <c r="F13" s="45">
        <f>SUM('[1]Yellow Grease Complex'!E$58:E$66,'[1]Yellow Grease Complex'!F$55:F$57)</f>
        <v>109.5532814</v>
      </c>
      <c r="G13" s="45">
        <f>SUM('[1]Yellow Grease Complex'!F$58:F$66,'[1]Yellow Grease Complex'!G$55:G$57)</f>
        <v>196.8698852</v>
      </c>
      <c r="H13" s="45">
        <f>SUM('[1]Yellow Grease Complex'!G$58:G$66,'[1]Yellow Grease Complex'!H$55:H$57)</f>
        <v>211.4846622</v>
      </c>
      <c r="I13" s="45">
        <f>SUM('[1]Yellow Grease Complex'!H$58:H$66,'[1]Yellow Grease Complex'!I$55:I$57)</f>
        <v>194.48207900000003</v>
      </c>
      <c r="J13" s="45">
        <f>SUM('[1]Yellow Grease Complex'!I$58:I$66,'[1]Yellow Grease Complex'!J$55:J$57)</f>
        <v>189.16510419999997</v>
      </c>
      <c r="K13" s="45">
        <f>SUM('[1]Yellow Grease Complex'!J$58:J$66,'[1]Yellow Grease Complex'!K$55:K$57)</f>
        <v>280.3585046</v>
      </c>
      <c r="L13" s="45">
        <f>SUM('[1]Yellow Grease Complex'!K$58:K$66,'[1]Yellow Grease Complex'!L$55:L$57)</f>
        <v>222.05891660000003</v>
      </c>
      <c r="M13" s="45">
        <f>SUM('[1]Yellow Grease Complex'!L$58:L$66,'[1]Yellow Grease Complex'!M$55:M$57)</f>
        <v>349.23291919999997</v>
      </c>
      <c r="N13" s="45">
        <f>SUM('[1]Yellow Grease Complex'!M$58:M$66,'[1]Yellow Grease Complex'!N$55:N$57)</f>
        <v>298.91505940000002</v>
      </c>
      <c r="O13" s="45">
        <f>SUM('[1]Yellow Grease Complex'!N$58:N$66,'[1]Yellow Grease Complex'!O$55:O$57)</f>
        <v>316.66451480000001</v>
      </c>
      <c r="P13" s="45">
        <f>SUM('[1]Yellow Grease Complex'!O$58:O$66,'[1]Yellow Grease Complex'!P$55:P$57)</f>
        <v>296.36762880000003</v>
      </c>
      <c r="Q13" s="45">
        <f>SUM('[1]Yellow Grease Complex'!P$58:P$66,'[1]Yellow Grease Complex'!Q$55:Q$57)</f>
        <v>353.4907546</v>
      </c>
      <c r="R13" s="45">
        <f>SUM('[1]Yellow Grease Complex'!Q$58:Q$66,'[1]Yellow Grease Complex'!R$55:R$57)</f>
        <v>468.85308319999996</v>
      </c>
      <c r="S13" s="45">
        <f>SUM('[1]Yellow Grease Complex'!R$58:R$66,'[1]Yellow Grease Complex'!S$55:S$57)</f>
        <v>455.70525439999994</v>
      </c>
      <c r="T13" s="45">
        <f>SUM('[1]Yellow Grease Complex'!S$58:S$66,'[1]Yellow Grease Complex'!T$55:T$57)</f>
        <v>384.66909320000002</v>
      </c>
      <c r="U13" s="45">
        <f>SUM('[1]Yellow Grease Complex'!T$58:T$66,'[1]Yellow Grease Complex'!U$55:U$57)</f>
        <v>167.427414</v>
      </c>
      <c r="V13" s="45">
        <f>SUM('[1]Yellow Grease Complex'!U$58:U$66,'[1]Yellow Grease Complex'!V$55:V$57)</f>
        <v>108.69184700000001</v>
      </c>
      <c r="W13" s="45">
        <f>SUM('[1]Yellow Grease Complex'!V$58:V$66,'[1]Yellow Grease Complex'!W$55:W$57)</f>
        <v>111.59907600000003</v>
      </c>
      <c r="X13" s="45">
        <f>SUM('[1]Yellow Grease Complex'!W$58:W$66,'[1]Yellow Grease Complex'!X$55:X$57)</f>
        <v>64.728045000000009</v>
      </c>
      <c r="Y13" s="45">
        <f>SUM('[1]Yellow Grease Complex'!X$58:X$66,'[1]Yellow Grease Complex'!Y$55:Y$57)</f>
        <v>23.748664000000005</v>
      </c>
      <c r="Z13" s="45">
        <f>SUM('[1]Yellow Grease Complex'!Y$58:Y$66,'[1]Yellow Grease Complex'!Z$55:Z$57)</f>
        <v>12.146482000000001</v>
      </c>
      <c r="AA13" s="45">
        <f>SUM('[1]Yellow Grease Complex'!Z$58:Z$66,'[1]Yellow Grease Complex'!AA$55:AA$57)</f>
        <v>14.25778699999999</v>
      </c>
      <c r="AB13" s="45">
        <f>SUM('[1]Yellow Grease Complex'!AA$58:AA$66,'[1]Yellow Grease Complex'!AB$55:AB$57)</f>
        <v>4.4447400000000199</v>
      </c>
      <c r="AC13" s="45">
        <f>SUM('[1]Yellow Grease Complex'!AB$58:AB$66,'[1]Yellow Grease Complex'!AC$55:AC$57)</f>
        <v>4.7700370000000403</v>
      </c>
      <c r="AD13" s="45">
        <f>SUM('[1]Yellow Grease Complex'!AC$58:AC$66,'[1]Yellow Grease Complex'!AD$55:AD$57)</f>
        <v>1.0812320000000009</v>
      </c>
      <c r="AE13" s="45">
        <f>SUM('[1]Yellow Grease Complex'!AD$58:AD$66,'[1]Yellow Grease Complex'!AE$55:AE$57)</f>
        <v>3.1167999999999998E-2</v>
      </c>
      <c r="AF13" s="45">
        <f>SUM('[1]Yellow Grease Complex'!AE$58:AE$66,'[1]Yellow Grease Complex'!AF$55:AF$57)</f>
        <v>3.6099999999999999E-4</v>
      </c>
      <c r="AG13" s="45">
        <f>SUM('[1]Yellow Grease Complex'!AF$58:AF$66,'[1]Yellow Grease Complex'!AG$55:AG$57)</f>
        <v>1.2E-5</v>
      </c>
      <c r="AH13" s="45">
        <f>SUM('[1]Yellow Grease Complex'!AG$58:AG$66,'[1]Yellow Grease Complex'!AH$55:AH$57)</f>
        <v>0</v>
      </c>
      <c r="AI13" s="45">
        <f>SUM('[1]Yellow Grease Complex'!AH$58:AH$66,'[1]Yellow Grease Complex'!AI$55:AI$57)</f>
        <v>0</v>
      </c>
      <c r="AJ13" s="45">
        <f>SUM('[1]Yellow Grease Complex'!AI$58:AI$66,'[1]Yellow Grease Complex'!AJ$55:AJ$57)</f>
        <v>0</v>
      </c>
      <c r="AK13" s="45">
        <f>SUM('[1]Yellow Grease Complex'!AJ$58:AJ$66,'[1]Yellow Grease Complex'!AK$55:AK$57)</f>
        <v>0</v>
      </c>
      <c r="AL13" s="45">
        <f>SUM('[1]Yellow Grease Complex'!AK$58:AK$66,'[1]Yellow Grease Complex'!AL$55:AL$57)</f>
        <v>0</v>
      </c>
      <c r="AM13" s="45">
        <f>SUM('[1]Yellow Grease Complex'!AL$58:AL$66,'[1]Yellow Grease Complex'!AM$55:AM$57)</f>
        <v>0</v>
      </c>
      <c r="AN13" s="45">
        <f>SUM('[1]Yellow Grease Complex'!AM$58:AM$66,'[1]Yellow Grease Complex'!AN$55:AN$57)</f>
        <v>0</v>
      </c>
      <c r="AO13" s="45">
        <f>SUM('[1]Yellow Grease Complex'!AN$58:AN$66,'[1]Yellow Grease Complex'!AO$55:AO$57)</f>
        <v>0</v>
      </c>
      <c r="AP13" s="45">
        <f>SUM('[1]Yellow Grease Complex'!AO$58:AO$66,'[1]Yellow Grease Complex'!AP$55:AP$57)</f>
        <v>0</v>
      </c>
      <c r="AQ13" s="45">
        <f>SUM('[1]Yellow Grease Complex'!AP$58:AP$66,'[1]Yellow Grease Complex'!AQ$55:AQ$57)</f>
        <v>0</v>
      </c>
      <c r="AR13" s="45">
        <f>SUM('[1]Yellow Grease Complex'!AQ$58:AQ$66,'[1]Yellow Grease Complex'!AR$55:AR$57)</f>
        <v>0</v>
      </c>
      <c r="AS13" s="45">
        <f>SUM('[1]Yellow Grease Complex'!AR$58:AR$66,'[1]Yellow Grease Complex'!AS$55:AS$57)</f>
        <v>0</v>
      </c>
      <c r="AT13" s="45">
        <f>SUM('[1]Yellow Grease Complex'!AS$58:AS$66,'[1]Yellow Grease Complex'!AT$55:AT$57)</f>
        <v>0</v>
      </c>
      <c r="AU13" s="45">
        <f>SUM('[1]Yellow Grease Complex'!AT$58:AT$66,'[1]Yellow Grease Complex'!AU$55:AU$57)</f>
        <v>0</v>
      </c>
      <c r="AV13" s="45">
        <f>SUM('[1]Yellow Grease Complex'!AU$58:AU$66,'[1]Yellow Grease Complex'!AV$55:AV$57)</f>
        <v>0</v>
      </c>
      <c r="AW13" s="45">
        <f>SUM('[1]Yellow Grease Complex'!AV$58:AV$66,'[1]Yellow Grease Complex'!AW$55:AW$57)</f>
        <v>0</v>
      </c>
      <c r="AX13" s="45">
        <f>SUM('[1]Yellow Grease Complex'!AW$58:AW$66,'[1]Yellow Grease Complex'!AX$55:AX$57)</f>
        <v>0</v>
      </c>
      <c r="AY13" s="45">
        <f>SUM('[1]Yellow Grease Complex'!AX$58:AX$66,'[1]Yellow Grease Complex'!AY$55:AY$57)</f>
        <v>0</v>
      </c>
      <c r="AZ13" s="45">
        <f>SUM('[1]Yellow Grease Complex'!AY$58:AY$66,'[1]Yellow Grease Complex'!AZ$55:AZ$57)</f>
        <v>0</v>
      </c>
      <c r="BA13" s="45">
        <f>SUM('[1]Yellow Grease Complex'!AZ$58:AZ$66,'[1]Yellow Grease Complex'!BA$55:BA$57)</f>
        <v>0</v>
      </c>
      <c r="BB13" s="45">
        <f>SUM('[1]Yellow Grease Complex'!BA$58:BA$66,'[1]Yellow Grease Complex'!BB$55:BB$57)</f>
        <v>0</v>
      </c>
      <c r="BC13" s="45">
        <f>SUM('[1]Yellow Grease Complex'!BB$58:BB$66,'[1]Yellow Grease Complex'!BC$55:BC$57)</f>
        <v>0</v>
      </c>
      <c r="BD13" s="45">
        <f>SUM('[1]Yellow Grease Complex'!BC$58:BC$66,'[1]Yellow Grease Complex'!BD$55:BD$57)</f>
        <v>0</v>
      </c>
      <c r="BE13" s="45">
        <f>SUM('[1]Yellow Grease Complex'!BD$58:BD$66,'[1]Yellow Grease Complex'!BE$55:BE$57)</f>
        <v>0</v>
      </c>
      <c r="BF13" s="45">
        <f>SUM('[1]Yellow Grease Complex'!BE$58:BE$66,'[1]Yellow Grease Complex'!BF$55:BF$57)</f>
        <v>0</v>
      </c>
      <c r="BG13" s="45">
        <f>SUM('[1]Yellow Grease Complex'!BF$58:BF$66,'[1]Yellow Grease Complex'!BG$55:BG$57)</f>
        <v>0</v>
      </c>
    </row>
    <row r="14" spans="1:61" x14ac:dyDescent="0.2">
      <c r="A14" s="40"/>
      <c r="B14" s="61" t="s">
        <v>80</v>
      </c>
      <c r="C14" s="62" t="e">
        <f t="shared" ref="C14:AA14" si="5">C13+C8</f>
        <v>#REF!</v>
      </c>
      <c r="D14" s="62" t="e">
        <f t="shared" si="5"/>
        <v>#REF!</v>
      </c>
      <c r="E14" s="62" t="e">
        <f t="shared" si="5"/>
        <v>#REF!</v>
      </c>
      <c r="F14" s="62" t="e">
        <f t="shared" si="5"/>
        <v>#REF!</v>
      </c>
      <c r="G14" s="62" t="e">
        <f t="shared" si="5"/>
        <v>#REF!</v>
      </c>
      <c r="H14" s="62" t="e">
        <f t="shared" si="5"/>
        <v>#REF!</v>
      </c>
      <c r="I14" s="62" t="e">
        <f t="shared" si="5"/>
        <v>#REF!</v>
      </c>
      <c r="J14" s="62" t="e">
        <f t="shared" si="5"/>
        <v>#REF!</v>
      </c>
      <c r="K14" s="62" t="e">
        <f t="shared" si="5"/>
        <v>#REF!</v>
      </c>
      <c r="L14" s="62" t="e">
        <f t="shared" si="5"/>
        <v>#REF!</v>
      </c>
      <c r="M14" s="62" t="e">
        <f t="shared" si="5"/>
        <v>#REF!</v>
      </c>
      <c r="N14" s="62" t="e">
        <f t="shared" si="5"/>
        <v>#REF!</v>
      </c>
      <c r="O14" s="62" t="e">
        <f t="shared" si="5"/>
        <v>#REF!</v>
      </c>
      <c r="P14" s="62" t="e">
        <f t="shared" si="5"/>
        <v>#REF!</v>
      </c>
      <c r="Q14" s="62" t="e">
        <f t="shared" si="5"/>
        <v>#REF!</v>
      </c>
      <c r="R14" s="62" t="e">
        <f t="shared" si="5"/>
        <v>#REF!</v>
      </c>
      <c r="S14" s="62" t="e">
        <f t="shared" si="5"/>
        <v>#REF!</v>
      </c>
      <c r="T14" s="62" t="e">
        <f t="shared" si="5"/>
        <v>#REF!</v>
      </c>
      <c r="U14" s="62" t="e">
        <f t="shared" si="5"/>
        <v>#REF!</v>
      </c>
      <c r="V14" s="62" t="e">
        <f t="shared" si="5"/>
        <v>#REF!</v>
      </c>
      <c r="W14" s="62" t="e">
        <f t="shared" si="5"/>
        <v>#REF!</v>
      </c>
      <c r="X14" s="62" t="e">
        <f t="shared" si="5"/>
        <v>#REF!</v>
      </c>
      <c r="Y14" s="62" t="e">
        <f t="shared" si="5"/>
        <v>#REF!</v>
      </c>
      <c r="Z14" s="62" t="e">
        <f t="shared" si="5"/>
        <v>#REF!</v>
      </c>
      <c r="AA14" s="62" t="e">
        <f t="shared" si="5"/>
        <v>#REF!</v>
      </c>
      <c r="AB14" s="62">
        <f>AB7-AB15</f>
        <v>1666.7111510000004</v>
      </c>
      <c r="AC14" s="62">
        <f t="shared" ref="AC14:BG14" si="6">AC7-AC15</f>
        <v>1565.2837499999998</v>
      </c>
      <c r="AD14" s="62">
        <f t="shared" si="6"/>
        <v>1652.8763000000001</v>
      </c>
      <c r="AE14" s="62">
        <f t="shared" si="6"/>
        <v>1709.5707500000001</v>
      </c>
      <c r="AF14" s="62">
        <f t="shared" si="6"/>
        <v>2024.4196999999999</v>
      </c>
      <c r="AG14" s="62">
        <f t="shared" si="6"/>
        <v>2428.3630000000007</v>
      </c>
      <c r="AH14" s="62">
        <f t="shared" si="6"/>
        <v>2446.9477536740574</v>
      </c>
      <c r="AI14" s="62">
        <f t="shared" si="6"/>
        <v>2579.6198160009708</v>
      </c>
      <c r="AJ14" s="62">
        <f t="shared" si="6"/>
        <v>2904.7054877448591</v>
      </c>
      <c r="AK14" s="62">
        <f t="shared" si="6"/>
        <v>2994.4021092662933</v>
      </c>
      <c r="AL14" s="62">
        <f t="shared" si="6"/>
        <v>2864.7449683520549</v>
      </c>
      <c r="AM14" s="62">
        <f t="shared" si="6"/>
        <v>3332.0205513727315</v>
      </c>
      <c r="AN14" s="62">
        <f t="shared" si="6"/>
        <v>3727.9083368388942</v>
      </c>
      <c r="AO14" s="62">
        <f t="shared" si="6"/>
        <v>4272.4549118707764</v>
      </c>
      <c r="AP14" s="62">
        <f t="shared" si="6"/>
        <v>4507.9234674027721</v>
      </c>
      <c r="AQ14" s="62">
        <f t="shared" si="6"/>
        <v>4615.1945422961162</v>
      </c>
      <c r="AR14" s="62">
        <f t="shared" si="6"/>
        <v>4667.0550757048877</v>
      </c>
      <c r="AS14" s="62">
        <f t="shared" si="6"/>
        <v>4722.6598567687597</v>
      </c>
      <c r="AT14" s="62">
        <f t="shared" si="6"/>
        <v>4782.1287785322247</v>
      </c>
      <c r="AU14" s="62">
        <f t="shared" si="6"/>
        <v>4830.0061106762569</v>
      </c>
      <c r="AV14" s="62">
        <f t="shared" si="6"/>
        <v>4856.8583610130208</v>
      </c>
      <c r="AW14" s="62">
        <f t="shared" si="6"/>
        <v>4965.7734154226537</v>
      </c>
      <c r="AX14" s="62">
        <f t="shared" si="6"/>
        <v>5035.7104853859273</v>
      </c>
      <c r="AY14" s="62">
        <f t="shared" si="6"/>
        <v>5110.2064219288395</v>
      </c>
      <c r="AZ14" s="62">
        <f t="shared" si="6"/>
        <v>5186.2375325036537</v>
      </c>
      <c r="BA14" s="62">
        <f t="shared" si="6"/>
        <v>5255.149401765073</v>
      </c>
      <c r="BB14" s="62">
        <f t="shared" si="6"/>
        <v>5333.6136097355839</v>
      </c>
      <c r="BC14" s="62">
        <f t="shared" si="6"/>
        <v>5407.6966122002004</v>
      </c>
      <c r="BD14" s="62">
        <f t="shared" si="6"/>
        <v>5481.6510649153488</v>
      </c>
      <c r="BE14" s="62">
        <f t="shared" si="6"/>
        <v>5560.2789346744948</v>
      </c>
      <c r="BF14" s="62">
        <f t="shared" si="6"/>
        <v>5635.0076198936449</v>
      </c>
      <c r="BG14" s="62">
        <f t="shared" si="6"/>
        <v>5714.1413819282734</v>
      </c>
    </row>
    <row r="15" spans="1:61" ht="12" thickBot="1" x14ac:dyDescent="0.25">
      <c r="A15" s="40"/>
      <c r="B15" s="40" t="s">
        <v>81</v>
      </c>
      <c r="C15" s="45">
        <f>'[1]Yellow Grease Complex'!C$169</f>
        <v>104.02239198119223</v>
      </c>
      <c r="D15" s="45">
        <f>'[1]Yellow Grease Complex'!D$169</f>
        <v>84.869557839917633</v>
      </c>
      <c r="E15" s="45">
        <f>'[1]Yellow Grease Complex'!E$169</f>
        <v>82.701599340746085</v>
      </c>
      <c r="F15" s="45">
        <f>'[1]Yellow Grease Complex'!F$169</f>
        <v>95.382232490888455</v>
      </c>
      <c r="G15" s="45">
        <f>'[1]Yellow Grease Complex'!G$169</f>
        <v>99.102131963525238</v>
      </c>
      <c r="H15" s="45">
        <f>'[1]Yellow Grease Complex'!H$169</f>
        <v>89.267075026034973</v>
      </c>
      <c r="I15" s="45">
        <f>'[1]Yellow Grease Complex'!I$169</f>
        <v>71.197399136576919</v>
      </c>
      <c r="J15" s="45">
        <f>'[1]Yellow Grease Complex'!J$169</f>
        <v>82.486256682034281</v>
      </c>
      <c r="K15" s="45">
        <f>'[1]Yellow Grease Complex'!K$169</f>
        <v>61.786998894083453</v>
      </c>
      <c r="L15" s="45">
        <f>'[1]Yellow Grease Complex'!L$169</f>
        <v>62.365952199999988</v>
      </c>
      <c r="M15" s="45">
        <f>'[1]Yellow Grease Complex'!M$169</f>
        <v>74.212704000000002</v>
      </c>
      <c r="N15" s="45">
        <f>'[1]Yellow Grease Complex'!N$169</f>
        <v>68.352831171199995</v>
      </c>
      <c r="O15" s="45">
        <f>'[1]Yellow Grease Complex'!O$169</f>
        <v>74.105648118600001</v>
      </c>
      <c r="P15" s="45">
        <f>'[1]Yellow Grease Complex'!P$169</f>
        <v>62.688645799999996</v>
      </c>
      <c r="Q15" s="45">
        <f>'[1]Yellow Grease Complex'!Q$169</f>
        <v>108.08640440760001</v>
      </c>
      <c r="R15" s="45">
        <f>'[1]Yellow Grease Complex'!R$169</f>
        <v>34.79694039999999</v>
      </c>
      <c r="S15" s="45">
        <f>'[1]Yellow Grease Complex'!S$169</f>
        <v>20.483886500000004</v>
      </c>
      <c r="T15" s="45">
        <f>'[1]Yellow Grease Complex'!T$169</f>
        <v>47.542315290778681</v>
      </c>
      <c r="U15" s="45">
        <f>'[1]Yellow Grease Complex'!U$169</f>
        <v>78.797356417204327</v>
      </c>
      <c r="V15" s="45">
        <f>'[1]Yellow Grease Complex'!V$169</f>
        <v>47.866547642397805</v>
      </c>
      <c r="W15" s="45">
        <f>'[1]Yellow Grease Complex'!W$169</f>
        <v>48.083573577697464</v>
      </c>
      <c r="X15" s="45">
        <f>'[1]Yellow Grease Complex'!X$169</f>
        <v>98.060416623635049</v>
      </c>
      <c r="Y15" s="45">
        <f>'[1]Yellow Grease Complex'!Y$169</f>
        <v>69.915189524505621</v>
      </c>
      <c r="Z15" s="45">
        <f>'[1]Yellow Grease Complex'!Z$169</f>
        <v>78.714340522118704</v>
      </c>
      <c r="AA15" s="45">
        <f>'[1]Yellow Grease Complex'!AA$169</f>
        <v>50.661788995814902</v>
      </c>
      <c r="AB15" s="45">
        <f>'[1]Yellow Grease Complex'!$AB$185</f>
        <v>9.0620000000000012</v>
      </c>
      <c r="AC15" s="45">
        <f>'[1]Yellow Grease Complex'!$AB$185</f>
        <v>9.0620000000000012</v>
      </c>
      <c r="AD15" s="45">
        <f>'[1]Yellow Grease Complex'!$AB$185</f>
        <v>9.0620000000000012</v>
      </c>
      <c r="AE15" s="45">
        <f>'[1]Yellow Grease Complex'!$AB$185</f>
        <v>9.0620000000000012</v>
      </c>
      <c r="AF15" s="45">
        <f>'[1]Yellow Grease Complex'!$AB$185</f>
        <v>9.0620000000000012</v>
      </c>
      <c r="AG15" s="45">
        <f>'[1]Yellow Grease Complex'!$AB$185</f>
        <v>9.0620000000000012</v>
      </c>
      <c r="AH15" s="45">
        <f>'[1]Yellow Grease Complex'!$AB$185</f>
        <v>9.0620000000000012</v>
      </c>
      <c r="AI15" s="45">
        <f>'[1]Yellow Grease Complex'!$AB$185</f>
        <v>9.0620000000000012</v>
      </c>
      <c r="AJ15" s="45">
        <f>'[1]Yellow Grease Complex'!$AB$185</f>
        <v>9.0620000000000012</v>
      </c>
      <c r="AK15" s="45">
        <f>'[1]Yellow Grease Complex'!$AB$185</f>
        <v>9.0620000000000012</v>
      </c>
      <c r="AL15" s="45">
        <f>'[1]Yellow Grease Complex'!$AB$185</f>
        <v>9.0620000000000012</v>
      </c>
      <c r="AM15" s="45">
        <f>'[1]Yellow Grease Complex'!$AB$185</f>
        <v>9.0620000000000012</v>
      </c>
      <c r="AN15" s="45">
        <f>'[1]Yellow Grease Complex'!$AB$185</f>
        <v>9.0620000000000012</v>
      </c>
      <c r="AO15" s="45">
        <f>'[1]Yellow Grease Complex'!$AB$185</f>
        <v>9.0620000000000012</v>
      </c>
      <c r="AP15" s="45">
        <f>'[1]Yellow Grease Complex'!$AB$185</f>
        <v>9.0620000000000012</v>
      </c>
      <c r="AQ15" s="45">
        <f>'[1]Yellow Grease Complex'!$AB$185</f>
        <v>9.0620000000000012</v>
      </c>
      <c r="AR15" s="45">
        <f>'[1]Yellow Grease Complex'!$AB$185</f>
        <v>9.0620000000000012</v>
      </c>
      <c r="AS15" s="45">
        <f>'[1]Yellow Grease Complex'!$AB$185</f>
        <v>9.0620000000000012</v>
      </c>
      <c r="AT15" s="45">
        <f>'[1]Yellow Grease Complex'!$AB$185</f>
        <v>9.0620000000000012</v>
      </c>
      <c r="AU15" s="45">
        <f>'[1]Yellow Grease Complex'!$AB$185</f>
        <v>9.0620000000000012</v>
      </c>
      <c r="AV15" s="45">
        <f>'[1]Yellow Grease Complex'!$AB$185</f>
        <v>9.0620000000000012</v>
      </c>
      <c r="AW15" s="45">
        <f>'[1]Yellow Grease Complex'!$AB$185</f>
        <v>9.0620000000000012</v>
      </c>
      <c r="AX15" s="45">
        <f>'[1]Yellow Grease Complex'!$AB$185</f>
        <v>9.0620000000000012</v>
      </c>
      <c r="AY15" s="45">
        <f>'[1]Yellow Grease Complex'!$AB$185</f>
        <v>9.0620000000000012</v>
      </c>
      <c r="AZ15" s="45">
        <f>'[1]Yellow Grease Complex'!$AB$185</f>
        <v>9.0620000000000012</v>
      </c>
      <c r="BA15" s="45">
        <f>'[1]Yellow Grease Complex'!$AB$185</f>
        <v>9.0620000000000012</v>
      </c>
      <c r="BB15" s="45">
        <f>'[1]Yellow Grease Complex'!$AB$185</f>
        <v>9.0620000000000012</v>
      </c>
      <c r="BC15" s="45">
        <f>'[1]Yellow Grease Complex'!$AB$185</f>
        <v>9.0620000000000012</v>
      </c>
      <c r="BD15" s="45">
        <f>'[1]Yellow Grease Complex'!$AB$185</f>
        <v>9.0620000000000012</v>
      </c>
      <c r="BE15" s="45">
        <f>'[1]Yellow Grease Complex'!$AB$185</f>
        <v>9.0620000000000012</v>
      </c>
      <c r="BF15" s="45">
        <f>'[1]Yellow Grease Complex'!$AB$185</f>
        <v>9.0620000000000012</v>
      </c>
      <c r="BG15" s="45">
        <f>'[1]Yellow Grease Complex'!$AB$185</f>
        <v>9.0620000000000012</v>
      </c>
    </row>
    <row r="16" spans="1:61" x14ac:dyDescent="0.2">
      <c r="A16" s="40"/>
      <c r="B16" s="49" t="s">
        <v>183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72">
        <f>MEDIAN('[1]Yellow Grease Complex'!M$185:M$193,'[1]Yellow Grease Complex'!N$182:N$184)</f>
        <v>5.4700000000000006</v>
      </c>
      <c r="O16" s="72">
        <f>MEDIAN('[1]Yellow Grease Complex'!N$185:N$193,'[1]Yellow Grease Complex'!O$182:O$184)</f>
        <v>7.71</v>
      </c>
      <c r="P16" s="72">
        <f>MEDIAN('[1]Yellow Grease Complex'!O$185:O$193,'[1]Yellow Grease Complex'!P$182:P$184)</f>
        <v>7.0200000000000005</v>
      </c>
      <c r="Q16" s="72">
        <f>MEDIAN('[1]Yellow Grease Complex'!P$185:P$193,'[1]Yellow Grease Complex'!Q$182:Q$184)</f>
        <v>9.8800000000000008</v>
      </c>
      <c r="R16" s="72">
        <f>MEDIAN('[1]Yellow Grease Complex'!Q$185:Q$193,'[1]Yellow Grease Complex'!R$182:R$184)</f>
        <v>9.89</v>
      </c>
      <c r="S16" s="72">
        <f>MEDIAN('[1]Yellow Grease Complex'!R$185:R$193,'[1]Yellow Grease Complex'!S$182:S$184)</f>
        <v>10.599400000000001</v>
      </c>
      <c r="T16" s="72">
        <f>MEDIAN('[1]Yellow Grease Complex'!S$185:S$193,'[1]Yellow Grease Complex'!T$182:T$184)</f>
        <v>8.9221216785763904</v>
      </c>
      <c r="U16" s="72">
        <f>MEDIAN('[1]Yellow Grease Complex'!T$185:T$193,'[1]Yellow Grease Complex'!U$182:U$184)</f>
        <v>9.0647826122998154</v>
      </c>
      <c r="V16" s="72">
        <f>MEDIAN('[1]Yellow Grease Complex'!U$185:U$193,'[1]Yellow Grease Complex'!V$182:V$184)</f>
        <v>8.4345338081143577</v>
      </c>
      <c r="W16" s="72">
        <f>MEDIAN('[1]Yellow Grease Complex'!V$185:V$193,'[1]Yellow Grease Complex'!W$182:W$184)</f>
        <v>8.4699103371084856</v>
      </c>
      <c r="X16" s="72">
        <f>MEDIAN('[1]Yellow Grease Complex'!W$185:W$193,'[1]Yellow Grease Complex'!X$182:X$184)</f>
        <v>9.2213246493069256</v>
      </c>
      <c r="Y16" s="72">
        <f>MEDIAN('[1]Yellow Grease Complex'!X$185:X$193,'[1]Yellow Grease Complex'!Y$182:Y$184)</f>
        <v>8.4021000000000008</v>
      </c>
      <c r="Z16" s="72">
        <f>MEDIAN('[1]Yellow Grease Complex'!Y$185:Y$193,'[1]Yellow Grease Complex'!Z$182:Z$184)</f>
        <v>8.5382999999999996</v>
      </c>
      <c r="AA16" s="72">
        <f>MEDIAN('[1]Yellow Grease Complex'!Z$185:Z$193,'[1]Yellow Grease Complex'!AA$182:AA$184)</f>
        <v>9.4139999999999997</v>
      </c>
      <c r="AB16" s="72">
        <f>MEDIAN('[1]Yellow Grease Complex'!AA$201:AA$209,'[1]Yellow Grease Complex'!AB$198:AB$200)</f>
        <v>21.278849999999998</v>
      </c>
      <c r="AC16" s="72">
        <f>MEDIAN('[1]Yellow Grease Complex'!AB$201:AB$209,'[1]Yellow Grease Complex'!AC$198:AC$200)</f>
        <v>22.160699999999999</v>
      </c>
      <c r="AD16" s="72">
        <f>MEDIAN('[1]Yellow Grease Complex'!AC$201:AC$209,'[1]Yellow Grease Complex'!AD$198:AD$200)</f>
        <v>42.762500000000003</v>
      </c>
      <c r="AE16" s="72">
        <f>MEDIAN('[1]Yellow Grease Complex'!AD$201:AD$209,'[1]Yellow Grease Complex'!AE$198:AE$200)</f>
        <v>60.5</v>
      </c>
      <c r="AF16" s="72">
        <f>MEDIAN('[1]Yellow Grease Complex'!AE$201:AE$209,'[1]Yellow Grease Complex'!AF$198:AF$200)</f>
        <v>47.079549999999998</v>
      </c>
      <c r="AG16" s="72">
        <f>MEDIAN('[1]Yellow Grease Complex'!AF$201:AF$209,'[1]Yellow Grease Complex'!AG$198:AG$200)</f>
        <v>35</v>
      </c>
      <c r="AH16" s="72">
        <f>MEDIAN('[1]Yellow Grease Complex'!AG$201:AG$209,'[1]Yellow Grease Complex'!AH$198:AH$200)</f>
        <v>38.25</v>
      </c>
      <c r="AI16" s="72">
        <f>MEDIAN('[1]Yellow Grease Complex'!AH$201:AH$209,'[1]Yellow Grease Complex'!AI$198:AI$200)</f>
        <v>33</v>
      </c>
      <c r="AJ16" s="72">
        <f>MEDIAN('[1]Yellow Grease Complex'!AI$201:AI$209,'[1]Yellow Grease Complex'!AJ$198:AJ$200)</f>
        <v>34.375</v>
      </c>
      <c r="AK16" s="72">
        <f>MEDIAN('[1]Yellow Grease Complex'!AJ$201:AJ$209,'[1]Yellow Grease Complex'!AK$198:AK$200)</f>
        <v>32</v>
      </c>
      <c r="AL16" s="72">
        <f>MEDIAN('[1]Yellow Grease Complex'!AK$201:AK$209,'[1]Yellow Grease Complex'!AL$198:AL$200)</f>
        <v>33.75</v>
      </c>
      <c r="AM16" s="72">
        <f>MEDIAN('[1]Yellow Grease Complex'!AL$201:AL$209,'[1]Yellow Grease Complex'!AM$198:AM$200)</f>
        <v>37.875</v>
      </c>
      <c r="AN16" s="72">
        <f>MEDIAN('[1]Yellow Grease Complex'!AM$201:AM$209,'[1]Yellow Grease Complex'!AN$198:AN$200)</f>
        <v>32.5</v>
      </c>
      <c r="AO16" s="72">
        <f>MEDIAN('[1]Yellow Grease Complex'!AN$201:AN$209,'[1]Yellow Grease Complex'!AO$198:AO$200)</f>
        <v>32.375</v>
      </c>
      <c r="AP16" s="72">
        <f>MEDIAN('[1]Yellow Grease Complex'!AO$201:AO$209,'[1]Yellow Grease Complex'!AP$198:AP$200)</f>
        <v>40.75</v>
      </c>
      <c r="AQ16" s="72">
        <f>MEDIAN('[1]Yellow Grease Complex'!AP$201:AP$209,'[1]Yellow Grease Complex'!AQ$198:AQ$200)</f>
        <v>43.625</v>
      </c>
      <c r="AR16" s="72">
        <f>MEDIAN('[1]Yellow Grease Complex'!AQ$201:AQ$209,'[1]Yellow Grease Complex'!AR$198:AR$200)</f>
        <v>42.5</v>
      </c>
      <c r="AS16" s="72">
        <f>MEDIAN('[1]Yellow Grease Complex'!AR$201:AR$209,'[1]Yellow Grease Complex'!AS$198:AS$200)</f>
        <v>34.625</v>
      </c>
      <c r="AT16" s="72">
        <f>MEDIAN('[1]Yellow Grease Complex'!AS$201:AS$209,'[1]Yellow Grease Complex'!AT$198:AT$200)</f>
        <v>24</v>
      </c>
      <c r="AU16" s="72" t="e">
        <f>MEDIAN('[1]Yellow Grease Complex'!AT$201:AT$209,'[1]Yellow Grease Complex'!AU$198:AU$200)</f>
        <v>#NUM!</v>
      </c>
      <c r="AV16" s="72" t="e">
        <f>MEDIAN('[1]Yellow Grease Complex'!AU$201:AU$209,'[1]Yellow Grease Complex'!AV$198:AV$200)</f>
        <v>#NUM!</v>
      </c>
      <c r="AW16" s="72" t="e">
        <f>MEDIAN('[1]Yellow Grease Complex'!AV$201:AV$209,'[1]Yellow Grease Complex'!AW$198:AW$200)</f>
        <v>#NUM!</v>
      </c>
      <c r="AX16" s="72" t="e">
        <f>MEDIAN('[1]Yellow Grease Complex'!AW$201:AW$209,'[1]Yellow Grease Complex'!AX$198:AX$200)</f>
        <v>#NUM!</v>
      </c>
      <c r="AY16" s="72" t="e">
        <f>MEDIAN('[1]Yellow Grease Complex'!AX$201:AX$209,'[1]Yellow Grease Complex'!AY$198:AY$200)</f>
        <v>#NUM!</v>
      </c>
      <c r="AZ16" s="72" t="e">
        <f>MEDIAN('[1]Yellow Grease Complex'!AY$201:AY$209,'[1]Yellow Grease Complex'!AZ$198:AZ$200)</f>
        <v>#NUM!</v>
      </c>
      <c r="BA16" s="72" t="e">
        <f>MEDIAN('[1]Yellow Grease Complex'!AZ$201:AZ$209,'[1]Yellow Grease Complex'!BA$198:BA$200)</f>
        <v>#NUM!</v>
      </c>
      <c r="BB16" s="72" t="e">
        <f>MEDIAN('[1]Yellow Grease Complex'!BA$201:BA$209,'[1]Yellow Grease Complex'!BB$198:BB$200)</f>
        <v>#NUM!</v>
      </c>
      <c r="BC16" s="72" t="e">
        <f>MEDIAN('[1]Yellow Grease Complex'!BB$201:BB$209,'[1]Yellow Grease Complex'!BC$198:BC$200)</f>
        <v>#NUM!</v>
      </c>
      <c r="BD16" s="72" t="e">
        <f>MEDIAN('[1]Yellow Grease Complex'!BC$201:BC$209,'[1]Yellow Grease Complex'!BD$198:BD$200)</f>
        <v>#NUM!</v>
      </c>
      <c r="BE16" s="72" t="e">
        <f>MEDIAN('[1]Yellow Grease Complex'!BD$201:BD$209,'[1]Yellow Grease Complex'!BE$198:BE$200)</f>
        <v>#NUM!</v>
      </c>
      <c r="BF16" s="72" t="e">
        <f>MEDIAN('[1]Yellow Grease Complex'!BE$201:BE$209,'[1]Yellow Grease Complex'!BF$198:BF$200)</f>
        <v>#NUM!</v>
      </c>
      <c r="BG16" s="72" t="e">
        <f>MEDIAN('[1]Yellow Grease Complex'!BF$201:BF$209,'[1]Yellow Grease Complex'!BG$198:BG$200)</f>
        <v>#NUM!</v>
      </c>
    </row>
    <row r="17" spans="1:59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</row>
    <row r="18" spans="1:59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</row>
    <row r="19" spans="1:59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</row>
    <row r="20" spans="1:59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</row>
    <row r="21" spans="1:59" x14ac:dyDescent="0.2">
      <c r="B21" s="41" t="s">
        <v>83</v>
      </c>
      <c r="C21" s="51">
        <f t="shared" ref="C21:BF21" si="7">C7</f>
        <v>1361.3656405250003</v>
      </c>
      <c r="D21" s="51">
        <f t="shared" si="7"/>
        <v>1364.4594112994951</v>
      </c>
      <c r="E21" s="51">
        <f t="shared" si="7"/>
        <v>1267.3585297034097</v>
      </c>
      <c r="F21" s="51">
        <f t="shared" si="7"/>
        <v>1237.9907468107172</v>
      </c>
      <c r="G21" s="51">
        <f t="shared" si="7"/>
        <v>1337.7835799089476</v>
      </c>
      <c r="H21" s="51">
        <f t="shared" si="7"/>
        <v>1448.6517279565501</v>
      </c>
      <c r="I21" s="51">
        <f t="shared" si="7"/>
        <v>1201.8130353235567</v>
      </c>
      <c r="J21" s="51">
        <f t="shared" si="7"/>
        <v>1113.6619636903374</v>
      </c>
      <c r="K21" s="51">
        <f t="shared" si="7"/>
        <v>1248.3724648867917</v>
      </c>
      <c r="L21" s="51">
        <f t="shared" si="7"/>
        <v>1031.6708858698437</v>
      </c>
      <c r="M21" s="51">
        <f t="shared" si="7"/>
        <v>1204.7121165712003</v>
      </c>
      <c r="N21" s="51">
        <f t="shared" si="7"/>
        <v>1177.8857647596001</v>
      </c>
      <c r="O21" s="51">
        <f t="shared" si="7"/>
        <v>1178.5987322282001</v>
      </c>
      <c r="P21" s="51">
        <f t="shared" si="7"/>
        <v>1231.7030046395998</v>
      </c>
      <c r="Q21" s="51">
        <f t="shared" si="7"/>
        <v>1334.4322973156002</v>
      </c>
      <c r="R21" s="51">
        <f t="shared" si="7"/>
        <v>1332.2364044076</v>
      </c>
      <c r="S21" s="51">
        <f t="shared" si="7"/>
        <v>1087.5608619</v>
      </c>
      <c r="T21" s="51">
        <f t="shared" si="7"/>
        <v>1145.5237154922695</v>
      </c>
      <c r="U21" s="51">
        <f t="shared" si="7"/>
        <v>1233.2597515882474</v>
      </c>
      <c r="V21" s="51">
        <f t="shared" si="7"/>
        <v>1336.8533872268551</v>
      </c>
      <c r="W21" s="51">
        <f t="shared" si="7"/>
        <v>1378.5362692945023</v>
      </c>
      <c r="X21" s="51">
        <f t="shared" si="7"/>
        <v>1458.9897615981711</v>
      </c>
      <c r="Y21" s="51">
        <f t="shared" si="7"/>
        <v>1613.2479166236349</v>
      </c>
      <c r="Z21" s="51">
        <f t="shared" si="7"/>
        <v>1579.5481895245057</v>
      </c>
      <c r="AA21" s="51">
        <f t="shared" si="7"/>
        <v>1719.3198405221183</v>
      </c>
      <c r="AB21" s="51">
        <f t="shared" si="7"/>
        <v>1675.7731510000003</v>
      </c>
      <c r="AC21" s="51">
        <f t="shared" si="7"/>
        <v>1574.3457499999997</v>
      </c>
      <c r="AD21" s="51">
        <f t="shared" si="7"/>
        <v>1661.9383</v>
      </c>
      <c r="AE21" s="51">
        <f t="shared" si="7"/>
        <v>1718.63275</v>
      </c>
      <c r="AF21" s="51">
        <f t="shared" si="7"/>
        <v>2033.4816999999998</v>
      </c>
      <c r="AG21" s="51">
        <f t="shared" si="7"/>
        <v>2437.4250000000006</v>
      </c>
      <c r="AH21" s="51">
        <f t="shared" si="7"/>
        <v>2456.0097536740573</v>
      </c>
      <c r="AI21" s="51">
        <f t="shared" si="7"/>
        <v>2588.6818160009707</v>
      </c>
      <c r="AJ21" s="51">
        <f t="shared" si="7"/>
        <v>2913.767487744859</v>
      </c>
      <c r="AK21" s="51">
        <f t="shared" si="7"/>
        <v>3003.4641092662932</v>
      </c>
      <c r="AL21" s="51">
        <f t="shared" si="7"/>
        <v>2873.8069683520548</v>
      </c>
      <c r="AM21" s="51">
        <f t="shared" si="7"/>
        <v>3341.0825513727314</v>
      </c>
      <c r="AN21" s="51">
        <f t="shared" si="7"/>
        <v>3736.9703368388941</v>
      </c>
      <c r="AO21" s="51">
        <f t="shared" si="7"/>
        <v>4281.5169118707763</v>
      </c>
      <c r="AP21" s="51">
        <f t="shared" si="7"/>
        <v>4516.985467402772</v>
      </c>
      <c r="AQ21" s="51">
        <f t="shared" si="7"/>
        <v>4624.2565422961161</v>
      </c>
      <c r="AR21" s="51">
        <f t="shared" si="7"/>
        <v>4676.1170757048876</v>
      </c>
      <c r="AS21" s="51">
        <f t="shared" si="7"/>
        <v>4731.7218567687596</v>
      </c>
      <c r="AT21" s="51">
        <f t="shared" si="7"/>
        <v>4791.1907785322246</v>
      </c>
      <c r="AU21" s="51">
        <f t="shared" si="7"/>
        <v>4839.0681106762568</v>
      </c>
      <c r="AV21" s="51">
        <f t="shared" si="7"/>
        <v>4865.9203610130207</v>
      </c>
      <c r="AW21" s="51">
        <f t="shared" si="7"/>
        <v>4974.8354154226536</v>
      </c>
      <c r="AX21" s="51">
        <f t="shared" si="7"/>
        <v>5044.7724853859272</v>
      </c>
      <c r="AY21" s="51">
        <f t="shared" si="7"/>
        <v>5119.2684219288394</v>
      </c>
      <c r="AZ21" s="51">
        <f t="shared" si="7"/>
        <v>5195.2995325036536</v>
      </c>
      <c r="BA21" s="51">
        <f t="shared" si="7"/>
        <v>5264.2114017650729</v>
      </c>
      <c r="BB21" s="51">
        <f t="shared" si="7"/>
        <v>5342.6756097355837</v>
      </c>
      <c r="BC21" s="51">
        <f t="shared" si="7"/>
        <v>5416.7586122002003</v>
      </c>
      <c r="BD21" s="51">
        <f t="shared" si="7"/>
        <v>5490.7130649153487</v>
      </c>
      <c r="BE21" s="51">
        <f t="shared" si="7"/>
        <v>5569.3409346744947</v>
      </c>
      <c r="BF21" s="51">
        <f t="shared" si="7"/>
        <v>5644.0696198936448</v>
      </c>
      <c r="BG21" s="51">
        <f>BG7</f>
        <v>5723.2033819282733</v>
      </c>
    </row>
    <row r="22" spans="1:59" x14ac:dyDescent="0.2">
      <c r="B22" s="41" t="s">
        <v>84</v>
      </c>
      <c r="C22" s="51">
        <f>C15</f>
        <v>104.02239198119223</v>
      </c>
      <c r="D22" s="51">
        <f t="shared" ref="D22:BF22" si="8">D15</f>
        <v>84.869557839917633</v>
      </c>
      <c r="E22" s="51">
        <f t="shared" si="8"/>
        <v>82.701599340746085</v>
      </c>
      <c r="F22" s="51">
        <f t="shared" si="8"/>
        <v>95.382232490888455</v>
      </c>
      <c r="G22" s="51">
        <f t="shared" si="8"/>
        <v>99.102131963525238</v>
      </c>
      <c r="H22" s="51">
        <f t="shared" si="8"/>
        <v>89.267075026034973</v>
      </c>
      <c r="I22" s="51">
        <f t="shared" si="8"/>
        <v>71.197399136576919</v>
      </c>
      <c r="J22" s="51">
        <f t="shared" si="8"/>
        <v>82.486256682034281</v>
      </c>
      <c r="K22" s="51">
        <f t="shared" si="8"/>
        <v>61.786998894083453</v>
      </c>
      <c r="L22" s="51">
        <f t="shared" si="8"/>
        <v>62.365952199999988</v>
      </c>
      <c r="M22" s="51">
        <f t="shared" si="8"/>
        <v>74.212704000000002</v>
      </c>
      <c r="N22" s="51">
        <f t="shared" si="8"/>
        <v>68.352831171199995</v>
      </c>
      <c r="O22" s="51">
        <f t="shared" si="8"/>
        <v>74.105648118600001</v>
      </c>
      <c r="P22" s="51">
        <f t="shared" si="8"/>
        <v>62.688645799999996</v>
      </c>
      <c r="Q22" s="51">
        <f t="shared" si="8"/>
        <v>108.08640440760001</v>
      </c>
      <c r="R22" s="51">
        <f t="shared" si="8"/>
        <v>34.79694039999999</v>
      </c>
      <c r="S22" s="51">
        <f t="shared" si="8"/>
        <v>20.483886500000004</v>
      </c>
      <c r="T22" s="51">
        <f t="shared" si="8"/>
        <v>47.542315290778681</v>
      </c>
      <c r="U22" s="51">
        <f t="shared" si="8"/>
        <v>78.797356417204327</v>
      </c>
      <c r="V22" s="51">
        <f t="shared" si="8"/>
        <v>47.866547642397805</v>
      </c>
      <c r="W22" s="51">
        <f t="shared" si="8"/>
        <v>48.083573577697464</v>
      </c>
      <c r="X22" s="51">
        <f t="shared" si="8"/>
        <v>98.060416623635049</v>
      </c>
      <c r="Y22" s="51">
        <f t="shared" si="8"/>
        <v>69.915189524505621</v>
      </c>
      <c r="Z22" s="51">
        <f t="shared" si="8"/>
        <v>78.714340522118704</v>
      </c>
      <c r="AA22" s="51">
        <f t="shared" si="8"/>
        <v>50.661788995814902</v>
      </c>
      <c r="AB22" s="51">
        <f t="shared" si="8"/>
        <v>9.0620000000000012</v>
      </c>
      <c r="AC22" s="51">
        <f t="shared" si="8"/>
        <v>9.0620000000000012</v>
      </c>
      <c r="AD22" s="51">
        <f t="shared" si="8"/>
        <v>9.0620000000000012</v>
      </c>
      <c r="AE22" s="51">
        <f t="shared" si="8"/>
        <v>9.0620000000000012</v>
      </c>
      <c r="AF22" s="51">
        <f t="shared" si="8"/>
        <v>9.0620000000000012</v>
      </c>
      <c r="AG22" s="51">
        <f t="shared" si="8"/>
        <v>9.0620000000000012</v>
      </c>
      <c r="AH22" s="51">
        <f t="shared" si="8"/>
        <v>9.0620000000000012</v>
      </c>
      <c r="AI22" s="51">
        <f t="shared" si="8"/>
        <v>9.0620000000000012</v>
      </c>
      <c r="AJ22" s="51">
        <f t="shared" si="8"/>
        <v>9.0620000000000012</v>
      </c>
      <c r="AK22" s="51">
        <f t="shared" si="8"/>
        <v>9.0620000000000012</v>
      </c>
      <c r="AL22" s="51">
        <f t="shared" si="8"/>
        <v>9.0620000000000012</v>
      </c>
      <c r="AM22" s="51">
        <f t="shared" si="8"/>
        <v>9.0620000000000012</v>
      </c>
      <c r="AN22" s="51">
        <f t="shared" si="8"/>
        <v>9.0620000000000012</v>
      </c>
      <c r="AO22" s="51">
        <f t="shared" si="8"/>
        <v>9.0620000000000012</v>
      </c>
      <c r="AP22" s="51">
        <f t="shared" si="8"/>
        <v>9.0620000000000012</v>
      </c>
      <c r="AQ22" s="51">
        <f t="shared" si="8"/>
        <v>9.0620000000000012</v>
      </c>
      <c r="AR22" s="51">
        <f t="shared" si="8"/>
        <v>9.0620000000000012</v>
      </c>
      <c r="AS22" s="51">
        <f t="shared" si="8"/>
        <v>9.0620000000000012</v>
      </c>
      <c r="AT22" s="51">
        <f t="shared" si="8"/>
        <v>9.0620000000000012</v>
      </c>
      <c r="AU22" s="51">
        <f t="shared" si="8"/>
        <v>9.0620000000000012</v>
      </c>
      <c r="AV22" s="51">
        <f t="shared" si="8"/>
        <v>9.0620000000000012</v>
      </c>
      <c r="AW22" s="51">
        <f t="shared" si="8"/>
        <v>9.0620000000000012</v>
      </c>
      <c r="AX22" s="51">
        <f t="shared" si="8"/>
        <v>9.0620000000000012</v>
      </c>
      <c r="AY22" s="51">
        <f t="shared" si="8"/>
        <v>9.0620000000000012</v>
      </c>
      <c r="AZ22" s="51">
        <f t="shared" si="8"/>
        <v>9.0620000000000012</v>
      </c>
      <c r="BA22" s="51">
        <f t="shared" si="8"/>
        <v>9.0620000000000012</v>
      </c>
      <c r="BB22" s="51">
        <f t="shared" si="8"/>
        <v>9.0620000000000012</v>
      </c>
      <c r="BC22" s="51">
        <f t="shared" si="8"/>
        <v>9.0620000000000012</v>
      </c>
      <c r="BD22" s="51">
        <f t="shared" si="8"/>
        <v>9.0620000000000012</v>
      </c>
      <c r="BE22" s="51">
        <f t="shared" si="8"/>
        <v>9.0620000000000012</v>
      </c>
      <c r="BF22" s="51">
        <f t="shared" si="8"/>
        <v>9.0620000000000012</v>
      </c>
      <c r="BG22" s="51">
        <f>BG15</f>
        <v>9.0620000000000012</v>
      </c>
    </row>
    <row r="23" spans="1:59" x14ac:dyDescent="0.2">
      <c r="B23" s="41" t="s">
        <v>85</v>
      </c>
      <c r="C23" s="51">
        <f>C21-C22</f>
        <v>1257.3432485438082</v>
      </c>
      <c r="D23" s="51">
        <f t="shared" ref="D23:BF23" si="9">D21-D22</f>
        <v>1279.5898534595774</v>
      </c>
      <c r="E23" s="51">
        <f t="shared" si="9"/>
        <v>1184.6569303626636</v>
      </c>
      <c r="F23" s="51">
        <f t="shared" si="9"/>
        <v>1142.6085143198286</v>
      </c>
      <c r="G23" s="51">
        <f t="shared" si="9"/>
        <v>1238.6814479454224</v>
      </c>
      <c r="H23" s="51">
        <f t="shared" si="9"/>
        <v>1359.3846529305151</v>
      </c>
      <c r="I23" s="51">
        <f t="shared" si="9"/>
        <v>1130.6156361869798</v>
      </c>
      <c r="J23" s="51">
        <f t="shared" si="9"/>
        <v>1031.1757070083031</v>
      </c>
      <c r="K23" s="51">
        <f t="shared" si="9"/>
        <v>1186.5854659927084</v>
      </c>
      <c r="L23" s="51">
        <f t="shared" si="9"/>
        <v>969.30493366984365</v>
      </c>
      <c r="M23" s="51">
        <f t="shared" si="9"/>
        <v>1130.4994125712003</v>
      </c>
      <c r="N23" s="51">
        <f t="shared" si="9"/>
        <v>1109.5329335884001</v>
      </c>
      <c r="O23" s="51">
        <f t="shared" si="9"/>
        <v>1104.4930841096002</v>
      </c>
      <c r="P23" s="51">
        <f t="shared" si="9"/>
        <v>1169.0143588395999</v>
      </c>
      <c r="Q23" s="51">
        <f t="shared" si="9"/>
        <v>1226.3458929080002</v>
      </c>
      <c r="R23" s="51">
        <f t="shared" si="9"/>
        <v>1297.4394640076</v>
      </c>
      <c r="S23" s="51">
        <f t="shared" si="9"/>
        <v>1067.0769754</v>
      </c>
      <c r="T23" s="51">
        <f t="shared" si="9"/>
        <v>1097.9814002014907</v>
      </c>
      <c r="U23" s="51">
        <f t="shared" si="9"/>
        <v>1154.462395171043</v>
      </c>
      <c r="V23" s="51">
        <f t="shared" si="9"/>
        <v>1288.9868395844574</v>
      </c>
      <c r="W23" s="51">
        <f t="shared" si="9"/>
        <v>1330.4526957168048</v>
      </c>
      <c r="X23" s="51">
        <f t="shared" si="9"/>
        <v>1360.929344974536</v>
      </c>
      <c r="Y23" s="51">
        <f t="shared" si="9"/>
        <v>1543.3327270991292</v>
      </c>
      <c r="Z23" s="51">
        <f t="shared" si="9"/>
        <v>1500.8338490023871</v>
      </c>
      <c r="AA23" s="51">
        <f t="shared" si="9"/>
        <v>1668.6580515263033</v>
      </c>
      <c r="AB23" s="51">
        <f t="shared" si="9"/>
        <v>1666.7111510000004</v>
      </c>
      <c r="AC23" s="51">
        <f t="shared" si="9"/>
        <v>1565.2837499999998</v>
      </c>
      <c r="AD23" s="51">
        <f t="shared" si="9"/>
        <v>1652.8763000000001</v>
      </c>
      <c r="AE23" s="51">
        <f t="shared" si="9"/>
        <v>1709.5707500000001</v>
      </c>
      <c r="AF23" s="51">
        <f t="shared" si="9"/>
        <v>2024.4196999999999</v>
      </c>
      <c r="AG23" s="51">
        <f t="shared" si="9"/>
        <v>2428.3630000000007</v>
      </c>
      <c r="AH23" s="51">
        <f t="shared" si="9"/>
        <v>2446.9477536740574</v>
      </c>
      <c r="AI23" s="51">
        <f t="shared" si="9"/>
        <v>2579.6198160009708</v>
      </c>
      <c r="AJ23" s="51">
        <f t="shared" si="9"/>
        <v>2904.7054877448591</v>
      </c>
      <c r="AK23" s="51">
        <f t="shared" si="9"/>
        <v>2994.4021092662933</v>
      </c>
      <c r="AL23" s="51">
        <f t="shared" si="9"/>
        <v>2864.7449683520549</v>
      </c>
      <c r="AM23" s="51">
        <f t="shared" si="9"/>
        <v>3332.0205513727315</v>
      </c>
      <c r="AN23" s="51">
        <f t="shared" si="9"/>
        <v>3727.9083368388942</v>
      </c>
      <c r="AO23" s="51">
        <f t="shared" si="9"/>
        <v>4272.4549118707764</v>
      </c>
      <c r="AP23" s="51">
        <f t="shared" si="9"/>
        <v>4507.9234674027721</v>
      </c>
      <c r="AQ23" s="51">
        <f t="shared" si="9"/>
        <v>4615.1945422961162</v>
      </c>
      <c r="AR23" s="51">
        <f t="shared" si="9"/>
        <v>4667.0550757048877</v>
      </c>
      <c r="AS23" s="51">
        <f t="shared" si="9"/>
        <v>4722.6598567687597</v>
      </c>
      <c r="AT23" s="51">
        <f t="shared" si="9"/>
        <v>4782.1287785322247</v>
      </c>
      <c r="AU23" s="51">
        <f t="shared" si="9"/>
        <v>4830.0061106762569</v>
      </c>
      <c r="AV23" s="51">
        <f t="shared" si="9"/>
        <v>4856.8583610130208</v>
      </c>
      <c r="AW23" s="51">
        <f t="shared" si="9"/>
        <v>4965.7734154226537</v>
      </c>
      <c r="AX23" s="51">
        <f t="shared" si="9"/>
        <v>5035.7104853859273</v>
      </c>
      <c r="AY23" s="51">
        <f t="shared" si="9"/>
        <v>5110.2064219288395</v>
      </c>
      <c r="AZ23" s="51">
        <f t="shared" si="9"/>
        <v>5186.2375325036537</v>
      </c>
      <c r="BA23" s="51">
        <f t="shared" si="9"/>
        <v>5255.149401765073</v>
      </c>
      <c r="BB23" s="51">
        <f t="shared" si="9"/>
        <v>5333.6136097355839</v>
      </c>
      <c r="BC23" s="51">
        <f t="shared" si="9"/>
        <v>5407.6966122002004</v>
      </c>
      <c r="BD23" s="51">
        <f t="shared" si="9"/>
        <v>5481.6510649153488</v>
      </c>
      <c r="BE23" s="51">
        <f t="shared" si="9"/>
        <v>5560.2789346744948</v>
      </c>
      <c r="BF23" s="51">
        <f t="shared" si="9"/>
        <v>5635.0076198936449</v>
      </c>
      <c r="BG23" s="51">
        <f>BG21-BG22</f>
        <v>5714.1413819282734</v>
      </c>
    </row>
    <row r="24" spans="1:59" x14ac:dyDescent="0.2">
      <c r="B24" s="70" t="s">
        <v>86</v>
      </c>
      <c r="C24" s="52" t="e">
        <f>C23-C14</f>
        <v>#REF!</v>
      </c>
      <c r="D24" s="52" t="e">
        <f t="shared" ref="D24:BF24" si="10">D23-D14</f>
        <v>#REF!</v>
      </c>
      <c r="E24" s="52" t="e">
        <f t="shared" si="10"/>
        <v>#REF!</v>
      </c>
      <c r="F24" s="52" t="e">
        <f t="shared" si="10"/>
        <v>#REF!</v>
      </c>
      <c r="G24" s="52" t="e">
        <f t="shared" si="10"/>
        <v>#REF!</v>
      </c>
      <c r="H24" s="52" t="e">
        <f t="shared" si="10"/>
        <v>#REF!</v>
      </c>
      <c r="I24" s="52" t="e">
        <f t="shared" si="10"/>
        <v>#REF!</v>
      </c>
      <c r="J24" s="52" t="e">
        <f t="shared" si="10"/>
        <v>#REF!</v>
      </c>
      <c r="K24" s="52" t="e">
        <f t="shared" si="10"/>
        <v>#REF!</v>
      </c>
      <c r="L24" s="52" t="e">
        <f t="shared" si="10"/>
        <v>#REF!</v>
      </c>
      <c r="M24" s="52" t="e">
        <f t="shared" si="10"/>
        <v>#REF!</v>
      </c>
      <c r="N24" s="52" t="e">
        <f t="shared" si="10"/>
        <v>#REF!</v>
      </c>
      <c r="O24" s="52" t="e">
        <f t="shared" si="10"/>
        <v>#REF!</v>
      </c>
      <c r="P24" s="52" t="e">
        <f t="shared" si="10"/>
        <v>#REF!</v>
      </c>
      <c r="Q24" s="52" t="e">
        <f t="shared" si="10"/>
        <v>#REF!</v>
      </c>
      <c r="R24" s="52" t="e">
        <f t="shared" si="10"/>
        <v>#REF!</v>
      </c>
      <c r="S24" s="52" t="e">
        <f t="shared" si="10"/>
        <v>#REF!</v>
      </c>
      <c r="T24" s="52" t="e">
        <f t="shared" si="10"/>
        <v>#REF!</v>
      </c>
      <c r="U24" s="52" t="e">
        <f t="shared" si="10"/>
        <v>#REF!</v>
      </c>
      <c r="V24" s="52" t="e">
        <f t="shared" si="10"/>
        <v>#REF!</v>
      </c>
      <c r="W24" s="52" t="e">
        <f t="shared" si="10"/>
        <v>#REF!</v>
      </c>
      <c r="X24" s="52" t="e">
        <f t="shared" si="10"/>
        <v>#REF!</v>
      </c>
      <c r="Y24" s="52" t="e">
        <f t="shared" si="10"/>
        <v>#REF!</v>
      </c>
      <c r="Z24" s="52" t="e">
        <f t="shared" si="10"/>
        <v>#REF!</v>
      </c>
      <c r="AA24" s="52" t="e">
        <f t="shared" si="10"/>
        <v>#REF!</v>
      </c>
      <c r="AB24" s="52">
        <f t="shared" si="10"/>
        <v>0</v>
      </c>
      <c r="AC24" s="52">
        <f t="shared" si="10"/>
        <v>0</v>
      </c>
      <c r="AD24" s="52">
        <f t="shared" si="10"/>
        <v>0</v>
      </c>
      <c r="AE24" s="52">
        <f t="shared" si="10"/>
        <v>0</v>
      </c>
      <c r="AF24" s="52">
        <f t="shared" si="10"/>
        <v>0</v>
      </c>
      <c r="AG24" s="52">
        <f t="shared" si="10"/>
        <v>0</v>
      </c>
      <c r="AH24" s="52">
        <f t="shared" si="10"/>
        <v>0</v>
      </c>
      <c r="AI24" s="52">
        <f t="shared" si="10"/>
        <v>0</v>
      </c>
      <c r="AJ24" s="52">
        <f t="shared" si="10"/>
        <v>0</v>
      </c>
      <c r="AK24" s="52">
        <f t="shared" si="10"/>
        <v>0</v>
      </c>
      <c r="AL24" s="52">
        <f t="shared" si="10"/>
        <v>0</v>
      </c>
      <c r="AM24" s="52">
        <f t="shared" si="10"/>
        <v>0</v>
      </c>
      <c r="AN24" s="52">
        <f t="shared" si="10"/>
        <v>0</v>
      </c>
      <c r="AO24" s="52">
        <f t="shared" si="10"/>
        <v>0</v>
      </c>
      <c r="AP24" s="52">
        <f t="shared" si="10"/>
        <v>0</v>
      </c>
      <c r="AQ24" s="52">
        <f t="shared" si="10"/>
        <v>0</v>
      </c>
      <c r="AR24" s="52">
        <f t="shared" si="10"/>
        <v>0</v>
      </c>
      <c r="AS24" s="52">
        <f t="shared" si="10"/>
        <v>0</v>
      </c>
      <c r="AT24" s="52">
        <f t="shared" si="10"/>
        <v>0</v>
      </c>
      <c r="AU24" s="52">
        <f t="shared" si="10"/>
        <v>0</v>
      </c>
      <c r="AV24" s="52">
        <f t="shared" si="10"/>
        <v>0</v>
      </c>
      <c r="AW24" s="52">
        <f t="shared" si="10"/>
        <v>0</v>
      </c>
      <c r="AX24" s="52">
        <f t="shared" si="10"/>
        <v>0</v>
      </c>
      <c r="AY24" s="52">
        <f t="shared" si="10"/>
        <v>0</v>
      </c>
      <c r="AZ24" s="52">
        <f t="shared" si="10"/>
        <v>0</v>
      </c>
      <c r="BA24" s="52">
        <f t="shared" si="10"/>
        <v>0</v>
      </c>
      <c r="BB24" s="52">
        <f t="shared" si="10"/>
        <v>0</v>
      </c>
      <c r="BC24" s="52">
        <f t="shared" si="10"/>
        <v>0</v>
      </c>
      <c r="BD24" s="52">
        <f t="shared" si="10"/>
        <v>0</v>
      </c>
      <c r="BE24" s="52">
        <f t="shared" si="10"/>
        <v>0</v>
      </c>
      <c r="BF24" s="52">
        <f t="shared" si="10"/>
        <v>0</v>
      </c>
      <c r="BG24" s="52">
        <f>BG23-BG14</f>
        <v>0</v>
      </c>
    </row>
    <row r="25" spans="1:59" x14ac:dyDescent="0.2">
      <c r="B25" s="41" t="s">
        <v>79</v>
      </c>
      <c r="C25" s="51">
        <f>C13</f>
        <v>66.207886000000002</v>
      </c>
      <c r="D25" s="51">
        <f t="shared" ref="D25:BF25" si="11">D13</f>
        <v>112.69208499999999</v>
      </c>
      <c r="E25" s="51">
        <f t="shared" si="11"/>
        <v>112.98522939999999</v>
      </c>
      <c r="F25" s="51">
        <f t="shared" si="11"/>
        <v>109.5532814</v>
      </c>
      <c r="G25" s="51">
        <f t="shared" si="11"/>
        <v>196.8698852</v>
      </c>
      <c r="H25" s="51">
        <f t="shared" si="11"/>
        <v>211.4846622</v>
      </c>
      <c r="I25" s="51">
        <f t="shared" si="11"/>
        <v>194.48207900000003</v>
      </c>
      <c r="J25" s="51">
        <f t="shared" si="11"/>
        <v>189.16510419999997</v>
      </c>
      <c r="K25" s="51">
        <f t="shared" si="11"/>
        <v>280.3585046</v>
      </c>
      <c r="L25" s="51">
        <f t="shared" si="11"/>
        <v>222.05891660000003</v>
      </c>
      <c r="M25" s="51">
        <f t="shared" si="11"/>
        <v>349.23291919999997</v>
      </c>
      <c r="N25" s="51">
        <f t="shared" si="11"/>
        <v>298.91505940000002</v>
      </c>
      <c r="O25" s="51">
        <f t="shared" si="11"/>
        <v>316.66451480000001</v>
      </c>
      <c r="P25" s="51">
        <f t="shared" si="11"/>
        <v>296.36762880000003</v>
      </c>
      <c r="Q25" s="51">
        <f t="shared" si="11"/>
        <v>353.4907546</v>
      </c>
      <c r="R25" s="51">
        <f t="shared" si="11"/>
        <v>468.85308319999996</v>
      </c>
      <c r="S25" s="51">
        <f t="shared" si="11"/>
        <v>455.70525439999994</v>
      </c>
      <c r="T25" s="51">
        <f t="shared" si="11"/>
        <v>384.66909320000002</v>
      </c>
      <c r="U25" s="51">
        <f t="shared" si="11"/>
        <v>167.427414</v>
      </c>
      <c r="V25" s="51">
        <f t="shared" si="11"/>
        <v>108.69184700000001</v>
      </c>
      <c r="W25" s="51">
        <f t="shared" si="11"/>
        <v>111.59907600000003</v>
      </c>
      <c r="X25" s="51">
        <f t="shared" si="11"/>
        <v>64.728045000000009</v>
      </c>
      <c r="Y25" s="51">
        <f t="shared" si="11"/>
        <v>23.748664000000005</v>
      </c>
      <c r="Z25" s="51">
        <f t="shared" si="11"/>
        <v>12.146482000000001</v>
      </c>
      <c r="AA25" s="51">
        <f t="shared" si="11"/>
        <v>14.25778699999999</v>
      </c>
      <c r="AB25" s="51">
        <f t="shared" si="11"/>
        <v>4.4447400000000199</v>
      </c>
      <c r="AC25" s="51">
        <f t="shared" si="11"/>
        <v>4.7700370000000403</v>
      </c>
      <c r="AD25" s="51">
        <f t="shared" si="11"/>
        <v>1.0812320000000009</v>
      </c>
      <c r="AE25" s="51">
        <f t="shared" si="11"/>
        <v>3.1167999999999998E-2</v>
      </c>
      <c r="AF25" s="51">
        <f t="shared" si="11"/>
        <v>3.6099999999999999E-4</v>
      </c>
      <c r="AG25" s="51">
        <f t="shared" si="11"/>
        <v>1.2E-5</v>
      </c>
      <c r="AH25" s="51">
        <f t="shared" si="11"/>
        <v>0</v>
      </c>
      <c r="AI25" s="51">
        <f t="shared" si="11"/>
        <v>0</v>
      </c>
      <c r="AJ25" s="51">
        <f t="shared" si="11"/>
        <v>0</v>
      </c>
      <c r="AK25" s="51">
        <f t="shared" si="11"/>
        <v>0</v>
      </c>
      <c r="AL25" s="51">
        <f t="shared" si="11"/>
        <v>0</v>
      </c>
      <c r="AM25" s="51">
        <f t="shared" si="11"/>
        <v>0</v>
      </c>
      <c r="AN25" s="51">
        <f t="shared" si="11"/>
        <v>0</v>
      </c>
      <c r="AO25" s="51">
        <f t="shared" si="11"/>
        <v>0</v>
      </c>
      <c r="AP25" s="51">
        <f t="shared" si="11"/>
        <v>0</v>
      </c>
      <c r="AQ25" s="51">
        <f t="shared" si="11"/>
        <v>0</v>
      </c>
      <c r="AR25" s="51">
        <f t="shared" si="11"/>
        <v>0</v>
      </c>
      <c r="AS25" s="51">
        <f t="shared" si="11"/>
        <v>0</v>
      </c>
      <c r="AT25" s="51">
        <f t="shared" si="11"/>
        <v>0</v>
      </c>
      <c r="AU25" s="51">
        <f t="shared" si="11"/>
        <v>0</v>
      </c>
      <c r="AV25" s="51">
        <f t="shared" si="11"/>
        <v>0</v>
      </c>
      <c r="AW25" s="51">
        <f t="shared" si="11"/>
        <v>0</v>
      </c>
      <c r="AX25" s="51">
        <f t="shared" si="11"/>
        <v>0</v>
      </c>
      <c r="AY25" s="51">
        <f t="shared" si="11"/>
        <v>0</v>
      </c>
      <c r="AZ25" s="51">
        <f t="shared" si="11"/>
        <v>0</v>
      </c>
      <c r="BA25" s="51">
        <f t="shared" si="11"/>
        <v>0</v>
      </c>
      <c r="BB25" s="51">
        <f t="shared" si="11"/>
        <v>0</v>
      </c>
      <c r="BC25" s="51">
        <f t="shared" si="11"/>
        <v>0</v>
      </c>
      <c r="BD25" s="51">
        <f t="shared" si="11"/>
        <v>0</v>
      </c>
      <c r="BE25" s="51">
        <f t="shared" si="11"/>
        <v>0</v>
      </c>
      <c r="BF25" s="51">
        <f t="shared" si="11"/>
        <v>0</v>
      </c>
      <c r="BG25" s="51">
        <f>BG13</f>
        <v>0</v>
      </c>
    </row>
    <row r="26" spans="1:59" x14ac:dyDescent="0.2">
      <c r="B26" s="41" t="s">
        <v>157</v>
      </c>
      <c r="C26" s="51">
        <f>C23-C25</f>
        <v>1191.1353625438082</v>
      </c>
      <c r="D26" s="51">
        <f t="shared" ref="D26:BF26" si="12">D23-D25</f>
        <v>1166.8977684595775</v>
      </c>
      <c r="E26" s="51">
        <f t="shared" si="12"/>
        <v>1071.6717009626636</v>
      </c>
      <c r="F26" s="51">
        <f t="shared" si="12"/>
        <v>1033.0552329198285</v>
      </c>
      <c r="G26" s="51">
        <f t="shared" si="12"/>
        <v>1041.8115627454224</v>
      </c>
      <c r="H26" s="51">
        <f t="shared" si="12"/>
        <v>1147.8999907305151</v>
      </c>
      <c r="I26" s="51">
        <f t="shared" si="12"/>
        <v>936.13355718697983</v>
      </c>
      <c r="J26" s="51">
        <f t="shared" si="12"/>
        <v>842.01060280830313</v>
      </c>
      <c r="K26" s="51">
        <f t="shared" si="12"/>
        <v>906.22696139270829</v>
      </c>
      <c r="L26" s="51">
        <f t="shared" si="12"/>
        <v>747.24601706984367</v>
      </c>
      <c r="M26" s="51">
        <f t="shared" si="12"/>
        <v>781.26649337120034</v>
      </c>
      <c r="N26" s="51">
        <f t="shared" si="12"/>
        <v>810.61787418840004</v>
      </c>
      <c r="O26" s="51">
        <f t="shared" si="12"/>
        <v>787.8285693096002</v>
      </c>
      <c r="P26" s="51">
        <f t="shared" si="12"/>
        <v>872.6467300395999</v>
      </c>
      <c r="Q26" s="51">
        <f t="shared" si="12"/>
        <v>872.85513830800028</v>
      </c>
      <c r="R26" s="51">
        <f t="shared" si="12"/>
        <v>828.58638080760011</v>
      </c>
      <c r="S26" s="51">
        <f t="shared" si="12"/>
        <v>611.37172100000009</v>
      </c>
      <c r="T26" s="51">
        <f t="shared" si="12"/>
        <v>713.31230700149069</v>
      </c>
      <c r="U26" s="51">
        <f t="shared" si="12"/>
        <v>987.034981171043</v>
      </c>
      <c r="V26" s="51">
        <f t="shared" si="12"/>
        <v>1180.2949925844573</v>
      </c>
      <c r="W26" s="51">
        <f t="shared" si="12"/>
        <v>1218.8536197168048</v>
      </c>
      <c r="X26" s="51">
        <f t="shared" si="12"/>
        <v>1296.2012999745359</v>
      </c>
      <c r="Y26" s="51">
        <f t="shared" si="12"/>
        <v>1519.5840630991293</v>
      </c>
      <c r="Z26" s="51">
        <f t="shared" si="12"/>
        <v>1488.687367002387</v>
      </c>
      <c r="AA26" s="51">
        <f t="shared" si="12"/>
        <v>1654.4002645263033</v>
      </c>
      <c r="AB26" s="51">
        <f t="shared" si="12"/>
        <v>1662.2664110000005</v>
      </c>
      <c r="AC26" s="51">
        <f t="shared" si="12"/>
        <v>1560.5137129999998</v>
      </c>
      <c r="AD26" s="51">
        <f t="shared" si="12"/>
        <v>1651.7950680000001</v>
      </c>
      <c r="AE26" s="51">
        <f t="shared" si="12"/>
        <v>1709.5395820000001</v>
      </c>
      <c r="AF26" s="51">
        <f t="shared" si="12"/>
        <v>2024.4193389999998</v>
      </c>
      <c r="AG26" s="51">
        <f t="shared" si="12"/>
        <v>2428.3629880000008</v>
      </c>
      <c r="AH26" s="51">
        <f t="shared" si="12"/>
        <v>2446.9477536740574</v>
      </c>
      <c r="AI26" s="51">
        <f t="shared" si="12"/>
        <v>2579.6198160009708</v>
      </c>
      <c r="AJ26" s="51">
        <f t="shared" si="12"/>
        <v>2904.7054877448591</v>
      </c>
      <c r="AK26" s="51">
        <f t="shared" si="12"/>
        <v>2994.4021092662933</v>
      </c>
      <c r="AL26" s="51">
        <f t="shared" si="12"/>
        <v>2864.7449683520549</v>
      </c>
      <c r="AM26" s="51">
        <f t="shared" si="12"/>
        <v>3332.0205513727315</v>
      </c>
      <c r="AN26" s="51">
        <f t="shared" si="12"/>
        <v>3727.9083368388942</v>
      </c>
      <c r="AO26" s="51">
        <f t="shared" si="12"/>
        <v>4272.4549118707764</v>
      </c>
      <c r="AP26" s="51">
        <f t="shared" si="12"/>
        <v>4507.9234674027721</v>
      </c>
      <c r="AQ26" s="51">
        <f t="shared" si="12"/>
        <v>4615.1945422961162</v>
      </c>
      <c r="AR26" s="51">
        <f t="shared" si="12"/>
        <v>4667.0550757048877</v>
      </c>
      <c r="AS26" s="51">
        <f t="shared" si="12"/>
        <v>4722.6598567687597</v>
      </c>
      <c r="AT26" s="51">
        <f t="shared" si="12"/>
        <v>4782.1287785322247</v>
      </c>
      <c r="AU26" s="51">
        <f t="shared" si="12"/>
        <v>4830.0061106762569</v>
      </c>
      <c r="AV26" s="51">
        <f t="shared" si="12"/>
        <v>4856.8583610130208</v>
      </c>
      <c r="AW26" s="51">
        <f t="shared" si="12"/>
        <v>4965.7734154226537</v>
      </c>
      <c r="AX26" s="51">
        <f t="shared" si="12"/>
        <v>5035.7104853859273</v>
      </c>
      <c r="AY26" s="51">
        <f t="shared" si="12"/>
        <v>5110.2064219288395</v>
      </c>
      <c r="AZ26" s="51">
        <f t="shared" si="12"/>
        <v>5186.2375325036537</v>
      </c>
      <c r="BA26" s="51">
        <f t="shared" si="12"/>
        <v>5255.149401765073</v>
      </c>
      <c r="BB26" s="51">
        <f t="shared" si="12"/>
        <v>5333.6136097355839</v>
      </c>
      <c r="BC26" s="51">
        <f t="shared" si="12"/>
        <v>5407.6966122002004</v>
      </c>
      <c r="BD26" s="51">
        <f t="shared" si="12"/>
        <v>5481.6510649153488</v>
      </c>
      <c r="BE26" s="51">
        <f t="shared" si="12"/>
        <v>5560.2789346744948</v>
      </c>
      <c r="BF26" s="51">
        <f t="shared" si="12"/>
        <v>5635.0076198936449</v>
      </c>
      <c r="BG26" s="51">
        <f>BG23-BG25</f>
        <v>5714.1413819282734</v>
      </c>
    </row>
    <row r="27" spans="1:59" x14ac:dyDescent="0.2">
      <c r="B27" s="70" t="s">
        <v>86</v>
      </c>
      <c r="C27" s="52" t="e">
        <f t="shared" ref="C27:BG27" si="13">C26-C8</f>
        <v>#REF!</v>
      </c>
      <c r="D27" s="52" t="e">
        <f t="shared" si="13"/>
        <v>#REF!</v>
      </c>
      <c r="E27" s="52" t="e">
        <f t="shared" si="13"/>
        <v>#REF!</v>
      </c>
      <c r="F27" s="52" t="e">
        <f t="shared" si="13"/>
        <v>#REF!</v>
      </c>
      <c r="G27" s="52" t="e">
        <f t="shared" si="13"/>
        <v>#REF!</v>
      </c>
      <c r="H27" s="52" t="e">
        <f t="shared" si="13"/>
        <v>#REF!</v>
      </c>
      <c r="I27" s="52" t="e">
        <f t="shared" si="13"/>
        <v>#REF!</v>
      </c>
      <c r="J27" s="52" t="e">
        <f t="shared" si="13"/>
        <v>#REF!</v>
      </c>
      <c r="K27" s="52" t="e">
        <f t="shared" si="13"/>
        <v>#REF!</v>
      </c>
      <c r="L27" s="52" t="e">
        <f t="shared" si="13"/>
        <v>#REF!</v>
      </c>
      <c r="M27" s="52" t="e">
        <f t="shared" si="13"/>
        <v>#REF!</v>
      </c>
      <c r="N27" s="52" t="e">
        <f t="shared" si="13"/>
        <v>#REF!</v>
      </c>
      <c r="O27" s="52" t="e">
        <f t="shared" si="13"/>
        <v>#REF!</v>
      </c>
      <c r="P27" s="52" t="e">
        <f t="shared" si="13"/>
        <v>#REF!</v>
      </c>
      <c r="Q27" s="52" t="e">
        <f t="shared" si="13"/>
        <v>#REF!</v>
      </c>
      <c r="R27" s="52" t="e">
        <f t="shared" si="13"/>
        <v>#REF!</v>
      </c>
      <c r="S27" s="52" t="e">
        <f t="shared" si="13"/>
        <v>#REF!</v>
      </c>
      <c r="T27" s="52" t="e">
        <f t="shared" si="13"/>
        <v>#REF!</v>
      </c>
      <c r="U27" s="52" t="e">
        <f t="shared" si="13"/>
        <v>#REF!</v>
      </c>
      <c r="V27" s="52" t="e">
        <f t="shared" si="13"/>
        <v>#REF!</v>
      </c>
      <c r="W27" s="52" t="e">
        <f t="shared" si="13"/>
        <v>#REF!</v>
      </c>
      <c r="X27" s="52" t="e">
        <f t="shared" si="13"/>
        <v>#REF!</v>
      </c>
      <c r="Y27" s="52" t="e">
        <f t="shared" si="13"/>
        <v>#REF!</v>
      </c>
      <c r="Z27" s="52" t="e">
        <f t="shared" si="13"/>
        <v>#REF!</v>
      </c>
      <c r="AA27" s="52" t="e">
        <f t="shared" si="13"/>
        <v>#REF!</v>
      </c>
      <c r="AB27" s="52">
        <f t="shared" si="13"/>
        <v>0</v>
      </c>
      <c r="AC27" s="52">
        <f t="shared" si="13"/>
        <v>0</v>
      </c>
      <c r="AD27" s="52">
        <f t="shared" si="13"/>
        <v>0</v>
      </c>
      <c r="AE27" s="52">
        <f t="shared" si="13"/>
        <v>0</v>
      </c>
      <c r="AF27" s="52">
        <f t="shared" si="13"/>
        <v>0</v>
      </c>
      <c r="AG27" s="52">
        <f t="shared" si="13"/>
        <v>0</v>
      </c>
      <c r="AH27" s="52">
        <f t="shared" si="13"/>
        <v>0</v>
      </c>
      <c r="AI27" s="52">
        <f t="shared" si="13"/>
        <v>0</v>
      </c>
      <c r="AJ27" s="52">
        <f t="shared" si="13"/>
        <v>0</v>
      </c>
      <c r="AK27" s="52">
        <f t="shared" si="13"/>
        <v>0</v>
      </c>
      <c r="AL27" s="52">
        <f t="shared" si="13"/>
        <v>0</v>
      </c>
      <c r="AM27" s="52">
        <f t="shared" si="13"/>
        <v>0</v>
      </c>
      <c r="AN27" s="52">
        <f t="shared" si="13"/>
        <v>0</v>
      </c>
      <c r="AO27" s="52">
        <f t="shared" si="13"/>
        <v>0</v>
      </c>
      <c r="AP27" s="52">
        <f t="shared" si="13"/>
        <v>0</v>
      </c>
      <c r="AQ27" s="52">
        <f t="shared" si="13"/>
        <v>0</v>
      </c>
      <c r="AR27" s="52">
        <f t="shared" si="13"/>
        <v>0</v>
      </c>
      <c r="AS27" s="52">
        <f t="shared" si="13"/>
        <v>0</v>
      </c>
      <c r="AT27" s="52">
        <f t="shared" si="13"/>
        <v>0</v>
      </c>
      <c r="AU27" s="52">
        <f t="shared" si="13"/>
        <v>0</v>
      </c>
      <c r="AV27" s="52">
        <f t="shared" si="13"/>
        <v>0</v>
      </c>
      <c r="AW27" s="52">
        <f t="shared" si="13"/>
        <v>0</v>
      </c>
      <c r="AX27" s="52">
        <f t="shared" si="13"/>
        <v>0</v>
      </c>
      <c r="AY27" s="52">
        <f t="shared" si="13"/>
        <v>0</v>
      </c>
      <c r="AZ27" s="52">
        <f t="shared" si="13"/>
        <v>0</v>
      </c>
      <c r="BA27" s="52">
        <f t="shared" si="13"/>
        <v>0</v>
      </c>
      <c r="BB27" s="52">
        <f t="shared" si="13"/>
        <v>0</v>
      </c>
      <c r="BC27" s="52">
        <f t="shared" si="13"/>
        <v>0</v>
      </c>
      <c r="BD27" s="52">
        <f t="shared" si="13"/>
        <v>0</v>
      </c>
      <c r="BE27" s="52">
        <f t="shared" si="13"/>
        <v>0</v>
      </c>
      <c r="BF27" s="52">
        <f t="shared" si="13"/>
        <v>0</v>
      </c>
      <c r="BG27" s="52">
        <f t="shared" si="13"/>
        <v>0</v>
      </c>
    </row>
    <row r="28" spans="1:59" x14ac:dyDescent="0.2">
      <c r="B28" s="41" t="s">
        <v>158</v>
      </c>
      <c r="C28" s="51" t="e">
        <f t="shared" ref="C28:BF28" si="14">C9</f>
        <v>#REF!</v>
      </c>
      <c r="D28" s="51" t="e">
        <f t="shared" si="14"/>
        <v>#REF!</v>
      </c>
      <c r="E28" s="51" t="e">
        <f t="shared" si="14"/>
        <v>#REF!</v>
      </c>
      <c r="F28" s="51" t="e">
        <f t="shared" si="14"/>
        <v>#REF!</v>
      </c>
      <c r="G28" s="51" t="e">
        <f t="shared" si="14"/>
        <v>#REF!</v>
      </c>
      <c r="H28" s="51" t="e">
        <f t="shared" si="14"/>
        <v>#REF!</v>
      </c>
      <c r="I28" s="51" t="e">
        <f t="shared" si="14"/>
        <v>#REF!</v>
      </c>
      <c r="J28" s="51" t="e">
        <f t="shared" si="14"/>
        <v>#REF!</v>
      </c>
      <c r="K28" s="51" t="e">
        <f t="shared" si="14"/>
        <v>#REF!</v>
      </c>
      <c r="L28" s="51" t="e">
        <f t="shared" si="14"/>
        <v>#REF!</v>
      </c>
      <c r="M28" s="51" t="e">
        <f t="shared" si="14"/>
        <v>#REF!</v>
      </c>
      <c r="N28" s="51" t="e">
        <f t="shared" si="14"/>
        <v>#REF!</v>
      </c>
      <c r="O28" s="51" t="e">
        <f t="shared" si="14"/>
        <v>#REF!</v>
      </c>
      <c r="P28" s="51" t="e">
        <f t="shared" si="14"/>
        <v>#REF!</v>
      </c>
      <c r="Q28" s="51" t="e">
        <f t="shared" si="14"/>
        <v>#REF!</v>
      </c>
      <c r="R28" s="51" t="e">
        <f t="shared" si="14"/>
        <v>#REF!</v>
      </c>
      <c r="S28" s="51" t="e">
        <f t="shared" si="14"/>
        <v>#REF!</v>
      </c>
      <c r="T28" s="51" t="e">
        <f t="shared" si="14"/>
        <v>#REF!</v>
      </c>
      <c r="U28" s="51" t="e">
        <f t="shared" si="14"/>
        <v>#REF!</v>
      </c>
      <c r="V28" s="51" t="e">
        <f t="shared" si="14"/>
        <v>#REF!</v>
      </c>
      <c r="W28" s="51" t="e">
        <f t="shared" si="14"/>
        <v>#REF!</v>
      </c>
      <c r="X28" s="51" t="e">
        <f t="shared" si="14"/>
        <v>#REF!</v>
      </c>
      <c r="Y28" s="51" t="e">
        <f t="shared" si="14"/>
        <v>#REF!</v>
      </c>
      <c r="Z28" s="51" t="e">
        <f t="shared" si="14"/>
        <v>#REF!</v>
      </c>
      <c r="AA28" s="51" t="e">
        <f t="shared" si="14"/>
        <v>#REF!</v>
      </c>
      <c r="AB28" s="51">
        <f t="shared" si="14"/>
        <v>766.93695167839985</v>
      </c>
      <c r="AC28" s="51">
        <f t="shared" si="14"/>
        <v>708.51525752563225</v>
      </c>
      <c r="AD28" s="51">
        <f t="shared" si="14"/>
        <v>1017.7635</v>
      </c>
      <c r="AE28" s="51">
        <f t="shared" si="14"/>
        <v>1502.8190999999997</v>
      </c>
      <c r="AF28" s="51">
        <f t="shared" si="14"/>
        <v>2055.15702746223</v>
      </c>
      <c r="AG28" s="51">
        <f t="shared" si="14"/>
        <v>2216.8264293672601</v>
      </c>
      <c r="AH28" s="51">
        <f t="shared" si="14"/>
        <v>2110.569322178008</v>
      </c>
      <c r="AI28" s="51">
        <f t="shared" si="14"/>
        <v>2428.5527316458333</v>
      </c>
      <c r="AJ28" s="51">
        <f t="shared" si="14"/>
        <v>2952.5321948876349</v>
      </c>
      <c r="AK28" s="51">
        <f t="shared" si="14"/>
        <v>2929.2272635823797</v>
      </c>
      <c r="AL28" s="51">
        <f t="shared" si="14"/>
        <v>2865.5712380217315</v>
      </c>
      <c r="AM28" s="51">
        <f t="shared" si="14"/>
        <v>3329.5684016316422</v>
      </c>
      <c r="AN28" s="51">
        <f t="shared" si="14"/>
        <v>3643.0716642257812</v>
      </c>
      <c r="AO28" s="51">
        <f t="shared" si="14"/>
        <v>4392.0148433974837</v>
      </c>
      <c r="AP28" s="51">
        <f t="shared" si="14"/>
        <v>4478.4773812409676</v>
      </c>
      <c r="AQ28" s="51">
        <f t="shared" si="14"/>
        <v>4579.2601228046224</v>
      </c>
      <c r="AR28" s="51">
        <f t="shared" si="14"/>
        <v>4739.5442386063141</v>
      </c>
      <c r="AS28" s="51">
        <f t="shared" si="14"/>
        <v>4541.96446998803</v>
      </c>
      <c r="AT28" s="51">
        <f t="shared" si="14"/>
        <v>4749.5640860790463</v>
      </c>
      <c r="AU28" s="51">
        <f t="shared" si="14"/>
        <v>4851.4218233969423</v>
      </c>
      <c r="AV28" s="51">
        <f t="shared" si="14"/>
        <v>5029.1913287064599</v>
      </c>
      <c r="AW28" s="51">
        <f t="shared" si="14"/>
        <v>4884.1078325793906</v>
      </c>
      <c r="AX28" s="51">
        <f t="shared" si="14"/>
        <v>4937.8668390872708</v>
      </c>
      <c r="AY28" s="51">
        <f t="shared" si="14"/>
        <v>4996.1784788988907</v>
      </c>
      <c r="AZ28" s="51">
        <f t="shared" si="14"/>
        <v>5203.3393397004093</v>
      </c>
      <c r="BA28" s="51">
        <f t="shared" si="14"/>
        <v>5345.6907668825816</v>
      </c>
      <c r="BB28" s="51">
        <f t="shared" si="14"/>
        <v>5266.253611183487</v>
      </c>
      <c r="BC28" s="51">
        <f t="shared" si="14"/>
        <v>5365.7871422247181</v>
      </c>
      <c r="BD28" s="51">
        <f t="shared" si="14"/>
        <v>5481.1259389211955</v>
      </c>
      <c r="BE28" s="51">
        <f t="shared" si="14"/>
        <v>5482.2552702682651</v>
      </c>
      <c r="BF28" s="51">
        <f t="shared" si="14"/>
        <v>5567.3421528843055</v>
      </c>
      <c r="BG28" s="51">
        <f>BG9</f>
        <v>5752.4606189778287</v>
      </c>
    </row>
    <row r="29" spans="1:59" x14ac:dyDescent="0.2">
      <c r="B29" s="41" t="s">
        <v>159</v>
      </c>
      <c r="C29" s="51" t="e">
        <f>C26-C28</f>
        <v>#REF!</v>
      </c>
      <c r="D29" s="51" t="e">
        <f t="shared" ref="D29:BF29" si="15">D26-D28</f>
        <v>#REF!</v>
      </c>
      <c r="E29" s="51" t="e">
        <f t="shared" si="15"/>
        <v>#REF!</v>
      </c>
      <c r="F29" s="51" t="e">
        <f t="shared" si="15"/>
        <v>#REF!</v>
      </c>
      <c r="G29" s="51" t="e">
        <f t="shared" si="15"/>
        <v>#REF!</v>
      </c>
      <c r="H29" s="51" t="e">
        <f t="shared" si="15"/>
        <v>#REF!</v>
      </c>
      <c r="I29" s="51" t="e">
        <f t="shared" si="15"/>
        <v>#REF!</v>
      </c>
      <c r="J29" s="51" t="e">
        <f t="shared" si="15"/>
        <v>#REF!</v>
      </c>
      <c r="K29" s="51" t="e">
        <f t="shared" si="15"/>
        <v>#REF!</v>
      </c>
      <c r="L29" s="51" t="e">
        <f t="shared" si="15"/>
        <v>#REF!</v>
      </c>
      <c r="M29" s="51" t="e">
        <f t="shared" si="15"/>
        <v>#REF!</v>
      </c>
      <c r="N29" s="51" t="e">
        <f t="shared" si="15"/>
        <v>#REF!</v>
      </c>
      <c r="O29" s="51" t="e">
        <f t="shared" si="15"/>
        <v>#REF!</v>
      </c>
      <c r="P29" s="51" t="e">
        <f t="shared" si="15"/>
        <v>#REF!</v>
      </c>
      <c r="Q29" s="51" t="e">
        <f t="shared" si="15"/>
        <v>#REF!</v>
      </c>
      <c r="R29" s="51" t="e">
        <f t="shared" si="15"/>
        <v>#REF!</v>
      </c>
      <c r="S29" s="51" t="e">
        <f t="shared" si="15"/>
        <v>#REF!</v>
      </c>
      <c r="T29" s="51" t="e">
        <f t="shared" si="15"/>
        <v>#REF!</v>
      </c>
      <c r="U29" s="51" t="e">
        <f t="shared" si="15"/>
        <v>#REF!</v>
      </c>
      <c r="V29" s="51" t="e">
        <f t="shared" si="15"/>
        <v>#REF!</v>
      </c>
      <c r="W29" s="51" t="e">
        <f t="shared" si="15"/>
        <v>#REF!</v>
      </c>
      <c r="X29" s="51" t="e">
        <f t="shared" si="15"/>
        <v>#REF!</v>
      </c>
      <c r="Y29" s="51" t="e">
        <f t="shared" si="15"/>
        <v>#REF!</v>
      </c>
      <c r="Z29" s="51" t="e">
        <f t="shared" si="15"/>
        <v>#REF!</v>
      </c>
      <c r="AA29" s="51" t="e">
        <f t="shared" si="15"/>
        <v>#REF!</v>
      </c>
      <c r="AB29" s="51">
        <f t="shared" si="15"/>
        <v>895.32945932160067</v>
      </c>
      <c r="AC29" s="51">
        <f t="shared" si="15"/>
        <v>851.99845547436757</v>
      </c>
      <c r="AD29" s="51">
        <f t="shared" si="15"/>
        <v>634.03156800000011</v>
      </c>
      <c r="AE29" s="51">
        <f t="shared" si="15"/>
        <v>206.7204820000004</v>
      </c>
      <c r="AF29" s="51">
        <f t="shared" si="15"/>
        <v>-30.737688462230153</v>
      </c>
      <c r="AG29" s="51">
        <f t="shared" si="15"/>
        <v>211.53655863274071</v>
      </c>
      <c r="AH29" s="51">
        <f t="shared" si="15"/>
        <v>336.37843149604942</v>
      </c>
      <c r="AI29" s="51">
        <f t="shared" si="15"/>
        <v>151.06708435513747</v>
      </c>
      <c r="AJ29" s="51">
        <f t="shared" si="15"/>
        <v>-47.826707142775831</v>
      </c>
      <c r="AK29" s="51">
        <f t="shared" si="15"/>
        <v>65.174845683913645</v>
      </c>
      <c r="AL29" s="51">
        <f t="shared" si="15"/>
        <v>-0.8262696696765488</v>
      </c>
      <c r="AM29" s="51">
        <f t="shared" si="15"/>
        <v>2.4521497410892152</v>
      </c>
      <c r="AN29" s="51">
        <f t="shared" si="15"/>
        <v>84.836672613113024</v>
      </c>
      <c r="AO29" s="51">
        <f t="shared" si="15"/>
        <v>-119.55993152670726</v>
      </c>
      <c r="AP29" s="51">
        <f t="shared" si="15"/>
        <v>29.446086161804487</v>
      </c>
      <c r="AQ29" s="51">
        <f t="shared" si="15"/>
        <v>35.934419491493827</v>
      </c>
      <c r="AR29" s="51">
        <f t="shared" si="15"/>
        <v>-72.489162901426425</v>
      </c>
      <c r="AS29" s="51">
        <f t="shared" si="15"/>
        <v>180.69538678072968</v>
      </c>
      <c r="AT29" s="51">
        <f t="shared" si="15"/>
        <v>32.564692453178395</v>
      </c>
      <c r="AU29" s="51">
        <f t="shared" si="15"/>
        <v>-21.415712720685406</v>
      </c>
      <c r="AV29" s="51">
        <f t="shared" si="15"/>
        <v>-172.33296769343906</v>
      </c>
      <c r="AW29" s="51">
        <f t="shared" si="15"/>
        <v>81.66558284326311</v>
      </c>
      <c r="AX29" s="51">
        <f t="shared" si="15"/>
        <v>97.843646298656495</v>
      </c>
      <c r="AY29" s="51">
        <f t="shared" si="15"/>
        <v>114.0279430299488</v>
      </c>
      <c r="AZ29" s="51">
        <f t="shared" si="15"/>
        <v>-17.101807196755544</v>
      </c>
      <c r="BA29" s="51">
        <f t="shared" si="15"/>
        <v>-90.541365117508576</v>
      </c>
      <c r="BB29" s="51">
        <f t="shared" si="15"/>
        <v>67.35999855209684</v>
      </c>
      <c r="BC29" s="51">
        <f t="shared" si="15"/>
        <v>41.909469975482352</v>
      </c>
      <c r="BD29" s="51">
        <f t="shared" si="15"/>
        <v>0.52512599415331351</v>
      </c>
      <c r="BE29" s="51">
        <f t="shared" si="15"/>
        <v>78.023664406229727</v>
      </c>
      <c r="BF29" s="51">
        <f t="shared" si="15"/>
        <v>67.665467009339409</v>
      </c>
      <c r="BG29" s="51">
        <f>BG26-BG28</f>
        <v>-38.31923704955534</v>
      </c>
    </row>
    <row r="30" spans="1:59" x14ac:dyDescent="0.2">
      <c r="B30" s="70" t="s">
        <v>86</v>
      </c>
      <c r="C30" s="52" t="e">
        <f>C29-C12</f>
        <v>#REF!</v>
      </c>
      <c r="D30" s="52" t="e">
        <f t="shared" ref="D30:BF30" si="16">D29-D12</f>
        <v>#REF!</v>
      </c>
      <c r="E30" s="52" t="e">
        <f t="shared" si="16"/>
        <v>#REF!</v>
      </c>
      <c r="F30" s="52" t="e">
        <f t="shared" si="16"/>
        <v>#REF!</v>
      </c>
      <c r="G30" s="52" t="e">
        <f t="shared" si="16"/>
        <v>#REF!</v>
      </c>
      <c r="H30" s="52" t="e">
        <f t="shared" si="16"/>
        <v>#REF!</v>
      </c>
      <c r="I30" s="52" t="e">
        <f t="shared" si="16"/>
        <v>#REF!</v>
      </c>
      <c r="J30" s="52" t="e">
        <f t="shared" si="16"/>
        <v>#REF!</v>
      </c>
      <c r="K30" s="52" t="e">
        <f t="shared" si="16"/>
        <v>#REF!</v>
      </c>
      <c r="L30" s="52" t="e">
        <f t="shared" si="16"/>
        <v>#REF!</v>
      </c>
      <c r="M30" s="52" t="e">
        <f t="shared" si="16"/>
        <v>#REF!</v>
      </c>
      <c r="N30" s="52" t="e">
        <f t="shared" si="16"/>
        <v>#REF!</v>
      </c>
      <c r="O30" s="52" t="e">
        <f t="shared" si="16"/>
        <v>#REF!</v>
      </c>
      <c r="P30" s="52" t="e">
        <f t="shared" si="16"/>
        <v>#REF!</v>
      </c>
      <c r="Q30" s="52" t="e">
        <f t="shared" si="16"/>
        <v>#REF!</v>
      </c>
      <c r="R30" s="52" t="e">
        <f t="shared" si="16"/>
        <v>#REF!</v>
      </c>
      <c r="S30" s="52" t="e">
        <f t="shared" si="16"/>
        <v>#REF!</v>
      </c>
      <c r="T30" s="52" t="e">
        <f t="shared" si="16"/>
        <v>#REF!</v>
      </c>
      <c r="U30" s="52" t="e">
        <f t="shared" si="16"/>
        <v>#REF!</v>
      </c>
      <c r="V30" s="52" t="e">
        <f t="shared" si="16"/>
        <v>#REF!</v>
      </c>
      <c r="W30" s="52" t="e">
        <f t="shared" si="16"/>
        <v>#REF!</v>
      </c>
      <c r="X30" s="52" t="e">
        <f t="shared" si="16"/>
        <v>#REF!</v>
      </c>
      <c r="Y30" s="52" t="e">
        <f t="shared" si="16"/>
        <v>#REF!</v>
      </c>
      <c r="Z30" s="52" t="e">
        <f t="shared" si="16"/>
        <v>#REF!</v>
      </c>
      <c r="AA30" s="52" t="e">
        <f t="shared" si="16"/>
        <v>#REF!</v>
      </c>
      <c r="AB30" s="52">
        <f t="shared" si="16"/>
        <v>0</v>
      </c>
      <c r="AC30" s="52">
        <f t="shared" si="16"/>
        <v>0</v>
      </c>
      <c r="AD30" s="52">
        <f t="shared" si="16"/>
        <v>0</v>
      </c>
      <c r="AE30" s="52">
        <f t="shared" si="16"/>
        <v>0</v>
      </c>
      <c r="AF30" s="52">
        <f t="shared" si="16"/>
        <v>0</v>
      </c>
      <c r="AG30" s="52">
        <f t="shared" si="16"/>
        <v>0</v>
      </c>
      <c r="AH30" s="52">
        <f t="shared" si="16"/>
        <v>0</v>
      </c>
      <c r="AI30" s="52">
        <f t="shared" si="16"/>
        <v>0</v>
      </c>
      <c r="AJ30" s="52">
        <f t="shared" si="16"/>
        <v>0</v>
      </c>
      <c r="AK30" s="52">
        <f t="shared" si="16"/>
        <v>0</v>
      </c>
      <c r="AL30" s="52">
        <f t="shared" si="16"/>
        <v>0</v>
      </c>
      <c r="AM30" s="52">
        <f t="shared" si="16"/>
        <v>0</v>
      </c>
      <c r="AN30" s="52">
        <f t="shared" si="16"/>
        <v>0</v>
      </c>
      <c r="AO30" s="52">
        <f t="shared" si="16"/>
        <v>0</v>
      </c>
      <c r="AP30" s="52">
        <f t="shared" si="16"/>
        <v>0</v>
      </c>
      <c r="AQ30" s="52">
        <f t="shared" si="16"/>
        <v>0</v>
      </c>
      <c r="AR30" s="52">
        <f t="shared" si="16"/>
        <v>0</v>
      </c>
      <c r="AS30" s="52">
        <f t="shared" si="16"/>
        <v>0</v>
      </c>
      <c r="AT30" s="52">
        <f t="shared" si="16"/>
        <v>0</v>
      </c>
      <c r="AU30" s="52">
        <f t="shared" si="16"/>
        <v>0</v>
      </c>
      <c r="AV30" s="52">
        <f t="shared" si="16"/>
        <v>0</v>
      </c>
      <c r="AW30" s="52">
        <f t="shared" si="16"/>
        <v>0</v>
      </c>
      <c r="AX30" s="52">
        <f t="shared" si="16"/>
        <v>0</v>
      </c>
      <c r="AY30" s="52">
        <f t="shared" si="16"/>
        <v>0</v>
      </c>
      <c r="AZ30" s="52">
        <f t="shared" si="16"/>
        <v>0</v>
      </c>
      <c r="BA30" s="52">
        <f t="shared" si="16"/>
        <v>0</v>
      </c>
      <c r="BB30" s="52">
        <f t="shared" si="16"/>
        <v>0</v>
      </c>
      <c r="BC30" s="52">
        <f t="shared" si="16"/>
        <v>0</v>
      </c>
      <c r="BD30" s="52">
        <f t="shared" si="16"/>
        <v>0</v>
      </c>
      <c r="BE30" s="52">
        <f t="shared" si="16"/>
        <v>0</v>
      </c>
      <c r="BF30" s="52">
        <f t="shared" si="16"/>
        <v>0</v>
      </c>
      <c r="BG30" s="52">
        <f>BG29-BG12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40B3-DF72-490E-9BC2-9A4F3CB11D2D}">
  <dimension ref="A1:BP30"/>
  <sheetViews>
    <sheetView zoomScaleNormal="100" workbookViewId="0">
      <selection activeCell="M14" sqref="M14"/>
    </sheetView>
  </sheetViews>
  <sheetFormatPr defaultColWidth="9" defaultRowHeight="11.25" x14ac:dyDescent="0.2"/>
  <cols>
    <col min="1" max="1" width="4.1640625" style="41" customWidth="1"/>
    <col min="2" max="2" width="58.33203125" style="41" customWidth="1"/>
    <col min="3" max="27" width="9" style="41" hidden="1" customWidth="1"/>
    <col min="28" max="40" width="9.5" style="41" bestFit="1" customWidth="1"/>
    <col min="41" max="49" width="9" style="41" customWidth="1"/>
    <col min="50" max="16384" width="9" style="41"/>
  </cols>
  <sheetData>
    <row r="1" spans="1:68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</row>
    <row r="2" spans="1:68" ht="12" thickBot="1" x14ac:dyDescent="0.25">
      <c r="A2" s="40"/>
      <c r="B2" s="81" t="s">
        <v>184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</row>
    <row r="3" spans="1:68" ht="12" thickBot="1" x14ac:dyDescent="0.25">
      <c r="A3" s="40"/>
      <c r="B3" s="82"/>
      <c r="C3" s="83">
        <f>SBO!C3</f>
        <v>1994</v>
      </c>
      <c r="D3" s="83">
        <f>SBO!D3</f>
        <v>1995</v>
      </c>
      <c r="E3" s="83">
        <f>SBO!E3</f>
        <v>1996</v>
      </c>
      <c r="F3" s="83">
        <f>SBO!F3</f>
        <v>1997</v>
      </c>
      <c r="G3" s="83">
        <f>SBO!G3</f>
        <v>1998</v>
      </c>
      <c r="H3" s="83">
        <f>SBO!H3</f>
        <v>1999</v>
      </c>
      <c r="I3" s="83">
        <f>SBO!I3</f>
        <v>2000</v>
      </c>
      <c r="J3" s="83">
        <f>SBO!J3</f>
        <v>2001</v>
      </c>
      <c r="K3" s="83">
        <f>SBO!K3</f>
        <v>2002</v>
      </c>
      <c r="L3" s="83">
        <f>SBO!L3</f>
        <v>2003</v>
      </c>
      <c r="M3" s="83">
        <f>SBO!M3</f>
        <v>2004</v>
      </c>
      <c r="N3" s="83">
        <f>SBO!N3</f>
        <v>2005</v>
      </c>
      <c r="O3" s="83">
        <f>SBO!O3</f>
        <v>2006</v>
      </c>
      <c r="P3" s="83">
        <f>SBO!P3</f>
        <v>2007</v>
      </c>
      <c r="Q3" s="83">
        <f>SBO!Q3</f>
        <v>2008</v>
      </c>
      <c r="R3" s="83">
        <f>SBO!R3</f>
        <v>2009</v>
      </c>
      <c r="S3" s="83">
        <f>SBO!S3</f>
        <v>2010</v>
      </c>
      <c r="T3" s="83">
        <f>SBO!T3</f>
        <v>2011</v>
      </c>
      <c r="U3" s="83">
        <f>SBO!U3</f>
        <v>2012</v>
      </c>
      <c r="V3" s="83">
        <f>SBO!V3</f>
        <v>2013</v>
      </c>
      <c r="W3" s="83">
        <f>SBO!W3</f>
        <v>2014</v>
      </c>
      <c r="X3" s="83">
        <f>SBO!X3</f>
        <v>2015</v>
      </c>
      <c r="Y3" s="83">
        <f>SBO!Y3</f>
        <v>2016</v>
      </c>
      <c r="Z3" s="83">
        <f>SBO!Z3</f>
        <v>2017</v>
      </c>
      <c r="AA3" s="83">
        <f>SBO!AA3</f>
        <v>2018</v>
      </c>
      <c r="AB3" s="83">
        <f>SBO!AB3</f>
        <v>2019</v>
      </c>
      <c r="AC3" s="83">
        <f>SBO!AC3</f>
        <v>2020</v>
      </c>
      <c r="AD3" s="83">
        <f>SBO!AD3</f>
        <v>2021</v>
      </c>
      <c r="AE3" s="83">
        <f>SBO!AE3</f>
        <v>2022</v>
      </c>
      <c r="AF3" s="83">
        <f>SBO!AF3</f>
        <v>2023</v>
      </c>
      <c r="AG3" s="83">
        <f>SBO!AG3</f>
        <v>2024</v>
      </c>
      <c r="AH3" s="83">
        <f>SBO!AH3</f>
        <v>2025</v>
      </c>
      <c r="AI3" s="83">
        <f>SBO!AI3</f>
        <v>2026</v>
      </c>
      <c r="AJ3" s="83">
        <f>SBO!AJ3</f>
        <v>2027</v>
      </c>
      <c r="AK3" s="83">
        <f>SBO!AK3</f>
        <v>2028</v>
      </c>
      <c r="AL3" s="83">
        <f>SBO!AL3</f>
        <v>2029</v>
      </c>
      <c r="AM3" s="83">
        <f>SBO!AM3</f>
        <v>2030</v>
      </c>
      <c r="AN3" s="83">
        <f>SBO!AN3</f>
        <v>2031</v>
      </c>
      <c r="AO3" s="83">
        <f>SBO!AO3</f>
        <v>2032</v>
      </c>
      <c r="AP3" s="83">
        <f>SBO!AP3</f>
        <v>2033</v>
      </c>
      <c r="AQ3" s="83">
        <f>SBO!AQ3</f>
        <v>2034</v>
      </c>
      <c r="AR3" s="83">
        <f>SBO!AR3</f>
        <v>2035</v>
      </c>
      <c r="AS3" s="83">
        <f>SBO!AS3</f>
        <v>2036</v>
      </c>
      <c r="AT3" s="83">
        <f>SBO!AT3</f>
        <v>2037</v>
      </c>
      <c r="AU3" s="83">
        <f>SBO!AU3</f>
        <v>2038</v>
      </c>
      <c r="AV3" s="83">
        <f>SBO!AV3</f>
        <v>2039</v>
      </c>
      <c r="AW3" s="83">
        <f>SBO!AW3</f>
        <v>2040</v>
      </c>
      <c r="AX3" s="83">
        <f>SBO!AX3</f>
        <v>2041</v>
      </c>
      <c r="AY3" s="83">
        <f>SBO!AY3</f>
        <v>2042</v>
      </c>
      <c r="AZ3" s="83">
        <f>SBO!AZ3</f>
        <v>2043</v>
      </c>
      <c r="BA3" s="83">
        <f>SBO!BA3</f>
        <v>2044</v>
      </c>
      <c r="BB3" s="83">
        <f>SBO!BB3</f>
        <v>2045</v>
      </c>
      <c r="BC3" s="83">
        <f>SBO!BC3</f>
        <v>2046</v>
      </c>
      <c r="BD3" s="83">
        <f>SBO!BD3</f>
        <v>2047</v>
      </c>
      <c r="BE3" s="83">
        <f>SBO!BE3</f>
        <v>2048</v>
      </c>
      <c r="BF3" s="83">
        <f>SBO!BF3</f>
        <v>2049</v>
      </c>
      <c r="BG3" s="83">
        <f>SBO!BG3</f>
        <v>2050</v>
      </c>
      <c r="BH3" s="40"/>
      <c r="BI3" s="40"/>
      <c r="BJ3" s="40"/>
      <c r="BK3" s="40"/>
      <c r="BL3" s="40"/>
      <c r="BM3" s="40"/>
      <c r="BN3" s="40"/>
      <c r="BO3" s="40"/>
    </row>
    <row r="4" spans="1:68" x14ac:dyDescent="0.2">
      <c r="A4" s="40"/>
      <c r="B4" s="40" t="s">
        <v>70</v>
      </c>
      <c r="C4" s="45">
        <f>'[1]CWG Complex'!B$203</f>
        <v>0</v>
      </c>
      <c r="D4" s="45">
        <f t="shared" ref="D4:AA4" si="0">C15</f>
        <v>0</v>
      </c>
      <c r="E4" s="45">
        <f t="shared" si="0"/>
        <v>0</v>
      </c>
      <c r="F4" s="45">
        <f t="shared" si="0"/>
        <v>0</v>
      </c>
      <c r="G4" s="45">
        <f t="shared" si="0"/>
        <v>0</v>
      </c>
      <c r="H4" s="45">
        <f t="shared" si="0"/>
        <v>0</v>
      </c>
      <c r="I4" s="45">
        <f t="shared" si="0"/>
        <v>0</v>
      </c>
      <c r="J4" s="45">
        <f t="shared" si="0"/>
        <v>0</v>
      </c>
      <c r="K4" s="45">
        <f t="shared" si="0"/>
        <v>0</v>
      </c>
      <c r="L4" s="45">
        <f t="shared" si="0"/>
        <v>0</v>
      </c>
      <c r="M4" s="45">
        <f t="shared" si="0"/>
        <v>10.390979017560001</v>
      </c>
      <c r="N4" s="45">
        <f t="shared" si="0"/>
        <v>8.5963705306200016</v>
      </c>
      <c r="O4" s="45">
        <f t="shared" si="0"/>
        <v>9.6175691834200023</v>
      </c>
      <c r="P4" s="45">
        <f t="shared" si="0"/>
        <v>9.3183105979800001</v>
      </c>
      <c r="Q4" s="45">
        <f t="shared" si="0"/>
        <v>9.970618948080002</v>
      </c>
      <c r="R4" s="45">
        <f t="shared" si="0"/>
        <v>10.156368106080002</v>
      </c>
      <c r="S4" s="45">
        <f t="shared" si="0"/>
        <v>11.336998462580002</v>
      </c>
      <c r="T4" s="45">
        <f t="shared" si="0"/>
        <v>14.250009242919999</v>
      </c>
      <c r="U4" s="45">
        <f t="shared" si="0"/>
        <v>11.257745020879575</v>
      </c>
      <c r="V4" s="45">
        <f t="shared" si="0"/>
        <v>10.66030118216711</v>
      </c>
      <c r="W4" s="45">
        <f t="shared" si="0"/>
        <v>11.017527753700884</v>
      </c>
      <c r="X4" s="45">
        <f t="shared" si="0"/>
        <v>10.93137871471963</v>
      </c>
      <c r="Y4" s="45">
        <f t="shared" si="0"/>
        <v>12.529860800000002</v>
      </c>
      <c r="Z4" s="45">
        <f t="shared" si="0"/>
        <v>13.109335300000001</v>
      </c>
      <c r="AA4" s="45">
        <f t="shared" si="0"/>
        <v>10.607712900000001</v>
      </c>
      <c r="AB4" s="45">
        <f>'[1]CWG Complex'!AB$219</f>
        <v>9.7379999999999995</v>
      </c>
      <c r="AC4" s="45">
        <f>'[1]CWG Complex'!AC$219</f>
        <v>9.577</v>
      </c>
      <c r="AD4" s="45">
        <f>'[1]CWG Complex'!AD$219</f>
        <v>6.3150000000000004</v>
      </c>
      <c r="AE4" s="45">
        <f>'[1]CWG Complex'!AE$219</f>
        <v>6.6539999999999999</v>
      </c>
      <c r="AF4" s="45">
        <f>'[1]CWG Complex'!AF$219</f>
        <v>7.2759999999999998</v>
      </c>
      <c r="AG4" s="45">
        <f>'[1]CWG Complex'!AG$219</f>
        <v>9.84</v>
      </c>
      <c r="AH4" s="45">
        <f>'[1]CWG Complex'!AH$219</f>
        <v>9.6080105754946032</v>
      </c>
      <c r="AI4" s="45">
        <f>'[1]CWG Complex'!AI$219</f>
        <v>10.727931434621837</v>
      </c>
      <c r="AJ4" s="45">
        <f>'[1]CWG Complex'!AJ$219</f>
        <v>12.512487554254392</v>
      </c>
      <c r="AK4" s="45">
        <f>'[1]CWG Complex'!AK$219</f>
        <v>11.226730201486788</v>
      </c>
      <c r="AL4" s="45">
        <f>'[1]CWG Complex'!AL$219</f>
        <v>11.581530888928199</v>
      </c>
      <c r="AM4" s="45">
        <f>'[1]CWG Complex'!AM$219</f>
        <v>13.611611498794588</v>
      </c>
      <c r="AN4" s="45">
        <f>'[1]CWG Complex'!AN$219</f>
        <v>10.339362825015598</v>
      </c>
      <c r="AO4" s="45">
        <f>'[1]CWG Complex'!AO$219</f>
        <v>11.72581678410458</v>
      </c>
      <c r="AP4" s="45">
        <f>'[1]CWG Complex'!AP$219</f>
        <v>11.895358352381209</v>
      </c>
      <c r="AQ4" s="45">
        <f>'[1]CWG Complex'!AQ$219</f>
        <v>12.181703222591096</v>
      </c>
      <c r="AR4" s="45">
        <f>'[1]CWG Complex'!AR$219</f>
        <v>13.721114146732532</v>
      </c>
      <c r="AS4" s="45">
        <f>'[1]CWG Complex'!AS$219</f>
        <v>14.552785889565456</v>
      </c>
      <c r="AT4" s="45">
        <f>'[1]CWG Complex'!AT$219</f>
        <v>11.288010259967621</v>
      </c>
      <c r="AU4" s="45">
        <f>'[1]CWG Complex'!AU$219</f>
        <v>10.136479229576622</v>
      </c>
      <c r="AV4" s="45">
        <f>'[1]CWG Complex'!AV$219</f>
        <v>10.251426255539769</v>
      </c>
      <c r="AW4" s="45">
        <f>'[1]CWG Complex'!AW$219</f>
        <v>12.920536367676675</v>
      </c>
      <c r="AX4" s="45">
        <f>'[1]CWG Complex'!AX$219</f>
        <v>13.510918692794633</v>
      </c>
      <c r="AY4" s="45">
        <f>'[1]CWG Complex'!AY$219</f>
        <v>11.134964104676754</v>
      </c>
      <c r="AZ4" s="45">
        <f>'[1]CWG Complex'!AZ$219</f>
        <v>12.105053626827441</v>
      </c>
      <c r="BA4" s="45">
        <f>'[1]CWG Complex'!BA$219</f>
        <v>16.532555408453703</v>
      </c>
      <c r="BB4" s="45">
        <f>'[1]CWG Complex'!BB$219</f>
        <v>14.03018781405234</v>
      </c>
      <c r="BC4" s="45">
        <f>'[1]CWG Complex'!BC$219</f>
        <v>13.110200808570823</v>
      </c>
      <c r="BD4" s="45">
        <f>'[1]CWG Complex'!BD$219</f>
        <v>12.367362885797576</v>
      </c>
      <c r="BE4" s="45">
        <f>'[1]CWG Complex'!BE$219</f>
        <v>10.755579959791504</v>
      </c>
      <c r="BF4" s="45">
        <f>'[1]CWG Complex'!BF$219</f>
        <v>11.966728807854395</v>
      </c>
      <c r="BG4" s="45">
        <f>'[1]CWG Complex'!BG$219</f>
        <v>10.919325545678078</v>
      </c>
      <c r="BH4" s="40"/>
      <c r="BI4" s="40"/>
      <c r="BJ4" s="40"/>
      <c r="BK4" s="40"/>
      <c r="BL4" s="40"/>
      <c r="BM4" s="40"/>
      <c r="BN4" s="40"/>
      <c r="BO4" s="40"/>
    </row>
    <row r="5" spans="1:68" x14ac:dyDescent="0.2">
      <c r="A5" s="40"/>
      <c r="B5" s="40" t="s">
        <v>71</v>
      </c>
      <c r="C5" s="45">
        <f>SUM('[1]CWG Complex'!B$28:B$36,'[1]CWG Complex'!C$25:C$27)</f>
        <v>1100.1078877703635</v>
      </c>
      <c r="D5" s="45">
        <f>SUM('[1]CWG Complex'!C$28:C$36,'[1]CWG Complex'!D$25:D$27)</f>
        <v>1095.7499895453107</v>
      </c>
      <c r="E5" s="45">
        <f>SUM('[1]CWG Complex'!D$28:D$36,'[1]CWG Complex'!E$25:E$27)</f>
        <v>1029.6187012170694</v>
      </c>
      <c r="F5" s="45">
        <f>SUM('[1]CWG Complex'!E$28:E$36,'[1]CWG Complex'!F$25:F$27)</f>
        <v>1006.4939866315306</v>
      </c>
      <c r="G5" s="45">
        <f>SUM('[1]CWG Complex'!F$28:F$36,'[1]CWG Complex'!G$25:G$27)</f>
        <v>1086.6534391066389</v>
      </c>
      <c r="H5" s="45">
        <f>SUM('[1]CWG Complex'!G$28:G$36,'[1]CWG Complex'!H$25:H$27)</f>
        <v>1178.7325253333763</v>
      </c>
      <c r="I5" s="45">
        <f>SUM('[1]CWG Complex'!H$28:H$36,'[1]CWG Complex'!I$25:I$27)</f>
        <v>971.74617490258277</v>
      </c>
      <c r="J5" s="45">
        <f>SUM('[1]CWG Complex'!I$28:I$36,'[1]CWG Complex'!J$25:J$27)</f>
        <v>911.25406545079159</v>
      </c>
      <c r="K5" s="45">
        <f>SUM('[1]CWG Complex'!J$28:J$36,'[1]CWG Complex'!K$25:K$27)</f>
        <v>1015.0706985556151</v>
      </c>
      <c r="L5" s="45">
        <f>SUM('[1]CWG Complex'!K$28:K$36,'[1]CWG Complex'!L$25:L$27)</f>
        <v>1250.0999999999997</v>
      </c>
      <c r="M5" s="45">
        <f>SUM('[1]CWG Complex'!L$28:L$36,'[1]CWG Complex'!M$25:M$27)</f>
        <v>1143.5</v>
      </c>
      <c r="N5" s="45">
        <f>SUM('[1]CWG Complex'!M$28:M$36,'[1]CWG Complex'!N$25:N$27)</f>
        <v>1208.8</v>
      </c>
      <c r="O5" s="45">
        <f>SUM('[1]CWG Complex'!N$28:N$36,'[1]CWG Complex'!O$25:O$27)</f>
        <v>1222.8000000000002</v>
      </c>
      <c r="P5" s="45">
        <f>SUM('[1]CWG Complex'!O$28:O$36,'[1]CWG Complex'!P$25:P$27)</f>
        <v>1276.5</v>
      </c>
      <c r="Q5" s="45">
        <f>SUM('[1]CWG Complex'!P$28:P$36,'[1]CWG Complex'!Q$25:Q$27)</f>
        <v>1104.8000000000002</v>
      </c>
      <c r="R5" s="45">
        <f>SUM('[1]CWG Complex'!Q$28:Q$36,'[1]CWG Complex'!R$25:R$27)</f>
        <v>1212.7000000000003</v>
      </c>
      <c r="S5" s="45">
        <f>SUM('[1]CWG Complex'!R$28:R$36,'[1]CWG Complex'!S$25:S$27)</f>
        <v>1319.3609200000001</v>
      </c>
      <c r="T5" s="45">
        <f>SUM('[1]CWG Complex'!S$28:S$36,'[1]CWG Complex'!T$25:T$27)</f>
        <v>1329.2422004683938</v>
      </c>
      <c r="U5" s="45">
        <f>SUM('[1]CWG Complex'!T$28:T$36,'[1]CWG Complex'!U$25:U$27)</f>
        <v>1278.5897927844983</v>
      </c>
      <c r="V5" s="45">
        <f>SUM('[1]CWG Complex'!U$28:U$36,'[1]CWG Complex'!V$25:V$27)</f>
        <v>1285.383029811878</v>
      </c>
      <c r="W5" s="45">
        <f>SUM('[1]CWG Complex'!V$28:V$36,'[1]CWG Complex'!W$25:W$27)</f>
        <v>1218.5424541633595</v>
      </c>
      <c r="X5" s="45">
        <f>SUM('[1]CWG Complex'!W$28:W$36,'[1]CWG Complex'!X$25:X$27)</f>
        <v>1358.6777212412253</v>
      </c>
      <c r="Y5" s="45">
        <f>SUM('[1]CWG Complex'!X$28:X$36,'[1]CWG Complex'!Y$25:Y$27)</f>
        <v>1367.5</v>
      </c>
      <c r="Z5" s="45">
        <f>SUM('[1]CWG Complex'!Y$28:Y$36,'[1]CWG Complex'!Z$25:Z$27)</f>
        <v>1305.7460000000001</v>
      </c>
      <c r="AA5" s="45">
        <f>SUM('[1]CWG Complex'!Z$28:Z$36,'[1]CWG Complex'!AA$25:AA$27)</f>
        <v>1294.953</v>
      </c>
      <c r="AB5" s="45">
        <f>SUM('[1]CWG Complex'!AA$28:AA$36,'[1]CWG Complex'!AB$25:AB$27)</f>
        <v>1346.7730000000004</v>
      </c>
      <c r="AC5" s="45">
        <f>SUM('[1]CWG Complex'!AB$28:AB$36,'[1]CWG Complex'!AC$25:AC$27)</f>
        <v>1315.174</v>
      </c>
      <c r="AD5" s="45">
        <f>SUM('[1]CWG Complex'!AC$28:AC$36,'[1]CWG Complex'!AD$25:AD$27)</f>
        <v>1247.52</v>
      </c>
      <c r="AE5" s="45">
        <f>SUM('[1]CWG Complex'!AD$28:AD$36,'[1]CWG Complex'!AE$25:AE$27)</f>
        <v>1361.057</v>
      </c>
      <c r="AF5" s="45">
        <f>SUM('[1]CWG Complex'!AE$28:AE$36,'[1]CWG Complex'!AF$25:AF$27)</f>
        <v>1336.88</v>
      </c>
      <c r="AG5" s="45">
        <f>SUM('[1]CWG Complex'!AF$28:AF$36,'[1]CWG Complex'!AG$25:AG$27)</f>
        <v>1233.6860000000001</v>
      </c>
      <c r="AH5" s="45">
        <f>SUM('[1]CWG Complex'!AG$28:AG$36,'[1]CWG Complex'!AH$25:AH$27)</f>
        <v>1334.6513796127281</v>
      </c>
      <c r="AI5" s="45">
        <f>SUM('[1]CWG Complex'!AH$28:AH$36,'[1]CWG Complex'!AI$25:AI$27)</f>
        <v>1385.8526293029565</v>
      </c>
      <c r="AJ5" s="45">
        <f>SUM('[1]CWG Complex'!AI$28:AI$36,'[1]CWG Complex'!AJ$25:AJ$27)</f>
        <v>1412.2332147810912</v>
      </c>
      <c r="AK5" s="45">
        <f>SUM('[1]CWG Complex'!AJ$28:AJ$36,'[1]CWG Complex'!AK$25:AK$27)</f>
        <v>1426.6840516423506</v>
      </c>
      <c r="AL5" s="45">
        <f>SUM('[1]CWG Complex'!AK$28:AK$36,'[1]CWG Complex'!AL$25:AL$27)</f>
        <v>1449.618587287689</v>
      </c>
      <c r="AM5" s="45">
        <f>SUM('[1]CWG Complex'!AL$28:AL$36,'[1]CWG Complex'!AM$25:AM$27)</f>
        <v>1471.5580943823018</v>
      </c>
      <c r="AN5" s="45">
        <f>SUM('[1]CWG Complex'!AM$28:AM$36,'[1]CWG Complex'!AN$25:AN$27)</f>
        <v>1492.6097677964221</v>
      </c>
      <c r="AO5" s="45">
        <f>SUM('[1]CWG Complex'!AN$28:AN$36,'[1]CWG Complex'!AO$25:AO$27)</f>
        <v>1510.2976904527038</v>
      </c>
      <c r="AP5" s="45">
        <f>SUM('[1]CWG Complex'!AO$28:AO$36,'[1]CWG Complex'!AP$25:AP$27)</f>
        <v>1521.0022877434183</v>
      </c>
      <c r="AQ5" s="45">
        <f>SUM('[1]CWG Complex'!AP$28:AP$36,'[1]CWG Complex'!AQ$25:AQ$27)</f>
        <v>1534.2311418793188</v>
      </c>
      <c r="AR5" s="45">
        <f>SUM('[1]CWG Complex'!AQ$28:AQ$36,'[1]CWG Complex'!AR$25:AR$27)</f>
        <v>1548.300470158599</v>
      </c>
      <c r="AS5" s="45">
        <f>SUM('[1]CWG Complex'!AR$28:AR$36,'[1]CWG Complex'!AS$25:AS$27)</f>
        <v>1563.471325771269</v>
      </c>
      <c r="AT5" s="45">
        <f>SUM('[1]CWG Complex'!AS$28:AS$36,'[1]CWG Complex'!AT$25:AT$27)</f>
        <v>1580.2470207420924</v>
      </c>
      <c r="AU5" s="45">
        <f>SUM('[1]CWG Complex'!AT$28:AT$36,'[1]CWG Complex'!AU$25:AU$27)</f>
        <v>1601.6055575377131</v>
      </c>
      <c r="AV5" s="45">
        <f>SUM('[1]CWG Complex'!AU$28:AU$36,'[1]CWG Complex'!AV$25:AV$27)</f>
        <v>1625.0342806329159</v>
      </c>
      <c r="AW5" s="45">
        <f>SUM('[1]CWG Complex'!AV$28:AV$36,'[1]CWG Complex'!AW$25:AW$27)</f>
        <v>1642.6079449056549</v>
      </c>
      <c r="AX5" s="45">
        <f>SUM('[1]CWG Complex'!AW$28:AW$36,'[1]CWG Complex'!AX$25:AX$27)</f>
        <v>1659.3779581103574</v>
      </c>
      <c r="AY5" s="45">
        <f>SUM('[1]CWG Complex'!AX$28:AX$36,'[1]CWG Complex'!AY$25:AY$27)</f>
        <v>1677.859027492286</v>
      </c>
      <c r="AZ5" s="45">
        <f>SUM('[1]CWG Complex'!AY$28:AY$36,'[1]CWG Complex'!AZ$25:AZ$27)</f>
        <v>1693.7899838896203</v>
      </c>
      <c r="BA5" s="45">
        <f>SUM('[1]CWG Complex'!AZ$28:AZ$36,'[1]CWG Complex'!BA$25:BA$27)</f>
        <v>1709.9863704648194</v>
      </c>
      <c r="BB5" s="45">
        <f>SUM('[1]CWG Complex'!BA$28:BA$36,'[1]CWG Complex'!BB$25:BB$27)</f>
        <v>1726.5044227631211</v>
      </c>
      <c r="BC5" s="45">
        <f>SUM('[1]CWG Complex'!BB$28:BB$36,'[1]CWG Complex'!BC$25:BC$27)</f>
        <v>1743.1451518244176</v>
      </c>
      <c r="BD5" s="45">
        <f>SUM('[1]CWG Complex'!BC$28:BC$36,'[1]CWG Complex'!BD$25:BD$27)</f>
        <v>1760.04488401345</v>
      </c>
      <c r="BE5" s="45">
        <f>SUM('[1]CWG Complex'!BD$28:BD$36,'[1]CWG Complex'!BE$25:BE$27)</f>
        <v>1777.5065371814701</v>
      </c>
      <c r="BF5" s="45">
        <f>SUM('[1]CWG Complex'!BE$28:BE$36,'[1]CWG Complex'!BF$25:BF$27)</f>
        <v>1795.6395212648135</v>
      </c>
      <c r="BG5" s="45">
        <f>SUM('[1]CWG Complex'!BF$28:BF$36,'[1]CWG Complex'!BG$25:BG$27)</f>
        <v>1814.2114038611248</v>
      </c>
      <c r="BH5" s="40"/>
      <c r="BI5" s="40"/>
      <c r="BJ5" s="40"/>
      <c r="BK5" s="40"/>
      <c r="BL5" s="40"/>
      <c r="BM5" s="40"/>
      <c r="BN5" s="40"/>
      <c r="BO5" s="40"/>
      <c r="BP5" s="41" t="s">
        <v>185</v>
      </c>
    </row>
    <row r="6" spans="1:68" x14ac:dyDescent="0.2">
      <c r="A6" s="40"/>
      <c r="B6" s="40" t="s">
        <v>72</v>
      </c>
      <c r="C6" s="45">
        <f>SUM('[1]CWG Complex'!B$44:B$52,'[1]CWG Complex'!C$41:C$43)</f>
        <v>4.4974288799999998E-2</v>
      </c>
      <c r="D6" s="45">
        <f>SUM('[1]CWG Complex'!C$44:C$52,'[1]CWG Complex'!D$41:D$43)</f>
        <v>0.53616407039999991</v>
      </c>
      <c r="E6" s="45">
        <f>SUM('[1]CWG Complex'!D$44:D$52,'[1]CWG Complex'!E$41:E$43)</f>
        <v>8.9948577599999996E-2</v>
      </c>
      <c r="F6" s="45">
        <f>SUM('[1]CWG Complex'!E$44:E$52,'[1]CWG Complex'!F$41:F$43)</f>
        <v>0</v>
      </c>
      <c r="G6" s="45">
        <f>SUM('[1]CWG Complex'!F$44:F$52,'[1]CWG Complex'!G$41:G$43)</f>
        <v>0</v>
      </c>
      <c r="H6" s="45">
        <f>SUM('[1]CWG Complex'!G$44:G$52,'[1]CWG Complex'!H$41:H$43)</f>
        <v>4.6297062E-2</v>
      </c>
      <c r="I6" s="45">
        <f>SUM('[1]CWG Complex'!H$44:H$52,'[1]CWG Complex'!I$41:I$43)</f>
        <v>3.0864707999999994E-3</v>
      </c>
      <c r="J6" s="45">
        <f>SUM('[1]CWG Complex'!I$44:I$52,'[1]CWG Complex'!J$41:J$43)</f>
        <v>0</v>
      </c>
      <c r="K6" s="45">
        <f>SUM('[1]CWG Complex'!J$44:J$52,'[1]CWG Complex'!K$41:K$43)</f>
        <v>2.8880548200000002E-2</v>
      </c>
      <c r="L6" s="45">
        <f>SUM('[1]CWG Complex'!K$44:K$52,'[1]CWG Complex'!L$41:L$43)</f>
        <v>0.85627518479999987</v>
      </c>
      <c r="M6" s="45">
        <f>SUM('[1]CWG Complex'!L$44:L$52,'[1]CWG Complex'!M$41:M$43)</f>
        <v>0.63581298479999993</v>
      </c>
      <c r="N6" s="45">
        <f>SUM('[1]CWG Complex'!M$44:M$52,'[1]CWG Complex'!N$41:N$43)</f>
        <v>3.2593131648</v>
      </c>
      <c r="O6" s="45">
        <f>SUM('[1]CWG Complex'!N$44:N$52,'[1]CWG Complex'!O$41:O$43)</f>
        <v>2.8144204451999997</v>
      </c>
      <c r="P6" s="45">
        <f>SUM('[1]CWG Complex'!O$44:O$52,'[1]CWG Complex'!P$41:P$43)</f>
        <v>6.0250114637999994</v>
      </c>
      <c r="Q6" s="45">
        <f>SUM('[1]CWG Complex'!P$44:P$52,'[1]CWG Complex'!Q$41:Q$43)</f>
        <v>13.480381681199999</v>
      </c>
      <c r="R6" s="45">
        <f>SUM('[1]CWG Complex'!Q$44:Q$52,'[1]CWG Complex'!R$41:R$43)</f>
        <v>11.888865059399999</v>
      </c>
      <c r="S6" s="45">
        <f>SUM('[1]CWG Complex'!R$44:R$52,'[1]CWG Complex'!S$41:S$43)</f>
        <v>4.8290040287999991</v>
      </c>
      <c r="T6" s="45">
        <f>SUM('[1]CWG Complex'!S$44:S$52,'[1]CWG Complex'!T$41:T$43)</f>
        <v>8.4108533921999982</v>
      </c>
      <c r="U6" s="45">
        <f>SUM('[1]CWG Complex'!T$44:T$52,'[1]CWG Complex'!U$41:U$43)</f>
        <v>24.623255</v>
      </c>
      <c r="V6" s="45">
        <f>SUM('[1]CWG Complex'!U$44:U$52,'[1]CWG Complex'!V$41:V$43)</f>
        <v>33.816410000000005</v>
      </c>
      <c r="W6" s="45">
        <f>SUM('[1]CWG Complex'!V$44:V$52,'[1]CWG Complex'!W$41:W$43)</f>
        <v>29.699380999999999</v>
      </c>
      <c r="X6" s="45">
        <f>SUM('[1]CWG Complex'!W$44:W$52,'[1]CWG Complex'!X$41:X$43)</f>
        <v>61.633090999999993</v>
      </c>
      <c r="Y6" s="45">
        <f>SUM('[1]CWG Complex'!X$44:X$52,'[1]CWG Complex'!Y$41:Y$43)</f>
        <v>53.159205999999998</v>
      </c>
      <c r="Z6" s="45">
        <f>SUM('[1]CWG Complex'!Y$44:Y$52,'[1]CWG Complex'!Z$41:Z$43)</f>
        <v>46.721240000000009</v>
      </c>
      <c r="AA6" s="45">
        <f>SUM('[1]CWG Complex'!Z$44:Z$52,'[1]CWG Complex'!AA$41:AA$43)</f>
        <v>63.810969999999998</v>
      </c>
      <c r="AB6" s="45">
        <f>SUM('[1]CWG Complex'!AA$44:AA$52,'[1]CWG Complex'!AB$41:AB$43)</f>
        <v>46.149993999999992</v>
      </c>
      <c r="AC6" s="45">
        <f>SUM('[1]CWG Complex'!AB$44:AB$52,'[1]CWG Complex'!AC$41:AC$43)</f>
        <v>39.288261851740003</v>
      </c>
      <c r="AD6" s="45">
        <f>SUM('[1]CWG Complex'!AC$44:AC$52,'[1]CWG Complex'!AD$41:AD$43)</f>
        <v>49.940307477520008</v>
      </c>
      <c r="AE6" s="45">
        <f>SUM('[1]CWG Complex'!AD$44:AD$52,'[1]CWG Complex'!AE$41:AE$43)</f>
        <v>77.679420000000007</v>
      </c>
      <c r="AF6" s="45">
        <f>SUM('[1]CWG Complex'!AE$44:AE$52,'[1]CWG Complex'!AF$41:AF$43)</f>
        <v>121.97738800000002</v>
      </c>
      <c r="AG6" s="45">
        <f>SUM('[1]CWG Complex'!AF$44:AF$52,'[1]CWG Complex'!AG$41:AG$43)</f>
        <v>169.27192291858</v>
      </c>
      <c r="AH6" s="45">
        <f>SUM('[1]CWG Complex'!AG$44:AG$52,'[1]CWG Complex'!AH$41:AH$43)</f>
        <v>171.52212645518668</v>
      </c>
      <c r="AI6" s="45">
        <f>SUM('[1]CWG Complex'!AH$44:AH$52,'[1]CWG Complex'!AI$41:AI$43)</f>
        <v>161.62017773579805</v>
      </c>
      <c r="AJ6" s="45">
        <f>SUM('[1]CWG Complex'!AI$44:AI$52,'[1]CWG Complex'!AJ$41:AJ$43)</f>
        <v>269.00824417344717</v>
      </c>
      <c r="AK6" s="45">
        <f>SUM('[1]CWG Complex'!AJ$44:AJ$52,'[1]CWG Complex'!AK$41:AK$43)</f>
        <v>291.63559438072207</v>
      </c>
      <c r="AL6" s="45">
        <f>SUM('[1]CWG Complex'!AK$44:AK$52,'[1]CWG Complex'!AL$41:AL$43)</f>
        <v>298.24883836960106</v>
      </c>
      <c r="AM6" s="45">
        <f>SUM('[1]CWG Complex'!AL$44:AL$52,'[1]CWG Complex'!AM$41:AM$43)</f>
        <v>485.17030080508772</v>
      </c>
      <c r="AN6" s="45">
        <f>SUM('[1]CWG Complex'!AM$44:AM$52,'[1]CWG Complex'!AN$41:AN$43)</f>
        <v>702.11135125411442</v>
      </c>
      <c r="AO6" s="45">
        <f>SUM('[1]CWG Complex'!AN$44:AN$52,'[1]CWG Complex'!AO$41:AO$43)</f>
        <v>834.40786176615984</v>
      </c>
      <c r="AP6" s="45">
        <f>SUM('[1]CWG Complex'!AO$44:AO$52,'[1]CWG Complex'!AP$41:AP$43)</f>
        <v>819.96612448695407</v>
      </c>
      <c r="AQ6" s="45">
        <f>SUM('[1]CWG Complex'!AP$44:AP$52,'[1]CWG Complex'!AQ$41:AQ$43)</f>
        <v>563.21020974986948</v>
      </c>
      <c r="AR6" s="45">
        <f>SUM('[1]CWG Complex'!AQ$44:AQ$52,'[1]CWG Complex'!AR$41:AR$43)</f>
        <v>564.87254980569105</v>
      </c>
      <c r="AS6" s="45">
        <f>SUM('[1]CWG Complex'!AR$44:AR$52,'[1]CWG Complex'!AS$41:AS$43)</f>
        <v>465.77975804337825</v>
      </c>
      <c r="AT6" s="45">
        <f>SUM('[1]CWG Complex'!AS$44:AS$52,'[1]CWG Complex'!AT$41:AT$43)</f>
        <v>549.08586559435378</v>
      </c>
      <c r="AU6" s="45">
        <f>SUM('[1]CWG Complex'!AT$44:AT$52,'[1]CWG Complex'!AU$41:AU$43)</f>
        <v>648.59934331115892</v>
      </c>
      <c r="AV6" s="45">
        <f>SUM('[1]CWG Complex'!AU$44:AU$52,'[1]CWG Complex'!AV$41:AV$43)</f>
        <v>616.93038757754005</v>
      </c>
      <c r="AW6" s="45">
        <f>SUM('[1]CWG Complex'!AV$44:AV$52,'[1]CWG Complex'!AW$41:AW$43)</f>
        <v>510.99248819390129</v>
      </c>
      <c r="AX6" s="45">
        <f>SUM('[1]CWG Complex'!AW$44:AW$52,'[1]CWG Complex'!AX$41:AX$43)</f>
        <v>522.34069567755228</v>
      </c>
      <c r="AY6" s="45">
        <f>SUM('[1]CWG Complex'!AX$44:AX$52,'[1]CWG Complex'!AY$41:AY$43)</f>
        <v>561.51379233451212</v>
      </c>
      <c r="AZ6" s="45">
        <f>SUM('[1]CWG Complex'!AY$44:AY$52,'[1]CWG Complex'!AZ$41:AZ$43)</f>
        <v>605.01810793980997</v>
      </c>
      <c r="BA6" s="45">
        <f>SUM('[1]CWG Complex'!AZ$44:AZ$52,'[1]CWG Complex'!BA$41:BA$43)</f>
        <v>601.81706529598318</v>
      </c>
      <c r="BB6" s="45">
        <f>SUM('[1]CWG Complex'!BA$44:BA$52,'[1]CWG Complex'!BB$41:BB$43)</f>
        <v>582.7065796147574</v>
      </c>
      <c r="BC6" s="45">
        <f>SUM('[1]CWG Complex'!BB$44:BB$52,'[1]CWG Complex'!BC$41:BC$43)</f>
        <v>560.22093594172281</v>
      </c>
      <c r="BD6" s="45">
        <f>SUM('[1]CWG Complex'!BC$44:BC$52,'[1]CWG Complex'!BD$41:BD$43)</f>
        <v>580.00416826988737</v>
      </c>
      <c r="BE6" s="45">
        <f>SUM('[1]CWG Complex'!BD$44:BD$52,'[1]CWG Complex'!BE$41:BE$43)</f>
        <v>577.90506625699516</v>
      </c>
      <c r="BF6" s="45">
        <f>SUM('[1]CWG Complex'!BE$44:BE$52,'[1]CWG Complex'!BF$41:BF$43)</f>
        <v>572.09421259135615</v>
      </c>
      <c r="BG6" s="45">
        <f>SUM('[1]CWG Complex'!BF$44:BF$52,'[1]CWG Complex'!BG$41:BG$43)</f>
        <v>573.71494478638533</v>
      </c>
      <c r="BH6" s="40"/>
      <c r="BI6" s="40"/>
      <c r="BJ6" s="40"/>
      <c r="BK6" s="40"/>
      <c r="BL6" s="40"/>
      <c r="BM6" s="40"/>
      <c r="BN6" s="40"/>
      <c r="BO6" s="40"/>
    </row>
    <row r="7" spans="1:68" x14ac:dyDescent="0.2">
      <c r="A7" s="40"/>
      <c r="B7" s="84" t="s">
        <v>73</v>
      </c>
      <c r="C7" s="85">
        <f>SUM(C4:C6)</f>
        <v>1100.1528620591635</v>
      </c>
      <c r="D7" s="85">
        <f t="shared" ref="D7:BG7" si="1">SUM(D4:D6)</f>
        <v>1096.2861536157106</v>
      </c>
      <c r="E7" s="85">
        <f t="shared" si="1"/>
        <v>1029.7086497946693</v>
      </c>
      <c r="F7" s="85">
        <f t="shared" si="1"/>
        <v>1006.4939866315306</v>
      </c>
      <c r="G7" s="85">
        <f t="shared" si="1"/>
        <v>1086.6534391066389</v>
      </c>
      <c r="H7" s="85">
        <f t="shared" si="1"/>
        <v>1178.7788223953762</v>
      </c>
      <c r="I7" s="85">
        <f t="shared" si="1"/>
        <v>971.74926137338275</v>
      </c>
      <c r="J7" s="85">
        <f t="shared" si="1"/>
        <v>911.25406545079159</v>
      </c>
      <c r="K7" s="85">
        <f t="shared" si="1"/>
        <v>1015.0995791038151</v>
      </c>
      <c r="L7" s="85">
        <f t="shared" si="1"/>
        <v>1250.9562751847998</v>
      </c>
      <c r="M7" s="85">
        <f t="shared" si="1"/>
        <v>1154.52679200236</v>
      </c>
      <c r="N7" s="85">
        <f t="shared" si="1"/>
        <v>1220.6556836954201</v>
      </c>
      <c r="O7" s="85">
        <f t="shared" si="1"/>
        <v>1235.2319896286203</v>
      </c>
      <c r="P7" s="85">
        <f t="shared" si="1"/>
        <v>1291.8433220617799</v>
      </c>
      <c r="Q7" s="85">
        <f t="shared" si="1"/>
        <v>1128.2510006292803</v>
      </c>
      <c r="R7" s="85">
        <f t="shared" si="1"/>
        <v>1234.7452331654802</v>
      </c>
      <c r="S7" s="85">
        <f t="shared" si="1"/>
        <v>1335.52692249138</v>
      </c>
      <c r="T7" s="85">
        <f t="shared" si="1"/>
        <v>1351.9030631035137</v>
      </c>
      <c r="U7" s="85">
        <f t="shared" si="1"/>
        <v>1314.4707928053779</v>
      </c>
      <c r="V7" s="85">
        <f t="shared" si="1"/>
        <v>1329.8597409940451</v>
      </c>
      <c r="W7" s="85">
        <f t="shared" si="1"/>
        <v>1259.2593629170603</v>
      </c>
      <c r="X7" s="85">
        <f t="shared" si="1"/>
        <v>1431.2421909559448</v>
      </c>
      <c r="Y7" s="85">
        <f t="shared" si="1"/>
        <v>1433.1890668000001</v>
      </c>
      <c r="Z7" s="85">
        <f t="shared" si="1"/>
        <v>1365.5765753000003</v>
      </c>
      <c r="AA7" s="85">
        <f t="shared" si="1"/>
        <v>1369.3716829</v>
      </c>
      <c r="AB7" s="85">
        <f t="shared" si="1"/>
        <v>1402.6609940000003</v>
      </c>
      <c r="AC7" s="85">
        <f t="shared" si="1"/>
        <v>1364.0392618517399</v>
      </c>
      <c r="AD7" s="85">
        <f t="shared" si="1"/>
        <v>1303.7753074775201</v>
      </c>
      <c r="AE7" s="85">
        <f t="shared" si="1"/>
        <v>1445.3904199999999</v>
      </c>
      <c r="AF7" s="85">
        <f t="shared" si="1"/>
        <v>1466.1333880000002</v>
      </c>
      <c r="AG7" s="85">
        <f t="shared" si="1"/>
        <v>1412.7979229185801</v>
      </c>
      <c r="AH7" s="85">
        <f t="shared" si="1"/>
        <v>1515.7815166434093</v>
      </c>
      <c r="AI7" s="85">
        <f t="shared" si="1"/>
        <v>1558.2007384733763</v>
      </c>
      <c r="AJ7" s="85">
        <f t="shared" si="1"/>
        <v>1693.7539465087928</v>
      </c>
      <c r="AK7" s="85">
        <f t="shared" si="1"/>
        <v>1729.5463762245595</v>
      </c>
      <c r="AL7" s="85">
        <f t="shared" si="1"/>
        <v>1759.4489565462184</v>
      </c>
      <c r="AM7" s="85">
        <f t="shared" si="1"/>
        <v>1970.3400066861841</v>
      </c>
      <c r="AN7" s="85">
        <f t="shared" si="1"/>
        <v>2205.0604818755519</v>
      </c>
      <c r="AO7" s="85">
        <f t="shared" si="1"/>
        <v>2356.4313690029685</v>
      </c>
      <c r="AP7" s="85">
        <f t="shared" si="1"/>
        <v>2352.8637705827537</v>
      </c>
      <c r="AQ7" s="85">
        <f t="shared" si="1"/>
        <v>2109.6230548517792</v>
      </c>
      <c r="AR7" s="85">
        <f t="shared" si="1"/>
        <v>2126.8941341110226</v>
      </c>
      <c r="AS7" s="85">
        <f t="shared" si="1"/>
        <v>2043.8038697042127</v>
      </c>
      <c r="AT7" s="85">
        <f t="shared" si="1"/>
        <v>2140.6208965964138</v>
      </c>
      <c r="AU7" s="85">
        <f t="shared" si="1"/>
        <v>2260.3413800784488</v>
      </c>
      <c r="AV7" s="85">
        <f t="shared" si="1"/>
        <v>2252.2160944659959</v>
      </c>
      <c r="AW7" s="85">
        <f t="shared" si="1"/>
        <v>2166.520969467233</v>
      </c>
      <c r="AX7" s="85">
        <f t="shared" si="1"/>
        <v>2195.2295724807045</v>
      </c>
      <c r="AY7" s="85">
        <f t="shared" si="1"/>
        <v>2250.5077839314749</v>
      </c>
      <c r="AZ7" s="85">
        <f t="shared" si="1"/>
        <v>2310.9131454562576</v>
      </c>
      <c r="BA7" s="85">
        <f t="shared" si="1"/>
        <v>2328.335991169256</v>
      </c>
      <c r="BB7" s="85">
        <f t="shared" si="1"/>
        <v>2323.2411901919309</v>
      </c>
      <c r="BC7" s="85">
        <f t="shared" si="1"/>
        <v>2316.4762885747114</v>
      </c>
      <c r="BD7" s="85">
        <f t="shared" si="1"/>
        <v>2352.4164151691348</v>
      </c>
      <c r="BE7" s="85">
        <f t="shared" si="1"/>
        <v>2366.1671833982568</v>
      </c>
      <c r="BF7" s="85">
        <f t="shared" si="1"/>
        <v>2379.7004626640241</v>
      </c>
      <c r="BG7" s="85">
        <f t="shared" si="1"/>
        <v>2398.8456741931882</v>
      </c>
      <c r="BH7" s="40"/>
      <c r="BI7" s="40"/>
      <c r="BJ7" s="40"/>
      <c r="BK7" s="40"/>
      <c r="BL7" s="40"/>
      <c r="BM7" s="40"/>
      <c r="BN7" s="40"/>
      <c r="BO7" s="40"/>
    </row>
    <row r="8" spans="1:68" x14ac:dyDescent="0.2">
      <c r="A8" s="40"/>
      <c r="B8" s="40" t="s">
        <v>74</v>
      </c>
      <c r="C8" s="45" t="e">
        <f t="shared" ref="C8:AA8" si="2">C9+C12</f>
        <v>#REF!</v>
      </c>
      <c r="D8" s="45" t="e">
        <f t="shared" si="2"/>
        <v>#REF!</v>
      </c>
      <c r="E8" s="45" t="e">
        <f t="shared" si="2"/>
        <v>#REF!</v>
      </c>
      <c r="F8" s="45" t="e">
        <f t="shared" si="2"/>
        <v>#REF!</v>
      </c>
      <c r="G8" s="45" t="e">
        <f t="shared" si="2"/>
        <v>#REF!</v>
      </c>
      <c r="H8" s="45" t="e">
        <f t="shared" si="2"/>
        <v>#REF!</v>
      </c>
      <c r="I8" s="45" t="e">
        <f t="shared" si="2"/>
        <v>#REF!</v>
      </c>
      <c r="J8" s="45" t="e">
        <f t="shared" si="2"/>
        <v>#REF!</v>
      </c>
      <c r="K8" s="45" t="e">
        <f t="shared" si="2"/>
        <v>#REF!</v>
      </c>
      <c r="L8" s="45" t="e">
        <f t="shared" si="2"/>
        <v>#REF!</v>
      </c>
      <c r="M8" s="45" t="e">
        <f t="shared" si="2"/>
        <v>#REF!</v>
      </c>
      <c r="N8" s="45" t="e">
        <f t="shared" si="2"/>
        <v>#REF!</v>
      </c>
      <c r="O8" s="45" t="e">
        <f t="shared" si="2"/>
        <v>#REF!</v>
      </c>
      <c r="P8" s="45" t="e">
        <f t="shared" si="2"/>
        <v>#REF!</v>
      </c>
      <c r="Q8" s="45" t="e">
        <f t="shared" si="2"/>
        <v>#REF!</v>
      </c>
      <c r="R8" s="45" t="e">
        <f t="shared" si="2"/>
        <v>#REF!</v>
      </c>
      <c r="S8" s="45" t="e">
        <f t="shared" si="2"/>
        <v>#REF!</v>
      </c>
      <c r="T8" s="45" t="e">
        <f t="shared" si="2"/>
        <v>#REF!</v>
      </c>
      <c r="U8" s="45" t="e">
        <f t="shared" si="2"/>
        <v>#REF!</v>
      </c>
      <c r="V8" s="45" t="e">
        <f t="shared" si="2"/>
        <v>#REF!</v>
      </c>
      <c r="W8" s="45" t="e">
        <f t="shared" si="2"/>
        <v>#REF!</v>
      </c>
      <c r="X8" s="45" t="e">
        <f t="shared" si="2"/>
        <v>#REF!</v>
      </c>
      <c r="Y8" s="45" t="e">
        <f t="shared" si="2"/>
        <v>#REF!</v>
      </c>
      <c r="Z8" s="45" t="e">
        <f t="shared" si="2"/>
        <v>#REF!</v>
      </c>
      <c r="AA8" s="45" t="e">
        <f t="shared" si="2"/>
        <v>#REF!</v>
      </c>
      <c r="AB8" s="45">
        <f>AB14-AB13</f>
        <v>1391.4662660000001</v>
      </c>
      <c r="AC8" s="45">
        <f t="shared" ref="AC8:BG8" si="3">AC14-AC13</f>
        <v>1341.3560208229799</v>
      </c>
      <c r="AD8" s="45">
        <f t="shared" si="3"/>
        <v>1297.16216831006</v>
      </c>
      <c r="AE8" s="45">
        <f t="shared" si="3"/>
        <v>1438.1946949999999</v>
      </c>
      <c r="AF8" s="45">
        <f t="shared" si="3"/>
        <v>1458.6218720000002</v>
      </c>
      <c r="AG8" s="45">
        <f t="shared" si="3"/>
        <v>1402.4170216209002</v>
      </c>
      <c r="AH8" s="45">
        <f t="shared" si="3"/>
        <v>1505.7266371807527</v>
      </c>
      <c r="AI8" s="45">
        <f t="shared" si="3"/>
        <v>1547.402556013699</v>
      </c>
      <c r="AJ8" s="45">
        <f t="shared" si="3"/>
        <v>1681.2077781067835</v>
      </c>
      <c r="AK8" s="45">
        <f t="shared" si="3"/>
        <v>1718.2695746453126</v>
      </c>
      <c r="AL8" s="45">
        <f t="shared" si="3"/>
        <v>1747.8235716538722</v>
      </c>
      <c r="AM8" s="45">
        <f t="shared" si="3"/>
        <v>1956.6747866843994</v>
      </c>
      <c r="AN8" s="45">
        <f t="shared" si="3"/>
        <v>2194.6673761270299</v>
      </c>
      <c r="AO8" s="45">
        <f t="shared" si="3"/>
        <v>2344.6552590674683</v>
      </c>
      <c r="AP8" s="45">
        <f t="shared" si="3"/>
        <v>2340.9214206992865</v>
      </c>
      <c r="AQ8" s="45">
        <f t="shared" si="3"/>
        <v>2097.3910376373738</v>
      </c>
      <c r="AR8" s="45">
        <f t="shared" si="3"/>
        <v>2113.1233219418109</v>
      </c>
      <c r="AS8" s="45">
        <f t="shared" si="3"/>
        <v>2029.2000937944888</v>
      </c>
      <c r="AT8" s="45">
        <f t="shared" si="3"/>
        <v>2129.2826784123899</v>
      </c>
      <c r="AU8" s="45">
        <f t="shared" si="3"/>
        <v>2250.1552435054855</v>
      </c>
      <c r="AV8" s="45">
        <f t="shared" si="3"/>
        <v>2241.9150279125374</v>
      </c>
      <c r="AW8" s="45">
        <f t="shared" si="3"/>
        <v>2153.5502596391775</v>
      </c>
      <c r="AX8" s="45">
        <f t="shared" si="3"/>
        <v>2181.6686150663099</v>
      </c>
      <c r="AY8" s="45">
        <f t="shared" si="3"/>
        <v>2239.3226860176183</v>
      </c>
      <c r="AZ8" s="45">
        <f t="shared" si="3"/>
        <v>2298.7581482799619</v>
      </c>
      <c r="BA8" s="45">
        <f t="shared" si="3"/>
        <v>2311.7535070343092</v>
      </c>
      <c r="BB8" s="45">
        <f t="shared" si="3"/>
        <v>2309.1610164101694</v>
      </c>
      <c r="BC8" s="45">
        <f t="shared" si="3"/>
        <v>2303.3160441127166</v>
      </c>
      <c r="BD8" s="45">
        <f t="shared" si="3"/>
        <v>2339.9990461284469</v>
      </c>
      <c r="BE8" s="45">
        <f t="shared" si="3"/>
        <v>2355.3615962972103</v>
      </c>
      <c r="BF8" s="45">
        <f t="shared" si="3"/>
        <v>2367.6837522457731</v>
      </c>
      <c r="BG8" s="45">
        <f t="shared" si="3"/>
        <v>2387.8763543187561</v>
      </c>
      <c r="BH8" s="40"/>
      <c r="BI8" s="40"/>
      <c r="BJ8" s="40"/>
      <c r="BK8" s="40"/>
      <c r="BL8" s="40"/>
      <c r="BM8" s="40"/>
      <c r="BN8" s="40"/>
      <c r="BO8" s="40"/>
    </row>
    <row r="9" spans="1:68" x14ac:dyDescent="0.2">
      <c r="A9" s="40"/>
      <c r="B9" s="40" t="s">
        <v>75</v>
      </c>
      <c r="C9" s="45" t="e">
        <f>C10+C11+#REF!</f>
        <v>#REF!</v>
      </c>
      <c r="D9" s="45" t="e">
        <f>D10+D11+#REF!</f>
        <v>#REF!</v>
      </c>
      <c r="E9" s="45" t="e">
        <f>E10+E11+#REF!</f>
        <v>#REF!</v>
      </c>
      <c r="F9" s="45" t="e">
        <f>F10+F11+#REF!</f>
        <v>#REF!</v>
      </c>
      <c r="G9" s="45" t="e">
        <f>G10+G11+#REF!</f>
        <v>#REF!</v>
      </c>
      <c r="H9" s="45" t="e">
        <f>H10+H11+#REF!</f>
        <v>#REF!</v>
      </c>
      <c r="I9" s="45" t="e">
        <f>I10+I11+#REF!</f>
        <v>#REF!</v>
      </c>
      <c r="J9" s="45" t="e">
        <f>J10+J11+#REF!</f>
        <v>#REF!</v>
      </c>
      <c r="K9" s="45" t="e">
        <f>K10+K11+#REF!</f>
        <v>#REF!</v>
      </c>
      <c r="L9" s="45" t="e">
        <f>L10+L11+#REF!</f>
        <v>#REF!</v>
      </c>
      <c r="M9" s="45" t="e">
        <f>M10+M11+#REF!</f>
        <v>#REF!</v>
      </c>
      <c r="N9" s="45" t="e">
        <f>N10+N11+#REF!</f>
        <v>#REF!</v>
      </c>
      <c r="O9" s="45" t="e">
        <f>O10+O11+#REF!</f>
        <v>#REF!</v>
      </c>
      <c r="P9" s="45" t="e">
        <f>P10+P11+#REF!</f>
        <v>#REF!</v>
      </c>
      <c r="Q9" s="45" t="e">
        <f>Q10+Q11+#REF!</f>
        <v>#REF!</v>
      </c>
      <c r="R9" s="45" t="e">
        <f>R10+R11+#REF!</f>
        <v>#REF!</v>
      </c>
      <c r="S9" s="45" t="e">
        <f>S10+S11+#REF!</f>
        <v>#REF!</v>
      </c>
      <c r="T9" s="45" t="e">
        <f>T10+T11+#REF!</f>
        <v>#REF!</v>
      </c>
      <c r="U9" s="45" t="e">
        <f>U10+U11+#REF!</f>
        <v>#REF!</v>
      </c>
      <c r="V9" s="45" t="e">
        <f>V10+V11+#REF!</f>
        <v>#REF!</v>
      </c>
      <c r="W9" s="45" t="e">
        <f>W10+W11+#REF!</f>
        <v>#REF!</v>
      </c>
      <c r="X9" s="45" t="e">
        <f>X10+X11+#REF!</f>
        <v>#REF!</v>
      </c>
      <c r="Y9" s="45" t="e">
        <f>Y10+Y11+#REF!</f>
        <v>#REF!</v>
      </c>
      <c r="Z9" s="45" t="e">
        <f>Z10+Z11+#REF!</f>
        <v>#REF!</v>
      </c>
      <c r="AA9" s="45" t="e">
        <f>AA10+AA11+#REF!</f>
        <v>#REF!</v>
      </c>
      <c r="AB9" s="45">
        <f>SUM(AB10:AB11)</f>
        <v>784.76900804722675</v>
      </c>
      <c r="AC9" s="45">
        <f t="shared" ref="AC9:BG9" si="4">SUM(AC10:AC11)</f>
        <v>917.66464976668954</v>
      </c>
      <c r="AD9" s="45">
        <f t="shared" si="4"/>
        <v>693.94599999999991</v>
      </c>
      <c r="AE9" s="45">
        <f t="shared" si="4"/>
        <v>663.67599999999993</v>
      </c>
      <c r="AF9" s="45">
        <f t="shared" si="4"/>
        <v>595.31469703800008</v>
      </c>
      <c r="AG9" s="45">
        <f t="shared" si="4"/>
        <v>688.33575889219992</v>
      </c>
      <c r="AH9" s="45">
        <f t="shared" si="4"/>
        <v>721.06213729399235</v>
      </c>
      <c r="AI9" s="45">
        <f t="shared" si="4"/>
        <v>804.87025485674405</v>
      </c>
      <c r="AJ9" s="45">
        <f t="shared" si="4"/>
        <v>896.40107359860235</v>
      </c>
      <c r="AK9" s="45">
        <f t="shared" si="4"/>
        <v>957.97884497151563</v>
      </c>
      <c r="AL9" s="45">
        <f t="shared" si="4"/>
        <v>1083.0354768130073</v>
      </c>
      <c r="AM9" s="45">
        <f t="shared" si="4"/>
        <v>1270.5273020941972</v>
      </c>
      <c r="AN9" s="45">
        <f t="shared" si="4"/>
        <v>1357.0043559189085</v>
      </c>
      <c r="AO9" s="45">
        <f t="shared" si="4"/>
        <v>1636.0776410868048</v>
      </c>
      <c r="AP9" s="45">
        <f t="shared" si="4"/>
        <v>1654.4778008762264</v>
      </c>
      <c r="AQ9" s="45">
        <f t="shared" si="4"/>
        <v>1701.7852482681335</v>
      </c>
      <c r="AR9" s="45">
        <f t="shared" si="4"/>
        <v>1770.6932574684081</v>
      </c>
      <c r="AS9" s="45">
        <f t="shared" si="4"/>
        <v>1621.6853673734445</v>
      </c>
      <c r="AT9" s="45">
        <f t="shared" si="4"/>
        <v>1784.412719810214</v>
      </c>
      <c r="AU9" s="45">
        <f t="shared" si="4"/>
        <v>1962.9387657165007</v>
      </c>
      <c r="AV9" s="45">
        <f t="shared" si="4"/>
        <v>1962.8650419655849</v>
      </c>
      <c r="AW9" s="45">
        <f t="shared" si="4"/>
        <v>1848.3166628788642</v>
      </c>
      <c r="AX9" s="45">
        <f t="shared" si="4"/>
        <v>1931.1545653068893</v>
      </c>
      <c r="AY9" s="45">
        <f t="shared" si="4"/>
        <v>2008.1143447096765</v>
      </c>
      <c r="AZ9" s="45">
        <f t="shared" si="4"/>
        <v>2106.6706829488985</v>
      </c>
      <c r="BA9" s="45">
        <f t="shared" si="4"/>
        <v>2136.9023069069494</v>
      </c>
      <c r="BB9" s="45">
        <f t="shared" si="4"/>
        <v>2159.4487593673634</v>
      </c>
      <c r="BC9" s="45">
        <f t="shared" si="4"/>
        <v>2166.6554791983276</v>
      </c>
      <c r="BD9" s="45">
        <f t="shared" si="4"/>
        <v>2242.3430290064266</v>
      </c>
      <c r="BE9" s="45">
        <f t="shared" si="4"/>
        <v>2278.7026949499527</v>
      </c>
      <c r="BF9" s="45">
        <f t="shared" si="4"/>
        <v>2313.5577199631789</v>
      </c>
      <c r="BG9" s="45">
        <f t="shared" si="4"/>
        <v>2383.9782834856883</v>
      </c>
      <c r="BH9" s="40"/>
      <c r="BI9" s="40"/>
      <c r="BJ9" s="40"/>
      <c r="BK9" s="40"/>
      <c r="BL9" s="40"/>
      <c r="BM9" s="40"/>
      <c r="BN9" s="40"/>
      <c r="BO9" s="40"/>
    </row>
    <row r="10" spans="1:68" x14ac:dyDescent="0.2">
      <c r="A10" s="40"/>
      <c r="B10" s="40" t="s">
        <v>76</v>
      </c>
      <c r="C10" s="45">
        <f>SUM('[1]CWG Complex'!B$108:B$116,'[1]CWG Complex'!C$105:C$107)</f>
        <v>0</v>
      </c>
      <c r="D10" s="45">
        <f>SUM('[1]CWG Complex'!C$108:C$116,'[1]CWG Complex'!D$105:D$107)</f>
        <v>0</v>
      </c>
      <c r="E10" s="45">
        <f>SUM('[1]CWG Complex'!D$108:D$116,'[1]CWG Complex'!E$105:E$107)</f>
        <v>0</v>
      </c>
      <c r="F10" s="45">
        <f>SUM('[1]CWG Complex'!E$108:E$116,'[1]CWG Complex'!F$105:F$107)</f>
        <v>0</v>
      </c>
      <c r="G10" s="45">
        <f>SUM('[1]CWG Complex'!F$108:F$116,'[1]CWG Complex'!G$105:G$107)</f>
        <v>0</v>
      </c>
      <c r="H10" s="45">
        <f>SUM('[1]CWG Complex'!G$108:G$116,'[1]CWG Complex'!H$105:H$107)</f>
        <v>0</v>
      </c>
      <c r="I10" s="45">
        <f>SUM('[1]CWG Complex'!H$108:H$116,'[1]CWG Complex'!I$105:I$107)</f>
        <v>0</v>
      </c>
      <c r="J10" s="45">
        <f>SUM('[1]CWG Complex'!I$108:I$116,'[1]CWG Complex'!J$105:J$107)</f>
        <v>0</v>
      </c>
      <c r="K10" s="45">
        <f>SUM('[1]CWG Complex'!J$108:J$116,'[1]CWG Complex'!K$105:K$107)</f>
        <v>0</v>
      </c>
      <c r="L10" s="45">
        <f>SUM('[1]CWG Complex'!K$108:K$116,'[1]CWG Complex'!L$105:L$107)</f>
        <v>0</v>
      </c>
      <c r="M10" s="45">
        <f>SUM('[1]CWG Complex'!L$108:L$116,'[1]CWG Complex'!M$105:M$107)</f>
        <v>0</v>
      </c>
      <c r="N10" s="45">
        <f>SUM('[1]CWG Complex'!M$108:M$116,'[1]CWG Complex'!N$105:N$107)</f>
        <v>0</v>
      </c>
      <c r="O10" s="45">
        <f>SUM('[1]CWG Complex'!N$108:N$116,'[1]CWG Complex'!O$105:O$107)</f>
        <v>0</v>
      </c>
      <c r="P10" s="45">
        <f>SUM('[1]CWG Complex'!O$108:O$116,'[1]CWG Complex'!P$105:P$107)</f>
        <v>81.175145393327213</v>
      </c>
      <c r="Q10" s="45">
        <f>SUM('[1]CWG Complex'!P$108:P$116,'[1]CWG Complex'!Q$105:Q$107)</f>
        <v>301.70000000000005</v>
      </c>
      <c r="R10" s="45">
        <f>SUM('[1]CWG Complex'!Q$108:Q$116,'[1]CWG Complex'!R$105:R$107)</f>
        <v>334</v>
      </c>
      <c r="S10" s="45">
        <f>SUM('[1]CWG Complex'!R$108:R$116,'[1]CWG Complex'!S$105:S$107)</f>
        <v>333</v>
      </c>
      <c r="T10" s="45">
        <f>SUM('[1]CWG Complex'!S$108:S$116,'[1]CWG Complex'!T$105:T$107)</f>
        <v>533</v>
      </c>
      <c r="U10" s="45">
        <f>SUM('[1]CWG Complex'!T$108:T$116,'[1]CWG Complex'!U$105:U$107)</f>
        <v>409</v>
      </c>
      <c r="V10" s="45">
        <f>SUM('[1]CWG Complex'!U$108:U$116,'[1]CWG Complex'!V$105:V$107)</f>
        <v>466</v>
      </c>
      <c r="W10" s="45">
        <f>SUM('[1]CWG Complex'!V$108:V$116,'[1]CWG Complex'!W$105:W$107)</f>
        <v>427.40000000000003</v>
      </c>
      <c r="X10" s="45">
        <f>SUM('[1]CWG Complex'!W$108:W$116,'[1]CWG Complex'!X$105:X$107)</f>
        <v>589</v>
      </c>
      <c r="Y10" s="45">
        <f>SUM('[1]CWG Complex'!X$108:X$116,'[1]CWG Complex'!Y$105:Y$107)</f>
        <v>578.03</v>
      </c>
      <c r="Z10" s="45">
        <f>SUM('[1]CWG Complex'!Y$108:Y$116,'[1]CWG Complex'!Z$105:Z$107)</f>
        <v>590.59</v>
      </c>
      <c r="AA10" s="45">
        <f>SUM('[1]CWG Complex'!Z$108:Z$116,'[1]CWG Complex'!AA$105:AA$107)</f>
        <v>617.69999999999993</v>
      </c>
      <c r="AB10" s="45">
        <f>SUM('[1]CWG Complex'!AA$108:AA$116,'[1]CWG Complex'!AB$105:AB$107)</f>
        <v>536.1</v>
      </c>
      <c r="AC10" s="45">
        <f>SUM('[1]CWG Complex'!AB$108:AB$116,'[1]CWG Complex'!AC$105:AC$107)</f>
        <v>611.88</v>
      </c>
      <c r="AD10" s="45">
        <f>SUM('[1]CWG Complex'!AC$108:AC$116,'[1]CWG Complex'!AD$105:AD$107)</f>
        <v>335.99969418798798</v>
      </c>
      <c r="AE10" s="45">
        <f>SUM('[1]CWG Complex'!AD$108:AD$116,'[1]CWG Complex'!AE$105:AE$107)</f>
        <v>232.20923151390002</v>
      </c>
      <c r="AF10" s="45">
        <f>SUM('[1]CWG Complex'!AE$108:AE$116,'[1]CWG Complex'!AF$105:AF$107)</f>
        <v>289.43766314515892</v>
      </c>
      <c r="AG10" s="45">
        <f>SUM('[1]CWG Complex'!AF$108:AF$116,'[1]CWG Complex'!AG$105:AG$107)</f>
        <v>169.4005071130203</v>
      </c>
      <c r="AH10" s="45">
        <f>SUM('[1]CWG Complex'!AG$108:AG$116,'[1]CWG Complex'!AH$105:AH$107)</f>
        <v>306.55340622861377</v>
      </c>
      <c r="AI10" s="45">
        <f>SUM('[1]CWG Complex'!AH$108:AH$116,'[1]CWG Complex'!AI$105:AI$107)</f>
        <v>236.94405657186928</v>
      </c>
      <c r="AJ10" s="45">
        <f>SUM('[1]CWG Complex'!AI$108:AI$116,'[1]CWG Complex'!AJ$105:AJ$107)</f>
        <v>227.65596757903481</v>
      </c>
      <c r="AK10" s="45">
        <f>SUM('[1]CWG Complex'!AJ$108:AJ$116,'[1]CWG Complex'!AK$105:AK$107)</f>
        <v>183.66375970128726</v>
      </c>
      <c r="AL10" s="45">
        <f>SUM('[1]CWG Complex'!AK$108:AK$116,'[1]CWG Complex'!AL$105:AL$107)</f>
        <v>204.21177129657181</v>
      </c>
      <c r="AM10" s="45">
        <f>SUM('[1]CWG Complex'!AL$108:AL$116,'[1]CWG Complex'!AM$105:AM$107)</f>
        <v>217.60194882289045</v>
      </c>
      <c r="AN10" s="45">
        <f>SUM('[1]CWG Complex'!AM$108:AM$116,'[1]CWG Complex'!AN$105:AN$107)</f>
        <v>207.37271595261771</v>
      </c>
      <c r="AO10" s="45">
        <f>SUM('[1]CWG Complex'!AN$108:AN$116,'[1]CWG Complex'!AO$105:AO$107)</f>
        <v>216.9167538793329</v>
      </c>
      <c r="AP10" s="45">
        <f>SUM('[1]CWG Complex'!AO$108:AO$116,'[1]CWG Complex'!AP$105:AP$107)</f>
        <v>201.38772452836611</v>
      </c>
      <c r="AQ10" s="45">
        <f>SUM('[1]CWG Complex'!AP$108:AP$116,'[1]CWG Complex'!AQ$105:AQ$107)</f>
        <v>197.01244915404089</v>
      </c>
      <c r="AR10" s="45">
        <f>SUM('[1]CWG Complex'!AQ$108:AQ$116,'[1]CWG Complex'!AR$105:AR$107)</f>
        <v>195.50040557224798</v>
      </c>
      <c r="AS10" s="45">
        <f>SUM('[1]CWG Complex'!AR$108:AR$116,'[1]CWG Complex'!AS$105:AS$107)</f>
        <v>195.50040557224798</v>
      </c>
      <c r="AT10" s="45">
        <f>SUM('[1]CWG Complex'!AS$108:AS$116,'[1]CWG Complex'!AT$105:AT$107)</f>
        <v>195.50040557224798</v>
      </c>
      <c r="AU10" s="45">
        <f>SUM('[1]CWG Complex'!AT$108:AT$116,'[1]CWG Complex'!AU$105:AU$107)</f>
        <v>195.50040557224798</v>
      </c>
      <c r="AV10" s="45">
        <f>SUM('[1]CWG Complex'!AU$108:AU$116,'[1]CWG Complex'!AV$105:AV$107)</f>
        <v>195.50040557224798</v>
      </c>
      <c r="AW10" s="45">
        <f>SUM('[1]CWG Complex'!AV$108:AV$116,'[1]CWG Complex'!AW$105:AW$107)</f>
        <v>195.50040557224798</v>
      </c>
      <c r="AX10" s="45">
        <f>SUM('[1]CWG Complex'!AW$108:AW$116,'[1]CWG Complex'!AX$105:AX$107)</f>
        <v>195.50040557224798</v>
      </c>
      <c r="AY10" s="45">
        <f>SUM('[1]CWG Complex'!AX$108:AX$116,'[1]CWG Complex'!AY$105:AY$107)</f>
        <v>195.50040557224798</v>
      </c>
      <c r="AZ10" s="45">
        <f>SUM('[1]CWG Complex'!AY$108:AY$116,'[1]CWG Complex'!AZ$105:AZ$107)</f>
        <v>195.50040557224798</v>
      </c>
      <c r="BA10" s="45">
        <f>SUM('[1]CWG Complex'!AZ$108:AZ$116,'[1]CWG Complex'!BA$105:BA$107)</f>
        <v>195.50040557224798</v>
      </c>
      <c r="BB10" s="45">
        <f>SUM('[1]CWG Complex'!BA$108:BA$116,'[1]CWG Complex'!BB$105:BB$107)</f>
        <v>195.50040557224798</v>
      </c>
      <c r="BC10" s="45">
        <f>SUM('[1]CWG Complex'!BB$108:BB$116,'[1]CWG Complex'!BC$105:BC$107)</f>
        <v>195.50040557224798</v>
      </c>
      <c r="BD10" s="45">
        <f>SUM('[1]CWG Complex'!BC$108:BC$116,'[1]CWG Complex'!BD$105:BD$107)</f>
        <v>195.50040557224798</v>
      </c>
      <c r="BE10" s="45">
        <f>SUM('[1]CWG Complex'!BD$108:BD$116,'[1]CWG Complex'!BE$105:BE$107)</f>
        <v>195.50040557224798</v>
      </c>
      <c r="BF10" s="45">
        <f>SUM('[1]CWG Complex'!BE$108:BE$116,'[1]CWG Complex'!BF$105:BF$107)</f>
        <v>195.50040557224798</v>
      </c>
      <c r="BG10" s="45">
        <f>SUM('[1]CWG Complex'!BF$108:BF$116,'[1]CWG Complex'!BG$105:BG$107)</f>
        <v>195.50040557224798</v>
      </c>
      <c r="BH10" s="40"/>
      <c r="BI10" s="40"/>
      <c r="BJ10" s="40"/>
      <c r="BK10" s="40"/>
      <c r="BL10" s="40"/>
      <c r="BM10" s="40"/>
      <c r="BN10" s="40"/>
      <c r="BO10" s="40"/>
    </row>
    <row r="11" spans="1:68" x14ac:dyDescent="0.2">
      <c r="A11" s="40"/>
      <c r="B11" s="40" t="s">
        <v>155</v>
      </c>
      <c r="C11" s="45">
        <f>SUM('[1]CWG Complex'!B$124:B$132,'[1]CWG Complex'!C$121:C$123)</f>
        <v>0</v>
      </c>
      <c r="D11" s="45">
        <f>SUM('[1]CWG Complex'!C$124:C$132,'[1]CWG Complex'!D$121:D$123)</f>
        <v>0</v>
      </c>
      <c r="E11" s="45">
        <f>SUM('[1]CWG Complex'!D$124:D$132,'[1]CWG Complex'!E$121:E$123)</f>
        <v>0</v>
      </c>
      <c r="F11" s="45">
        <f>SUM('[1]CWG Complex'!E$124:E$132,'[1]CWG Complex'!F$121:F$123)</f>
        <v>0</v>
      </c>
      <c r="G11" s="45">
        <f>SUM('[1]CWG Complex'!F$124:F$132,'[1]CWG Complex'!G$121:G$123)</f>
        <v>0</v>
      </c>
      <c r="H11" s="45">
        <f>SUM('[1]CWG Complex'!G$124:G$132,'[1]CWG Complex'!H$121:H$123)</f>
        <v>0</v>
      </c>
      <c r="I11" s="45">
        <f>SUM('[1]CWG Complex'!H$124:H$132,'[1]CWG Complex'!I$121:I$123)</f>
        <v>0</v>
      </c>
      <c r="J11" s="45">
        <f>SUM('[1]CWG Complex'!I$124:I$132,'[1]CWG Complex'!J$121:J$123)</f>
        <v>0</v>
      </c>
      <c r="K11" s="45">
        <f>SUM('[1]CWG Complex'!J$124:J$132,'[1]CWG Complex'!K$121:K$123)</f>
        <v>0</v>
      </c>
      <c r="L11" s="45">
        <f>SUM('[1]CWG Complex'!K$124:K$132,'[1]CWG Complex'!L$121:L$123)</f>
        <v>0</v>
      </c>
      <c r="M11" s="45">
        <f>SUM('[1]CWG Complex'!L$124:L$132,'[1]CWG Complex'!M$121:M$123)</f>
        <v>0</v>
      </c>
      <c r="N11" s="45">
        <f>SUM('[1]CWG Complex'!M$124:M$132,'[1]CWG Complex'!N$121:N$123)+SUM('[1]CWG Complex'!M$378:M$386,'[1]CWG Complex'!N$375:N$377)</f>
        <v>0.52282883576797945</v>
      </c>
      <c r="O11" s="45">
        <f>SUM('[1]CWG Complex'!N$124:N$132,'[1]CWG Complex'!O$121:O$123)+SUM('[1]CWG Complex'!N$378:N$386,'[1]CWG Complex'!O$375:O$377)</f>
        <v>0.52260911603313009</v>
      </c>
      <c r="P11" s="45">
        <f>SUM('[1]CWG Complex'!O$124:O$132,'[1]CWG Complex'!P$121:P$123)+SUM('[1]CWG Complex'!O$378:O$386,'[1]CWG Complex'!P$375:P$377)</f>
        <v>0.52502518937254716</v>
      </c>
      <c r="Q11" s="45">
        <f>SUM('[1]CWG Complex'!P$124:P$132,'[1]CWG Complex'!Q$121:Q$123)+SUM('[1]CWG Complex'!P$378:P$386,'[1]CWG Complex'!Q$375:Q$377)</f>
        <v>0.42684572400859799</v>
      </c>
      <c r="R11" s="45">
        <f>SUM('[1]CWG Complex'!Q$124:Q$132,'[1]CWG Complex'!R$121:R$123)+SUM('[1]CWG Complex'!Q$378:Q$386,'[1]CWG Complex'!R$375:R$377)</f>
        <v>0.47287109014893414</v>
      </c>
      <c r="S11" s="45">
        <f>SUM('[1]CWG Complex'!R$124:R$132,'[1]CWG Complex'!S$121:S$123)+SUM('[1]CWG Complex'!R$378:R$386,'[1]CWG Complex'!S$375:S$377)</f>
        <v>0.52841965474558072</v>
      </c>
      <c r="T11" s="45">
        <f>SUM('[1]CWG Complex'!S$124:S$132,'[1]CWG Complex'!T$121:T$123)+SUM('[1]CWG Complex'!S$378:S$386,'[1]CWG Complex'!T$375:T$377)</f>
        <v>15.803291367142206</v>
      </c>
      <c r="U11" s="45">
        <f>SUM('[1]CWG Complex'!T$124:T$132,'[1]CWG Complex'!U$121:U$123)+SUM('[1]CWG Complex'!T$378:T$386,'[1]CWG Complex'!U$375:U$377)</f>
        <v>41.416879856629492</v>
      </c>
      <c r="V11" s="45">
        <f>SUM('[1]CWG Complex'!U$124:U$132,'[1]CWG Complex'!V$121:V$123)+SUM('[1]CWG Complex'!U$378:U$386,'[1]CWG Complex'!V$375:V$377)</f>
        <v>73.808903368892516</v>
      </c>
      <c r="W11" s="45">
        <f>SUM('[1]CWG Complex'!V$124:V$132,'[1]CWG Complex'!W$121:W$123)+SUM('[1]CWG Complex'!V$378:V$386,'[1]CWG Complex'!W$375:W$377)</f>
        <v>145.7449146668996</v>
      </c>
      <c r="X11" s="45">
        <f>SUM('[1]CWG Complex'!W$124:W$132,'[1]CWG Complex'!X$121:X$123)+SUM('[1]CWG Complex'!W$378:W$386,'[1]CWG Complex'!X$375:X$377)</f>
        <v>107.18078893807321</v>
      </c>
      <c r="Y11" s="45">
        <f>SUM('[1]CWG Complex'!X$124:X$132,'[1]CWG Complex'!Y$121:Y$123)+SUM('[1]CWG Complex'!X$378:X$386,'[1]CWG Complex'!Y$375:Y$377)</f>
        <v>103.57337744550014</v>
      </c>
      <c r="Z11" s="45">
        <f>SUM('[1]CWG Complex'!Y$124:Y$132,'[1]CWG Complex'!Z$121:Z$123)+SUM('[1]CWG Complex'!Y$378:Y$386,'[1]CWG Complex'!Z$375:Z$377)</f>
        <v>102.5220666621056</v>
      </c>
      <c r="AA11" s="45">
        <f>SUM('[1]CWG Complex'!Z$124:Z$132,'[1]CWG Complex'!AA$121:AA$123)+SUM('[1]CWG Complex'!Z$378:Z$386,'[1]CWG Complex'!AA$375:AA$377)</f>
        <v>126.37154422037139</v>
      </c>
      <c r="AB11" s="45">
        <f>SUM('[1]CWG Complex'!AA$124:AA$132,'[1]CWG Complex'!AB$121:AB$123,'[1]CWG Complex'!AA$140:AA$148,'[1]CWG Complex'!AB$137:AB$139,'[1]CWG Complex'!AA$156:AA$164,'[1]CWG Complex'!AB$153:AB$155)</f>
        <v>248.6690080472267</v>
      </c>
      <c r="AC11" s="45">
        <f>SUM('[1]CWG Complex'!AB$124:AB$132,'[1]CWG Complex'!AC$121:AC$123,'[1]CWG Complex'!AB$140:AB$148,'[1]CWG Complex'!AC$137:AC$139,'[1]CWG Complex'!AB$156:AB$164,'[1]CWG Complex'!AC$153:AC$155)</f>
        <v>305.78464976668948</v>
      </c>
      <c r="AD11" s="45">
        <f>SUM('[1]CWG Complex'!AC$124:AC$132,'[1]CWG Complex'!AD$121:AD$123,'[1]CWG Complex'!AC$140:AC$148,'[1]CWG Complex'!AD$137:AD$139,'[1]CWG Complex'!AC$156:AC$164,'[1]CWG Complex'!AD$153:AD$155)</f>
        <v>357.94630581201199</v>
      </c>
      <c r="AE11" s="45">
        <f>SUM('[1]CWG Complex'!AD$124:AD$132,'[1]CWG Complex'!AE$121:AE$123,'[1]CWG Complex'!AD$140:AD$148,'[1]CWG Complex'!AE$137:AE$139,'[1]CWG Complex'!AD$156:AD$164,'[1]CWG Complex'!AE$153:AE$155)</f>
        <v>431.46676848609997</v>
      </c>
      <c r="AF11" s="45">
        <f>SUM('[1]CWG Complex'!AE$124:AE$132,'[1]CWG Complex'!AF$121:AF$123,'[1]CWG Complex'!AE$140:AE$148,'[1]CWG Complex'!AF$137:AF$139,'[1]CWG Complex'!AE$156:AE$164,'[1]CWG Complex'!AF$153:AF$155)</f>
        <v>305.8770338928411</v>
      </c>
      <c r="AG11" s="45">
        <f>SUM('[1]CWG Complex'!AF$124:AF$132,'[1]CWG Complex'!AG$121:AG$123,'[1]CWG Complex'!AF$140:AF$148,'[1]CWG Complex'!AG$137:AG$139,'[1]CWG Complex'!AF$156:AF$164,'[1]CWG Complex'!AG$153:AG$155)</f>
        <v>518.93525177917968</v>
      </c>
      <c r="AH11" s="45">
        <f>SUM('[1]CWG Complex'!AG$124:AG$132,'[1]CWG Complex'!AH$121:AH$123,'[1]CWG Complex'!AG$140:AG$148,'[1]CWG Complex'!AH$137:AH$139,'[1]CWG Complex'!AG$156:AG$164,'[1]CWG Complex'!AH$153:AH$155)</f>
        <v>414.50873106537858</v>
      </c>
      <c r="AI11" s="45">
        <f>SUM('[1]CWG Complex'!AH$124:AH$132,'[1]CWG Complex'!AI$121:AI$123,'[1]CWG Complex'!AH$140:AH$148,'[1]CWG Complex'!AI$137:AI$139,'[1]CWG Complex'!AH$156:AH$164,'[1]CWG Complex'!AI$153:AI$155)</f>
        <v>567.92619828487477</v>
      </c>
      <c r="AJ11" s="45">
        <f>SUM('[1]CWG Complex'!AI$124:AI$132,'[1]CWG Complex'!AJ$121:AJ$123,'[1]CWG Complex'!AI$140:AI$148,'[1]CWG Complex'!AJ$137:AJ$139,'[1]CWG Complex'!AI$156:AI$164,'[1]CWG Complex'!AJ$153:AJ$155)</f>
        <v>668.74510601956752</v>
      </c>
      <c r="AK11" s="45">
        <f>SUM('[1]CWG Complex'!AJ$124:AJ$132,'[1]CWG Complex'!AK$121:AK$123,'[1]CWG Complex'!AJ$140:AJ$148,'[1]CWG Complex'!AK$137:AK$139,'[1]CWG Complex'!AJ$156:AJ$164,'[1]CWG Complex'!AK$153:AK$155)</f>
        <v>774.31508527022834</v>
      </c>
      <c r="AL11" s="45">
        <f>SUM('[1]CWG Complex'!AK$124:AK$132,'[1]CWG Complex'!AL$121:AL$123,'[1]CWG Complex'!AK$140:AK$148,'[1]CWG Complex'!AL$137:AL$139,'[1]CWG Complex'!AK$156:AK$164,'[1]CWG Complex'!AL$153:AL$155)</f>
        <v>878.82370551643544</v>
      </c>
      <c r="AM11" s="45">
        <f>SUM('[1]CWG Complex'!AL$124:AL$132,'[1]CWG Complex'!AM$121:AM$123,'[1]CWG Complex'!AL$140:AL$148,'[1]CWG Complex'!AM$137:AM$139,'[1]CWG Complex'!AL$156:AL$164,'[1]CWG Complex'!AM$153:AM$155)</f>
        <v>1052.9253532713067</v>
      </c>
      <c r="AN11" s="45">
        <f>SUM('[1]CWG Complex'!AM$124:AM$132,'[1]CWG Complex'!AN$121:AN$123,'[1]CWG Complex'!AM$140:AM$148,'[1]CWG Complex'!AN$137:AN$139,'[1]CWG Complex'!AM$156:AM$164,'[1]CWG Complex'!AN$153:AN$155)</f>
        <v>1149.6316399662908</v>
      </c>
      <c r="AO11" s="45">
        <f>SUM('[1]CWG Complex'!AN$124:AN$132,'[1]CWG Complex'!AO$121:AO$123,'[1]CWG Complex'!AN$140:AN$148,'[1]CWG Complex'!AO$137:AO$139,'[1]CWG Complex'!AN$156:AN$164,'[1]CWG Complex'!AO$153:AO$155)</f>
        <v>1419.1608872074719</v>
      </c>
      <c r="AP11" s="45">
        <f>SUM('[1]CWG Complex'!AO$124:AO$132,'[1]CWG Complex'!AP$121:AP$123,'[1]CWG Complex'!AO$140:AO$148,'[1]CWG Complex'!AP$137:AP$139,'[1]CWG Complex'!AO$156:AO$164,'[1]CWG Complex'!AP$153:AP$155)</f>
        <v>1453.0900763478603</v>
      </c>
      <c r="AQ11" s="45">
        <f>SUM('[1]CWG Complex'!AP$124:AP$132,'[1]CWG Complex'!AQ$121:AQ$123,'[1]CWG Complex'!AP$140:AP$148,'[1]CWG Complex'!AQ$137:AQ$139,'[1]CWG Complex'!AP$156:AP$164,'[1]CWG Complex'!AQ$153:AQ$155)</f>
        <v>1504.7727991140925</v>
      </c>
      <c r="AR11" s="45">
        <f>SUM('[1]CWG Complex'!AQ$124:AQ$132,'[1]CWG Complex'!AR$121:AR$123,'[1]CWG Complex'!AQ$140:AQ$148,'[1]CWG Complex'!AR$137:AR$139,'[1]CWG Complex'!AQ$156:AQ$164,'[1]CWG Complex'!AR$153:AR$155)</f>
        <v>1575.1928518961602</v>
      </c>
      <c r="AS11" s="45">
        <f>SUM('[1]CWG Complex'!AR$124:AR$132,'[1]CWG Complex'!AS$121:AS$123,'[1]CWG Complex'!AR$140:AR$148,'[1]CWG Complex'!AS$137:AS$139,'[1]CWG Complex'!AR$156:AR$164,'[1]CWG Complex'!AS$153:AS$155)</f>
        <v>1426.1849618011966</v>
      </c>
      <c r="AT11" s="45">
        <f>SUM('[1]CWG Complex'!AS$124:AS$132,'[1]CWG Complex'!AT$121:AT$123,'[1]CWG Complex'!AS$140:AS$148,'[1]CWG Complex'!AT$137:AT$139,'[1]CWG Complex'!AS$156:AS$164,'[1]CWG Complex'!AT$153:AT$155)</f>
        <v>1588.912314237966</v>
      </c>
      <c r="AU11" s="45">
        <f>SUM('[1]CWG Complex'!AT$124:AT$132,'[1]CWG Complex'!AU$121:AU$123,'[1]CWG Complex'!AT$140:AT$148,'[1]CWG Complex'!AU$137:AU$139,'[1]CWG Complex'!AT$156:AT$164,'[1]CWG Complex'!AU$153:AU$155)</f>
        <v>1767.4383601442528</v>
      </c>
      <c r="AV11" s="45">
        <f>SUM('[1]CWG Complex'!AU$124:AU$132,'[1]CWG Complex'!AV$121:AV$123,'[1]CWG Complex'!AU$140:AU$148,'[1]CWG Complex'!AV$137:AV$139,'[1]CWG Complex'!AU$156:AU$164,'[1]CWG Complex'!AV$153:AV$155)</f>
        <v>1767.3646363933369</v>
      </c>
      <c r="AW11" s="45">
        <f>SUM('[1]CWG Complex'!AV$124:AV$132,'[1]CWG Complex'!AW$121:AW$123,'[1]CWG Complex'!AV$140:AV$148,'[1]CWG Complex'!AW$137:AW$139,'[1]CWG Complex'!AV$156:AV$164,'[1]CWG Complex'!AW$153:AW$155)</f>
        <v>1652.8162573066163</v>
      </c>
      <c r="AX11" s="45">
        <f>SUM('[1]CWG Complex'!AW$124:AW$132,'[1]CWG Complex'!AX$121:AX$123,'[1]CWG Complex'!AW$140:AW$148,'[1]CWG Complex'!AX$137:AX$139,'[1]CWG Complex'!AW$156:AW$164,'[1]CWG Complex'!AX$153:AX$155)</f>
        <v>1735.6541597346413</v>
      </c>
      <c r="AY11" s="45">
        <f>SUM('[1]CWG Complex'!AX$124:AX$132,'[1]CWG Complex'!AY$121:AY$123,'[1]CWG Complex'!AX$140:AX$148,'[1]CWG Complex'!AY$137:AY$139,'[1]CWG Complex'!AX$156:AX$164,'[1]CWG Complex'!AY$153:AY$155)</f>
        <v>1812.6139391374286</v>
      </c>
      <c r="AZ11" s="45">
        <f>SUM('[1]CWG Complex'!AY$124:AY$132,'[1]CWG Complex'!AZ$121:AZ$123,'[1]CWG Complex'!AY$140:AY$148,'[1]CWG Complex'!AZ$137:AZ$139,'[1]CWG Complex'!AY$156:AY$164,'[1]CWG Complex'!AZ$153:AZ$155)</f>
        <v>1911.1702773766503</v>
      </c>
      <c r="BA11" s="45">
        <f>SUM('[1]CWG Complex'!AZ$124:AZ$132,'[1]CWG Complex'!BA$121:BA$123,'[1]CWG Complex'!AZ$140:AZ$148,'[1]CWG Complex'!BA$137:BA$139,'[1]CWG Complex'!AZ$156:AZ$164,'[1]CWG Complex'!BA$153:BA$155)</f>
        <v>1941.4019013347013</v>
      </c>
      <c r="BB11" s="45">
        <f>SUM('[1]CWG Complex'!BA$124:BA$132,'[1]CWG Complex'!BB$121:BB$123,'[1]CWG Complex'!BA$140:BA$148,'[1]CWG Complex'!BB$137:BB$139,'[1]CWG Complex'!BA$156:BA$164,'[1]CWG Complex'!BB$153:BB$155)</f>
        <v>1963.9483537951155</v>
      </c>
      <c r="BC11" s="45">
        <f>SUM('[1]CWG Complex'!BB$124:BB$132,'[1]CWG Complex'!BC$121:BC$123,'[1]CWG Complex'!BB$140:BB$148,'[1]CWG Complex'!BC$137:BC$139,'[1]CWG Complex'!BB$156:BB$164,'[1]CWG Complex'!BC$153:BC$155)</f>
        <v>1971.1550736260795</v>
      </c>
      <c r="BD11" s="45">
        <f>SUM('[1]CWG Complex'!BC$124:BC$132,'[1]CWG Complex'!BD$121:BD$123,'[1]CWG Complex'!BC$140:BC$148,'[1]CWG Complex'!BD$137:BD$139,'[1]CWG Complex'!BC$156:BC$164,'[1]CWG Complex'!BD$153:BD$155)</f>
        <v>2046.8426234341787</v>
      </c>
      <c r="BE11" s="45">
        <f>SUM('[1]CWG Complex'!BD$124:BD$132,'[1]CWG Complex'!BE$121:BE$123,'[1]CWG Complex'!BD$140:BD$148,'[1]CWG Complex'!BE$137:BE$139,'[1]CWG Complex'!BD$156:BD$164,'[1]CWG Complex'!BE$153:BE$155)</f>
        <v>2083.2022893777048</v>
      </c>
      <c r="BF11" s="45">
        <f>SUM('[1]CWG Complex'!BE$124:BE$132,'[1]CWG Complex'!BF$121:BF$123,'[1]CWG Complex'!BE$140:BE$148,'[1]CWG Complex'!BF$137:BF$139,'[1]CWG Complex'!BE$156:BE$164,'[1]CWG Complex'!BF$153:BF$155)</f>
        <v>2118.057314390931</v>
      </c>
      <c r="BG11" s="45">
        <f>SUM('[1]CWG Complex'!BF$124:BF$132,'[1]CWG Complex'!BG$121:BG$123,'[1]CWG Complex'!BF$140:BF$148,'[1]CWG Complex'!BG$137:BG$139,'[1]CWG Complex'!BF$156:BF$164,'[1]CWG Complex'!BG$153:BG$155)</f>
        <v>2188.4778779134404</v>
      </c>
      <c r="BH11" s="40"/>
      <c r="BI11" s="40"/>
      <c r="BJ11" s="40"/>
      <c r="BK11" s="40"/>
      <c r="BL11" s="40"/>
      <c r="BM11" s="40"/>
      <c r="BN11" s="40"/>
      <c r="BO11" s="40"/>
    </row>
    <row r="12" spans="1:68" x14ac:dyDescent="0.2">
      <c r="A12" s="40"/>
      <c r="B12" s="40" t="s">
        <v>78</v>
      </c>
      <c r="C12" s="45">
        <f>SUM('[1]CWG Complex'!B$156:B$164,'[1]CWG Complex'!C$153:C$155)</f>
        <v>0</v>
      </c>
      <c r="D12" s="45">
        <f>SUM('[1]CWG Complex'!C$156:C$164,'[1]CWG Complex'!D$153:D$155)</f>
        <v>0</v>
      </c>
      <c r="E12" s="45">
        <f>SUM('[1]CWG Complex'!D$156:D$164,'[1]CWG Complex'!E$153:E$155)</f>
        <v>0</v>
      </c>
      <c r="F12" s="45">
        <f>SUM('[1]CWG Complex'!E$156:E$164,'[1]CWG Complex'!F$153:F$155)</f>
        <v>0</v>
      </c>
      <c r="G12" s="45">
        <f>SUM('[1]CWG Complex'!F$156:F$164,'[1]CWG Complex'!G$153:G$155)</f>
        <v>0</v>
      </c>
      <c r="H12" s="45">
        <f>SUM('[1]CWG Complex'!G$156:G$164,'[1]CWG Complex'!H$153:H$155)</f>
        <v>0</v>
      </c>
      <c r="I12" s="45">
        <f>SUM('[1]CWG Complex'!H$156:H$164,'[1]CWG Complex'!I$153:I$155)</f>
        <v>0</v>
      </c>
      <c r="J12" s="45">
        <f>SUM('[1]CWG Complex'!I$156:I$164,'[1]CWG Complex'!J$153:J$155)</f>
        <v>0</v>
      </c>
      <c r="K12" s="45">
        <f>SUM('[1]CWG Complex'!J$156:J$164,'[1]CWG Complex'!K$153:K$155)</f>
        <v>0</v>
      </c>
      <c r="L12" s="45">
        <f>SUM('[1]CWG Complex'!K$156:K$164,'[1]CWG Complex'!L$153:L$155)</f>
        <v>0</v>
      </c>
      <c r="M12" s="45">
        <f>SUM('[1]CWG Complex'!L$156:L$164,'[1]CWG Complex'!M$153:M$155)</f>
        <v>0</v>
      </c>
      <c r="N12" s="45">
        <f>SUM('[1]CWG Complex'!M$156:M$164,'[1]CWG Complex'!N$153:N$155)</f>
        <v>0</v>
      </c>
      <c r="O12" s="45">
        <f>SUM('[1]CWG Complex'!N$156:N$164,'[1]CWG Complex'!O$153:O$155)</f>
        <v>0</v>
      </c>
      <c r="P12" s="45">
        <f>SUM('[1]CWG Complex'!O$156:O$164,'[1]CWG Complex'!P$153:P$155)</f>
        <v>0</v>
      </c>
      <c r="Q12" s="45">
        <f>SUM('[1]CWG Complex'!P$156:P$164,'[1]CWG Complex'!Q$153:Q$155)</f>
        <v>0</v>
      </c>
      <c r="R12" s="45">
        <f>SUM('[1]CWG Complex'!Q$156:Q$164,'[1]CWG Complex'!R$153:R$155)</f>
        <v>0</v>
      </c>
      <c r="S12" s="45">
        <f>SUM('[1]CWG Complex'!R$156:R$164,'[1]CWG Complex'!S$153:S$155)</f>
        <v>0</v>
      </c>
      <c r="T12" s="45">
        <f>SUM('[1]CWG Complex'!S$156:S$164,'[1]CWG Complex'!T$153:T$155)</f>
        <v>0</v>
      </c>
      <c r="U12" s="45">
        <f>SUM('[1]CWG Complex'!T$156:T$164,'[1]CWG Complex'!U$153:U$155)</f>
        <v>0</v>
      </c>
      <c r="V12" s="45">
        <f>SUM('[1]CWG Complex'!U$156:U$164,'[1]CWG Complex'!V$153:V$155)</f>
        <v>0</v>
      </c>
      <c r="W12" s="45">
        <f>SUM('[1]CWG Complex'!V$156:V$164,'[1]CWG Complex'!W$153:W$155)</f>
        <v>0</v>
      </c>
      <c r="X12" s="45">
        <f>SUM('[1]CWG Complex'!W$156:W$164,'[1]CWG Complex'!X$153:X$155)</f>
        <v>0</v>
      </c>
      <c r="Y12" s="45">
        <f>SUM('[1]CWG Complex'!X$156:X$164,'[1]CWG Complex'!Y$153:Y$155)</f>
        <v>0</v>
      </c>
      <c r="Z12" s="45">
        <f>SUM('[1]CWG Complex'!Y$156:Y$164,'[1]CWG Complex'!Z$153:Z$155)</f>
        <v>0.17473613456517875</v>
      </c>
      <c r="AA12" s="45">
        <f>SUM('[1]CWG Complex'!Z$156:Z$164,'[1]CWG Complex'!AA$153:AA$155)</f>
        <v>0.74170094436434164</v>
      </c>
      <c r="AB12" s="45">
        <f>AB8-AB9</f>
        <v>606.69725795277338</v>
      </c>
      <c r="AC12" s="45">
        <f t="shared" ref="AC12:BG12" si="5">AC8-AC9</f>
        <v>423.69137105629034</v>
      </c>
      <c r="AD12" s="45">
        <f t="shared" si="5"/>
        <v>603.21616831006008</v>
      </c>
      <c r="AE12" s="45">
        <f t="shared" si="5"/>
        <v>774.51869499999998</v>
      </c>
      <c r="AF12" s="45">
        <f t="shared" si="5"/>
        <v>863.30717496200009</v>
      </c>
      <c r="AG12" s="45">
        <f t="shared" si="5"/>
        <v>714.08126272870027</v>
      </c>
      <c r="AH12" s="45">
        <f t="shared" si="5"/>
        <v>784.66449988676038</v>
      </c>
      <c r="AI12" s="45">
        <f t="shared" si="5"/>
        <v>742.53230115695499</v>
      </c>
      <c r="AJ12" s="45">
        <f t="shared" si="5"/>
        <v>784.80670450818116</v>
      </c>
      <c r="AK12" s="45">
        <f t="shared" si="5"/>
        <v>760.29072967379693</v>
      </c>
      <c r="AL12" s="45">
        <f t="shared" si="5"/>
        <v>664.78809484086491</v>
      </c>
      <c r="AM12" s="45">
        <f t="shared" si="5"/>
        <v>686.14748459020211</v>
      </c>
      <c r="AN12" s="45">
        <f t="shared" si="5"/>
        <v>837.66302020812145</v>
      </c>
      <c r="AO12" s="45">
        <f t="shared" si="5"/>
        <v>708.57761798066349</v>
      </c>
      <c r="AP12" s="45">
        <f t="shared" si="5"/>
        <v>686.44361982306009</v>
      </c>
      <c r="AQ12" s="45">
        <f t="shared" si="5"/>
        <v>395.60578936924026</v>
      </c>
      <c r="AR12" s="45">
        <f t="shared" si="5"/>
        <v>342.43006447340281</v>
      </c>
      <c r="AS12" s="45">
        <f t="shared" si="5"/>
        <v>407.51472642104432</v>
      </c>
      <c r="AT12" s="45">
        <f t="shared" si="5"/>
        <v>344.86995860217598</v>
      </c>
      <c r="AU12" s="45">
        <f t="shared" si="5"/>
        <v>287.21647778898478</v>
      </c>
      <c r="AV12" s="45">
        <f t="shared" si="5"/>
        <v>279.04998594695257</v>
      </c>
      <c r="AW12" s="45">
        <f t="shared" si="5"/>
        <v>305.23359676031328</v>
      </c>
      <c r="AX12" s="45">
        <f t="shared" si="5"/>
        <v>250.51404975942069</v>
      </c>
      <c r="AY12" s="45">
        <f t="shared" si="5"/>
        <v>231.20834130794174</v>
      </c>
      <c r="AZ12" s="45">
        <f t="shared" si="5"/>
        <v>192.08746533106341</v>
      </c>
      <c r="BA12" s="45">
        <f t="shared" si="5"/>
        <v>174.85120012735979</v>
      </c>
      <c r="BB12" s="45">
        <f t="shared" si="5"/>
        <v>149.71225704280596</v>
      </c>
      <c r="BC12" s="45">
        <f t="shared" si="5"/>
        <v>136.66056491438894</v>
      </c>
      <c r="BD12" s="45">
        <f t="shared" si="5"/>
        <v>97.65601712202033</v>
      </c>
      <c r="BE12" s="45">
        <f t="shared" si="5"/>
        <v>76.658901347257597</v>
      </c>
      <c r="BF12" s="45">
        <f t="shared" si="5"/>
        <v>54.126032282594224</v>
      </c>
      <c r="BG12" s="45">
        <f t="shared" si="5"/>
        <v>3.8980708330677771</v>
      </c>
      <c r="BH12" s="40"/>
      <c r="BI12" s="40"/>
      <c r="BJ12" s="40"/>
      <c r="BK12" s="40"/>
      <c r="BL12" s="40"/>
      <c r="BM12" s="40"/>
      <c r="BN12" s="40"/>
      <c r="BO12" s="40"/>
      <c r="BP12" s="41" t="s">
        <v>186</v>
      </c>
    </row>
    <row r="13" spans="1:68" x14ac:dyDescent="0.2">
      <c r="A13" s="40"/>
      <c r="B13" s="40" t="s">
        <v>79</v>
      </c>
      <c r="C13" s="45">
        <f>SUM('[1]CWG Complex'!B$60:B$68,'[1]CWG Complex'!C$57:C$59)</f>
        <v>18.353478149999997</v>
      </c>
      <c r="D13" s="45">
        <f>SUM('[1]CWG Complex'!C$60:C$68,'[1]CWG Complex'!D$57:D$59)</f>
        <v>10.926327094199998</v>
      </c>
      <c r="E13" s="45">
        <f>SUM('[1]CWG Complex'!D$60:D$68,'[1]CWG Complex'!E$57:E$59)</f>
        <v>3.5701648667999999</v>
      </c>
      <c r="F13" s="45">
        <f>SUM('[1]CWG Complex'!E$60:E$68,'[1]CWG Complex'!F$57:F$59)</f>
        <v>7.6112369927999994</v>
      </c>
      <c r="G13" s="45">
        <f>SUM('[1]CWG Complex'!F$60:F$68,'[1]CWG Complex'!G$57:G$59)</f>
        <v>4.1230840643999995</v>
      </c>
      <c r="H13" s="45">
        <f>SUM('[1]CWG Complex'!G$60:G$68,'[1]CWG Complex'!H$57:H$59)</f>
        <v>11.854472956200002</v>
      </c>
      <c r="I13" s="45">
        <f>SUM('[1]CWG Complex'!H$60:H$68,'[1]CWG Complex'!I$57:I$59)</f>
        <v>1.1902754177999999</v>
      </c>
      <c r="J13" s="45">
        <f>SUM('[1]CWG Complex'!I$60:I$68,'[1]CWG Complex'!J$57:J$59)</f>
        <v>11.0885872734</v>
      </c>
      <c r="K13" s="45">
        <f>SUM('[1]CWG Complex'!J$60:J$68,'[1]CWG Complex'!K$57:K$59)</f>
        <v>3.0659678153999996</v>
      </c>
      <c r="L13" s="45">
        <f>SUM('[1]CWG Complex'!K$60:K$68,'[1]CWG Complex'!L$57:L$59)</f>
        <v>18.126622546199997</v>
      </c>
      <c r="M13" s="45">
        <f>SUM('[1]CWG Complex'!L$60:L$68,'[1]CWG Complex'!M$57:M$59)</f>
        <v>10.882234654199999</v>
      </c>
      <c r="N13" s="45">
        <f>SUM('[1]CWG Complex'!M$60:M$68,'[1]CWG Complex'!N$57:N$59)</f>
        <v>8.8819811135999984</v>
      </c>
      <c r="O13" s="45">
        <f>SUM('[1]CWG Complex'!N$60:N$68,'[1]CWG Complex'!O$57:O$59)</f>
        <v>4.1524055369999999</v>
      </c>
      <c r="P13" s="45">
        <f>SUM('[1]CWG Complex'!O$60:O$68,'[1]CWG Complex'!P$57:P$59)</f>
        <v>1.2954358871999998</v>
      </c>
      <c r="Q13" s="45">
        <f>SUM('[1]CWG Complex'!P$60:P$68,'[1]CWG Complex'!Q$57:Q$59)</f>
        <v>2.5661800079999995</v>
      </c>
      <c r="R13" s="45">
        <f>SUM('[1]CWG Complex'!Q$60:Q$68,'[1]CWG Complex'!R$57:R$59)</f>
        <v>3.8638205172000002</v>
      </c>
      <c r="S13" s="45">
        <f>SUM('[1]CWG Complex'!R$60:R$68,'[1]CWG Complex'!S$57:S$59)</f>
        <v>8.128882238400001</v>
      </c>
      <c r="T13" s="45">
        <f>SUM('[1]CWG Complex'!S$60:S$68,'[1]CWG Complex'!T$57:T$59)</f>
        <v>5.5514586581999996</v>
      </c>
      <c r="U13" s="45">
        <f>SUM('[1]CWG Complex'!T$60:T$68,'[1]CWG Complex'!U$57:U$59)</f>
        <v>3.1142260000000004</v>
      </c>
      <c r="V13" s="45">
        <f>SUM('[1]CWG Complex'!U$60:U$68,'[1]CWG Complex'!V$57:V$59)</f>
        <v>1.1465609999999999</v>
      </c>
      <c r="W13" s="45">
        <f>SUM('[1]CWG Complex'!V$60:V$68,'[1]CWG Complex'!W$57:W$59)</f>
        <v>1.408363</v>
      </c>
      <c r="X13" s="45">
        <f>SUM('[1]CWG Complex'!W$60:W$68,'[1]CWG Complex'!X$57:X$59)</f>
        <v>0.44539099999999998</v>
      </c>
      <c r="Y13" s="45">
        <f>SUM('[1]CWG Complex'!X$60:X$68,'[1]CWG Complex'!Y$57:Y$59)</f>
        <v>0.862178</v>
      </c>
      <c r="Z13" s="45">
        <f>SUM('[1]CWG Complex'!Y$60:Y$68,'[1]CWG Complex'!Z$57:Z$59)</f>
        <v>1.755997</v>
      </c>
      <c r="AA13" s="45">
        <f>SUM('[1]CWG Complex'!Z$60:Z$68,'[1]CWG Complex'!AA$57:AA$59)</f>
        <v>0.96384800000000004</v>
      </c>
      <c r="AB13" s="45">
        <f>SUM('[1]CWG Complex'!AA$60:AA$68,'[1]CWG Complex'!AB$57:AB$59)</f>
        <v>1.456728</v>
      </c>
      <c r="AC13" s="45">
        <f>SUM('[1]CWG Complex'!AB$60:AB$68,'[1]CWG Complex'!AC$57:AC$59)</f>
        <v>13.106241028760001</v>
      </c>
      <c r="AD13" s="45">
        <f>SUM('[1]CWG Complex'!AC$60:AC$68,'[1]CWG Complex'!AD$57:AD$59)</f>
        <v>0.29813916746000002</v>
      </c>
      <c r="AE13" s="45">
        <f>SUM('[1]CWG Complex'!AD$60:AD$68,'[1]CWG Complex'!AE$57:AE$59)</f>
        <v>0.54172500000000001</v>
      </c>
      <c r="AF13" s="45">
        <f>SUM('[1]CWG Complex'!AE$60:AE$68,'[1]CWG Complex'!AF$57:AF$59)</f>
        <v>0.235516</v>
      </c>
      <c r="AG13" s="45">
        <f>SUM('[1]CWG Complex'!AF$60:AF$68,'[1]CWG Complex'!AG$57:AG$59)</f>
        <v>0.54090129768000006</v>
      </c>
      <c r="AH13" s="45">
        <f>SUM('[1]CWG Complex'!AG$60:AG$68,'[1]CWG Complex'!AH$57:AH$59)</f>
        <v>0.44686888716208151</v>
      </c>
      <c r="AI13" s="45">
        <f>SUM('[1]CWG Complex'!AH$60:AH$68,'[1]CWG Complex'!AI$57:AI$59)</f>
        <v>7.0251025055532976E-2</v>
      </c>
      <c r="AJ13" s="45">
        <f>SUM('[1]CWG Complex'!AI$60:AI$68,'[1]CWG Complex'!AJ$57:AJ$59)</f>
        <v>3.3680847754717615E-2</v>
      </c>
      <c r="AK13" s="45">
        <f>SUM('[1]CWG Complex'!AJ$60:AJ$68,'[1]CWG Complex'!AK$57:AK$59)</f>
        <v>5.0071377760083691E-2</v>
      </c>
      <c r="AL13" s="45">
        <f>SUM('[1]CWG Complex'!AK$60:AK$68,'[1]CWG Complex'!AL$57:AL$59)</f>
        <v>4.385400341783971E-2</v>
      </c>
      <c r="AM13" s="45">
        <f>SUM('[1]CWG Complex'!AL$60:AL$68,'[1]CWG Complex'!AM$57:AM$59)</f>
        <v>5.3608502990061938E-2</v>
      </c>
      <c r="AN13" s="45">
        <f>SUM('[1]CWG Complex'!AM$60:AM$68,'[1]CWG Complex'!AN$57:AN$59)</f>
        <v>5.374292350662245E-2</v>
      </c>
      <c r="AO13" s="45">
        <f>SUM('[1]CWG Complex'!AN$60:AN$68,'[1]CWG Complex'!AO$57:AO$59)</f>
        <v>5.029315139564719E-2</v>
      </c>
      <c r="AP13" s="45">
        <f>SUM('[1]CWG Complex'!AO$60:AO$68,'[1]CWG Complex'!AP$57:AP$59)</f>
        <v>4.6991531085865082E-2</v>
      </c>
      <c r="AQ13" s="45">
        <f>SUM('[1]CWG Complex'!AP$60:AP$68,'[1]CWG Complex'!AQ$57:AQ$59)</f>
        <v>5.031399181405101E-2</v>
      </c>
      <c r="AR13" s="45">
        <f>SUM('[1]CWG Complex'!AQ$60:AQ$68,'[1]CWG Complex'!AR$57:AR$59)</f>
        <v>4.9698022479207266E-2</v>
      </c>
      <c r="AS13" s="45">
        <f>SUM('[1]CWG Complex'!AR$60:AR$68,'[1]CWG Complex'!AS$57:AS$59)</f>
        <v>5.0990020158449535E-2</v>
      </c>
      <c r="AT13" s="45">
        <f>SUM('[1]CWG Complex'!AS$60:AS$68,'[1]CWG Complex'!AT$57:AT$59)</f>
        <v>5.0207924056278601E-2</v>
      </c>
      <c r="AU13" s="45">
        <f>SUM('[1]CWG Complex'!AT$60:AT$68,'[1]CWG Complex'!AU$57:AU$59)</f>
        <v>4.9657343386644008E-2</v>
      </c>
      <c r="AV13" s="45">
        <f>SUM('[1]CWG Complex'!AU$60:AU$68,'[1]CWG Complex'!AV$57:AV$59)</f>
        <v>4.9640297918770296E-2</v>
      </c>
      <c r="AW13" s="45">
        <f>SUM('[1]CWG Complex'!AV$60:AV$68,'[1]CWG Complex'!AW$57:AW$59)</f>
        <v>5.0173460378926074E-2</v>
      </c>
      <c r="AX13" s="45">
        <f>SUM('[1]CWG Complex'!AW$60:AW$68,'[1]CWG Complex'!AX$57:AX$59)</f>
        <v>5.0038721599869954E-2</v>
      </c>
      <c r="AY13" s="45">
        <f>SUM('[1]CWG Complex'!AX$60:AX$68,'[1]CWG Complex'!AY$57:AY$59)</f>
        <v>5.0133809179813707E-2</v>
      </c>
      <c r="AZ13" s="45">
        <f>SUM('[1]CWG Complex'!AY$60:AY$68,'[1]CWG Complex'!AZ$57:AZ$59)</f>
        <v>4.9943549468097793E-2</v>
      </c>
      <c r="BA13" s="45">
        <f>SUM('[1]CWG Complex'!AZ$60:AZ$68,'[1]CWG Complex'!BA$57:BA$59)</f>
        <v>4.9928726492804817E-2</v>
      </c>
      <c r="BB13" s="45">
        <f>SUM('[1]CWG Complex'!BA$60:BA$68,'[1]CWG Complex'!BB$57:BB$59)</f>
        <v>4.9985967709095566E-2</v>
      </c>
      <c r="BC13" s="45">
        <f>SUM('[1]CWG Complex'!BB$60:BB$68,'[1]CWG Complex'!BC$57:BC$59)</f>
        <v>5.0043653423902455E-2</v>
      </c>
      <c r="BD13" s="45">
        <f>SUM('[1]CWG Complex'!BC$60:BC$68,'[1]CWG Complex'!BD$57:BD$59)</f>
        <v>5.0006154889936358E-2</v>
      </c>
      <c r="BE13" s="45">
        <f>SUM('[1]CWG Complex'!BD$60:BD$68,'[1]CWG Complex'!BE$57:BE$59)</f>
        <v>5.0007141254742857E-2</v>
      </c>
      <c r="BF13" s="45">
        <f>SUM('[1]CWG Complex'!BE$60:BE$68,'[1]CWG Complex'!BF$57:BF$59)</f>
        <v>4.9981610396767399E-2</v>
      </c>
      <c r="BG13" s="45">
        <f>SUM('[1]CWG Complex'!BF$60:BF$68,'[1]CWG Complex'!BG$57:BG$59)</f>
        <v>4.9994328754096408E-2</v>
      </c>
      <c r="BH13" s="40"/>
      <c r="BI13" s="40"/>
      <c r="BJ13" s="40"/>
      <c r="BK13" s="40"/>
      <c r="BL13" s="40"/>
      <c r="BM13" s="40"/>
      <c r="BN13" s="40"/>
      <c r="BO13" s="40"/>
    </row>
    <row r="14" spans="1:68" x14ac:dyDescent="0.2">
      <c r="A14" s="40"/>
      <c r="B14" s="84" t="s">
        <v>80</v>
      </c>
      <c r="C14" s="85" t="e">
        <f t="shared" ref="C14:AA14" si="6">C13+C8</f>
        <v>#REF!</v>
      </c>
      <c r="D14" s="85" t="e">
        <f t="shared" si="6"/>
        <v>#REF!</v>
      </c>
      <c r="E14" s="85" t="e">
        <f t="shared" si="6"/>
        <v>#REF!</v>
      </c>
      <c r="F14" s="85" t="e">
        <f t="shared" si="6"/>
        <v>#REF!</v>
      </c>
      <c r="G14" s="85" t="e">
        <f t="shared" si="6"/>
        <v>#REF!</v>
      </c>
      <c r="H14" s="85" t="e">
        <f t="shared" si="6"/>
        <v>#REF!</v>
      </c>
      <c r="I14" s="85" t="e">
        <f t="shared" si="6"/>
        <v>#REF!</v>
      </c>
      <c r="J14" s="85" t="e">
        <f t="shared" si="6"/>
        <v>#REF!</v>
      </c>
      <c r="K14" s="85" t="e">
        <f t="shared" si="6"/>
        <v>#REF!</v>
      </c>
      <c r="L14" s="85" t="e">
        <f t="shared" si="6"/>
        <v>#REF!</v>
      </c>
      <c r="M14" s="85" t="e">
        <f t="shared" si="6"/>
        <v>#REF!</v>
      </c>
      <c r="N14" s="85" t="e">
        <f t="shared" si="6"/>
        <v>#REF!</v>
      </c>
      <c r="O14" s="85" t="e">
        <f t="shared" si="6"/>
        <v>#REF!</v>
      </c>
      <c r="P14" s="85" t="e">
        <f t="shared" si="6"/>
        <v>#REF!</v>
      </c>
      <c r="Q14" s="85" t="e">
        <f t="shared" si="6"/>
        <v>#REF!</v>
      </c>
      <c r="R14" s="85" t="e">
        <f t="shared" si="6"/>
        <v>#REF!</v>
      </c>
      <c r="S14" s="85" t="e">
        <f t="shared" si="6"/>
        <v>#REF!</v>
      </c>
      <c r="T14" s="85" t="e">
        <f t="shared" si="6"/>
        <v>#REF!</v>
      </c>
      <c r="U14" s="85" t="e">
        <f t="shared" si="6"/>
        <v>#REF!</v>
      </c>
      <c r="V14" s="85" t="e">
        <f t="shared" si="6"/>
        <v>#REF!</v>
      </c>
      <c r="W14" s="85" t="e">
        <f t="shared" si="6"/>
        <v>#REF!</v>
      </c>
      <c r="X14" s="85" t="e">
        <f t="shared" si="6"/>
        <v>#REF!</v>
      </c>
      <c r="Y14" s="85" t="e">
        <f t="shared" si="6"/>
        <v>#REF!</v>
      </c>
      <c r="Z14" s="85" t="e">
        <f t="shared" si="6"/>
        <v>#REF!</v>
      </c>
      <c r="AA14" s="85" t="e">
        <f t="shared" si="6"/>
        <v>#REF!</v>
      </c>
      <c r="AB14" s="85">
        <f>AB7-AB15</f>
        <v>1392.9229940000002</v>
      </c>
      <c r="AC14" s="85">
        <f t="shared" ref="AC14:BG14" si="7">AC7-AC15</f>
        <v>1354.4622618517399</v>
      </c>
      <c r="AD14" s="85">
        <f t="shared" si="7"/>
        <v>1297.46030747752</v>
      </c>
      <c r="AE14" s="85">
        <f t="shared" si="7"/>
        <v>1438.73642</v>
      </c>
      <c r="AF14" s="85">
        <f t="shared" si="7"/>
        <v>1458.8573880000001</v>
      </c>
      <c r="AG14" s="85">
        <f t="shared" si="7"/>
        <v>1402.9579229185802</v>
      </c>
      <c r="AH14" s="85">
        <f t="shared" si="7"/>
        <v>1506.1735060679148</v>
      </c>
      <c r="AI14" s="85">
        <f t="shared" si="7"/>
        <v>1547.4728070387546</v>
      </c>
      <c r="AJ14" s="85">
        <f t="shared" si="7"/>
        <v>1681.2414589545383</v>
      </c>
      <c r="AK14" s="85">
        <f t="shared" si="7"/>
        <v>1718.3196460230727</v>
      </c>
      <c r="AL14" s="85">
        <f t="shared" si="7"/>
        <v>1747.8674256572901</v>
      </c>
      <c r="AM14" s="85">
        <f t="shared" si="7"/>
        <v>1956.7283951873894</v>
      </c>
      <c r="AN14" s="85">
        <f t="shared" si="7"/>
        <v>2194.7211190505363</v>
      </c>
      <c r="AO14" s="85">
        <f t="shared" si="7"/>
        <v>2344.7055522188639</v>
      </c>
      <c r="AP14" s="85">
        <f t="shared" si="7"/>
        <v>2340.9684122303725</v>
      </c>
      <c r="AQ14" s="85">
        <f t="shared" si="7"/>
        <v>2097.4413516291879</v>
      </c>
      <c r="AR14" s="85">
        <f t="shared" si="7"/>
        <v>2113.1730199642902</v>
      </c>
      <c r="AS14" s="85">
        <f t="shared" si="7"/>
        <v>2029.2510838146472</v>
      </c>
      <c r="AT14" s="85">
        <f t="shared" si="7"/>
        <v>2129.3328863364463</v>
      </c>
      <c r="AU14" s="85">
        <f t="shared" si="7"/>
        <v>2250.2049008488721</v>
      </c>
      <c r="AV14" s="85">
        <f t="shared" si="7"/>
        <v>2241.9646682104562</v>
      </c>
      <c r="AW14" s="85">
        <f t="shared" si="7"/>
        <v>2153.6004330995565</v>
      </c>
      <c r="AX14" s="85">
        <f t="shared" si="7"/>
        <v>2181.7186537879097</v>
      </c>
      <c r="AY14" s="85">
        <f t="shared" si="7"/>
        <v>2239.3728198267981</v>
      </c>
      <c r="AZ14" s="85">
        <f t="shared" si="7"/>
        <v>2298.8080918294299</v>
      </c>
      <c r="BA14" s="85">
        <f t="shared" si="7"/>
        <v>2311.8034357608021</v>
      </c>
      <c r="BB14" s="85">
        <f t="shared" si="7"/>
        <v>2309.2110023778787</v>
      </c>
      <c r="BC14" s="85">
        <f t="shared" si="7"/>
        <v>2303.3660877661405</v>
      </c>
      <c r="BD14" s="85">
        <f t="shared" si="7"/>
        <v>2340.049052283337</v>
      </c>
      <c r="BE14" s="85">
        <f t="shared" si="7"/>
        <v>2355.4116034384651</v>
      </c>
      <c r="BF14" s="85">
        <f t="shared" si="7"/>
        <v>2367.7337338561697</v>
      </c>
      <c r="BG14" s="85">
        <f t="shared" si="7"/>
        <v>2387.9263486475102</v>
      </c>
      <c r="BH14" s="40"/>
      <c r="BI14" s="40"/>
      <c r="BJ14" s="40"/>
      <c r="BK14" s="40"/>
      <c r="BL14" s="40"/>
      <c r="BM14" s="40"/>
      <c r="BN14" s="40"/>
      <c r="BO14" s="40"/>
    </row>
    <row r="15" spans="1:68" ht="12" thickBot="1" x14ac:dyDescent="0.25">
      <c r="A15" s="40"/>
      <c r="B15" s="40" t="s">
        <v>81</v>
      </c>
      <c r="C15" s="45">
        <f>'[1]CWG Complex'!C$203</f>
        <v>0</v>
      </c>
      <c r="D15" s="45">
        <f>'[1]CWG Complex'!D$203</f>
        <v>0</v>
      </c>
      <c r="E15" s="45">
        <f>'[1]CWG Complex'!E$203</f>
        <v>0</v>
      </c>
      <c r="F15" s="45">
        <f>'[1]CWG Complex'!F$203</f>
        <v>0</v>
      </c>
      <c r="G15" s="45">
        <f>'[1]CWG Complex'!G$203</f>
        <v>0</v>
      </c>
      <c r="H15" s="45">
        <f>'[1]CWG Complex'!H$203</f>
        <v>0</v>
      </c>
      <c r="I15" s="45">
        <f>'[1]CWG Complex'!I$203</f>
        <v>0</v>
      </c>
      <c r="J15" s="45">
        <f>'[1]CWG Complex'!J$203</f>
        <v>0</v>
      </c>
      <c r="K15" s="45">
        <f>'[1]CWG Complex'!K$203</f>
        <v>0</v>
      </c>
      <c r="L15" s="45">
        <f>'[1]CWG Complex'!L$203</f>
        <v>10.390979017560001</v>
      </c>
      <c r="M15" s="45">
        <f>'[1]CWG Complex'!M$203</f>
        <v>8.5963705306200016</v>
      </c>
      <c r="N15" s="45">
        <f>'[1]CWG Complex'!N$203</f>
        <v>9.6175691834200023</v>
      </c>
      <c r="O15" s="45">
        <f>'[1]CWG Complex'!O$203</f>
        <v>9.3183105979800001</v>
      </c>
      <c r="P15" s="45">
        <f>'[1]CWG Complex'!P$203</f>
        <v>9.970618948080002</v>
      </c>
      <c r="Q15" s="45">
        <f>'[1]CWG Complex'!Q$203</f>
        <v>10.156368106080002</v>
      </c>
      <c r="R15" s="45">
        <f>'[1]CWG Complex'!R$203</f>
        <v>11.336998462580002</v>
      </c>
      <c r="S15" s="45">
        <f>'[1]CWG Complex'!S$203</f>
        <v>14.250009242919999</v>
      </c>
      <c r="T15" s="45">
        <f>'[1]CWG Complex'!T$203</f>
        <v>11.257745020879575</v>
      </c>
      <c r="U15" s="45">
        <f>'[1]CWG Complex'!U$203</f>
        <v>10.66030118216711</v>
      </c>
      <c r="V15" s="45">
        <f>'[1]CWG Complex'!V$203</f>
        <v>11.017527753700884</v>
      </c>
      <c r="W15" s="45">
        <f>'[1]CWG Complex'!W$203</f>
        <v>10.93137871471963</v>
      </c>
      <c r="X15" s="45">
        <f>'[1]CWG Complex'!X$203</f>
        <v>12.529860800000002</v>
      </c>
      <c r="Y15" s="45">
        <f>'[1]CWG Complex'!Y$203</f>
        <v>13.109335300000001</v>
      </c>
      <c r="Z15" s="45">
        <f>'[1]CWG Complex'!Z$203</f>
        <v>10.607712900000001</v>
      </c>
      <c r="AA15" s="45">
        <f>'[1]CWG Complex'!AA$203</f>
        <v>12.779887700000002</v>
      </c>
      <c r="AB15" s="45">
        <f>'[1]CWG Complex'!AB$219</f>
        <v>9.7379999999999995</v>
      </c>
      <c r="AC15" s="45">
        <f>'[1]CWG Complex'!AC$219</f>
        <v>9.577</v>
      </c>
      <c r="AD15" s="45">
        <f>'[1]CWG Complex'!AD$219</f>
        <v>6.3150000000000004</v>
      </c>
      <c r="AE15" s="45">
        <f>'[1]CWG Complex'!AE$219</f>
        <v>6.6539999999999999</v>
      </c>
      <c r="AF15" s="45">
        <f>'[1]CWG Complex'!AF$219</f>
        <v>7.2759999999999998</v>
      </c>
      <c r="AG15" s="45">
        <f>'[1]CWG Complex'!AG$219</f>
        <v>9.84</v>
      </c>
      <c r="AH15" s="45">
        <f>'[1]CWG Complex'!AH$219</f>
        <v>9.6080105754946032</v>
      </c>
      <c r="AI15" s="45">
        <f>'[1]CWG Complex'!AI$219</f>
        <v>10.727931434621837</v>
      </c>
      <c r="AJ15" s="45">
        <f>'[1]CWG Complex'!AJ$219</f>
        <v>12.512487554254392</v>
      </c>
      <c r="AK15" s="45">
        <f>'[1]CWG Complex'!AK$219</f>
        <v>11.226730201486788</v>
      </c>
      <c r="AL15" s="45">
        <f>'[1]CWG Complex'!AL$219</f>
        <v>11.581530888928199</v>
      </c>
      <c r="AM15" s="45">
        <f>'[1]CWG Complex'!AM$219</f>
        <v>13.611611498794588</v>
      </c>
      <c r="AN15" s="45">
        <f>'[1]CWG Complex'!AN$219</f>
        <v>10.339362825015598</v>
      </c>
      <c r="AO15" s="45">
        <f>'[1]CWG Complex'!AO$219</f>
        <v>11.72581678410458</v>
      </c>
      <c r="AP15" s="45">
        <f>'[1]CWG Complex'!AP$219</f>
        <v>11.895358352381209</v>
      </c>
      <c r="AQ15" s="45">
        <f>'[1]CWG Complex'!AQ$219</f>
        <v>12.181703222591096</v>
      </c>
      <c r="AR15" s="45">
        <f>'[1]CWG Complex'!AR$219</f>
        <v>13.721114146732532</v>
      </c>
      <c r="AS15" s="45">
        <f>'[1]CWG Complex'!AS$219</f>
        <v>14.552785889565456</v>
      </c>
      <c r="AT15" s="45">
        <f>'[1]CWG Complex'!AT$219</f>
        <v>11.288010259967621</v>
      </c>
      <c r="AU15" s="45">
        <f>'[1]CWG Complex'!AU$219</f>
        <v>10.136479229576622</v>
      </c>
      <c r="AV15" s="45">
        <f>'[1]CWG Complex'!AV$219</f>
        <v>10.251426255539769</v>
      </c>
      <c r="AW15" s="45">
        <f>'[1]CWG Complex'!AW$219</f>
        <v>12.920536367676675</v>
      </c>
      <c r="AX15" s="45">
        <f>'[1]CWG Complex'!AX$219</f>
        <v>13.510918692794633</v>
      </c>
      <c r="AY15" s="45">
        <f>'[1]CWG Complex'!AY$219</f>
        <v>11.134964104676754</v>
      </c>
      <c r="AZ15" s="45">
        <f>'[1]CWG Complex'!AZ$219</f>
        <v>12.105053626827441</v>
      </c>
      <c r="BA15" s="45">
        <f>'[1]CWG Complex'!BA$219</f>
        <v>16.532555408453703</v>
      </c>
      <c r="BB15" s="45">
        <f>'[1]CWG Complex'!BB$219</f>
        <v>14.03018781405234</v>
      </c>
      <c r="BC15" s="45">
        <f>'[1]CWG Complex'!BC$219</f>
        <v>13.110200808570823</v>
      </c>
      <c r="BD15" s="45">
        <f>'[1]CWG Complex'!BD$219</f>
        <v>12.367362885797576</v>
      </c>
      <c r="BE15" s="45">
        <f>'[1]CWG Complex'!BE$219</f>
        <v>10.755579959791504</v>
      </c>
      <c r="BF15" s="45">
        <f>'[1]CWG Complex'!BF$219</f>
        <v>11.966728807854395</v>
      </c>
      <c r="BG15" s="45">
        <f>'[1]CWG Complex'!BG$219</f>
        <v>10.919325545678078</v>
      </c>
      <c r="BH15" s="40"/>
      <c r="BI15" s="40"/>
      <c r="BJ15" s="40"/>
      <c r="BK15" s="40"/>
      <c r="BL15" s="40"/>
      <c r="BM15" s="40"/>
      <c r="BN15" s="40"/>
      <c r="BO15" s="40"/>
    </row>
    <row r="16" spans="1:68" x14ac:dyDescent="0.2">
      <c r="A16" s="40"/>
      <c r="B16" s="49" t="s">
        <v>183</v>
      </c>
      <c r="C16" s="49"/>
      <c r="D16" s="49"/>
      <c r="E16" s="49"/>
      <c r="F16" s="49"/>
      <c r="G16" s="49"/>
      <c r="H16" s="72"/>
      <c r="I16" s="72">
        <f>MEDIAN('[1]CWG Complex'!H$219:H$227,'[1]CWG Complex'!I$216:I$218)</f>
        <v>40.453667509772366</v>
      </c>
      <c r="J16" s="72">
        <f>MEDIAN('[1]CWG Complex'!I$219:I$227,'[1]CWG Complex'!J$216:J$218)</f>
        <v>26.356204195097298</v>
      </c>
      <c r="K16" s="72">
        <f>MEDIAN('[1]CWG Complex'!J$219:J$227,'[1]CWG Complex'!K$216:K$218)</f>
        <v>25.085803016858925</v>
      </c>
      <c r="L16" s="72">
        <f>MEDIAN('[1]CWG Complex'!K$219:K$227,'[1]CWG Complex'!L$216:L$218)</f>
        <v>36.799999999999997</v>
      </c>
      <c r="M16" s="72">
        <f>MEDIAN('[1]CWG Complex'!L$219:L$227,'[1]CWG Complex'!M$216:M$218)</f>
        <v>34.799999999999997</v>
      </c>
      <c r="N16" s="72">
        <f>MEDIAN('[1]CWG Complex'!M$219:M$227,'[1]CWG Complex'!N$216:N$218)</f>
        <v>25.4</v>
      </c>
      <c r="O16" s="72">
        <f>MEDIAN('[1]CWG Complex'!N$219:N$227,'[1]CWG Complex'!O$216:O$218)</f>
        <v>22.5</v>
      </c>
      <c r="P16" s="72">
        <f>MEDIAN('[1]CWG Complex'!O$219:O$227,'[1]CWG Complex'!P$216:P$218)</f>
        <v>22.8</v>
      </c>
      <c r="Q16" s="72">
        <f>MEDIAN('[1]CWG Complex'!P$219:P$227,'[1]CWG Complex'!Q$216:Q$218)</f>
        <v>28.3</v>
      </c>
      <c r="R16" s="72">
        <f>MEDIAN('[1]CWG Complex'!Q$219:Q$227,'[1]CWG Complex'!R$216:R$218)</f>
        <v>45.4</v>
      </c>
      <c r="S16" s="72">
        <f>MEDIAN('[1]CWG Complex'!R$219:R$227,'[1]CWG Complex'!S$216:S$218)</f>
        <v>68.704999999999998</v>
      </c>
      <c r="T16" s="72">
        <f>MEDIAN('[1]CWG Complex'!S$219:S$227,'[1]CWG Complex'!T$216:T$218)</f>
        <v>54.36</v>
      </c>
      <c r="U16" s="72">
        <f>MEDIAN('[1]CWG Complex'!T$219:T$227,'[1]CWG Complex'!U$216:U$218)</f>
        <v>40.729405615726357</v>
      </c>
      <c r="V16" s="72">
        <f>MEDIAN('[1]CWG Complex'!U$219:U$227,'[1]CWG Complex'!V$216:V$218)</f>
        <v>25.45587850982897</v>
      </c>
      <c r="W16" s="72">
        <f>MEDIAN('[1]CWG Complex'!V$219:V$227,'[1]CWG Complex'!W$216:W$218)</f>
        <v>15.273527105897383</v>
      </c>
      <c r="X16" s="72">
        <f>MEDIAN('[1]CWG Complex'!W$219:W$227,'[1]CWG Complex'!X$216:X$218)</f>
        <v>13.133591507585766</v>
      </c>
      <c r="Y16" s="72">
        <f>MEDIAN('[1]CWG Complex'!X$219:X$227,'[1]CWG Complex'!Y$216:Y$218)</f>
        <v>11.968999999999999</v>
      </c>
      <c r="Z16" s="72">
        <f>MEDIAN('[1]CWG Complex'!Y$219:Y$227,'[1]CWG Complex'!Z$216:Z$218)</f>
        <v>8.1850000000000005</v>
      </c>
      <c r="AA16" s="72">
        <f>MEDIAN('[1]CWG Complex'!Z$219:Z$227,'[1]CWG Complex'!AA$216:AA$218)</f>
        <v>8.01</v>
      </c>
      <c r="AB16" s="72">
        <f>MEDIAN('[1]CWG Complex'!AA$235:AA$243,'[1]CWG Complex'!AB$232:AB$234)</f>
        <v>25</v>
      </c>
      <c r="AC16" s="72">
        <f>MEDIAN('[1]CWG Complex'!AB$235:AB$243,'[1]CWG Complex'!AC$232:AC$234)</f>
        <v>26.736899999999999</v>
      </c>
      <c r="AD16" s="72">
        <f>MEDIAN('[1]CWG Complex'!AC$235:AC$243,'[1]CWG Complex'!AD$232:AD$234)</f>
        <v>53.790300000000002</v>
      </c>
      <c r="AE16" s="72">
        <f>MEDIAN('[1]CWG Complex'!AD$235:AD$243,'[1]CWG Complex'!AE$232:AE$234)</f>
        <v>72.738095238095241</v>
      </c>
      <c r="AF16" s="72">
        <f>MEDIAN('[1]CWG Complex'!AE$235:AE$243,'[1]CWG Complex'!AF$232:AF$234)</f>
        <v>55.906926406926402</v>
      </c>
      <c r="AG16" s="72">
        <f>MEDIAN('[1]CWG Complex'!AF$235:AF$243,'[1]CWG Complex'!AG$232:AG$234)</f>
        <v>40.603896103896105</v>
      </c>
      <c r="AH16" s="72">
        <f>MEDIAN('[1]CWG Complex'!AG$235:AG$243,'[1]CWG Complex'!AH$232:AH$234)</f>
        <v>48.139194139194146</v>
      </c>
      <c r="AI16" s="72">
        <f>MEDIAN('[1]CWG Complex'!AH$235:AH$243,'[1]CWG Complex'!AI$232:AI$234)</f>
        <v>45.75</v>
      </c>
      <c r="AJ16" s="72">
        <f>MEDIAN('[1]CWG Complex'!AI$235:AI$243,'[1]CWG Complex'!AJ$232:AJ$234)</f>
        <v>43.625</v>
      </c>
      <c r="AK16" s="72">
        <f>MEDIAN('[1]CWG Complex'!AJ$235:AJ$243,'[1]CWG Complex'!AK$232:AK$234)</f>
        <v>37.125</v>
      </c>
      <c r="AL16" s="72">
        <f>MEDIAN('[1]CWG Complex'!AK$235:AK$243,'[1]CWG Complex'!AL$232:AL$234)</f>
        <v>41.375</v>
      </c>
      <c r="AM16" s="72">
        <f>MEDIAN('[1]CWG Complex'!AL$235:AL$243,'[1]CWG Complex'!AM$232:AM$234)</f>
        <v>47.375</v>
      </c>
      <c r="AN16" s="72">
        <f>MEDIAN('[1]CWG Complex'!AM$235:AM$243,'[1]CWG Complex'!AN$232:AN$234)</f>
        <v>39</v>
      </c>
      <c r="AO16" s="72">
        <f>MEDIAN('[1]CWG Complex'!AN$235:AN$243,'[1]CWG Complex'!AO$232:AO$234)</f>
        <v>37.25</v>
      </c>
      <c r="AP16" s="72">
        <f>MEDIAN('[1]CWG Complex'!AO$235:AO$243,'[1]CWG Complex'!AP$232:AP$234)</f>
        <v>50.875</v>
      </c>
      <c r="AQ16" s="72">
        <f>MEDIAN('[1]CWG Complex'!AP$235:AP$243,'[1]CWG Complex'!AQ$232:AQ$234)</f>
        <v>54.5</v>
      </c>
      <c r="AR16" s="72">
        <f>MEDIAN('[1]CWG Complex'!AQ$235:AQ$243,'[1]CWG Complex'!AR$232:AR$234)</f>
        <v>53.125</v>
      </c>
      <c r="AS16" s="72">
        <f>MEDIAN('[1]CWG Complex'!AR$235:AR$243,'[1]CWG Complex'!AS$232:AS$234)</f>
        <v>43.125</v>
      </c>
      <c r="AT16" s="72">
        <f>MEDIAN('[1]CWG Complex'!AS$235:AS$243,'[1]CWG Complex'!AT$232:AT$234)</f>
        <v>29.625</v>
      </c>
      <c r="AU16" s="72" t="e">
        <f>MEDIAN('[1]CWG Complex'!AT$235:AT$243,'[1]CWG Complex'!AU$232:AU$234)</f>
        <v>#NUM!</v>
      </c>
      <c r="AV16" s="72" t="e">
        <f>MEDIAN('[1]CWG Complex'!AU$235:AU$243,'[1]CWG Complex'!AV$232:AV$234)</f>
        <v>#NUM!</v>
      </c>
      <c r="AW16" s="72" t="e">
        <f>MEDIAN('[1]CWG Complex'!AV$235:AV$243,'[1]CWG Complex'!AW$232:AW$234)</f>
        <v>#NUM!</v>
      </c>
      <c r="AX16" s="72" t="e">
        <f>MEDIAN('[1]CWG Complex'!AW$235:AW$243,'[1]CWG Complex'!AX$232:AX$234)</f>
        <v>#NUM!</v>
      </c>
      <c r="AY16" s="72" t="e">
        <f>MEDIAN('[1]CWG Complex'!AX$235:AX$243,'[1]CWG Complex'!AY$232:AY$234)</f>
        <v>#NUM!</v>
      </c>
      <c r="AZ16" s="72" t="e">
        <f>MEDIAN('[1]CWG Complex'!AY$235:AY$243,'[1]CWG Complex'!AZ$232:AZ$234)</f>
        <v>#NUM!</v>
      </c>
      <c r="BA16" s="72" t="e">
        <f>MEDIAN('[1]CWG Complex'!AZ$235:AZ$243,'[1]CWG Complex'!BA$232:BA$234)</f>
        <v>#NUM!</v>
      </c>
      <c r="BB16" s="72" t="e">
        <f>MEDIAN('[1]CWG Complex'!BA$235:BA$243,'[1]CWG Complex'!BB$232:BB$234)</f>
        <v>#NUM!</v>
      </c>
      <c r="BC16" s="72" t="e">
        <f>MEDIAN('[1]CWG Complex'!BB$235:BB$243,'[1]CWG Complex'!BC$232:BC$234)</f>
        <v>#NUM!</v>
      </c>
      <c r="BD16" s="72" t="e">
        <f>MEDIAN('[1]CWG Complex'!BC$235:BC$243,'[1]CWG Complex'!BD$232:BD$234)</f>
        <v>#NUM!</v>
      </c>
      <c r="BE16" s="72" t="e">
        <f>MEDIAN('[1]CWG Complex'!BD$235:BD$243,'[1]CWG Complex'!BE$232:BE$234)</f>
        <v>#NUM!</v>
      </c>
      <c r="BF16" s="72" t="e">
        <f>MEDIAN('[1]CWG Complex'!BE$235:BE$243,'[1]CWG Complex'!BF$232:BF$234)</f>
        <v>#NUM!</v>
      </c>
      <c r="BG16" s="72" t="e">
        <f>MEDIAN('[1]CWG Complex'!BF$235:BF$243,'[1]CWG Complex'!BG$232:BG$234)</f>
        <v>#NUM!</v>
      </c>
      <c r="BH16" s="40"/>
      <c r="BI16" s="40"/>
      <c r="BJ16" s="40"/>
      <c r="BK16" s="40"/>
      <c r="BL16" s="40"/>
      <c r="BM16" s="40"/>
      <c r="BN16" s="40"/>
      <c r="BO16" s="40"/>
    </row>
    <row r="17" spans="1:67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</row>
    <row r="18" spans="1:67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79" t="e">
        <f>Z15+Z14-Z7</f>
        <v>#REF!</v>
      </c>
      <c r="AA18" s="40"/>
      <c r="AB18" s="40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</row>
    <row r="19" spans="1:67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79">
        <f>Z7-Z15</f>
        <v>1354.9688624000003</v>
      </c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</row>
    <row r="20" spans="1:67" x14ac:dyDescent="0.2">
      <c r="B20" s="40"/>
    </row>
    <row r="21" spans="1:67" x14ac:dyDescent="0.2">
      <c r="B21" s="41" t="s">
        <v>83</v>
      </c>
      <c r="C21" s="51">
        <f t="shared" ref="C21:BG21" si="8">C7</f>
        <v>1100.1528620591635</v>
      </c>
      <c r="D21" s="51">
        <f t="shared" si="8"/>
        <v>1096.2861536157106</v>
      </c>
      <c r="E21" s="51">
        <f t="shared" si="8"/>
        <v>1029.7086497946693</v>
      </c>
      <c r="F21" s="51">
        <f t="shared" si="8"/>
        <v>1006.4939866315306</v>
      </c>
      <c r="G21" s="51">
        <f t="shared" si="8"/>
        <v>1086.6534391066389</v>
      </c>
      <c r="H21" s="51">
        <f t="shared" si="8"/>
        <v>1178.7788223953762</v>
      </c>
      <c r="I21" s="51">
        <f t="shared" si="8"/>
        <v>971.74926137338275</v>
      </c>
      <c r="J21" s="51">
        <f t="shared" si="8"/>
        <v>911.25406545079159</v>
      </c>
      <c r="K21" s="51">
        <f t="shared" si="8"/>
        <v>1015.0995791038151</v>
      </c>
      <c r="L21" s="51">
        <f t="shared" si="8"/>
        <v>1250.9562751847998</v>
      </c>
      <c r="M21" s="51">
        <f t="shared" si="8"/>
        <v>1154.52679200236</v>
      </c>
      <c r="N21" s="51">
        <f t="shared" si="8"/>
        <v>1220.6556836954201</v>
      </c>
      <c r="O21" s="51">
        <f t="shared" si="8"/>
        <v>1235.2319896286203</v>
      </c>
      <c r="P21" s="51">
        <f t="shared" si="8"/>
        <v>1291.8433220617799</v>
      </c>
      <c r="Q21" s="86">
        <f t="shared" si="8"/>
        <v>1128.2510006292803</v>
      </c>
      <c r="R21" s="86">
        <f t="shared" si="8"/>
        <v>1234.7452331654802</v>
      </c>
      <c r="S21" s="86">
        <f t="shared" si="8"/>
        <v>1335.52692249138</v>
      </c>
      <c r="T21" s="86">
        <f t="shared" si="8"/>
        <v>1351.9030631035137</v>
      </c>
      <c r="U21" s="86">
        <f t="shared" si="8"/>
        <v>1314.4707928053779</v>
      </c>
      <c r="V21" s="86">
        <f t="shared" si="8"/>
        <v>1329.8597409940451</v>
      </c>
      <c r="W21" s="86">
        <f t="shared" si="8"/>
        <v>1259.2593629170603</v>
      </c>
      <c r="X21" s="86">
        <f t="shared" si="8"/>
        <v>1431.2421909559448</v>
      </c>
      <c r="Y21" s="86">
        <f t="shared" si="8"/>
        <v>1433.1890668000001</v>
      </c>
      <c r="Z21" s="86">
        <f t="shared" si="8"/>
        <v>1365.5765753000003</v>
      </c>
      <c r="AA21" s="86">
        <f t="shared" si="8"/>
        <v>1369.3716829</v>
      </c>
      <c r="AB21" s="86">
        <f t="shared" si="8"/>
        <v>1402.6609940000003</v>
      </c>
      <c r="AC21" s="86">
        <f t="shared" si="8"/>
        <v>1364.0392618517399</v>
      </c>
      <c r="AD21" s="86">
        <f t="shared" si="8"/>
        <v>1303.7753074775201</v>
      </c>
      <c r="AE21" s="86">
        <f t="shared" si="8"/>
        <v>1445.3904199999999</v>
      </c>
      <c r="AF21" s="86">
        <f t="shared" si="8"/>
        <v>1466.1333880000002</v>
      </c>
      <c r="AG21" s="86">
        <f t="shared" si="8"/>
        <v>1412.7979229185801</v>
      </c>
      <c r="AH21" s="86">
        <f t="shared" si="8"/>
        <v>1515.7815166434093</v>
      </c>
      <c r="AI21" s="86">
        <f t="shared" si="8"/>
        <v>1558.2007384733763</v>
      </c>
      <c r="AJ21" s="86">
        <f t="shared" si="8"/>
        <v>1693.7539465087928</v>
      </c>
      <c r="AK21" s="86">
        <f t="shared" si="8"/>
        <v>1729.5463762245595</v>
      </c>
      <c r="AL21" s="86">
        <f t="shared" si="8"/>
        <v>1759.4489565462184</v>
      </c>
      <c r="AM21" s="86">
        <f t="shared" si="8"/>
        <v>1970.3400066861841</v>
      </c>
      <c r="AN21" s="86">
        <f t="shared" si="8"/>
        <v>2205.0604818755519</v>
      </c>
      <c r="AO21" s="86">
        <f t="shared" si="8"/>
        <v>2356.4313690029685</v>
      </c>
      <c r="AP21" s="86">
        <f t="shared" si="8"/>
        <v>2352.8637705827537</v>
      </c>
      <c r="AQ21" s="86">
        <f t="shared" si="8"/>
        <v>2109.6230548517792</v>
      </c>
      <c r="AR21" s="51">
        <f t="shared" si="8"/>
        <v>2126.8941341110226</v>
      </c>
      <c r="AS21" s="51">
        <f t="shared" si="8"/>
        <v>2043.8038697042127</v>
      </c>
      <c r="AT21" s="51">
        <f t="shared" si="8"/>
        <v>2140.6208965964138</v>
      </c>
      <c r="AU21" s="51">
        <f t="shared" si="8"/>
        <v>2260.3413800784488</v>
      </c>
      <c r="AV21" s="51">
        <f t="shared" si="8"/>
        <v>2252.2160944659959</v>
      </c>
      <c r="AW21" s="51">
        <f t="shared" si="8"/>
        <v>2166.520969467233</v>
      </c>
      <c r="AX21" s="51">
        <f t="shared" si="8"/>
        <v>2195.2295724807045</v>
      </c>
      <c r="AY21" s="51">
        <f t="shared" si="8"/>
        <v>2250.5077839314749</v>
      </c>
      <c r="AZ21" s="51">
        <f t="shared" si="8"/>
        <v>2310.9131454562576</v>
      </c>
      <c r="BA21" s="51">
        <f t="shared" si="8"/>
        <v>2328.335991169256</v>
      </c>
      <c r="BB21" s="51">
        <f t="shared" si="8"/>
        <v>2323.2411901919309</v>
      </c>
      <c r="BC21" s="51">
        <f t="shared" si="8"/>
        <v>2316.4762885747114</v>
      </c>
      <c r="BD21" s="51">
        <f t="shared" si="8"/>
        <v>2352.4164151691348</v>
      </c>
      <c r="BE21" s="51">
        <f t="shared" si="8"/>
        <v>2366.1671833982568</v>
      </c>
      <c r="BF21" s="51">
        <f t="shared" si="8"/>
        <v>2379.7004626640241</v>
      </c>
      <c r="BG21" s="51">
        <f t="shared" si="8"/>
        <v>2398.8456741931882</v>
      </c>
    </row>
    <row r="22" spans="1:67" x14ac:dyDescent="0.2">
      <c r="B22" s="41" t="s">
        <v>84</v>
      </c>
      <c r="C22" s="51">
        <f>C15</f>
        <v>0</v>
      </c>
      <c r="D22" s="51">
        <f t="shared" ref="D22:BG22" si="9">D15</f>
        <v>0</v>
      </c>
      <c r="E22" s="51">
        <f t="shared" si="9"/>
        <v>0</v>
      </c>
      <c r="F22" s="51">
        <f t="shared" si="9"/>
        <v>0</v>
      </c>
      <c r="G22" s="51">
        <f t="shared" si="9"/>
        <v>0</v>
      </c>
      <c r="H22" s="51">
        <f t="shared" si="9"/>
        <v>0</v>
      </c>
      <c r="I22" s="51">
        <f t="shared" si="9"/>
        <v>0</v>
      </c>
      <c r="J22" s="51">
        <f t="shared" si="9"/>
        <v>0</v>
      </c>
      <c r="K22" s="51">
        <f t="shared" si="9"/>
        <v>0</v>
      </c>
      <c r="L22" s="51">
        <f t="shared" si="9"/>
        <v>10.390979017560001</v>
      </c>
      <c r="M22" s="51">
        <f t="shared" si="9"/>
        <v>8.5963705306200016</v>
      </c>
      <c r="N22" s="51">
        <f t="shared" si="9"/>
        <v>9.6175691834200023</v>
      </c>
      <c r="O22" s="51">
        <f t="shared" si="9"/>
        <v>9.3183105979800001</v>
      </c>
      <c r="P22" s="51">
        <f t="shared" si="9"/>
        <v>9.970618948080002</v>
      </c>
      <c r="Q22" s="86">
        <f t="shared" si="9"/>
        <v>10.156368106080002</v>
      </c>
      <c r="R22" s="86">
        <f t="shared" si="9"/>
        <v>11.336998462580002</v>
      </c>
      <c r="S22" s="86">
        <f t="shared" si="9"/>
        <v>14.250009242919999</v>
      </c>
      <c r="T22" s="86">
        <f t="shared" si="9"/>
        <v>11.257745020879575</v>
      </c>
      <c r="U22" s="86">
        <f t="shared" si="9"/>
        <v>10.66030118216711</v>
      </c>
      <c r="V22" s="86">
        <f t="shared" si="9"/>
        <v>11.017527753700884</v>
      </c>
      <c r="W22" s="86">
        <f t="shared" si="9"/>
        <v>10.93137871471963</v>
      </c>
      <c r="X22" s="86">
        <f t="shared" si="9"/>
        <v>12.529860800000002</v>
      </c>
      <c r="Y22" s="86">
        <f t="shared" si="9"/>
        <v>13.109335300000001</v>
      </c>
      <c r="Z22" s="86">
        <f t="shared" si="9"/>
        <v>10.607712900000001</v>
      </c>
      <c r="AA22" s="86">
        <f t="shared" si="9"/>
        <v>12.779887700000002</v>
      </c>
      <c r="AB22" s="86">
        <f t="shared" si="9"/>
        <v>9.7379999999999995</v>
      </c>
      <c r="AC22" s="86">
        <f t="shared" si="9"/>
        <v>9.577</v>
      </c>
      <c r="AD22" s="86">
        <f t="shared" si="9"/>
        <v>6.3150000000000004</v>
      </c>
      <c r="AE22" s="86">
        <f t="shared" si="9"/>
        <v>6.6539999999999999</v>
      </c>
      <c r="AF22" s="86">
        <f t="shared" si="9"/>
        <v>7.2759999999999998</v>
      </c>
      <c r="AG22" s="86">
        <f t="shared" si="9"/>
        <v>9.84</v>
      </c>
      <c r="AH22" s="86">
        <f t="shared" si="9"/>
        <v>9.6080105754946032</v>
      </c>
      <c r="AI22" s="86">
        <f t="shared" si="9"/>
        <v>10.727931434621837</v>
      </c>
      <c r="AJ22" s="86">
        <f t="shared" si="9"/>
        <v>12.512487554254392</v>
      </c>
      <c r="AK22" s="86">
        <f t="shared" si="9"/>
        <v>11.226730201486788</v>
      </c>
      <c r="AL22" s="86">
        <f t="shared" si="9"/>
        <v>11.581530888928199</v>
      </c>
      <c r="AM22" s="86">
        <f t="shared" si="9"/>
        <v>13.611611498794588</v>
      </c>
      <c r="AN22" s="86">
        <f t="shared" si="9"/>
        <v>10.339362825015598</v>
      </c>
      <c r="AO22" s="86">
        <f t="shared" si="9"/>
        <v>11.72581678410458</v>
      </c>
      <c r="AP22" s="86">
        <f t="shared" si="9"/>
        <v>11.895358352381209</v>
      </c>
      <c r="AQ22" s="86">
        <f t="shared" si="9"/>
        <v>12.181703222591096</v>
      </c>
      <c r="AR22" s="51">
        <f t="shared" si="9"/>
        <v>13.721114146732532</v>
      </c>
      <c r="AS22" s="51">
        <f t="shared" si="9"/>
        <v>14.552785889565456</v>
      </c>
      <c r="AT22" s="51">
        <f t="shared" si="9"/>
        <v>11.288010259967621</v>
      </c>
      <c r="AU22" s="51">
        <f t="shared" si="9"/>
        <v>10.136479229576622</v>
      </c>
      <c r="AV22" s="51">
        <f t="shared" si="9"/>
        <v>10.251426255539769</v>
      </c>
      <c r="AW22" s="51">
        <f t="shared" si="9"/>
        <v>12.920536367676675</v>
      </c>
      <c r="AX22" s="51">
        <f t="shared" si="9"/>
        <v>13.510918692794633</v>
      </c>
      <c r="AY22" s="51">
        <f t="shared" si="9"/>
        <v>11.134964104676754</v>
      </c>
      <c r="AZ22" s="51">
        <f t="shared" si="9"/>
        <v>12.105053626827441</v>
      </c>
      <c r="BA22" s="51">
        <f t="shared" si="9"/>
        <v>16.532555408453703</v>
      </c>
      <c r="BB22" s="51">
        <f t="shared" si="9"/>
        <v>14.03018781405234</v>
      </c>
      <c r="BC22" s="51">
        <f t="shared" si="9"/>
        <v>13.110200808570823</v>
      </c>
      <c r="BD22" s="51">
        <f t="shared" si="9"/>
        <v>12.367362885797576</v>
      </c>
      <c r="BE22" s="51">
        <f t="shared" si="9"/>
        <v>10.755579959791504</v>
      </c>
      <c r="BF22" s="51">
        <f t="shared" si="9"/>
        <v>11.966728807854395</v>
      </c>
      <c r="BG22" s="51">
        <f t="shared" si="9"/>
        <v>10.919325545678078</v>
      </c>
    </row>
    <row r="23" spans="1:67" x14ac:dyDescent="0.2">
      <c r="B23" s="41" t="s">
        <v>85</v>
      </c>
      <c r="C23" s="51">
        <f>C21-C22</f>
        <v>1100.1528620591635</v>
      </c>
      <c r="D23" s="51">
        <f t="shared" ref="D23:BG23" si="10">D21-D22</f>
        <v>1096.2861536157106</v>
      </c>
      <c r="E23" s="51">
        <f t="shared" si="10"/>
        <v>1029.7086497946693</v>
      </c>
      <c r="F23" s="51">
        <f t="shared" si="10"/>
        <v>1006.4939866315306</v>
      </c>
      <c r="G23" s="51">
        <f t="shared" si="10"/>
        <v>1086.6534391066389</v>
      </c>
      <c r="H23" s="51">
        <f t="shared" si="10"/>
        <v>1178.7788223953762</v>
      </c>
      <c r="I23" s="51">
        <f t="shared" si="10"/>
        <v>971.74926137338275</v>
      </c>
      <c r="J23" s="51">
        <f t="shared" si="10"/>
        <v>911.25406545079159</v>
      </c>
      <c r="K23" s="51">
        <f t="shared" si="10"/>
        <v>1015.0995791038151</v>
      </c>
      <c r="L23" s="51">
        <f t="shared" si="10"/>
        <v>1240.5652961672397</v>
      </c>
      <c r="M23" s="51">
        <f t="shared" si="10"/>
        <v>1145.9304214717399</v>
      </c>
      <c r="N23" s="51">
        <f t="shared" si="10"/>
        <v>1211.038114512</v>
      </c>
      <c r="O23" s="51">
        <f t="shared" si="10"/>
        <v>1225.9136790306404</v>
      </c>
      <c r="P23" s="51">
        <f t="shared" si="10"/>
        <v>1281.8727031136998</v>
      </c>
      <c r="Q23" s="86">
        <f t="shared" si="10"/>
        <v>1118.0946325232003</v>
      </c>
      <c r="R23" s="86">
        <f t="shared" si="10"/>
        <v>1223.4082347029002</v>
      </c>
      <c r="S23" s="86">
        <f t="shared" si="10"/>
        <v>1321.27691324846</v>
      </c>
      <c r="T23" s="86">
        <f t="shared" si="10"/>
        <v>1340.645318082634</v>
      </c>
      <c r="U23" s="86">
        <f t="shared" si="10"/>
        <v>1303.8104916232107</v>
      </c>
      <c r="V23" s="86">
        <f t="shared" si="10"/>
        <v>1318.8422132403441</v>
      </c>
      <c r="W23" s="86">
        <f t="shared" si="10"/>
        <v>1248.3279842023408</v>
      </c>
      <c r="X23" s="86">
        <f t="shared" si="10"/>
        <v>1418.7123301559448</v>
      </c>
      <c r="Y23" s="86">
        <f t="shared" si="10"/>
        <v>1420.0797315</v>
      </c>
      <c r="Z23" s="86">
        <f t="shared" si="10"/>
        <v>1354.9688624000003</v>
      </c>
      <c r="AA23" s="86">
        <f t="shared" si="10"/>
        <v>1356.5917952</v>
      </c>
      <c r="AB23" s="86">
        <f t="shared" si="10"/>
        <v>1392.9229940000002</v>
      </c>
      <c r="AC23" s="86">
        <f t="shared" si="10"/>
        <v>1354.4622618517399</v>
      </c>
      <c r="AD23" s="86">
        <f t="shared" si="10"/>
        <v>1297.46030747752</v>
      </c>
      <c r="AE23" s="86">
        <f t="shared" si="10"/>
        <v>1438.73642</v>
      </c>
      <c r="AF23" s="86">
        <f t="shared" si="10"/>
        <v>1458.8573880000001</v>
      </c>
      <c r="AG23" s="86">
        <f t="shared" si="10"/>
        <v>1402.9579229185802</v>
      </c>
      <c r="AH23" s="86">
        <f t="shared" si="10"/>
        <v>1506.1735060679148</v>
      </c>
      <c r="AI23" s="86">
        <f t="shared" si="10"/>
        <v>1547.4728070387546</v>
      </c>
      <c r="AJ23" s="86">
        <f t="shared" si="10"/>
        <v>1681.2414589545383</v>
      </c>
      <c r="AK23" s="86">
        <f t="shared" si="10"/>
        <v>1718.3196460230727</v>
      </c>
      <c r="AL23" s="86">
        <f t="shared" si="10"/>
        <v>1747.8674256572901</v>
      </c>
      <c r="AM23" s="86">
        <f t="shared" si="10"/>
        <v>1956.7283951873894</v>
      </c>
      <c r="AN23" s="86">
        <f t="shared" si="10"/>
        <v>2194.7211190505363</v>
      </c>
      <c r="AO23" s="86">
        <f t="shared" si="10"/>
        <v>2344.7055522188639</v>
      </c>
      <c r="AP23" s="86">
        <f t="shared" si="10"/>
        <v>2340.9684122303725</v>
      </c>
      <c r="AQ23" s="86">
        <f t="shared" si="10"/>
        <v>2097.4413516291879</v>
      </c>
      <c r="AR23" s="51">
        <f t="shared" si="10"/>
        <v>2113.1730199642902</v>
      </c>
      <c r="AS23" s="51">
        <f t="shared" si="10"/>
        <v>2029.2510838146472</v>
      </c>
      <c r="AT23" s="51">
        <f t="shared" si="10"/>
        <v>2129.3328863364463</v>
      </c>
      <c r="AU23" s="51">
        <f t="shared" si="10"/>
        <v>2250.2049008488721</v>
      </c>
      <c r="AV23" s="51">
        <f t="shared" si="10"/>
        <v>2241.9646682104562</v>
      </c>
      <c r="AW23" s="51">
        <f t="shared" si="10"/>
        <v>2153.6004330995565</v>
      </c>
      <c r="AX23" s="51">
        <f t="shared" si="10"/>
        <v>2181.7186537879097</v>
      </c>
      <c r="AY23" s="51">
        <f t="shared" si="10"/>
        <v>2239.3728198267981</v>
      </c>
      <c r="AZ23" s="51">
        <f t="shared" si="10"/>
        <v>2298.8080918294299</v>
      </c>
      <c r="BA23" s="51">
        <f t="shared" si="10"/>
        <v>2311.8034357608021</v>
      </c>
      <c r="BB23" s="51">
        <f t="shared" si="10"/>
        <v>2309.2110023778787</v>
      </c>
      <c r="BC23" s="51">
        <f t="shared" si="10"/>
        <v>2303.3660877661405</v>
      </c>
      <c r="BD23" s="51">
        <f t="shared" si="10"/>
        <v>2340.049052283337</v>
      </c>
      <c r="BE23" s="51">
        <f t="shared" si="10"/>
        <v>2355.4116034384651</v>
      </c>
      <c r="BF23" s="51">
        <f t="shared" si="10"/>
        <v>2367.7337338561697</v>
      </c>
      <c r="BG23" s="51">
        <f t="shared" si="10"/>
        <v>2387.9263486475102</v>
      </c>
    </row>
    <row r="24" spans="1:67" x14ac:dyDescent="0.2">
      <c r="B24" s="70" t="s">
        <v>86</v>
      </c>
      <c r="C24" s="52" t="e">
        <f>C23-C14</f>
        <v>#REF!</v>
      </c>
      <c r="D24" s="52" t="e">
        <f t="shared" ref="D24:BG24" si="11">D23-D14</f>
        <v>#REF!</v>
      </c>
      <c r="E24" s="52" t="e">
        <f t="shared" si="11"/>
        <v>#REF!</v>
      </c>
      <c r="F24" s="52" t="e">
        <f t="shared" si="11"/>
        <v>#REF!</v>
      </c>
      <c r="G24" s="52" t="e">
        <f t="shared" si="11"/>
        <v>#REF!</v>
      </c>
      <c r="H24" s="52" t="e">
        <f t="shared" si="11"/>
        <v>#REF!</v>
      </c>
      <c r="I24" s="52" t="e">
        <f t="shared" si="11"/>
        <v>#REF!</v>
      </c>
      <c r="J24" s="52" t="e">
        <f t="shared" si="11"/>
        <v>#REF!</v>
      </c>
      <c r="K24" s="52" t="e">
        <f t="shared" si="11"/>
        <v>#REF!</v>
      </c>
      <c r="L24" s="52" t="e">
        <f t="shared" si="11"/>
        <v>#REF!</v>
      </c>
      <c r="M24" s="52" t="e">
        <f t="shared" si="11"/>
        <v>#REF!</v>
      </c>
      <c r="N24" s="52" t="e">
        <f t="shared" si="11"/>
        <v>#REF!</v>
      </c>
      <c r="O24" s="52" t="e">
        <f t="shared" si="11"/>
        <v>#REF!</v>
      </c>
      <c r="P24" s="52" t="e">
        <f t="shared" si="11"/>
        <v>#REF!</v>
      </c>
      <c r="Q24" s="87" t="e">
        <f t="shared" si="11"/>
        <v>#REF!</v>
      </c>
      <c r="R24" s="87" t="e">
        <f t="shared" si="11"/>
        <v>#REF!</v>
      </c>
      <c r="S24" s="87" t="e">
        <f t="shared" si="11"/>
        <v>#REF!</v>
      </c>
      <c r="T24" s="87" t="e">
        <f t="shared" si="11"/>
        <v>#REF!</v>
      </c>
      <c r="U24" s="87" t="e">
        <f t="shared" si="11"/>
        <v>#REF!</v>
      </c>
      <c r="V24" s="87" t="e">
        <f t="shared" si="11"/>
        <v>#REF!</v>
      </c>
      <c r="W24" s="87" t="e">
        <f t="shared" si="11"/>
        <v>#REF!</v>
      </c>
      <c r="X24" s="87" t="e">
        <f t="shared" si="11"/>
        <v>#REF!</v>
      </c>
      <c r="Y24" s="87" t="e">
        <f t="shared" si="11"/>
        <v>#REF!</v>
      </c>
      <c r="Z24" s="87" t="e">
        <f t="shared" si="11"/>
        <v>#REF!</v>
      </c>
      <c r="AA24" s="87" t="e">
        <f t="shared" si="11"/>
        <v>#REF!</v>
      </c>
      <c r="AB24" s="87">
        <f t="shared" si="11"/>
        <v>0</v>
      </c>
      <c r="AC24" s="87">
        <f t="shared" si="11"/>
        <v>0</v>
      </c>
      <c r="AD24" s="87">
        <f t="shared" si="11"/>
        <v>0</v>
      </c>
      <c r="AE24" s="87">
        <f t="shared" si="11"/>
        <v>0</v>
      </c>
      <c r="AF24" s="87">
        <f t="shared" si="11"/>
        <v>0</v>
      </c>
      <c r="AG24" s="87">
        <f t="shared" si="11"/>
        <v>0</v>
      </c>
      <c r="AH24" s="87">
        <f t="shared" si="11"/>
        <v>0</v>
      </c>
      <c r="AI24" s="87">
        <f t="shared" si="11"/>
        <v>0</v>
      </c>
      <c r="AJ24" s="87">
        <f t="shared" si="11"/>
        <v>0</v>
      </c>
      <c r="AK24" s="87">
        <f t="shared" si="11"/>
        <v>0</v>
      </c>
      <c r="AL24" s="87">
        <f t="shared" si="11"/>
        <v>0</v>
      </c>
      <c r="AM24" s="87">
        <f t="shared" si="11"/>
        <v>0</v>
      </c>
      <c r="AN24" s="87">
        <f t="shared" si="11"/>
        <v>0</v>
      </c>
      <c r="AO24" s="87">
        <f t="shared" si="11"/>
        <v>0</v>
      </c>
      <c r="AP24" s="87">
        <f t="shared" si="11"/>
        <v>0</v>
      </c>
      <c r="AQ24" s="87">
        <f t="shared" si="11"/>
        <v>0</v>
      </c>
      <c r="AR24" s="52">
        <f t="shared" si="11"/>
        <v>0</v>
      </c>
      <c r="AS24" s="52">
        <f t="shared" si="11"/>
        <v>0</v>
      </c>
      <c r="AT24" s="52">
        <f t="shared" si="11"/>
        <v>0</v>
      </c>
      <c r="AU24" s="52">
        <f t="shared" si="11"/>
        <v>0</v>
      </c>
      <c r="AV24" s="52">
        <f t="shared" si="11"/>
        <v>0</v>
      </c>
      <c r="AW24" s="52">
        <f t="shared" si="11"/>
        <v>0</v>
      </c>
      <c r="AX24" s="52">
        <f t="shared" si="11"/>
        <v>0</v>
      </c>
      <c r="AY24" s="52">
        <f t="shared" si="11"/>
        <v>0</v>
      </c>
      <c r="AZ24" s="52">
        <f t="shared" si="11"/>
        <v>0</v>
      </c>
      <c r="BA24" s="52">
        <f t="shared" si="11"/>
        <v>0</v>
      </c>
      <c r="BB24" s="52">
        <f t="shared" si="11"/>
        <v>0</v>
      </c>
      <c r="BC24" s="52">
        <f t="shared" si="11"/>
        <v>0</v>
      </c>
      <c r="BD24" s="52">
        <f t="shared" si="11"/>
        <v>0</v>
      </c>
      <c r="BE24" s="52">
        <f t="shared" si="11"/>
        <v>0</v>
      </c>
      <c r="BF24" s="52">
        <f t="shared" si="11"/>
        <v>0</v>
      </c>
      <c r="BG24" s="52">
        <f t="shared" si="11"/>
        <v>0</v>
      </c>
    </row>
    <row r="25" spans="1:67" x14ac:dyDescent="0.2">
      <c r="B25" s="41" t="s">
        <v>79</v>
      </c>
      <c r="C25" s="51">
        <f>C13</f>
        <v>18.353478149999997</v>
      </c>
      <c r="D25" s="51">
        <f t="shared" ref="D25:BG25" si="12">D13</f>
        <v>10.926327094199998</v>
      </c>
      <c r="E25" s="51">
        <f t="shared" si="12"/>
        <v>3.5701648667999999</v>
      </c>
      <c r="F25" s="51">
        <f t="shared" si="12"/>
        <v>7.6112369927999994</v>
      </c>
      <c r="G25" s="51">
        <f t="shared" si="12"/>
        <v>4.1230840643999995</v>
      </c>
      <c r="H25" s="51">
        <f t="shared" si="12"/>
        <v>11.854472956200002</v>
      </c>
      <c r="I25" s="51">
        <f t="shared" si="12"/>
        <v>1.1902754177999999</v>
      </c>
      <c r="J25" s="51">
        <f t="shared" si="12"/>
        <v>11.0885872734</v>
      </c>
      <c r="K25" s="51">
        <f t="shared" si="12"/>
        <v>3.0659678153999996</v>
      </c>
      <c r="L25" s="51">
        <f t="shared" si="12"/>
        <v>18.126622546199997</v>
      </c>
      <c r="M25" s="51">
        <f t="shared" si="12"/>
        <v>10.882234654199999</v>
      </c>
      <c r="N25" s="51">
        <f t="shared" si="12"/>
        <v>8.8819811135999984</v>
      </c>
      <c r="O25" s="51">
        <f t="shared" si="12"/>
        <v>4.1524055369999999</v>
      </c>
      <c r="P25" s="51">
        <f t="shared" si="12"/>
        <v>1.2954358871999998</v>
      </c>
      <c r="Q25" s="86">
        <f t="shared" si="12"/>
        <v>2.5661800079999995</v>
      </c>
      <c r="R25" s="86">
        <f t="shared" si="12"/>
        <v>3.8638205172000002</v>
      </c>
      <c r="S25" s="86">
        <f t="shared" si="12"/>
        <v>8.128882238400001</v>
      </c>
      <c r="T25" s="86">
        <f t="shared" si="12"/>
        <v>5.5514586581999996</v>
      </c>
      <c r="U25" s="86">
        <f t="shared" si="12"/>
        <v>3.1142260000000004</v>
      </c>
      <c r="V25" s="86">
        <f t="shared" si="12"/>
        <v>1.1465609999999999</v>
      </c>
      <c r="W25" s="86">
        <f t="shared" si="12"/>
        <v>1.408363</v>
      </c>
      <c r="X25" s="86">
        <f t="shared" si="12"/>
        <v>0.44539099999999998</v>
      </c>
      <c r="Y25" s="86">
        <f t="shared" si="12"/>
        <v>0.862178</v>
      </c>
      <c r="Z25" s="86">
        <f t="shared" si="12"/>
        <v>1.755997</v>
      </c>
      <c r="AA25" s="86">
        <f t="shared" si="12"/>
        <v>0.96384800000000004</v>
      </c>
      <c r="AB25" s="86">
        <f t="shared" si="12"/>
        <v>1.456728</v>
      </c>
      <c r="AC25" s="86">
        <f t="shared" si="12"/>
        <v>13.106241028760001</v>
      </c>
      <c r="AD25" s="86">
        <f t="shared" si="12"/>
        <v>0.29813916746000002</v>
      </c>
      <c r="AE25" s="86">
        <f t="shared" si="12"/>
        <v>0.54172500000000001</v>
      </c>
      <c r="AF25" s="86">
        <f t="shared" si="12"/>
        <v>0.235516</v>
      </c>
      <c r="AG25" s="86">
        <f t="shared" si="12"/>
        <v>0.54090129768000006</v>
      </c>
      <c r="AH25" s="86">
        <f t="shared" si="12"/>
        <v>0.44686888716208151</v>
      </c>
      <c r="AI25" s="86">
        <f t="shared" si="12"/>
        <v>7.0251025055532976E-2</v>
      </c>
      <c r="AJ25" s="86">
        <f t="shared" si="12"/>
        <v>3.3680847754717615E-2</v>
      </c>
      <c r="AK25" s="86">
        <f t="shared" si="12"/>
        <v>5.0071377760083691E-2</v>
      </c>
      <c r="AL25" s="86">
        <f t="shared" si="12"/>
        <v>4.385400341783971E-2</v>
      </c>
      <c r="AM25" s="86">
        <f t="shared" si="12"/>
        <v>5.3608502990061938E-2</v>
      </c>
      <c r="AN25" s="86">
        <f t="shared" si="12"/>
        <v>5.374292350662245E-2</v>
      </c>
      <c r="AO25" s="86">
        <f t="shared" si="12"/>
        <v>5.029315139564719E-2</v>
      </c>
      <c r="AP25" s="86">
        <f t="shared" si="12"/>
        <v>4.6991531085865082E-2</v>
      </c>
      <c r="AQ25" s="86">
        <f t="shared" si="12"/>
        <v>5.031399181405101E-2</v>
      </c>
      <c r="AR25" s="51">
        <f t="shared" si="12"/>
        <v>4.9698022479207266E-2</v>
      </c>
      <c r="AS25" s="51">
        <f t="shared" si="12"/>
        <v>5.0990020158449535E-2</v>
      </c>
      <c r="AT25" s="51">
        <f t="shared" si="12"/>
        <v>5.0207924056278601E-2</v>
      </c>
      <c r="AU25" s="51">
        <f t="shared" si="12"/>
        <v>4.9657343386644008E-2</v>
      </c>
      <c r="AV25" s="51">
        <f t="shared" si="12"/>
        <v>4.9640297918770296E-2</v>
      </c>
      <c r="AW25" s="51">
        <f t="shared" si="12"/>
        <v>5.0173460378926074E-2</v>
      </c>
      <c r="AX25" s="51">
        <f t="shared" si="12"/>
        <v>5.0038721599869954E-2</v>
      </c>
      <c r="AY25" s="51">
        <f t="shared" si="12"/>
        <v>5.0133809179813707E-2</v>
      </c>
      <c r="AZ25" s="51">
        <f t="shared" si="12"/>
        <v>4.9943549468097793E-2</v>
      </c>
      <c r="BA25" s="51">
        <f t="shared" si="12"/>
        <v>4.9928726492804817E-2</v>
      </c>
      <c r="BB25" s="51">
        <f t="shared" si="12"/>
        <v>4.9985967709095566E-2</v>
      </c>
      <c r="BC25" s="51">
        <f t="shared" si="12"/>
        <v>5.0043653423902455E-2</v>
      </c>
      <c r="BD25" s="51">
        <f t="shared" si="12"/>
        <v>5.0006154889936358E-2</v>
      </c>
      <c r="BE25" s="51">
        <f t="shared" si="12"/>
        <v>5.0007141254742857E-2</v>
      </c>
      <c r="BF25" s="51">
        <f t="shared" si="12"/>
        <v>4.9981610396767399E-2</v>
      </c>
      <c r="BG25" s="51">
        <f t="shared" si="12"/>
        <v>4.9994328754096408E-2</v>
      </c>
    </row>
    <row r="26" spans="1:67" x14ac:dyDescent="0.2">
      <c r="B26" s="41" t="s">
        <v>157</v>
      </c>
      <c r="C26" s="51">
        <f>C23-C25</f>
        <v>1081.7993839091635</v>
      </c>
      <c r="D26" s="51">
        <f t="shared" ref="D26:BG26" si="13">D23-D25</f>
        <v>1085.3598265215107</v>
      </c>
      <c r="E26" s="51">
        <f t="shared" si="13"/>
        <v>1026.1384849278693</v>
      </c>
      <c r="F26" s="51">
        <f t="shared" si="13"/>
        <v>998.88274963873062</v>
      </c>
      <c r="G26" s="51">
        <f t="shared" si="13"/>
        <v>1082.5303550422389</v>
      </c>
      <c r="H26" s="51">
        <f t="shared" si="13"/>
        <v>1166.9243494391762</v>
      </c>
      <c r="I26" s="51">
        <f t="shared" si="13"/>
        <v>970.55898595558278</v>
      </c>
      <c r="J26" s="51">
        <f t="shared" si="13"/>
        <v>900.16547817739161</v>
      </c>
      <c r="K26" s="51">
        <f t="shared" si="13"/>
        <v>1012.0336112884152</v>
      </c>
      <c r="L26" s="51">
        <f t="shared" si="13"/>
        <v>1222.4386736210397</v>
      </c>
      <c r="M26" s="51">
        <f t="shared" si="13"/>
        <v>1135.04818681754</v>
      </c>
      <c r="N26" s="51">
        <f t="shared" si="13"/>
        <v>1202.1561333984</v>
      </c>
      <c r="O26" s="51">
        <f t="shared" si="13"/>
        <v>1221.7612734936404</v>
      </c>
      <c r="P26" s="51">
        <f t="shared" si="13"/>
        <v>1280.5772672264998</v>
      </c>
      <c r="Q26" s="86">
        <f t="shared" si="13"/>
        <v>1115.5284525152003</v>
      </c>
      <c r="R26" s="86">
        <f t="shared" si="13"/>
        <v>1219.5444141857001</v>
      </c>
      <c r="S26" s="86">
        <f t="shared" si="13"/>
        <v>1313.1480310100601</v>
      </c>
      <c r="T26" s="86">
        <f t="shared" si="13"/>
        <v>1335.093859424434</v>
      </c>
      <c r="U26" s="86">
        <f t="shared" si="13"/>
        <v>1300.6962656232108</v>
      </c>
      <c r="V26" s="86">
        <f t="shared" si="13"/>
        <v>1317.6956522403441</v>
      </c>
      <c r="W26" s="86">
        <f t="shared" si="13"/>
        <v>1246.9196212023407</v>
      </c>
      <c r="X26" s="86">
        <f t="shared" si="13"/>
        <v>1418.2669391559448</v>
      </c>
      <c r="Y26" s="86">
        <f t="shared" si="13"/>
        <v>1419.2175534999999</v>
      </c>
      <c r="Z26" s="86">
        <f t="shared" si="13"/>
        <v>1353.2128654000003</v>
      </c>
      <c r="AA26" s="86">
        <f t="shared" si="13"/>
        <v>1355.6279471999999</v>
      </c>
      <c r="AB26" s="86">
        <f t="shared" si="13"/>
        <v>1391.4662660000001</v>
      </c>
      <c r="AC26" s="86">
        <f t="shared" si="13"/>
        <v>1341.3560208229799</v>
      </c>
      <c r="AD26" s="86">
        <f t="shared" si="13"/>
        <v>1297.16216831006</v>
      </c>
      <c r="AE26" s="86">
        <f t="shared" si="13"/>
        <v>1438.1946949999999</v>
      </c>
      <c r="AF26" s="86">
        <f t="shared" si="13"/>
        <v>1458.6218720000002</v>
      </c>
      <c r="AG26" s="86">
        <f t="shared" si="13"/>
        <v>1402.4170216209002</v>
      </c>
      <c r="AH26" s="86">
        <f t="shared" si="13"/>
        <v>1505.7266371807527</v>
      </c>
      <c r="AI26" s="86">
        <f t="shared" si="13"/>
        <v>1547.402556013699</v>
      </c>
      <c r="AJ26" s="86">
        <f t="shared" si="13"/>
        <v>1681.2077781067835</v>
      </c>
      <c r="AK26" s="86">
        <f t="shared" si="13"/>
        <v>1718.2695746453126</v>
      </c>
      <c r="AL26" s="86">
        <f t="shared" si="13"/>
        <v>1747.8235716538722</v>
      </c>
      <c r="AM26" s="86">
        <f t="shared" si="13"/>
        <v>1956.6747866843994</v>
      </c>
      <c r="AN26" s="86">
        <f t="shared" si="13"/>
        <v>2194.6673761270299</v>
      </c>
      <c r="AO26" s="86">
        <f t="shared" si="13"/>
        <v>2344.6552590674683</v>
      </c>
      <c r="AP26" s="86">
        <f t="shared" si="13"/>
        <v>2340.9214206992865</v>
      </c>
      <c r="AQ26" s="86">
        <f t="shared" si="13"/>
        <v>2097.3910376373738</v>
      </c>
      <c r="AR26" s="51">
        <f t="shared" si="13"/>
        <v>2113.1233219418109</v>
      </c>
      <c r="AS26" s="51">
        <f t="shared" si="13"/>
        <v>2029.2000937944888</v>
      </c>
      <c r="AT26" s="51">
        <f t="shared" si="13"/>
        <v>2129.2826784123899</v>
      </c>
      <c r="AU26" s="51">
        <f t="shared" si="13"/>
        <v>2250.1552435054855</v>
      </c>
      <c r="AV26" s="51">
        <f t="shared" si="13"/>
        <v>2241.9150279125374</v>
      </c>
      <c r="AW26" s="51">
        <f t="shared" si="13"/>
        <v>2153.5502596391775</v>
      </c>
      <c r="AX26" s="51">
        <f t="shared" si="13"/>
        <v>2181.6686150663099</v>
      </c>
      <c r="AY26" s="51">
        <f t="shared" si="13"/>
        <v>2239.3226860176183</v>
      </c>
      <c r="AZ26" s="51">
        <f t="shared" si="13"/>
        <v>2298.7581482799619</v>
      </c>
      <c r="BA26" s="51">
        <f t="shared" si="13"/>
        <v>2311.7535070343092</v>
      </c>
      <c r="BB26" s="51">
        <f t="shared" si="13"/>
        <v>2309.1610164101694</v>
      </c>
      <c r="BC26" s="51">
        <f t="shared" si="13"/>
        <v>2303.3160441127166</v>
      </c>
      <c r="BD26" s="51">
        <f t="shared" si="13"/>
        <v>2339.9990461284469</v>
      </c>
      <c r="BE26" s="51">
        <f t="shared" si="13"/>
        <v>2355.3615962972103</v>
      </c>
      <c r="BF26" s="51">
        <f t="shared" si="13"/>
        <v>2367.6837522457731</v>
      </c>
      <c r="BG26" s="51">
        <f t="shared" si="13"/>
        <v>2387.8763543187561</v>
      </c>
    </row>
    <row r="27" spans="1:67" x14ac:dyDescent="0.2">
      <c r="B27" s="70" t="s">
        <v>86</v>
      </c>
      <c r="C27" s="52" t="e">
        <f t="shared" ref="C27:BG27" si="14">C26-C8</f>
        <v>#REF!</v>
      </c>
      <c r="D27" s="52" t="e">
        <f t="shared" si="14"/>
        <v>#REF!</v>
      </c>
      <c r="E27" s="52" t="e">
        <f t="shared" si="14"/>
        <v>#REF!</v>
      </c>
      <c r="F27" s="52" t="e">
        <f t="shared" si="14"/>
        <v>#REF!</v>
      </c>
      <c r="G27" s="52" t="e">
        <f t="shared" si="14"/>
        <v>#REF!</v>
      </c>
      <c r="H27" s="52" t="e">
        <f t="shared" si="14"/>
        <v>#REF!</v>
      </c>
      <c r="I27" s="52" t="e">
        <f t="shared" si="14"/>
        <v>#REF!</v>
      </c>
      <c r="J27" s="52" t="e">
        <f t="shared" si="14"/>
        <v>#REF!</v>
      </c>
      <c r="K27" s="52" t="e">
        <f t="shared" si="14"/>
        <v>#REF!</v>
      </c>
      <c r="L27" s="52" t="e">
        <f t="shared" si="14"/>
        <v>#REF!</v>
      </c>
      <c r="M27" s="52" t="e">
        <f t="shared" si="14"/>
        <v>#REF!</v>
      </c>
      <c r="N27" s="52" t="e">
        <f t="shared" si="14"/>
        <v>#REF!</v>
      </c>
      <c r="O27" s="52" t="e">
        <f t="shared" si="14"/>
        <v>#REF!</v>
      </c>
      <c r="P27" s="52" t="e">
        <f t="shared" si="14"/>
        <v>#REF!</v>
      </c>
      <c r="Q27" s="87" t="e">
        <f t="shared" si="14"/>
        <v>#REF!</v>
      </c>
      <c r="R27" s="87" t="e">
        <f t="shared" si="14"/>
        <v>#REF!</v>
      </c>
      <c r="S27" s="87" t="e">
        <f t="shared" si="14"/>
        <v>#REF!</v>
      </c>
      <c r="T27" s="87" t="e">
        <f t="shared" si="14"/>
        <v>#REF!</v>
      </c>
      <c r="U27" s="87" t="e">
        <f t="shared" si="14"/>
        <v>#REF!</v>
      </c>
      <c r="V27" s="87" t="e">
        <f t="shared" si="14"/>
        <v>#REF!</v>
      </c>
      <c r="W27" s="87" t="e">
        <f t="shared" si="14"/>
        <v>#REF!</v>
      </c>
      <c r="X27" s="87" t="e">
        <f t="shared" si="14"/>
        <v>#REF!</v>
      </c>
      <c r="Y27" s="87" t="e">
        <f t="shared" si="14"/>
        <v>#REF!</v>
      </c>
      <c r="Z27" s="87" t="e">
        <f t="shared" si="14"/>
        <v>#REF!</v>
      </c>
      <c r="AA27" s="87" t="e">
        <f t="shared" si="14"/>
        <v>#REF!</v>
      </c>
      <c r="AB27" s="87">
        <f t="shared" si="14"/>
        <v>0</v>
      </c>
      <c r="AC27" s="87">
        <f t="shared" si="14"/>
        <v>0</v>
      </c>
      <c r="AD27" s="87">
        <f t="shared" si="14"/>
        <v>0</v>
      </c>
      <c r="AE27" s="87">
        <f t="shared" si="14"/>
        <v>0</v>
      </c>
      <c r="AF27" s="87">
        <f t="shared" si="14"/>
        <v>0</v>
      </c>
      <c r="AG27" s="87">
        <f t="shared" si="14"/>
        <v>0</v>
      </c>
      <c r="AH27" s="87">
        <f t="shared" si="14"/>
        <v>0</v>
      </c>
      <c r="AI27" s="87">
        <f t="shared" si="14"/>
        <v>0</v>
      </c>
      <c r="AJ27" s="87">
        <f t="shared" si="14"/>
        <v>0</v>
      </c>
      <c r="AK27" s="87">
        <f t="shared" si="14"/>
        <v>0</v>
      </c>
      <c r="AL27" s="87">
        <f t="shared" si="14"/>
        <v>0</v>
      </c>
      <c r="AM27" s="87">
        <f t="shared" si="14"/>
        <v>0</v>
      </c>
      <c r="AN27" s="87">
        <f t="shared" si="14"/>
        <v>0</v>
      </c>
      <c r="AO27" s="87">
        <f t="shared" si="14"/>
        <v>0</v>
      </c>
      <c r="AP27" s="87">
        <f t="shared" si="14"/>
        <v>0</v>
      </c>
      <c r="AQ27" s="87">
        <f t="shared" si="14"/>
        <v>0</v>
      </c>
      <c r="AR27" s="52">
        <f t="shared" si="14"/>
        <v>0</v>
      </c>
      <c r="AS27" s="52">
        <f t="shared" si="14"/>
        <v>0</v>
      </c>
      <c r="AT27" s="52">
        <f t="shared" si="14"/>
        <v>0</v>
      </c>
      <c r="AU27" s="52">
        <f t="shared" si="14"/>
        <v>0</v>
      </c>
      <c r="AV27" s="52">
        <f t="shared" si="14"/>
        <v>0</v>
      </c>
      <c r="AW27" s="52">
        <f t="shared" si="14"/>
        <v>0</v>
      </c>
      <c r="AX27" s="52">
        <f t="shared" si="14"/>
        <v>0</v>
      </c>
      <c r="AY27" s="52">
        <f t="shared" si="14"/>
        <v>0</v>
      </c>
      <c r="AZ27" s="52">
        <f t="shared" si="14"/>
        <v>0</v>
      </c>
      <c r="BA27" s="52">
        <f t="shared" si="14"/>
        <v>0</v>
      </c>
      <c r="BB27" s="52">
        <f t="shared" si="14"/>
        <v>0</v>
      </c>
      <c r="BC27" s="52">
        <f t="shared" si="14"/>
        <v>0</v>
      </c>
      <c r="BD27" s="52">
        <f t="shared" si="14"/>
        <v>0</v>
      </c>
      <c r="BE27" s="52">
        <f t="shared" si="14"/>
        <v>0</v>
      </c>
      <c r="BF27" s="52">
        <f t="shared" si="14"/>
        <v>0</v>
      </c>
      <c r="BG27" s="52">
        <f t="shared" si="14"/>
        <v>0</v>
      </c>
    </row>
    <row r="28" spans="1:67" x14ac:dyDescent="0.2">
      <c r="B28" s="41" t="s">
        <v>158</v>
      </c>
      <c r="C28" s="51" t="e">
        <f t="shared" ref="C28:BG28" si="15">C9</f>
        <v>#REF!</v>
      </c>
      <c r="D28" s="51" t="e">
        <f t="shared" si="15"/>
        <v>#REF!</v>
      </c>
      <c r="E28" s="51" t="e">
        <f t="shared" si="15"/>
        <v>#REF!</v>
      </c>
      <c r="F28" s="51" t="e">
        <f t="shared" si="15"/>
        <v>#REF!</v>
      </c>
      <c r="G28" s="51" t="e">
        <f t="shared" si="15"/>
        <v>#REF!</v>
      </c>
      <c r="H28" s="51" t="e">
        <f t="shared" si="15"/>
        <v>#REF!</v>
      </c>
      <c r="I28" s="51" t="e">
        <f t="shared" si="15"/>
        <v>#REF!</v>
      </c>
      <c r="J28" s="51" t="e">
        <f t="shared" si="15"/>
        <v>#REF!</v>
      </c>
      <c r="K28" s="51" t="e">
        <f t="shared" si="15"/>
        <v>#REF!</v>
      </c>
      <c r="L28" s="51" t="e">
        <f t="shared" si="15"/>
        <v>#REF!</v>
      </c>
      <c r="M28" s="51" t="e">
        <f t="shared" si="15"/>
        <v>#REF!</v>
      </c>
      <c r="N28" s="51" t="e">
        <f t="shared" si="15"/>
        <v>#REF!</v>
      </c>
      <c r="O28" s="51" t="e">
        <f t="shared" si="15"/>
        <v>#REF!</v>
      </c>
      <c r="P28" s="51" t="e">
        <f t="shared" si="15"/>
        <v>#REF!</v>
      </c>
      <c r="Q28" s="86" t="e">
        <f t="shared" si="15"/>
        <v>#REF!</v>
      </c>
      <c r="R28" s="86" t="e">
        <f t="shared" si="15"/>
        <v>#REF!</v>
      </c>
      <c r="S28" s="86" t="e">
        <f t="shared" si="15"/>
        <v>#REF!</v>
      </c>
      <c r="T28" s="86" t="e">
        <f t="shared" si="15"/>
        <v>#REF!</v>
      </c>
      <c r="U28" s="86" t="e">
        <f t="shared" si="15"/>
        <v>#REF!</v>
      </c>
      <c r="V28" s="86" t="e">
        <f t="shared" si="15"/>
        <v>#REF!</v>
      </c>
      <c r="W28" s="86" t="e">
        <f t="shared" si="15"/>
        <v>#REF!</v>
      </c>
      <c r="X28" s="86" t="e">
        <f t="shared" si="15"/>
        <v>#REF!</v>
      </c>
      <c r="Y28" s="86" t="e">
        <f t="shared" si="15"/>
        <v>#REF!</v>
      </c>
      <c r="Z28" s="86" t="e">
        <f t="shared" si="15"/>
        <v>#REF!</v>
      </c>
      <c r="AA28" s="86" t="e">
        <f t="shared" si="15"/>
        <v>#REF!</v>
      </c>
      <c r="AB28" s="86">
        <f t="shared" si="15"/>
        <v>784.76900804722675</v>
      </c>
      <c r="AC28" s="86">
        <f t="shared" si="15"/>
        <v>917.66464976668954</v>
      </c>
      <c r="AD28" s="86">
        <f t="shared" si="15"/>
        <v>693.94599999999991</v>
      </c>
      <c r="AE28" s="86">
        <f t="shared" si="15"/>
        <v>663.67599999999993</v>
      </c>
      <c r="AF28" s="86">
        <f t="shared" si="15"/>
        <v>595.31469703800008</v>
      </c>
      <c r="AG28" s="86">
        <f t="shared" si="15"/>
        <v>688.33575889219992</v>
      </c>
      <c r="AH28" s="86">
        <f t="shared" si="15"/>
        <v>721.06213729399235</v>
      </c>
      <c r="AI28" s="86">
        <f t="shared" si="15"/>
        <v>804.87025485674405</v>
      </c>
      <c r="AJ28" s="86">
        <f t="shared" si="15"/>
        <v>896.40107359860235</v>
      </c>
      <c r="AK28" s="86">
        <f t="shared" si="15"/>
        <v>957.97884497151563</v>
      </c>
      <c r="AL28" s="86">
        <f t="shared" si="15"/>
        <v>1083.0354768130073</v>
      </c>
      <c r="AM28" s="86">
        <f t="shared" si="15"/>
        <v>1270.5273020941972</v>
      </c>
      <c r="AN28" s="86">
        <f t="shared" si="15"/>
        <v>1357.0043559189085</v>
      </c>
      <c r="AO28" s="86">
        <f t="shared" si="15"/>
        <v>1636.0776410868048</v>
      </c>
      <c r="AP28" s="86">
        <f t="shared" si="15"/>
        <v>1654.4778008762264</v>
      </c>
      <c r="AQ28" s="86">
        <f t="shared" si="15"/>
        <v>1701.7852482681335</v>
      </c>
      <c r="AR28" s="51">
        <f t="shared" si="15"/>
        <v>1770.6932574684081</v>
      </c>
      <c r="AS28" s="51">
        <f t="shared" si="15"/>
        <v>1621.6853673734445</v>
      </c>
      <c r="AT28" s="51">
        <f t="shared" si="15"/>
        <v>1784.412719810214</v>
      </c>
      <c r="AU28" s="51">
        <f t="shared" si="15"/>
        <v>1962.9387657165007</v>
      </c>
      <c r="AV28" s="51">
        <f t="shared" si="15"/>
        <v>1962.8650419655849</v>
      </c>
      <c r="AW28" s="51">
        <f t="shared" si="15"/>
        <v>1848.3166628788642</v>
      </c>
      <c r="AX28" s="51">
        <f t="shared" si="15"/>
        <v>1931.1545653068893</v>
      </c>
      <c r="AY28" s="51">
        <f t="shared" si="15"/>
        <v>2008.1143447096765</v>
      </c>
      <c r="AZ28" s="51">
        <f t="shared" si="15"/>
        <v>2106.6706829488985</v>
      </c>
      <c r="BA28" s="51">
        <f t="shared" si="15"/>
        <v>2136.9023069069494</v>
      </c>
      <c r="BB28" s="51">
        <f t="shared" si="15"/>
        <v>2159.4487593673634</v>
      </c>
      <c r="BC28" s="51">
        <f t="shared" si="15"/>
        <v>2166.6554791983276</v>
      </c>
      <c r="BD28" s="51">
        <f t="shared" si="15"/>
        <v>2242.3430290064266</v>
      </c>
      <c r="BE28" s="51">
        <f t="shared" si="15"/>
        <v>2278.7026949499527</v>
      </c>
      <c r="BF28" s="51">
        <f t="shared" si="15"/>
        <v>2313.5577199631789</v>
      </c>
      <c r="BG28" s="51">
        <f t="shared" si="15"/>
        <v>2383.9782834856883</v>
      </c>
    </row>
    <row r="29" spans="1:67" x14ac:dyDescent="0.2">
      <c r="B29" s="41" t="s">
        <v>159</v>
      </c>
      <c r="C29" s="51" t="e">
        <f>C26-C28</f>
        <v>#REF!</v>
      </c>
      <c r="D29" s="51" t="e">
        <f t="shared" ref="D29:BG29" si="16">D26-D28</f>
        <v>#REF!</v>
      </c>
      <c r="E29" s="51" t="e">
        <f t="shared" si="16"/>
        <v>#REF!</v>
      </c>
      <c r="F29" s="51" t="e">
        <f t="shared" si="16"/>
        <v>#REF!</v>
      </c>
      <c r="G29" s="51" t="e">
        <f t="shared" si="16"/>
        <v>#REF!</v>
      </c>
      <c r="H29" s="51" t="e">
        <f t="shared" si="16"/>
        <v>#REF!</v>
      </c>
      <c r="I29" s="51" t="e">
        <f t="shared" si="16"/>
        <v>#REF!</v>
      </c>
      <c r="J29" s="51" t="e">
        <f t="shared" si="16"/>
        <v>#REF!</v>
      </c>
      <c r="K29" s="51" t="e">
        <f t="shared" si="16"/>
        <v>#REF!</v>
      </c>
      <c r="L29" s="51" t="e">
        <f t="shared" si="16"/>
        <v>#REF!</v>
      </c>
      <c r="M29" s="51" t="e">
        <f t="shared" si="16"/>
        <v>#REF!</v>
      </c>
      <c r="N29" s="51" t="e">
        <f t="shared" si="16"/>
        <v>#REF!</v>
      </c>
      <c r="O29" s="51" t="e">
        <f t="shared" si="16"/>
        <v>#REF!</v>
      </c>
      <c r="P29" s="51" t="e">
        <f t="shared" si="16"/>
        <v>#REF!</v>
      </c>
      <c r="Q29" s="86" t="e">
        <f t="shared" si="16"/>
        <v>#REF!</v>
      </c>
      <c r="R29" s="86" t="e">
        <f t="shared" si="16"/>
        <v>#REF!</v>
      </c>
      <c r="S29" s="86" t="e">
        <f t="shared" si="16"/>
        <v>#REF!</v>
      </c>
      <c r="T29" s="86" t="e">
        <f t="shared" si="16"/>
        <v>#REF!</v>
      </c>
      <c r="U29" s="86" t="e">
        <f t="shared" si="16"/>
        <v>#REF!</v>
      </c>
      <c r="V29" s="86" t="e">
        <f t="shared" si="16"/>
        <v>#REF!</v>
      </c>
      <c r="W29" s="86" t="e">
        <f t="shared" si="16"/>
        <v>#REF!</v>
      </c>
      <c r="X29" s="86" t="e">
        <f t="shared" si="16"/>
        <v>#REF!</v>
      </c>
      <c r="Y29" s="86" t="e">
        <f t="shared" si="16"/>
        <v>#REF!</v>
      </c>
      <c r="Z29" s="86" t="e">
        <f t="shared" si="16"/>
        <v>#REF!</v>
      </c>
      <c r="AA29" s="86" t="e">
        <f t="shared" si="16"/>
        <v>#REF!</v>
      </c>
      <c r="AB29" s="86">
        <f t="shared" si="16"/>
        <v>606.69725795277338</v>
      </c>
      <c r="AC29" s="86">
        <f t="shared" si="16"/>
        <v>423.69137105629034</v>
      </c>
      <c r="AD29" s="86">
        <f t="shared" si="16"/>
        <v>603.21616831006008</v>
      </c>
      <c r="AE29" s="86">
        <f t="shared" si="16"/>
        <v>774.51869499999998</v>
      </c>
      <c r="AF29" s="86">
        <f t="shared" si="16"/>
        <v>863.30717496200009</v>
      </c>
      <c r="AG29" s="86">
        <f t="shared" si="16"/>
        <v>714.08126272870027</v>
      </c>
      <c r="AH29" s="86">
        <f t="shared" si="16"/>
        <v>784.66449988676038</v>
      </c>
      <c r="AI29" s="86">
        <f t="shared" si="16"/>
        <v>742.53230115695499</v>
      </c>
      <c r="AJ29" s="86">
        <f t="shared" si="16"/>
        <v>784.80670450818116</v>
      </c>
      <c r="AK29" s="86">
        <f t="shared" si="16"/>
        <v>760.29072967379693</v>
      </c>
      <c r="AL29" s="86">
        <f t="shared" si="16"/>
        <v>664.78809484086491</v>
      </c>
      <c r="AM29" s="86">
        <f t="shared" si="16"/>
        <v>686.14748459020211</v>
      </c>
      <c r="AN29" s="86">
        <f t="shared" si="16"/>
        <v>837.66302020812145</v>
      </c>
      <c r="AO29" s="86">
        <f t="shared" si="16"/>
        <v>708.57761798066349</v>
      </c>
      <c r="AP29" s="86">
        <f t="shared" si="16"/>
        <v>686.44361982306009</v>
      </c>
      <c r="AQ29" s="86">
        <f t="shared" si="16"/>
        <v>395.60578936924026</v>
      </c>
      <c r="AR29" s="51">
        <f t="shared" si="16"/>
        <v>342.43006447340281</v>
      </c>
      <c r="AS29" s="51">
        <f t="shared" si="16"/>
        <v>407.51472642104432</v>
      </c>
      <c r="AT29" s="51">
        <f t="shared" si="16"/>
        <v>344.86995860217598</v>
      </c>
      <c r="AU29" s="51">
        <f t="shared" si="16"/>
        <v>287.21647778898478</v>
      </c>
      <c r="AV29" s="51">
        <f t="shared" si="16"/>
        <v>279.04998594695257</v>
      </c>
      <c r="AW29" s="51">
        <f t="shared" si="16"/>
        <v>305.23359676031328</v>
      </c>
      <c r="AX29" s="51">
        <f t="shared" si="16"/>
        <v>250.51404975942069</v>
      </c>
      <c r="AY29" s="51">
        <f t="shared" si="16"/>
        <v>231.20834130794174</v>
      </c>
      <c r="AZ29" s="51">
        <f t="shared" si="16"/>
        <v>192.08746533106341</v>
      </c>
      <c r="BA29" s="51">
        <f t="shared" si="16"/>
        <v>174.85120012735979</v>
      </c>
      <c r="BB29" s="51">
        <f t="shared" si="16"/>
        <v>149.71225704280596</v>
      </c>
      <c r="BC29" s="51">
        <f t="shared" si="16"/>
        <v>136.66056491438894</v>
      </c>
      <c r="BD29" s="51">
        <f t="shared" si="16"/>
        <v>97.65601712202033</v>
      </c>
      <c r="BE29" s="51">
        <f t="shared" si="16"/>
        <v>76.658901347257597</v>
      </c>
      <c r="BF29" s="51">
        <f t="shared" si="16"/>
        <v>54.126032282594224</v>
      </c>
      <c r="BG29" s="51">
        <f t="shared" si="16"/>
        <v>3.8980708330677771</v>
      </c>
    </row>
    <row r="30" spans="1:67" x14ac:dyDescent="0.2">
      <c r="B30" s="70" t="s">
        <v>86</v>
      </c>
      <c r="C30" s="52" t="e">
        <f>C29-C12</f>
        <v>#REF!</v>
      </c>
      <c r="D30" s="52" t="e">
        <f t="shared" ref="D30:BG30" si="17">D29-D12</f>
        <v>#REF!</v>
      </c>
      <c r="E30" s="52" t="e">
        <f t="shared" si="17"/>
        <v>#REF!</v>
      </c>
      <c r="F30" s="52" t="e">
        <f t="shared" si="17"/>
        <v>#REF!</v>
      </c>
      <c r="G30" s="52" t="e">
        <f t="shared" si="17"/>
        <v>#REF!</v>
      </c>
      <c r="H30" s="52" t="e">
        <f t="shared" si="17"/>
        <v>#REF!</v>
      </c>
      <c r="I30" s="52" t="e">
        <f t="shared" si="17"/>
        <v>#REF!</v>
      </c>
      <c r="J30" s="52" t="e">
        <f t="shared" si="17"/>
        <v>#REF!</v>
      </c>
      <c r="K30" s="52" t="e">
        <f t="shared" si="17"/>
        <v>#REF!</v>
      </c>
      <c r="L30" s="52" t="e">
        <f t="shared" si="17"/>
        <v>#REF!</v>
      </c>
      <c r="M30" s="52" t="e">
        <f t="shared" si="17"/>
        <v>#REF!</v>
      </c>
      <c r="N30" s="52" t="e">
        <f t="shared" si="17"/>
        <v>#REF!</v>
      </c>
      <c r="O30" s="52" t="e">
        <f t="shared" si="17"/>
        <v>#REF!</v>
      </c>
      <c r="P30" s="52" t="e">
        <f t="shared" si="17"/>
        <v>#REF!</v>
      </c>
      <c r="Q30" s="87" t="e">
        <f t="shared" si="17"/>
        <v>#REF!</v>
      </c>
      <c r="R30" s="87" t="e">
        <f t="shared" si="17"/>
        <v>#REF!</v>
      </c>
      <c r="S30" s="87" t="e">
        <f t="shared" si="17"/>
        <v>#REF!</v>
      </c>
      <c r="T30" s="87" t="e">
        <f t="shared" si="17"/>
        <v>#REF!</v>
      </c>
      <c r="U30" s="87" t="e">
        <f t="shared" si="17"/>
        <v>#REF!</v>
      </c>
      <c r="V30" s="87" t="e">
        <f t="shared" si="17"/>
        <v>#REF!</v>
      </c>
      <c r="W30" s="87" t="e">
        <f t="shared" si="17"/>
        <v>#REF!</v>
      </c>
      <c r="X30" s="87" t="e">
        <f t="shared" si="17"/>
        <v>#REF!</v>
      </c>
      <c r="Y30" s="87" t="e">
        <f t="shared" si="17"/>
        <v>#REF!</v>
      </c>
      <c r="Z30" s="87" t="e">
        <f t="shared" si="17"/>
        <v>#REF!</v>
      </c>
      <c r="AA30" s="87" t="e">
        <f t="shared" si="17"/>
        <v>#REF!</v>
      </c>
      <c r="AB30" s="87">
        <f t="shared" si="17"/>
        <v>0</v>
      </c>
      <c r="AC30" s="87">
        <f t="shared" si="17"/>
        <v>0</v>
      </c>
      <c r="AD30" s="87">
        <f t="shared" si="17"/>
        <v>0</v>
      </c>
      <c r="AE30" s="87">
        <f t="shared" si="17"/>
        <v>0</v>
      </c>
      <c r="AF30" s="87">
        <f t="shared" si="17"/>
        <v>0</v>
      </c>
      <c r="AG30" s="87">
        <f t="shared" si="17"/>
        <v>0</v>
      </c>
      <c r="AH30" s="87">
        <f t="shared" si="17"/>
        <v>0</v>
      </c>
      <c r="AI30" s="87">
        <f t="shared" si="17"/>
        <v>0</v>
      </c>
      <c r="AJ30" s="87">
        <f t="shared" si="17"/>
        <v>0</v>
      </c>
      <c r="AK30" s="87">
        <f t="shared" si="17"/>
        <v>0</v>
      </c>
      <c r="AL30" s="87">
        <f t="shared" si="17"/>
        <v>0</v>
      </c>
      <c r="AM30" s="87">
        <f t="shared" si="17"/>
        <v>0</v>
      </c>
      <c r="AN30" s="87">
        <f t="shared" si="17"/>
        <v>0</v>
      </c>
      <c r="AO30" s="87">
        <f t="shared" si="17"/>
        <v>0</v>
      </c>
      <c r="AP30" s="87">
        <f t="shared" si="17"/>
        <v>0</v>
      </c>
      <c r="AQ30" s="87">
        <f t="shared" si="17"/>
        <v>0</v>
      </c>
      <c r="AR30" s="52">
        <f t="shared" si="17"/>
        <v>0</v>
      </c>
      <c r="AS30" s="52">
        <f t="shared" si="17"/>
        <v>0</v>
      </c>
      <c r="AT30" s="52">
        <f t="shared" si="17"/>
        <v>0</v>
      </c>
      <c r="AU30" s="52">
        <f t="shared" si="17"/>
        <v>0</v>
      </c>
      <c r="AV30" s="52">
        <f t="shared" si="17"/>
        <v>0</v>
      </c>
      <c r="AW30" s="52">
        <f t="shared" si="17"/>
        <v>0</v>
      </c>
      <c r="AX30" s="52">
        <f t="shared" si="17"/>
        <v>0</v>
      </c>
      <c r="AY30" s="52">
        <f t="shared" si="17"/>
        <v>0</v>
      </c>
      <c r="AZ30" s="52">
        <f t="shared" si="17"/>
        <v>0</v>
      </c>
      <c r="BA30" s="52">
        <f t="shared" si="17"/>
        <v>0</v>
      </c>
      <c r="BB30" s="52">
        <f t="shared" si="17"/>
        <v>0</v>
      </c>
      <c r="BC30" s="52">
        <f t="shared" si="17"/>
        <v>0</v>
      </c>
      <c r="BD30" s="52">
        <f t="shared" si="17"/>
        <v>0</v>
      </c>
      <c r="BE30" s="52">
        <f t="shared" si="17"/>
        <v>0</v>
      </c>
      <c r="BF30" s="52">
        <f t="shared" si="17"/>
        <v>0</v>
      </c>
      <c r="BG30" s="52">
        <f t="shared" si="17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AE6E-66EA-489D-8641-2527F86D2EA8}">
  <dimension ref="A1:BG30"/>
  <sheetViews>
    <sheetView zoomScaleNormal="100" workbookViewId="0">
      <pane xSplit="2" ySplit="3" topLeftCell="AB4" activePane="bottomRight" state="frozen"/>
      <selection activeCell="M14" sqref="M14"/>
      <selection pane="topRight" activeCell="M14" sqref="M14"/>
      <selection pane="bottomLeft" activeCell="M14" sqref="M14"/>
      <selection pane="bottomRight" activeCell="M14" sqref="M14"/>
    </sheetView>
  </sheetViews>
  <sheetFormatPr defaultColWidth="9" defaultRowHeight="11.25" x14ac:dyDescent="0.2"/>
  <cols>
    <col min="1" max="1" width="4.1640625" style="41" customWidth="1"/>
    <col min="2" max="2" width="58.33203125" style="41" customWidth="1"/>
    <col min="3" max="24" width="9.33203125" style="41" hidden="1" customWidth="1"/>
    <col min="25" max="27" width="9" style="41" hidden="1" customWidth="1"/>
    <col min="28" max="59" width="9.1640625" style="41" bestFit="1" customWidth="1"/>
    <col min="60" max="16384" width="9" style="41"/>
  </cols>
  <sheetData>
    <row r="1" spans="1:59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</row>
    <row r="2" spans="1:59" ht="12" thickBot="1" x14ac:dyDescent="0.25">
      <c r="A2" s="40"/>
      <c r="B2" s="40" t="s">
        <v>187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 spans="1:59" ht="12" thickBot="1" x14ac:dyDescent="0.25">
      <c r="A3" s="40"/>
      <c r="B3" s="58"/>
      <c r="C3" s="44">
        <f>SBO!C3</f>
        <v>1994</v>
      </c>
      <c r="D3" s="44">
        <f>SBO!D3</f>
        <v>1995</v>
      </c>
      <c r="E3" s="44">
        <f>SBO!E3</f>
        <v>1996</v>
      </c>
      <c r="F3" s="44">
        <f>SBO!F3</f>
        <v>1997</v>
      </c>
      <c r="G3" s="44">
        <f>SBO!G3</f>
        <v>1998</v>
      </c>
      <c r="H3" s="44">
        <f>SBO!H3</f>
        <v>1999</v>
      </c>
      <c r="I3" s="44">
        <f>SBO!I3</f>
        <v>2000</v>
      </c>
      <c r="J3" s="44">
        <f>SBO!J3</f>
        <v>2001</v>
      </c>
      <c r="K3" s="44">
        <f>SBO!K3</f>
        <v>2002</v>
      </c>
      <c r="L3" s="44">
        <f>SBO!L3</f>
        <v>2003</v>
      </c>
      <c r="M3" s="44">
        <f>SBO!M3</f>
        <v>2004</v>
      </c>
      <c r="N3" s="44">
        <f>SBO!N3</f>
        <v>2005</v>
      </c>
      <c r="O3" s="44">
        <f>SBO!O3</f>
        <v>2006</v>
      </c>
      <c r="P3" s="44">
        <f>SBO!P3</f>
        <v>2007</v>
      </c>
      <c r="Q3" s="44">
        <f>SBO!Q3</f>
        <v>2008</v>
      </c>
      <c r="R3" s="44">
        <f>SBO!R3</f>
        <v>2009</v>
      </c>
      <c r="S3" s="44">
        <f>SBO!S3</f>
        <v>2010</v>
      </c>
      <c r="T3" s="44">
        <f>SBO!T3</f>
        <v>2011</v>
      </c>
      <c r="U3" s="44">
        <f>SBO!U3</f>
        <v>2012</v>
      </c>
      <c r="V3" s="44">
        <f>SBO!V3</f>
        <v>2013</v>
      </c>
      <c r="W3" s="44">
        <f>SBO!W3</f>
        <v>2014</v>
      </c>
      <c r="X3" s="44">
        <f>SBO!X3</f>
        <v>2015</v>
      </c>
      <c r="Y3" s="44">
        <f>SBO!Y3</f>
        <v>2016</v>
      </c>
      <c r="Z3" s="44">
        <f>SBO!Z3</f>
        <v>2017</v>
      </c>
      <c r="AA3" s="44">
        <f>SBO!AA3</f>
        <v>2018</v>
      </c>
      <c r="AB3" s="44">
        <f>SBO!AB3</f>
        <v>2019</v>
      </c>
      <c r="AC3" s="44">
        <f>SBO!AC3</f>
        <v>2020</v>
      </c>
      <c r="AD3" s="44">
        <f>SBO!AD3</f>
        <v>2021</v>
      </c>
      <c r="AE3" s="44">
        <f>SBO!AE3</f>
        <v>2022</v>
      </c>
      <c r="AF3" s="44">
        <f>SBO!AF3</f>
        <v>2023</v>
      </c>
      <c r="AG3" s="44">
        <f>SBO!AG3</f>
        <v>2024</v>
      </c>
      <c r="AH3" s="44">
        <f>SBO!AH3</f>
        <v>2025</v>
      </c>
      <c r="AI3" s="44">
        <f>SBO!AI3</f>
        <v>2026</v>
      </c>
      <c r="AJ3" s="44">
        <f>SBO!AJ3</f>
        <v>2027</v>
      </c>
      <c r="AK3" s="44">
        <f>SBO!AK3</f>
        <v>2028</v>
      </c>
      <c r="AL3" s="44">
        <f>SBO!AL3</f>
        <v>2029</v>
      </c>
      <c r="AM3" s="44">
        <f>SBO!AM3</f>
        <v>2030</v>
      </c>
      <c r="AN3" s="44">
        <f>SBO!AN3</f>
        <v>2031</v>
      </c>
      <c r="AO3" s="44">
        <f>SBO!AO3</f>
        <v>2032</v>
      </c>
      <c r="AP3" s="44">
        <f>SBO!AP3</f>
        <v>2033</v>
      </c>
      <c r="AQ3" s="44">
        <f>SBO!AQ3</f>
        <v>2034</v>
      </c>
      <c r="AR3" s="44">
        <f>SBO!AR3</f>
        <v>2035</v>
      </c>
      <c r="AS3" s="44">
        <f>SBO!AS3</f>
        <v>2036</v>
      </c>
      <c r="AT3" s="44">
        <f>SBO!AT3</f>
        <v>2037</v>
      </c>
      <c r="AU3" s="44">
        <f>SBO!AU3</f>
        <v>2038</v>
      </c>
      <c r="AV3" s="44">
        <f>SBO!AV3</f>
        <v>2039</v>
      </c>
      <c r="AW3" s="44">
        <f>SBO!AW3</f>
        <v>2040</v>
      </c>
      <c r="AX3" s="44">
        <f>SBO!AX3</f>
        <v>2041</v>
      </c>
      <c r="AY3" s="44">
        <f>SBO!AY3</f>
        <v>2042</v>
      </c>
      <c r="AZ3" s="44">
        <f>SBO!AZ3</f>
        <v>2043</v>
      </c>
      <c r="BA3" s="44">
        <f>SBO!BA3</f>
        <v>2044</v>
      </c>
      <c r="BB3" s="44">
        <f>SBO!BB3</f>
        <v>2045</v>
      </c>
      <c r="BC3" s="44">
        <f>SBO!BC3</f>
        <v>2046</v>
      </c>
      <c r="BD3" s="44">
        <f>SBO!BD3</f>
        <v>2047</v>
      </c>
      <c r="BE3" s="44">
        <f>SBO!BE3</f>
        <v>2048</v>
      </c>
      <c r="BF3" s="44">
        <f>SBO!BF3</f>
        <v>2049</v>
      </c>
      <c r="BG3" s="44">
        <f>SBO!BG3</f>
        <v>2050</v>
      </c>
    </row>
    <row r="4" spans="1:59" x14ac:dyDescent="0.2">
      <c r="A4" s="40"/>
      <c r="B4" s="40" t="s">
        <v>70</v>
      </c>
      <c r="C4" s="45">
        <f>'[1]Poultry Byproduct Complex'!B$308</f>
        <v>30.444204991110038</v>
      </c>
      <c r="D4" s="45">
        <f>'[1]Poultry Byproduct Complex'!C$308</f>
        <v>32.862166959604906</v>
      </c>
      <c r="E4" s="45">
        <f>'[1]Poultry Byproduct Complex'!D$308</f>
        <v>36.972448918234093</v>
      </c>
      <c r="F4" s="45">
        <f>'[1]Poultry Byproduct Complex'!E$308</f>
        <v>37.554420814512994</v>
      </c>
      <c r="G4" s="45">
        <f>'[1]Poultry Byproduct Complex'!F$308</f>
        <v>48.462913885055443</v>
      </c>
      <c r="H4" s="45">
        <f>'[1]Poultry Byproduct Complex'!G$308</f>
        <v>52.48109090608817</v>
      </c>
      <c r="I4" s="45">
        <f>'[1]Poultry Byproduct Complex'!H$308</f>
        <v>59.89988911249462</v>
      </c>
      <c r="J4" s="45">
        <f>'[1]Poultry Byproduct Complex'!I$308</f>
        <v>59.782507146331781</v>
      </c>
      <c r="K4" s="45">
        <f>'[1]Poultry Byproduct Complex'!J$308</f>
        <v>64.365496620735257</v>
      </c>
      <c r="L4" s="45">
        <f>'[1]Poultry Byproduct Complex'!K$308</f>
        <v>66.924167689000001</v>
      </c>
      <c r="M4" s="45">
        <f>'[1]Poultry Byproduct Complex'!L$308</f>
        <v>65.26307954939999</v>
      </c>
      <c r="N4" s="45">
        <f>'[1]Poultry Byproduct Complex'!M$308</f>
        <v>83.742062340800004</v>
      </c>
      <c r="O4" s="45">
        <f>'[1]Poultry Byproduct Complex'!N$308</f>
        <v>94.301439972200001</v>
      </c>
      <c r="P4" s="45">
        <f>'[1]Poultry Byproduct Complex'!O$308</f>
        <v>107.28537506839999</v>
      </c>
      <c r="Q4" s="45">
        <f>'[1]Poultry Byproduct Complex'!P$308</f>
        <v>106.68831212300003</v>
      </c>
      <c r="R4" s="45">
        <f>'[1]Poultry Byproduct Complex'!Q$308</f>
        <v>94.368619377800002</v>
      </c>
      <c r="S4" s="45">
        <f>'[1]Poultry Byproduct Complex'!R$308</f>
        <v>97.140359431600004</v>
      </c>
      <c r="T4" s="45">
        <f>'[1]Poultry Byproduct Complex'!S$308</f>
        <v>100.24229317199999</v>
      </c>
      <c r="U4" s="45">
        <f>'[1]Poultry Byproduct Complex'!T$308</f>
        <v>85.040546715374191</v>
      </c>
      <c r="V4" s="45">
        <f>'[1]Poultry Byproduct Complex'!U$308</f>
        <v>104.84780666384802</v>
      </c>
      <c r="W4" s="45">
        <f>'[1]Poultry Byproduct Complex'!V$308</f>
        <v>102.71241224109467</v>
      </c>
      <c r="X4" s="45">
        <f>'[1]Poultry Byproduct Complex'!W$308</f>
        <v>106.20153592981494</v>
      </c>
      <c r="Y4" s="45">
        <f>'[1]Poultry Byproduct Complex'!X$308</f>
        <v>176.79080552019997</v>
      </c>
      <c r="Z4" s="45">
        <f>'[1]Poultry Byproduct Complex'!Y$308</f>
        <v>178.22217758919999</v>
      </c>
      <c r="AA4" s="45">
        <f>'[1]Poultry Byproduct Complex'!Z$308</f>
        <v>192.97435249219998</v>
      </c>
      <c r="AB4" s="45">
        <f>'[1]Poultry Byproduct Complex'!AA$324</f>
        <v>23.350999999999999</v>
      </c>
      <c r="AC4" s="45">
        <f>'[1]Poultry Byproduct Complex'!AB$324</f>
        <v>31.498999999999999</v>
      </c>
      <c r="AD4" s="45">
        <f>'[1]Poultry Byproduct Complex'!AC$324</f>
        <v>32.604999999999997</v>
      </c>
      <c r="AE4" s="45">
        <f>'[1]Poultry Byproduct Complex'!AD$324</f>
        <v>29.689</v>
      </c>
      <c r="AF4" s="45">
        <f>'[1]Poultry Byproduct Complex'!AE$324</f>
        <v>31.9</v>
      </c>
      <c r="AG4" s="45">
        <f>'[1]Poultry Byproduct Complex'!AF$324</f>
        <v>35.591000000000001</v>
      </c>
      <c r="AH4" s="45">
        <f>'[1]Poultry Byproduct Complex'!AG$324</f>
        <v>29.704000000000001</v>
      </c>
      <c r="AI4" s="45">
        <f>'[1]Poultry Byproduct Complex'!AH$324</f>
        <v>46.296051502485767</v>
      </c>
      <c r="AJ4" s="45">
        <f>'[1]Poultry Byproduct Complex'!AI$324</f>
        <v>68.151475190734629</v>
      </c>
      <c r="AK4" s="45">
        <f>'[1]Poultry Byproduct Complex'!AJ$324</f>
        <v>49.510603148958836</v>
      </c>
      <c r="AL4" s="45">
        <f>'[1]Poultry Byproduct Complex'!AK$324</f>
        <v>43.878862538840622</v>
      </c>
      <c r="AM4" s="45">
        <f>'[1]Poultry Byproduct Complex'!AL$324</f>
        <v>31.800680380182769</v>
      </c>
      <c r="AN4" s="45">
        <f>'[1]Poultry Byproduct Complex'!AM$324</f>
        <v>37.839016346039699</v>
      </c>
      <c r="AO4" s="45">
        <f>'[1]Poultry Byproduct Complex'!AN$324</f>
        <v>39.34949559519427</v>
      </c>
      <c r="AP4" s="45">
        <f>'[1]Poultry Byproduct Complex'!AO$324</f>
        <v>39.148148420582572</v>
      </c>
      <c r="AQ4" s="45">
        <f>'[1]Poultry Byproduct Complex'!AP$324</f>
        <v>39.023784975691058</v>
      </c>
      <c r="AR4" s="45">
        <f>'[1]Poultry Byproduct Complex'!AQ$324</f>
        <v>32.949394353166014</v>
      </c>
      <c r="AS4" s="45">
        <f>'[1]Poultry Byproduct Complex'!AR$324</f>
        <v>29.818018676756878</v>
      </c>
      <c r="AT4" s="45">
        <f>'[1]Poultry Byproduct Complex'!AS$324</f>
        <v>37.953176063396086</v>
      </c>
      <c r="AU4" s="45">
        <f>'[1]Poultry Byproduct Complex'!AT$324</f>
        <v>36.174573416206641</v>
      </c>
      <c r="AV4" s="45">
        <f>'[1]Poultry Byproduct Complex'!AU$324</f>
        <v>39.409643383860868</v>
      </c>
      <c r="AW4" s="45">
        <f>'[1]Poultry Byproduct Complex'!AV$324</f>
        <v>41.276451238384055</v>
      </c>
      <c r="AX4" s="45">
        <f>'[1]Poultry Byproduct Complex'!AW$324</f>
        <v>41.139192957021294</v>
      </c>
      <c r="AY4" s="45">
        <f>'[1]Poultry Byproduct Complex'!AX$324</f>
        <v>36.181645029743777</v>
      </c>
      <c r="AZ4" s="45">
        <f>'[1]Poultry Byproduct Complex'!AY$324</f>
        <v>44.069159972834825</v>
      </c>
      <c r="BA4" s="45">
        <f>'[1]Poultry Byproduct Complex'!AZ$324</f>
        <v>44.35060562290559</v>
      </c>
      <c r="BB4" s="45">
        <f>'[1]Poultry Byproduct Complex'!BA$324</f>
        <v>50.280993236044225</v>
      </c>
      <c r="BC4" s="45">
        <f>'[1]Poultry Byproduct Complex'!BB$324</f>
        <v>48.379335146202436</v>
      </c>
      <c r="BD4" s="45">
        <f>'[1]Poultry Byproduct Complex'!BC$324</f>
        <v>47.580292224572247</v>
      </c>
      <c r="BE4" s="45">
        <f>'[1]Poultry Byproduct Complex'!BD$324</f>
        <v>45.86686854594069</v>
      </c>
      <c r="BF4" s="45">
        <f>'[1]Poultry Byproduct Complex'!BE$324</f>
        <v>40.708969272863669</v>
      </c>
      <c r="BG4" s="45">
        <f>'[1]Poultry Byproduct Complex'!BF$324</f>
        <v>42.403450595039942</v>
      </c>
    </row>
    <row r="5" spans="1:59" x14ac:dyDescent="0.2">
      <c r="A5" s="40"/>
      <c r="B5" s="40" t="s">
        <v>71</v>
      </c>
      <c r="C5" s="45">
        <f>SUM('[1]Poultry Byproduct Complex'!B$149:B$157,'[1]Poultry Byproduct Complex'!C$146:C$148)</f>
        <v>425.23589305443318</v>
      </c>
      <c r="D5" s="45">
        <f>SUM('[1]Poultry Byproduct Complex'!C$149:C$157,'[1]Poultry Byproduct Complex'!D$146:D$148)</f>
        <v>483.47554703500435</v>
      </c>
      <c r="E5" s="45">
        <f>SUM('[1]Poultry Byproduct Complex'!D$149:D$157,'[1]Poultry Byproduct Complex'!E$146:E$148)</f>
        <v>549.29783420561012</v>
      </c>
      <c r="F5" s="45">
        <f>SUM('[1]Poultry Byproduct Complex'!E$149:E$157,'[1]Poultry Byproduct Complex'!F$146:F$148)</f>
        <v>606.95045105916699</v>
      </c>
      <c r="G5" s="45">
        <f>SUM('[1]Poultry Byproduct Complex'!F$149:F$157,'[1]Poultry Byproduct Complex'!G$146:G$148)</f>
        <v>658.32319298955804</v>
      </c>
      <c r="H5" s="45">
        <f>SUM('[1]Poultry Byproduct Complex'!G$149:G$157,'[1]Poultry Byproduct Complex'!H$146:H$148)</f>
        <v>738.41281393889471</v>
      </c>
      <c r="I5" s="45">
        <f>SUM('[1]Poultry Byproduct Complex'!H$149:H$157,'[1]Poultry Byproduct Complex'!I$146:I$148)</f>
        <v>799.42216583574566</v>
      </c>
      <c r="J5" s="45">
        <f>SUM('[1]Poultry Byproduct Complex'!I$149:I$157,'[1]Poultry Byproduct Complex'!J$146:J$148)</f>
        <v>866.98186367368828</v>
      </c>
      <c r="K5" s="45">
        <f>SUM('[1]Poultry Byproduct Complex'!J$149:J$157,'[1]Poultry Byproduct Complex'!K$146:K$148)</f>
        <v>927.76770304992317</v>
      </c>
      <c r="L5" s="45">
        <f>SUM('[1]Poultry Byproduct Complex'!K$149:K$157,'[1]Poultry Byproduct Complex'!L$146:L$148)</f>
        <v>889.20000000000016</v>
      </c>
      <c r="M5" s="45">
        <f>SUM('[1]Poultry Byproduct Complex'!L$149:L$157,'[1]Poultry Byproduct Complex'!M$146:M$148)</f>
        <v>1036.4000000000001</v>
      </c>
      <c r="N5" s="45">
        <f>SUM('[1]Poultry Byproduct Complex'!M$149:M$157,'[1]Poultry Byproduct Complex'!N$146:N$148)</f>
        <v>1181</v>
      </c>
      <c r="O5" s="45">
        <f>SUM('[1]Poultry Byproduct Complex'!N$149:N$157,'[1]Poultry Byproduct Complex'!O$146:O$148)</f>
        <v>1285.3</v>
      </c>
      <c r="P5" s="45">
        <f>SUM('[1]Poultry Byproduct Complex'!O$149:O$157,'[1]Poultry Byproduct Complex'!P$146:P$148)</f>
        <v>1377.5</v>
      </c>
      <c r="Q5" s="45">
        <f>SUM('[1]Poultry Byproduct Complex'!P$149:P$157,'[1]Poultry Byproduct Complex'!Q$146:Q$148)</f>
        <v>1453.4</v>
      </c>
      <c r="R5" s="45">
        <f>SUM('[1]Poultry Byproduct Complex'!Q$149:Q$157,'[1]Poultry Byproduct Complex'!R$146:R$148)</f>
        <v>1379</v>
      </c>
      <c r="S5" s="45">
        <f>SUM('[1]Poultry Byproduct Complex'!R$149:R$157,'[1]Poultry Byproduct Complex'!S$146:S$148)</f>
        <v>1417.6273100000001</v>
      </c>
      <c r="T5" s="45">
        <f>SUM('[1]Poultry Byproduct Complex'!S$149:S$157,'[1]Poultry Byproduct Complex'!T$146:T$148)</f>
        <v>1407.3333275172279</v>
      </c>
      <c r="U5" s="45">
        <f>SUM('[1]Poultry Byproduct Complex'!T$149:T$157,'[1]Poultry Byproduct Complex'!U$146:U$148)</f>
        <v>1383.0685923317001</v>
      </c>
      <c r="V5" s="45">
        <f>SUM('[1]Poultry Byproduct Complex'!U$149:U$157,'[1]Poultry Byproduct Complex'!V$146:V$148)</f>
        <v>1407.3132462282185</v>
      </c>
      <c r="W5" s="45">
        <f>SUM('[1]Poultry Byproduct Complex'!V$149:V$157,'[1]Poultry Byproduct Complex'!W$146:W$148)</f>
        <v>1424.742141326848</v>
      </c>
      <c r="X5" s="45">
        <f>SUM('[1]Poultry Byproduct Complex'!W$149:W$157,'[1]Poultry Byproduct Complex'!X$146:X$148)</f>
        <v>2019.5343595953516</v>
      </c>
      <c r="Y5" s="45">
        <f>SUM('[1]Poultry Byproduct Complex'!X$149:X$157,'[1]Poultry Byproduct Complex'!Y$146:Y$148)</f>
        <v>2454.4479999999994</v>
      </c>
      <c r="Z5" s="45">
        <f>SUM('[1]Poultry Byproduct Complex'!Y$149:Y$157,'[1]Poultry Byproduct Complex'!Z$146:Z$148)</f>
        <v>2414.7379999999998</v>
      </c>
      <c r="AA5" s="45">
        <f>SUM('[1]Poultry Byproduct Complex'!Z$149:Z$157,'[1]Poultry Byproduct Complex'!AA$146:AA$148)</f>
        <v>2260.9809999999998</v>
      </c>
      <c r="AB5" s="45">
        <f>SUM('[1]Poultry Byproduct Complex'!AA$149:AA$157,'[1]Poultry Byproduct Complex'!AB$146:AB$148)</f>
        <v>2499.7830000000004</v>
      </c>
      <c r="AC5" s="45">
        <f>SUM('[1]Poultry Byproduct Complex'!AB$149:AB$157,'[1]Poultry Byproduct Complex'!AC$146:AC$148)</f>
        <v>2527.6399999999994</v>
      </c>
      <c r="AD5" s="45">
        <f>SUM('[1]Poultry Byproduct Complex'!AC$149:AC$157,'[1]Poultry Byproduct Complex'!AD$146:AD$148)</f>
        <v>2110.0580000000004</v>
      </c>
      <c r="AE5" s="45">
        <f>SUM('[1]Poultry Byproduct Complex'!AD$149:AD$157,'[1]Poultry Byproduct Complex'!AE$146:AE$148)</f>
        <v>2023.7369999999999</v>
      </c>
      <c r="AF5" s="45">
        <f>SUM('[1]Poultry Byproduct Complex'!AE$149:AE$157,'[1]Poultry Byproduct Complex'!AF$146:AF$148)</f>
        <v>2296.9290000000001</v>
      </c>
      <c r="AG5" s="45">
        <f>SUM('[1]Poultry Byproduct Complex'!AF$149:AF$157,'[1]Poultry Byproduct Complex'!AG$146:AG$148)</f>
        <v>2227.451</v>
      </c>
      <c r="AH5" s="45">
        <f>SUM('[1]Poultry Byproduct Complex'!AG$149:AG$157,'[1]Poultry Byproduct Complex'!AH$146:AH$148)</f>
        <v>2273.8869398205215</v>
      </c>
      <c r="AI5" s="45">
        <f>SUM('[1]Poultry Byproduct Complex'!AH$149:AH$157,'[1]Poultry Byproduct Complex'!AI$146:AI$148)</f>
        <v>2319.6475252872092</v>
      </c>
      <c r="AJ5" s="45">
        <f>SUM('[1]Poultry Byproduct Complex'!AI$149:AI$157,'[1]Poultry Byproduct Complex'!AJ$146:AJ$148)</f>
        <v>2365.0271291092386</v>
      </c>
      <c r="AK5" s="45">
        <f>SUM('[1]Poultry Byproduct Complex'!AJ$149:AJ$157,'[1]Poultry Byproduct Complex'!AK$146:AK$148)</f>
        <v>2432.1514510548</v>
      </c>
      <c r="AL5" s="45">
        <f>SUM('[1]Poultry Byproduct Complex'!AK$149:AK$157,'[1]Poultry Byproduct Complex'!AL$146:AL$148)</f>
        <v>2449.3223829555172</v>
      </c>
      <c r="AM5" s="45">
        <f>SUM('[1]Poultry Byproduct Complex'!AL$149:AL$157,'[1]Poultry Byproduct Complex'!AM$146:AM$148)</f>
        <v>2502.2121569735509</v>
      </c>
      <c r="AN5" s="45">
        <f>SUM('[1]Poultry Byproduct Complex'!AM$149:AM$157,'[1]Poultry Byproduct Complex'!AN$146:AN$148)</f>
        <v>2569.2759994233156</v>
      </c>
      <c r="AO5" s="45">
        <f>SUM('[1]Poultry Byproduct Complex'!AN$149:AN$157,'[1]Poultry Byproduct Complex'!AO$146:AO$148)</f>
        <v>2636.9247602141595</v>
      </c>
      <c r="AP5" s="45">
        <f>SUM('[1]Poultry Byproduct Complex'!AO$149:AO$157,'[1]Poultry Byproduct Complex'!AP$146:AP$148)</f>
        <v>2671.9351714785853</v>
      </c>
      <c r="AQ5" s="45">
        <f>SUM('[1]Poultry Byproduct Complex'!AP$149:AP$157,'[1]Poultry Byproduct Complex'!AQ$146:AQ$148)</f>
        <v>2740.6394590075147</v>
      </c>
      <c r="AR5" s="45">
        <f>SUM('[1]Poultry Byproduct Complex'!AQ$149:AQ$157,'[1]Poultry Byproduct Complex'!AR$146:AR$148)</f>
        <v>2762.7509583089127</v>
      </c>
      <c r="AS5" s="45">
        <f>SUM('[1]Poultry Byproduct Complex'!AR$149:AR$157,'[1]Poultry Byproduct Complex'!AS$146:AS$148)</f>
        <v>2810.1736297714233</v>
      </c>
      <c r="AT5" s="45">
        <f>SUM('[1]Poultry Byproduct Complex'!AS$149:AS$157,'[1]Poultry Byproduct Complex'!AT$146:AT$148)</f>
        <v>2874.9609796305244</v>
      </c>
      <c r="AU5" s="45">
        <f>SUM('[1]Poultry Byproduct Complex'!AT$149:AT$157,'[1]Poultry Byproduct Complex'!AU$146:AU$148)</f>
        <v>2908.8480614542609</v>
      </c>
      <c r="AV5" s="45">
        <f>SUM('[1]Poultry Byproduct Complex'!AU$149:AU$157,'[1]Poultry Byproduct Complex'!AV$146:AV$148)</f>
        <v>2966.5765802634446</v>
      </c>
      <c r="AW5" s="45">
        <f>SUM('[1]Poultry Byproduct Complex'!AV$149:AV$157,'[1]Poultry Byproduct Complex'!AW$146:AW$148)</f>
        <v>3027.6144316742834</v>
      </c>
      <c r="AX5" s="45">
        <f>SUM('[1]Poultry Byproduct Complex'!AW$149:AW$157,'[1]Poultry Byproduct Complex'!AX$146:AX$148)</f>
        <v>3080.830222006472</v>
      </c>
      <c r="AY5" s="45">
        <f>SUM('[1]Poultry Byproduct Complex'!AX$149:AX$157,'[1]Poultry Byproduct Complex'!AY$146:AY$148)</f>
        <v>3133.113319463816</v>
      </c>
      <c r="AZ5" s="45">
        <f>SUM('[1]Poultry Byproduct Complex'!AY$149:AY$157,'[1]Poultry Byproduct Complex'!AZ$146:AZ$148)</f>
        <v>3186.3750125830434</v>
      </c>
      <c r="BA5" s="45">
        <f>SUM('[1]Poultry Byproduct Complex'!AZ$149:AZ$157,'[1]Poultry Byproduct Complex'!BA$146:BA$148)</f>
        <v>3243.7644095507635</v>
      </c>
      <c r="BB5" s="45">
        <f>SUM('[1]Poultry Byproduct Complex'!BA$149:BA$157,'[1]Poultry Byproduct Complex'!BB$146:BB$148)</f>
        <v>3296.1549199130959</v>
      </c>
      <c r="BC5" s="45">
        <f>SUM('[1]Poultry Byproduct Complex'!BB$149:BB$157,'[1]Poultry Byproduct Complex'!BC$146:BC$148)</f>
        <v>3347.7658011480758</v>
      </c>
      <c r="BD5" s="45">
        <f>SUM('[1]Poultry Byproduct Complex'!BC$149:BC$157,'[1]Poultry Byproduct Complex'!BD$146:BD$148)</f>
        <v>3400.5190272403456</v>
      </c>
      <c r="BE5" s="45">
        <f>SUM('[1]Poultry Byproduct Complex'!BD$149:BD$157,'[1]Poultry Byproduct Complex'!BE$146:BE$148)</f>
        <v>3457.2554870154881</v>
      </c>
      <c r="BF5" s="45">
        <f>SUM('[1]Poultry Byproduct Complex'!BE$149:BE$157,'[1]Poultry Byproduct Complex'!BF$146:BF$148)</f>
        <v>3513.5035956547572</v>
      </c>
      <c r="BG5" s="45">
        <f>SUM('[1]Poultry Byproduct Complex'!BF$149:BF$157,'[1]Poultry Byproduct Complex'!BG$146:BG$148)</f>
        <v>3573.3528086117676</v>
      </c>
    </row>
    <row r="6" spans="1:59" x14ac:dyDescent="0.2">
      <c r="A6" s="40"/>
      <c r="B6" s="40" t="s">
        <v>72</v>
      </c>
      <c r="C6" s="45">
        <f>SUM('[1]Poultry Byproduct Complex'!B$181:B$189,'[1]Poultry Byproduct Complex'!C$178:C$180)</f>
        <v>7.0109184222000014</v>
      </c>
      <c r="D6" s="45">
        <f>SUM('[1]Poultry Byproduct Complex'!C$181:C$189,'[1]Poultry Byproduct Complex'!D$178:D$180)</f>
        <v>8.9315851086000002</v>
      </c>
      <c r="E6" s="45">
        <f>SUM('[1]Poultry Byproduct Complex'!D$181:D$189,'[1]Poultry Byproduct Complex'!E$178:E$180)</f>
        <v>6.7035941153999996</v>
      </c>
      <c r="F6" s="45">
        <f>SUM('[1]Poultry Byproduct Complex'!E$181:E$189,'[1]Poultry Byproduct Complex'!F$178:F$180)</f>
        <v>5.4524711304000002</v>
      </c>
      <c r="G6" s="45">
        <f>SUM('[1]Poultry Byproduct Complex'!F$181:F$189,'[1]Poultry Byproduct Complex'!G$178:G$180)</f>
        <v>4.6795306571999999</v>
      </c>
      <c r="H6" s="45">
        <f>SUM('[1]Poultry Byproduct Complex'!G$181:G$189,'[1]Poultry Byproduct Complex'!H$178:H$180)</f>
        <v>5.7302535024000001</v>
      </c>
      <c r="I6" s="45">
        <f>SUM('[1]Poultry Byproduct Complex'!H$181:H$189,'[1]Poultry Byproduct Complex'!I$178:I$180)</f>
        <v>5.1041408544000006</v>
      </c>
      <c r="J6" s="45">
        <f>SUM('[1]Poultry Byproduct Complex'!I$181:I$189,'[1]Poultry Byproduct Complex'!J$178:J$180)</f>
        <v>5.3409172571999992</v>
      </c>
      <c r="K6" s="45">
        <f>SUM('[1]Poultry Byproduct Complex'!J$181:J$189,'[1]Poultry Byproduct Complex'!K$178:K$180)</f>
        <v>5.1899006502000002</v>
      </c>
      <c r="L6" s="45">
        <f>SUM('[1]Poultry Byproduct Complex'!K$181:K$189,'[1]Poultry Byproduct Complex'!L$178:L$180)</f>
        <v>6.8614450506000004</v>
      </c>
      <c r="M6" s="45">
        <f>SUM('[1]Poultry Byproduct Complex'!L$181:L$189,'[1]Poultry Byproduct Complex'!M$178:M$180)</f>
        <v>9.4847247684000013</v>
      </c>
      <c r="N6" s="45">
        <f>SUM('[1]Poultry Byproduct Complex'!M$181:M$189,'[1]Poultry Byproduct Complex'!N$178:N$180)</f>
        <v>7.3396275624000022</v>
      </c>
      <c r="O6" s="45">
        <f>SUM('[1]Poultry Byproduct Complex'!N$181:N$189,'[1]Poultry Byproduct Complex'!O$178:O$180)</f>
        <v>5.8246113240000001</v>
      </c>
      <c r="P6" s="45">
        <f>SUM('[1]Poultry Byproduct Complex'!O$181:O$189,'[1]Poultry Byproduct Complex'!P$178:P$180)</f>
        <v>10.4406488676</v>
      </c>
      <c r="Q6" s="45">
        <f>SUM('[1]Poultry Byproduct Complex'!P$181:P$189,'[1]Poultry Byproduct Complex'!Q$178:Q$180)</f>
        <v>5.3810413775999999</v>
      </c>
      <c r="R6" s="45">
        <f>SUM('[1]Poultry Byproduct Complex'!Q$181:Q$189,'[1]Poultry Byproduct Complex'!R$178:R$180)</f>
        <v>4.8726555444000006</v>
      </c>
      <c r="S6" s="45">
        <f>SUM('[1]Poultry Byproduct Complex'!R$181:R$189,'[1]Poultry Byproduct Complex'!S$178:S$180)</f>
        <v>5.5708593317999995</v>
      </c>
      <c r="T6" s="45">
        <f>SUM('[1]Poultry Byproduct Complex'!S$181:S$189,'[1]Poultry Byproduct Complex'!T$178:T$180)</f>
        <v>8.561649537000001</v>
      </c>
      <c r="U6" s="45">
        <f>SUM('[1]Poultry Byproduct Complex'!T$181:T$189,'[1]Poultry Byproduct Complex'!U$178:U$180)</f>
        <v>2.592635472</v>
      </c>
      <c r="V6" s="45">
        <f>SUM('[1]Poultry Byproduct Complex'!U$181:U$189,'[1]Poultry Byproduct Complex'!V$178:V$180)</f>
        <v>0.97466338620000015</v>
      </c>
      <c r="W6" s="45">
        <f>SUM('[1]Poultry Byproduct Complex'!V$181:V$189,'[1]Poultry Byproduct Complex'!W$178:W$180)</f>
        <v>1.0740918383999998</v>
      </c>
      <c r="X6" s="45">
        <f>SUM('[1]Poultry Byproduct Complex'!W$181:W$189,'[1]Poultry Byproduct Complex'!X$178:X$180)</f>
        <v>1.5765251922000001</v>
      </c>
      <c r="Y6" s="45">
        <f>SUM('[1]Poultry Byproduct Complex'!X$181:X$189,'[1]Poultry Byproduct Complex'!Y$178:Y$180)</f>
        <v>2.1417902730000002</v>
      </c>
      <c r="Z6" s="45">
        <f>SUM('[1]Poultry Byproduct Complex'!Y$181:Y$189,'[1]Poultry Byproduct Complex'!Z$178:Z$180)</f>
        <v>5.3102730113999996</v>
      </c>
      <c r="AA6" s="45">
        <f>SUM('[1]Poultry Byproduct Complex'!Z$181:Z$189,'[1]Poultry Byproduct Complex'!AA$178:AA$180)</f>
        <v>1.4643946973800002</v>
      </c>
      <c r="AB6" s="45">
        <f>SUM('[1]Poultry Byproduct Complex'!AA$181:AA$189,'[1]Poultry Byproduct Complex'!AB$178:AB$180)</f>
        <v>8.1094215885600001</v>
      </c>
      <c r="AC6" s="45">
        <f>SUM('[1]Poultry Byproduct Complex'!AB$181:AB$189,'[1]Poultry Byproduct Complex'!AC$178:AC$180)</f>
        <v>4.9158835716600002</v>
      </c>
      <c r="AD6" s="45">
        <f>SUM('[1]Poultry Byproduct Complex'!AC$181:AC$189,'[1]Poultry Byproduct Complex'!AD$178:AD$180)</f>
        <v>3.0546835811399999</v>
      </c>
      <c r="AE6" s="45">
        <f>SUM('[1]Poultry Byproduct Complex'!AD$181:AD$189,'[1]Poultry Byproduct Complex'!AE$178:AE$180)</f>
        <v>6.596984</v>
      </c>
      <c r="AF6" s="45">
        <f>SUM('[1]Poultry Byproduct Complex'!AE$181:AE$189,'[1]Poultry Byproduct Complex'!AF$178:AF$180)</f>
        <v>5.1612010000000001</v>
      </c>
      <c r="AG6" s="45">
        <f>SUM('[1]Poultry Byproduct Complex'!AF$181:AF$189,'[1]Poultry Byproduct Complex'!AG$178:AG$180)</f>
        <v>1.6049284232000001</v>
      </c>
      <c r="AH6" s="45">
        <f>SUM('[1]Poultry Byproduct Complex'!AG$181:AG$189,'[1]Poultry Byproduct Complex'!AH$178:AH$180)</f>
        <v>6.1117562250102395</v>
      </c>
      <c r="AI6" s="45">
        <f>SUM('[1]Poultry Byproduct Complex'!AH$181:AH$189,'[1]Poultry Byproduct Complex'!AI$178:AI$180)</f>
        <v>4.7180672951680318</v>
      </c>
      <c r="AJ6" s="45">
        <f>SUM('[1]Poultry Byproduct Complex'!AI$181:AI$189,'[1]Poultry Byproduct Complex'!AJ$178:AJ$180)</f>
        <v>5.0932910945552772</v>
      </c>
      <c r="AK6" s="45">
        <f>SUM('[1]Poultry Byproduct Complex'!AJ$181:AJ$189,'[1]Poultry Byproduct Complex'!AK$178:AK$180)</f>
        <v>5.0690623096334324</v>
      </c>
      <c r="AL6" s="45">
        <f>SUM('[1]Poultry Byproduct Complex'!AK$181:AK$189,'[1]Poultry Byproduct Complex'!AL$178:AL$180)</f>
        <v>4.8755998652833741</v>
      </c>
      <c r="AM6" s="45">
        <f>SUM('[1]Poultry Byproduct Complex'!AL$181:AL$189,'[1]Poultry Byproduct Complex'!AM$178:AM$180)</f>
        <v>4.9035974672074527</v>
      </c>
      <c r="AN6" s="45">
        <f>SUM('[1]Poultry Byproduct Complex'!AM$181:AM$189,'[1]Poultry Byproduct Complex'!AN$178:AN$180)</f>
        <v>5.1735553579300717</v>
      </c>
      <c r="AO6" s="45">
        <f>SUM('[1]Poultry Byproduct Complex'!AN$181:AN$189,'[1]Poultry Byproduct Complex'!AO$178:AO$180)</f>
        <v>4.931923606369514</v>
      </c>
      <c r="AP6" s="45">
        <f>SUM('[1]Poultry Byproduct Complex'!AO$181:AO$189,'[1]Poultry Byproduct Complex'!AP$178:AP$180)</f>
        <v>5.0230212189219223</v>
      </c>
      <c r="AQ6" s="45">
        <f>SUM('[1]Poultry Byproduct Complex'!AP$181:AP$189,'[1]Poultry Byproduct Complex'!AQ$178:AQ$180)</f>
        <v>4.9907477212847677</v>
      </c>
      <c r="AR6" s="45">
        <f>SUM('[1]Poultry Byproduct Complex'!AQ$181:AQ$189,'[1]Poultry Byproduct Complex'!AR$178:AR$180)</f>
        <v>4.981539503142467</v>
      </c>
      <c r="AS6" s="45">
        <f>SUM('[1]Poultry Byproduct Complex'!AR$181:AR$189,'[1]Poultry Byproduct Complex'!AS$178:AS$180)</f>
        <v>5.0045690743427453</v>
      </c>
      <c r="AT6" s="45">
        <f>SUM('[1]Poultry Byproduct Complex'!AS$181:AS$189,'[1]Poultry Byproduct Complex'!AT$178:AT$180)</f>
        <v>5.0201574815297469</v>
      </c>
      <c r="AU6" s="45">
        <f>SUM('[1]Poultry Byproduct Complex'!AT$181:AT$189,'[1]Poultry Byproduct Complex'!AU$178:AU$180)</f>
        <v>4.9863602248122838</v>
      </c>
      <c r="AV6" s="45">
        <f>SUM('[1]Poultry Byproduct Complex'!AU$181:AU$189,'[1]Poultry Byproduct Complex'!AV$178:AV$180)</f>
        <v>5.0040069998443313</v>
      </c>
      <c r="AW6" s="45">
        <f>SUM('[1]Poultry Byproduct Complex'!AV$181:AV$189,'[1]Poultry Byproduct Complex'!AW$178:AW$180)</f>
        <v>4.9966748010224027</v>
      </c>
      <c r="AX6" s="45">
        <f>SUM('[1]Poultry Byproduct Complex'!AW$181:AW$189,'[1]Poultry Byproduct Complex'!AX$178:AX$180)</f>
        <v>4.999326656734314</v>
      </c>
      <c r="AY6" s="45">
        <f>SUM('[1]Poultry Byproduct Complex'!AX$181:AX$189,'[1]Poultry Byproduct Complex'!AY$178:AY$180)</f>
        <v>5.0023537163103011</v>
      </c>
      <c r="AZ6" s="45">
        <f>SUM('[1]Poultry Byproduct Complex'!AY$181:AY$189,'[1]Poultry Byproduct Complex'!AZ$178:AZ$180)</f>
        <v>5.0013052327886145</v>
      </c>
      <c r="BA6" s="45">
        <f>SUM('[1]Poultry Byproduct Complex'!AZ$181:AZ$189,'[1]Poultry Byproduct Complex'!BA$178:BA$180)</f>
        <v>4.9977444797447266</v>
      </c>
      <c r="BB6" s="45">
        <f>SUM('[1]Poultry Byproduct Complex'!BA$181:BA$189,'[1]Poultry Byproduct Complex'!BB$178:BB$180)</f>
        <v>5.0007334813399922</v>
      </c>
      <c r="BC6" s="45">
        <f>SUM('[1]Poultry Byproduct Complex'!BB$181:BB$189,'[1]Poultry Byproduct Complex'!BC$178:BC$180)</f>
        <v>4.9994809773200721</v>
      </c>
      <c r="BD6" s="45">
        <f>SUM('[1]Poultry Byproduct Complex'!BC$181:BC$189,'[1]Poultry Byproduct Complex'!BD$178:BD$180)</f>
        <v>5.0002927133835904</v>
      </c>
      <c r="BE6" s="45">
        <f>SUM('[1]Poultry Byproduct Complex'!BD$181:BD$189,'[1]Poultry Byproduct Complex'!BE$178:BE$180)</f>
        <v>5.0003235775007422</v>
      </c>
      <c r="BF6" s="45">
        <f>SUM('[1]Poultry Byproduct Complex'!BE$181:BE$189,'[1]Poultry Byproduct Complex'!BF$178:BF$180)</f>
        <v>4.9999113769153993</v>
      </c>
      <c r="BG6" s="45">
        <f>SUM('[1]Poultry Byproduct Complex'!BF$181:BF$189,'[1]Poultry Byproduct Complex'!BG$178:BG$180)</f>
        <v>4.9997150458578261</v>
      </c>
    </row>
    <row r="7" spans="1:59" x14ac:dyDescent="0.2">
      <c r="A7" s="40"/>
      <c r="B7" s="61" t="s">
        <v>73</v>
      </c>
      <c r="C7" s="62">
        <f>SUM(C4:C6)</f>
        <v>462.69101646774322</v>
      </c>
      <c r="D7" s="62">
        <f t="shared" ref="D7:BG7" si="0">SUM(D4:D6)</f>
        <v>525.26929910320916</v>
      </c>
      <c r="E7" s="62">
        <f t="shared" si="0"/>
        <v>592.9738772392443</v>
      </c>
      <c r="F7" s="62">
        <f t="shared" si="0"/>
        <v>649.95734300408003</v>
      </c>
      <c r="G7" s="62">
        <f t="shared" si="0"/>
        <v>711.4656375318134</v>
      </c>
      <c r="H7" s="62">
        <f t="shared" si="0"/>
        <v>796.62415834738295</v>
      </c>
      <c r="I7" s="62">
        <f t="shared" si="0"/>
        <v>864.42619580264034</v>
      </c>
      <c r="J7" s="62">
        <f t="shared" si="0"/>
        <v>932.10528807722005</v>
      </c>
      <c r="K7" s="62">
        <f t="shared" si="0"/>
        <v>997.32310032085843</v>
      </c>
      <c r="L7" s="62">
        <f t="shared" si="0"/>
        <v>962.98561273960013</v>
      </c>
      <c r="M7" s="62">
        <f t="shared" si="0"/>
        <v>1111.1478043177999</v>
      </c>
      <c r="N7" s="62">
        <f t="shared" si="0"/>
        <v>1272.0816899032</v>
      </c>
      <c r="O7" s="62">
        <f t="shared" si="0"/>
        <v>1385.4260512961998</v>
      </c>
      <c r="P7" s="62">
        <f t="shared" si="0"/>
        <v>1495.226023936</v>
      </c>
      <c r="Q7" s="62">
        <f t="shared" si="0"/>
        <v>1565.4693535006002</v>
      </c>
      <c r="R7" s="62">
        <f t="shared" si="0"/>
        <v>1478.2412749222001</v>
      </c>
      <c r="S7" s="62">
        <f t="shared" si="0"/>
        <v>1520.3385287634001</v>
      </c>
      <c r="T7" s="62">
        <f t="shared" si="0"/>
        <v>1516.1372702262279</v>
      </c>
      <c r="U7" s="62">
        <f t="shared" si="0"/>
        <v>1470.7017745190742</v>
      </c>
      <c r="V7" s="62">
        <f t="shared" si="0"/>
        <v>1513.1357162782665</v>
      </c>
      <c r="W7" s="62">
        <f t="shared" si="0"/>
        <v>1528.5286454063425</v>
      </c>
      <c r="X7" s="62">
        <f t="shared" si="0"/>
        <v>2127.3124207173664</v>
      </c>
      <c r="Y7" s="62">
        <f t="shared" si="0"/>
        <v>2633.3805957931995</v>
      </c>
      <c r="Z7" s="62">
        <f t="shared" si="0"/>
        <v>2598.2704506005998</v>
      </c>
      <c r="AA7" s="62">
        <f t="shared" si="0"/>
        <v>2455.41974718958</v>
      </c>
      <c r="AB7" s="62">
        <f t="shared" si="0"/>
        <v>2531.2434215885605</v>
      </c>
      <c r="AC7" s="62">
        <f t="shared" si="0"/>
        <v>2564.054883571659</v>
      </c>
      <c r="AD7" s="62">
        <f t="shared" si="0"/>
        <v>2145.7176835811406</v>
      </c>
      <c r="AE7" s="62">
        <f t="shared" si="0"/>
        <v>2060.0229839999997</v>
      </c>
      <c r="AF7" s="62">
        <f t="shared" si="0"/>
        <v>2333.9902010000001</v>
      </c>
      <c r="AG7" s="62">
        <f t="shared" si="0"/>
        <v>2264.6469284231998</v>
      </c>
      <c r="AH7" s="62">
        <f t="shared" si="0"/>
        <v>2309.7026960455319</v>
      </c>
      <c r="AI7" s="62">
        <f t="shared" si="0"/>
        <v>2370.6616440848629</v>
      </c>
      <c r="AJ7" s="62">
        <f t="shared" si="0"/>
        <v>2438.2718953945287</v>
      </c>
      <c r="AK7" s="62">
        <f t="shared" si="0"/>
        <v>2486.7311165133924</v>
      </c>
      <c r="AL7" s="62">
        <f t="shared" si="0"/>
        <v>2498.0768453596411</v>
      </c>
      <c r="AM7" s="62">
        <f t="shared" si="0"/>
        <v>2538.916434820941</v>
      </c>
      <c r="AN7" s="62">
        <f t="shared" si="0"/>
        <v>2612.2885711272856</v>
      </c>
      <c r="AO7" s="62">
        <f t="shared" si="0"/>
        <v>2681.206179415723</v>
      </c>
      <c r="AP7" s="62">
        <f t="shared" si="0"/>
        <v>2716.1063411180894</v>
      </c>
      <c r="AQ7" s="62">
        <f t="shared" si="0"/>
        <v>2784.6539917044902</v>
      </c>
      <c r="AR7" s="62">
        <f t="shared" si="0"/>
        <v>2800.6818921652211</v>
      </c>
      <c r="AS7" s="62">
        <f t="shared" si="0"/>
        <v>2844.9962175225228</v>
      </c>
      <c r="AT7" s="62">
        <f t="shared" si="0"/>
        <v>2917.9343131754499</v>
      </c>
      <c r="AU7" s="62">
        <f t="shared" si="0"/>
        <v>2950.0089950952802</v>
      </c>
      <c r="AV7" s="62">
        <f t="shared" si="0"/>
        <v>3010.9902306471499</v>
      </c>
      <c r="AW7" s="62">
        <f t="shared" si="0"/>
        <v>3073.8875577136901</v>
      </c>
      <c r="AX7" s="62">
        <f t="shared" si="0"/>
        <v>3126.9687416202278</v>
      </c>
      <c r="AY7" s="62">
        <f t="shared" si="0"/>
        <v>3174.2973182098699</v>
      </c>
      <c r="AZ7" s="62">
        <f t="shared" si="0"/>
        <v>3235.4454777886667</v>
      </c>
      <c r="BA7" s="62">
        <f t="shared" si="0"/>
        <v>3293.1127596534138</v>
      </c>
      <c r="BB7" s="62">
        <f t="shared" si="0"/>
        <v>3351.43664663048</v>
      </c>
      <c r="BC7" s="62">
        <f t="shared" si="0"/>
        <v>3401.1446172715982</v>
      </c>
      <c r="BD7" s="62">
        <f t="shared" si="0"/>
        <v>3453.0996121783014</v>
      </c>
      <c r="BE7" s="62">
        <f t="shared" si="0"/>
        <v>3508.1226791389295</v>
      </c>
      <c r="BF7" s="62">
        <f t="shared" si="0"/>
        <v>3559.2124763045363</v>
      </c>
      <c r="BG7" s="62">
        <f t="shared" si="0"/>
        <v>3620.7559742526655</v>
      </c>
    </row>
    <row r="8" spans="1:59" x14ac:dyDescent="0.2">
      <c r="A8" s="40"/>
      <c r="B8" s="40" t="s">
        <v>74</v>
      </c>
      <c r="C8" s="45" t="e">
        <f t="shared" ref="C8:AA8" si="1">C9+C12</f>
        <v>#REF!</v>
      </c>
      <c r="D8" s="45" t="e">
        <f t="shared" si="1"/>
        <v>#REF!</v>
      </c>
      <c r="E8" s="45" t="e">
        <f t="shared" si="1"/>
        <v>#REF!</v>
      </c>
      <c r="F8" s="45" t="e">
        <f t="shared" si="1"/>
        <v>#REF!</v>
      </c>
      <c r="G8" s="45" t="e">
        <f t="shared" si="1"/>
        <v>#REF!</v>
      </c>
      <c r="H8" s="45" t="e">
        <f t="shared" si="1"/>
        <v>#REF!</v>
      </c>
      <c r="I8" s="45" t="e">
        <f t="shared" si="1"/>
        <v>#REF!</v>
      </c>
      <c r="J8" s="45" t="e">
        <f t="shared" si="1"/>
        <v>#REF!</v>
      </c>
      <c r="K8" s="45" t="e">
        <f t="shared" si="1"/>
        <v>#REF!</v>
      </c>
      <c r="L8" s="45" t="e">
        <f t="shared" si="1"/>
        <v>#REF!</v>
      </c>
      <c r="M8" s="45" t="e">
        <f t="shared" si="1"/>
        <v>#REF!</v>
      </c>
      <c r="N8" s="45" t="e">
        <f t="shared" si="1"/>
        <v>#REF!</v>
      </c>
      <c r="O8" s="45" t="e">
        <f t="shared" si="1"/>
        <v>#REF!</v>
      </c>
      <c r="P8" s="45" t="e">
        <f t="shared" si="1"/>
        <v>#REF!</v>
      </c>
      <c r="Q8" s="45" t="e">
        <f t="shared" si="1"/>
        <v>#REF!</v>
      </c>
      <c r="R8" s="45" t="e">
        <f t="shared" si="1"/>
        <v>#REF!</v>
      </c>
      <c r="S8" s="45" t="e">
        <f t="shared" si="1"/>
        <v>#REF!</v>
      </c>
      <c r="T8" s="45" t="e">
        <f t="shared" si="1"/>
        <v>#REF!</v>
      </c>
      <c r="U8" s="45" t="e">
        <f t="shared" si="1"/>
        <v>#REF!</v>
      </c>
      <c r="V8" s="45" t="e">
        <f t="shared" si="1"/>
        <v>#REF!</v>
      </c>
      <c r="W8" s="45" t="e">
        <f t="shared" si="1"/>
        <v>#REF!</v>
      </c>
      <c r="X8" s="45" t="e">
        <f t="shared" si="1"/>
        <v>#REF!</v>
      </c>
      <c r="Y8" s="45" t="e">
        <f t="shared" si="1"/>
        <v>#REF!</v>
      </c>
      <c r="Z8" s="45" t="e">
        <f t="shared" si="1"/>
        <v>#REF!</v>
      </c>
      <c r="AA8" s="45" t="e">
        <f t="shared" si="1"/>
        <v>#REF!</v>
      </c>
      <c r="AB8" s="45">
        <f>AB14-AB13</f>
        <v>2471.3768498141808</v>
      </c>
      <c r="AC8" s="45">
        <f t="shared" ref="AC8:BG8" si="2">AC14-AC13</f>
        <v>2489.560262644779</v>
      </c>
      <c r="AD8" s="45">
        <f t="shared" si="2"/>
        <v>2078.4455146557407</v>
      </c>
      <c r="AE8" s="45">
        <f t="shared" si="2"/>
        <v>1990.5458399999995</v>
      </c>
      <c r="AF8" s="45">
        <f t="shared" si="2"/>
        <v>2256.0442691415201</v>
      </c>
      <c r="AG8" s="45">
        <f t="shared" si="2"/>
        <v>2182.4383047736997</v>
      </c>
      <c r="AH8" s="45">
        <f t="shared" si="2"/>
        <v>2214.8421206928178</v>
      </c>
      <c r="AI8" s="45">
        <f t="shared" si="2"/>
        <v>2252.0160486379546</v>
      </c>
      <c r="AJ8" s="45">
        <f t="shared" si="2"/>
        <v>2339.0903985834316</v>
      </c>
      <c r="AK8" s="45">
        <f t="shared" si="2"/>
        <v>2392.7244309849502</v>
      </c>
      <c r="AL8" s="45">
        <f t="shared" si="2"/>
        <v>2416.3114902445391</v>
      </c>
      <c r="AM8" s="45">
        <f t="shared" si="2"/>
        <v>2450.8574406712996</v>
      </c>
      <c r="AN8" s="45">
        <f t="shared" si="2"/>
        <v>2523.1746684334794</v>
      </c>
      <c r="AO8" s="45">
        <f t="shared" si="2"/>
        <v>2591.9625331058537</v>
      </c>
      <c r="AP8" s="45">
        <f t="shared" si="2"/>
        <v>2627.1330008846239</v>
      </c>
      <c r="AQ8" s="45">
        <f t="shared" si="2"/>
        <v>2701.6701212481198</v>
      </c>
      <c r="AR8" s="45">
        <f t="shared" si="2"/>
        <v>2720.8650509316253</v>
      </c>
      <c r="AS8" s="45">
        <f t="shared" si="2"/>
        <v>2757.0302586286307</v>
      </c>
      <c r="AT8" s="45">
        <f t="shared" si="2"/>
        <v>2831.7911879781</v>
      </c>
      <c r="AU8" s="45">
        <f t="shared" si="2"/>
        <v>2860.5811247838992</v>
      </c>
      <c r="AV8" s="45">
        <f t="shared" si="2"/>
        <v>2919.7209417028744</v>
      </c>
      <c r="AW8" s="45">
        <f t="shared" si="2"/>
        <v>2982.7417927168281</v>
      </c>
      <c r="AX8" s="45">
        <f t="shared" si="2"/>
        <v>3040.7888522301059</v>
      </c>
      <c r="AY8" s="45">
        <f t="shared" si="2"/>
        <v>3080.2283639800571</v>
      </c>
      <c r="AZ8" s="45">
        <f t="shared" si="2"/>
        <v>3141.0979856028061</v>
      </c>
      <c r="BA8" s="45">
        <f t="shared" si="2"/>
        <v>3192.828631359248</v>
      </c>
      <c r="BB8" s="45">
        <f t="shared" si="2"/>
        <v>3253.0584444990691</v>
      </c>
      <c r="BC8" s="45">
        <f t="shared" si="2"/>
        <v>3303.5633985913714</v>
      </c>
      <c r="BD8" s="45">
        <f t="shared" si="2"/>
        <v>3357.2333581876328</v>
      </c>
      <c r="BE8" s="45">
        <f t="shared" si="2"/>
        <v>3417.4137880022822</v>
      </c>
      <c r="BF8" s="45">
        <f t="shared" si="2"/>
        <v>3466.8091856081628</v>
      </c>
      <c r="BG8" s="45">
        <f t="shared" si="2"/>
        <v>3525.252590839717</v>
      </c>
    </row>
    <row r="9" spans="1:59" x14ac:dyDescent="0.2">
      <c r="A9" s="40"/>
      <c r="B9" s="40" t="s">
        <v>75</v>
      </c>
      <c r="C9" s="45" t="e">
        <f>C10+C11+#REF!</f>
        <v>#REF!</v>
      </c>
      <c r="D9" s="45" t="e">
        <f>D10+D11+#REF!</f>
        <v>#REF!</v>
      </c>
      <c r="E9" s="45" t="e">
        <f>E10+E11+#REF!</f>
        <v>#REF!</v>
      </c>
      <c r="F9" s="45" t="e">
        <f>F10+F11+#REF!</f>
        <v>#REF!</v>
      </c>
      <c r="G9" s="45" t="e">
        <f>G10+G11+#REF!</f>
        <v>#REF!</v>
      </c>
      <c r="H9" s="45" t="e">
        <f>H10+H11+#REF!</f>
        <v>#REF!</v>
      </c>
      <c r="I9" s="45" t="e">
        <f>I10+I11+#REF!</f>
        <v>#REF!</v>
      </c>
      <c r="J9" s="45" t="e">
        <f>J10+J11+#REF!</f>
        <v>#REF!</v>
      </c>
      <c r="K9" s="45" t="e">
        <f>K10+K11+#REF!</f>
        <v>#REF!</v>
      </c>
      <c r="L9" s="45" t="e">
        <f>L10+L11+#REF!</f>
        <v>#REF!</v>
      </c>
      <c r="M9" s="45" t="e">
        <f>M10+M11+#REF!</f>
        <v>#REF!</v>
      </c>
      <c r="N9" s="45" t="e">
        <f>N10+N11+#REF!</f>
        <v>#REF!</v>
      </c>
      <c r="O9" s="45" t="e">
        <f>O10+O11+#REF!</f>
        <v>#REF!</v>
      </c>
      <c r="P9" s="45" t="e">
        <f>P10+P11+#REF!</f>
        <v>#REF!</v>
      </c>
      <c r="Q9" s="45" t="e">
        <f>Q10+Q11+#REF!</f>
        <v>#REF!</v>
      </c>
      <c r="R9" s="45" t="e">
        <f>R10+R11+#REF!</f>
        <v>#REF!</v>
      </c>
      <c r="S9" s="45" t="e">
        <f>S10+S11+#REF!</f>
        <v>#REF!</v>
      </c>
      <c r="T9" s="45" t="e">
        <f>T10+T11+#REF!</f>
        <v>#REF!</v>
      </c>
      <c r="U9" s="45" t="e">
        <f>U10+U11+#REF!</f>
        <v>#REF!</v>
      </c>
      <c r="V9" s="45" t="e">
        <f>V10+V11+#REF!</f>
        <v>#REF!</v>
      </c>
      <c r="W9" s="45" t="e">
        <f>W10+W11+#REF!</f>
        <v>#REF!</v>
      </c>
      <c r="X9" s="45" t="e">
        <f>X10+X11+#REF!</f>
        <v>#REF!</v>
      </c>
      <c r="Y9" s="45" t="e">
        <f>Y10+Y11+#REF!</f>
        <v>#REF!</v>
      </c>
      <c r="Z9" s="45" t="e">
        <f>Z10+Z11+#REF!</f>
        <v>#REF!</v>
      </c>
      <c r="AA9" s="45" t="e">
        <f>AA10+AA11+#REF!</f>
        <v>#REF!</v>
      </c>
      <c r="AB9" s="45">
        <f>SUM(AB10:AB11)</f>
        <v>163.00166666666669</v>
      </c>
      <c r="AC9" s="45">
        <f t="shared" ref="AC9:BG9" si="3">SUM(AC10:AC11)</f>
        <v>167.94402829629274</v>
      </c>
      <c r="AD9" s="45">
        <f t="shared" si="3"/>
        <v>307.34500000000003</v>
      </c>
      <c r="AE9" s="45">
        <f t="shared" si="3"/>
        <v>161.572</v>
      </c>
      <c r="AF9" s="45">
        <f t="shared" si="3"/>
        <v>158.77799999999999</v>
      </c>
      <c r="AG9" s="45">
        <f t="shared" si="3"/>
        <v>252.40347090898456</v>
      </c>
      <c r="AH9" s="45">
        <f t="shared" si="3"/>
        <v>207.96577540573344</v>
      </c>
      <c r="AI9" s="45">
        <f t="shared" si="3"/>
        <v>209.03552447763238</v>
      </c>
      <c r="AJ9" s="45">
        <f t="shared" si="3"/>
        <v>199.92955637148293</v>
      </c>
      <c r="AK9" s="45">
        <f t="shared" si="3"/>
        <v>173.32163025496172</v>
      </c>
      <c r="AL9" s="45">
        <f t="shared" si="3"/>
        <v>204.37194960043271</v>
      </c>
      <c r="AM9" s="45">
        <f t="shared" si="3"/>
        <v>207.44025620360054</v>
      </c>
      <c r="AN9" s="45">
        <f t="shared" si="3"/>
        <v>212.46457530664043</v>
      </c>
      <c r="AO9" s="45">
        <f t="shared" si="3"/>
        <v>235.26557011997656</v>
      </c>
      <c r="AP9" s="45">
        <f t="shared" si="3"/>
        <v>229.37836075628539</v>
      </c>
      <c r="AQ9" s="45">
        <f t="shared" si="3"/>
        <v>227.6617284236894</v>
      </c>
      <c r="AR9" s="45">
        <f t="shared" si="3"/>
        <v>226.52607336165181</v>
      </c>
      <c r="AS9" s="45">
        <f t="shared" si="3"/>
        <v>195.32463709898644</v>
      </c>
      <c r="AT9" s="45">
        <f t="shared" si="3"/>
        <v>181.55280432518754</v>
      </c>
      <c r="AU9" s="45">
        <f t="shared" si="3"/>
        <v>190.04650930327745</v>
      </c>
      <c r="AV9" s="45">
        <f t="shared" si="3"/>
        <v>188.28325188589167</v>
      </c>
      <c r="AW9" s="45">
        <f t="shared" si="3"/>
        <v>181.64652996856492</v>
      </c>
      <c r="AX9" s="45">
        <f t="shared" si="3"/>
        <v>185.66147991441107</v>
      </c>
      <c r="AY9" s="45">
        <f t="shared" si="3"/>
        <v>188.47384973435487</v>
      </c>
      <c r="AZ9" s="45">
        <f t="shared" si="3"/>
        <v>192.99035786960218</v>
      </c>
      <c r="BA9" s="45">
        <f t="shared" si="3"/>
        <v>194.12103099158315</v>
      </c>
      <c r="BB9" s="45">
        <f t="shared" si="3"/>
        <v>193.79337989070484</v>
      </c>
      <c r="BC9" s="45">
        <f t="shared" si="3"/>
        <v>191.08938780669303</v>
      </c>
      <c r="BD9" s="45">
        <f t="shared" si="3"/>
        <v>193.33707918931339</v>
      </c>
      <c r="BE9" s="45">
        <f t="shared" si="3"/>
        <v>195.38393832771328</v>
      </c>
      <c r="BF9" s="45">
        <f t="shared" si="3"/>
        <v>197.5201536788831</v>
      </c>
      <c r="BG9" s="45">
        <f t="shared" si="3"/>
        <v>200.16589736411282</v>
      </c>
    </row>
    <row r="10" spans="1:59" x14ac:dyDescent="0.2">
      <c r="A10" s="40"/>
      <c r="B10" s="40" t="s">
        <v>76</v>
      </c>
      <c r="C10" s="45">
        <f>SUM('[1]Poultry Byproduct Complex'!B$245:B$253,'[1]Poultry Byproduct Complex'!C$242:C$244)</f>
        <v>0</v>
      </c>
      <c r="D10" s="45">
        <f>SUM('[1]Poultry Byproduct Complex'!C$245:C$253,'[1]Poultry Byproduct Complex'!D$242:D$244)</f>
        <v>0</v>
      </c>
      <c r="E10" s="45">
        <f>SUM('[1]Poultry Byproduct Complex'!D$245:D$253,'[1]Poultry Byproduct Complex'!E$242:E$244)</f>
        <v>0</v>
      </c>
      <c r="F10" s="45">
        <f>SUM('[1]Poultry Byproduct Complex'!E$245:E$253,'[1]Poultry Byproduct Complex'!F$242:F$244)</f>
        <v>0</v>
      </c>
      <c r="G10" s="45">
        <f>SUM('[1]Poultry Byproduct Complex'!F$245:F$253,'[1]Poultry Byproduct Complex'!G$242:G$244)</f>
        <v>0</v>
      </c>
      <c r="H10" s="45">
        <f>SUM('[1]Poultry Byproduct Complex'!G$245:G$253,'[1]Poultry Byproduct Complex'!H$242:H$244)</f>
        <v>0</v>
      </c>
      <c r="I10" s="45">
        <f>SUM('[1]Poultry Byproduct Complex'!H$245:H$253,'[1]Poultry Byproduct Complex'!I$242:I$244)</f>
        <v>0</v>
      </c>
      <c r="J10" s="45">
        <f>SUM('[1]Poultry Byproduct Complex'!I$245:I$253,'[1]Poultry Byproduct Complex'!J$242:J$244)</f>
        <v>0</v>
      </c>
      <c r="K10" s="45">
        <f>SUM('[1]Poultry Byproduct Complex'!J$245:J$253,'[1]Poultry Byproduct Complex'!K$242:K$244)</f>
        <v>0</v>
      </c>
      <c r="L10" s="45">
        <f>SUM('[1]Poultry Byproduct Complex'!K$245:K$253,'[1]Poultry Byproduct Complex'!L$242:L$244)</f>
        <v>0</v>
      </c>
      <c r="M10" s="45">
        <f>SUM('[1]Poultry Byproduct Complex'!L$245:L$253,'[1]Poultry Byproduct Complex'!M$242:M$244)</f>
        <v>0</v>
      </c>
      <c r="N10" s="45">
        <f>SUM('[1]Poultry Byproduct Complex'!M$245:M$253,'[1]Poultry Byproduct Complex'!N$242:N$244)</f>
        <v>0</v>
      </c>
      <c r="O10" s="45">
        <f>SUM('[1]Poultry Byproduct Complex'!N$245:N$253,'[1]Poultry Byproduct Complex'!O$242:O$244)</f>
        <v>10.75</v>
      </c>
      <c r="P10" s="45">
        <f>SUM('[1]Poultry Byproduct Complex'!O$245:O$253,'[1]Poultry Byproduct Complex'!P$242:P$244)</f>
        <v>60</v>
      </c>
      <c r="Q10" s="45">
        <f>SUM('[1]Poultry Byproduct Complex'!P$245:P$253,'[1]Poultry Byproduct Complex'!Q$242:Q$244)</f>
        <v>109.76199999999999</v>
      </c>
      <c r="R10" s="45">
        <f>SUM('[1]Poultry Byproduct Complex'!Q$245:Q$253,'[1]Poultry Byproduct Complex'!R$242:R$244)</f>
        <v>134</v>
      </c>
      <c r="S10" s="45">
        <f>SUM('[1]Poultry Byproduct Complex'!R$245:R$253,'[1]Poultry Byproduct Complex'!S$242:S$244)</f>
        <v>99</v>
      </c>
      <c r="T10" s="45">
        <f>SUM('[1]Poultry Byproduct Complex'!S$245:S$253,'[1]Poultry Byproduct Complex'!T$242:T$244)</f>
        <v>240</v>
      </c>
      <c r="U10" s="45">
        <f>SUM('[1]Poultry Byproduct Complex'!T$245:T$253,'[1]Poultry Byproduct Complex'!U$242:U$244)</f>
        <v>176</v>
      </c>
      <c r="V10" s="45">
        <f>SUM('[1]Poultry Byproduct Complex'!U$245:U$253,'[1]Poultry Byproduct Complex'!V$242:V$244)</f>
        <v>161</v>
      </c>
      <c r="W10" s="45">
        <f>SUM('[1]Poultry Byproduct Complex'!V$245:V$253,'[1]Poultry Byproduct Complex'!W$242:W$244)</f>
        <v>172.61</v>
      </c>
      <c r="X10" s="45">
        <f>SUM('[1]Poultry Byproduct Complex'!W$245:W$253,'[1]Poultry Byproduct Complex'!X$242:X$244)</f>
        <v>190</v>
      </c>
      <c r="Y10" s="45">
        <f>SUM('[1]Poultry Byproduct Complex'!X$245:X$253,'[1]Poultry Byproduct Complex'!Y$242:Y$244)</f>
        <v>219.66999999999996</v>
      </c>
      <c r="Z10" s="45">
        <f>SUM('[1]Poultry Byproduct Complex'!Y$245:Y$253,'[1]Poultry Byproduct Complex'!Z$242:Z$244)</f>
        <v>174.96</v>
      </c>
      <c r="AA10" s="45">
        <f>SUM('[1]Poultry Byproduct Complex'!Z$245:Z$253,'[1]Poultry Byproduct Complex'!AA$242:AA$244)</f>
        <v>129.72309082031251</v>
      </c>
      <c r="AB10" s="45">
        <f>SUM('[1]Poultry Byproduct Complex'!AA$245:AA$253,'[1]Poultry Byproduct Complex'!AB$242:AB$244)</f>
        <v>163.00166666666669</v>
      </c>
      <c r="AC10" s="45">
        <f>SUM('[1]Poultry Byproduct Complex'!AB$245:AB$253,'[1]Poultry Byproduct Complex'!AC$242:AC$244)</f>
        <v>167.94402829629274</v>
      </c>
      <c r="AD10" s="45">
        <f>SUM('[1]Poultry Byproduct Complex'!AC$245:AC$253,'[1]Poultry Byproduct Complex'!AD$242:AD$244)</f>
        <v>303.16090229811107</v>
      </c>
      <c r="AE10" s="45">
        <f>SUM('[1]Poultry Byproduct Complex'!AD$245:AD$253,'[1]Poultry Byproduct Complex'!AE$242:AE$244)</f>
        <v>145.69281408422782</v>
      </c>
      <c r="AF10" s="45">
        <f>SUM('[1]Poultry Byproduct Complex'!AE$245:AE$253,'[1]Poultry Byproduct Complex'!AF$242:AF$244)</f>
        <v>131.87233974083549</v>
      </c>
      <c r="AG10" s="45">
        <f>SUM('[1]Poultry Byproduct Complex'!AF$245:AF$253,'[1]Poultry Byproduct Complex'!AG$242:AG$244)</f>
        <v>225.57563751432505</v>
      </c>
      <c r="AH10" s="45">
        <f>SUM('[1]Poultry Byproduct Complex'!AG$245:AG$253,'[1]Poultry Byproduct Complex'!AH$242:AH$244)</f>
        <v>184.9190863382596</v>
      </c>
      <c r="AI10" s="45">
        <f>SUM('[1]Poultry Byproduct Complex'!AH$245:AH$253,'[1]Poultry Byproduct Complex'!AI$242:AI$244)</f>
        <v>179.86077086818861</v>
      </c>
      <c r="AJ10" s="45">
        <f>SUM('[1]Poultry Byproduct Complex'!AI$245:AI$253,'[1]Poultry Byproduct Complex'!AJ$242:AJ$244)</f>
        <v>162.32369105792537</v>
      </c>
      <c r="AK10" s="45">
        <f>SUM('[1]Poultry Byproduct Complex'!AJ$245:AJ$253,'[1]Poultry Byproduct Complex'!AK$242:AK$244)</f>
        <v>133.61740643056027</v>
      </c>
      <c r="AL10" s="45">
        <f>SUM('[1]Poultry Byproduct Complex'!AK$245:AK$253,'[1]Poultry Byproduct Complex'!AL$242:AL$244)</f>
        <v>159.91815834918523</v>
      </c>
      <c r="AM10" s="45">
        <f>SUM('[1]Poultry Byproduct Complex'!AL$245:AL$253,'[1]Poultry Byproduct Complex'!AM$242:AM$244)</f>
        <v>155.58576665850202</v>
      </c>
      <c r="AN10" s="45">
        <f>SUM('[1]Poultry Byproduct Complex'!AM$245:AM$253,'[1]Poultry Byproduct Complex'!AN$242:AN$244)</f>
        <v>153.44900138315262</v>
      </c>
      <c r="AO10" s="45">
        <f>SUM('[1]Poultry Byproduct Complex'!AN$245:AN$253,'[1]Poultry Byproduct Complex'!AO$242:AO$244)</f>
        <v>159.59668559141988</v>
      </c>
      <c r="AP10" s="45">
        <f>SUM('[1]Poultry Byproduct Complex'!AO$245:AO$253,'[1]Poultry Byproduct Complex'!AP$242:AP$244)</f>
        <v>151.53837950644905</v>
      </c>
      <c r="AQ10" s="45">
        <f>SUM('[1]Poultry Byproduct Complex'!AP$245:AP$253,'[1]Poultry Byproduct Complex'!AQ$242:AQ$244)</f>
        <v>147.48537988126682</v>
      </c>
      <c r="AR10" s="45">
        <f>SUM('[1]Poultry Byproduct Complex'!AQ$245:AQ$253,'[1]Poultry Byproduct Complex'!AR$242:AR$244)</f>
        <v>142.62696607627458</v>
      </c>
      <c r="AS10" s="45">
        <f>SUM('[1]Poultry Byproduct Complex'!AR$245:AR$253,'[1]Poultry Byproduct Complex'!AS$242:AS$244)</f>
        <v>118.74942295009271</v>
      </c>
      <c r="AT10" s="45">
        <f>SUM('[1]Poultry Byproduct Complex'!AS$245:AS$253,'[1]Poultry Byproduct Complex'!AT$242:AT$244)</f>
        <v>95.983813638063808</v>
      </c>
      <c r="AU10" s="45">
        <f>SUM('[1]Poultry Byproduct Complex'!AT$245:AT$253,'[1]Poultry Byproduct Complex'!AU$242:AU$244)</f>
        <v>94.223317289076874</v>
      </c>
      <c r="AV10" s="45">
        <f>SUM('[1]Poultry Byproduct Complex'!AU$245:AU$253,'[1]Poultry Byproduct Complex'!AV$242:AV$244)</f>
        <v>92.451058209423962</v>
      </c>
      <c r="AW10" s="45">
        <f>SUM('[1]Poultry Byproduct Complex'!AV$245:AV$253,'[1]Poultry Byproduct Complex'!AW$242:AW$244)</f>
        <v>92.451058209423962</v>
      </c>
      <c r="AX10" s="45">
        <f>SUM('[1]Poultry Byproduct Complex'!AW$245:AW$253,'[1]Poultry Byproduct Complex'!AX$242:AX$244)</f>
        <v>92.451058209423962</v>
      </c>
      <c r="AY10" s="45">
        <f>SUM('[1]Poultry Byproduct Complex'!AX$245:AX$253,'[1]Poultry Byproduct Complex'!AY$242:AY$244)</f>
        <v>92.451058209423962</v>
      </c>
      <c r="AZ10" s="45">
        <f>SUM('[1]Poultry Byproduct Complex'!AY$245:AY$253,'[1]Poultry Byproduct Complex'!AZ$242:AZ$244)</f>
        <v>92.451058209423962</v>
      </c>
      <c r="BA10" s="45">
        <f>SUM('[1]Poultry Byproduct Complex'!AZ$245:AZ$253,'[1]Poultry Byproduct Complex'!BA$242:BA$244)</f>
        <v>92.451058209423962</v>
      </c>
      <c r="BB10" s="45">
        <f>SUM('[1]Poultry Byproduct Complex'!BA$245:BA$253,'[1]Poultry Byproduct Complex'!BB$242:BB$244)</f>
        <v>92.451058209423962</v>
      </c>
      <c r="BC10" s="45">
        <f>SUM('[1]Poultry Byproduct Complex'!BB$245:BB$253,'[1]Poultry Byproduct Complex'!BC$242:BC$244)</f>
        <v>92.451058209423962</v>
      </c>
      <c r="BD10" s="45">
        <f>SUM('[1]Poultry Byproduct Complex'!BC$245:BC$253,'[1]Poultry Byproduct Complex'!BD$242:BD$244)</f>
        <v>92.451058209423962</v>
      </c>
      <c r="BE10" s="45">
        <f>SUM('[1]Poultry Byproduct Complex'!BD$245:BD$253,'[1]Poultry Byproduct Complex'!BE$242:BE$244)</f>
        <v>92.451058209423962</v>
      </c>
      <c r="BF10" s="45">
        <f>SUM('[1]Poultry Byproduct Complex'!BE$245:BE$253,'[1]Poultry Byproduct Complex'!BF$242:BF$244)</f>
        <v>92.451058209423962</v>
      </c>
      <c r="BG10" s="45">
        <f>SUM('[1]Poultry Byproduct Complex'!BF$245:BF$253,'[1]Poultry Byproduct Complex'!BG$242:BG$244)</f>
        <v>92.451058209423962</v>
      </c>
    </row>
    <row r="11" spans="1:59" x14ac:dyDescent="0.2">
      <c r="A11" s="40"/>
      <c r="B11" s="40" t="s">
        <v>155</v>
      </c>
      <c r="C11" s="45">
        <f>SUM('[1]Poultry Byproduct Complex'!B$261:B$269,'[1]Poultry Byproduct Complex'!C$258:C$260)</f>
        <v>0</v>
      </c>
      <c r="D11" s="45">
        <f>SUM('[1]Poultry Byproduct Complex'!C$261:C$269,'[1]Poultry Byproduct Complex'!D$258:D$260)</f>
        <v>0</v>
      </c>
      <c r="E11" s="45">
        <f>SUM('[1]Poultry Byproduct Complex'!D$261:D$269,'[1]Poultry Byproduct Complex'!E$258:E$260)</f>
        <v>0</v>
      </c>
      <c r="F11" s="45">
        <f>SUM('[1]Poultry Byproduct Complex'!E$261:E$269,'[1]Poultry Byproduct Complex'!F$258:F$260)</f>
        <v>0</v>
      </c>
      <c r="G11" s="45">
        <f>SUM('[1]Poultry Byproduct Complex'!F$261:F$269,'[1]Poultry Byproduct Complex'!G$258:G$260)</f>
        <v>0</v>
      </c>
      <c r="H11" s="45">
        <f>SUM('[1]Poultry Byproduct Complex'!G$261:G$269,'[1]Poultry Byproduct Complex'!H$258:H$260)</f>
        <v>0</v>
      </c>
      <c r="I11" s="45">
        <f>SUM('[1]Poultry Byproduct Complex'!H$261:H$269,'[1]Poultry Byproduct Complex'!I$258:I$260)</f>
        <v>0</v>
      </c>
      <c r="J11" s="45">
        <f>SUM('[1]Poultry Byproduct Complex'!I$261:I$269,'[1]Poultry Byproduct Complex'!J$258:J$260)</f>
        <v>0</v>
      </c>
      <c r="K11" s="45" t="e">
        <f>SUM('[1]Poultry Byproduct Complex'!J$261:J$269,'[1]Poultry Byproduct Complex'!K$258:K$260)+SUM('[1]Poultry Byproduct Complex'!J$356:J$364,'[1]Poultry Byproduct Complex'!K$353:K$355)</f>
        <v>#REF!</v>
      </c>
      <c r="L11" s="45" t="e">
        <f>SUM('[1]Poultry Byproduct Complex'!K$261:K$269,'[1]Poultry Byproduct Complex'!L$258:L$260)+SUM('[1]Poultry Byproduct Complex'!K$356:K$364,'[1]Poultry Byproduct Complex'!L$353:L$355)</f>
        <v>#REF!</v>
      </c>
      <c r="M11" s="45" t="e">
        <f>SUM('[1]Poultry Byproduct Complex'!L$261:L$269,'[1]Poultry Byproduct Complex'!M$258:M$260)+SUM('[1]Poultry Byproduct Complex'!L$356:L$364,'[1]Poultry Byproduct Complex'!M$353:M$355)</f>
        <v>#REF!</v>
      </c>
      <c r="N11" s="45" t="e">
        <f>SUM('[1]Poultry Byproduct Complex'!M$261:M$269,'[1]Poultry Byproduct Complex'!N$258:N$260)+SUM('[1]Poultry Byproduct Complex'!M$356:M$364,'[1]Poultry Byproduct Complex'!N$353:N$355)</f>
        <v>#REF!</v>
      </c>
      <c r="O11" s="45" t="e">
        <f>SUM('[1]Poultry Byproduct Complex'!N$261:N$269,'[1]Poultry Byproduct Complex'!O$258:O$260)+SUM('[1]Poultry Byproduct Complex'!N$356:N$364,'[1]Poultry Byproduct Complex'!O$353:O$355)</f>
        <v>#REF!</v>
      </c>
      <c r="P11" s="45" t="e">
        <f>SUM('[1]Poultry Byproduct Complex'!O$261:O$269,'[1]Poultry Byproduct Complex'!P$258:P$260)+SUM('[1]Poultry Byproduct Complex'!O$356:O$364,'[1]Poultry Byproduct Complex'!P$353:P$355)</f>
        <v>#REF!</v>
      </c>
      <c r="Q11" s="45" t="e">
        <f>SUM('[1]Poultry Byproduct Complex'!P$261:P$269,'[1]Poultry Byproduct Complex'!Q$258:Q$260)+SUM('[1]Poultry Byproduct Complex'!P$356:P$364,'[1]Poultry Byproduct Complex'!Q$353:Q$355)</f>
        <v>#REF!</v>
      </c>
      <c r="R11" s="45" t="e">
        <f>SUM('[1]Poultry Byproduct Complex'!Q$261:Q$269,'[1]Poultry Byproduct Complex'!R$258:R$260)+SUM('[1]Poultry Byproduct Complex'!Q$356:Q$364,'[1]Poultry Byproduct Complex'!R$353:R$355)</f>
        <v>#REF!</v>
      </c>
      <c r="S11" s="45" t="e">
        <f>SUM('[1]Poultry Byproduct Complex'!R$261:R$269,'[1]Poultry Byproduct Complex'!S$258:S$260)+SUM('[1]Poultry Byproduct Complex'!R$356:R$364,'[1]Poultry Byproduct Complex'!S$353:S$355)</f>
        <v>#REF!</v>
      </c>
      <c r="T11" s="45" t="e">
        <f>SUM('[1]Poultry Byproduct Complex'!S$261:S$269,'[1]Poultry Byproduct Complex'!T$258:T$260)+SUM('[1]Poultry Byproduct Complex'!S$356:S$364,'[1]Poultry Byproduct Complex'!T$353:T$355)</f>
        <v>#REF!</v>
      </c>
      <c r="U11" s="45" t="e">
        <f>SUM('[1]Poultry Byproduct Complex'!T$261:T$269,'[1]Poultry Byproduct Complex'!U$258:U$260)+SUM('[1]Poultry Byproduct Complex'!T$356:T$364,'[1]Poultry Byproduct Complex'!U$353:U$355)</f>
        <v>#REF!</v>
      </c>
      <c r="V11" s="45" t="e">
        <f>SUM('[1]Poultry Byproduct Complex'!U$261:U$269,'[1]Poultry Byproduct Complex'!V$258:V$260)+SUM('[1]Poultry Byproduct Complex'!U$356:U$364,'[1]Poultry Byproduct Complex'!V$353:V$355)</f>
        <v>#REF!</v>
      </c>
      <c r="W11" s="45" t="e">
        <f>SUM('[1]Poultry Byproduct Complex'!V$261:V$269,'[1]Poultry Byproduct Complex'!W$258:W$260)+SUM('[1]Poultry Byproduct Complex'!V$356:V$364,'[1]Poultry Byproduct Complex'!W$353:W$355)</f>
        <v>#REF!</v>
      </c>
      <c r="X11" s="45" t="e">
        <f>SUM('[1]Poultry Byproduct Complex'!W$261:W$269,'[1]Poultry Byproduct Complex'!X$258:X$260)+SUM('[1]Poultry Byproduct Complex'!W$356:W$364,'[1]Poultry Byproduct Complex'!X$353:X$355)</f>
        <v>#REF!</v>
      </c>
      <c r="Y11" s="45" t="e">
        <f>SUM('[1]Poultry Byproduct Complex'!X$261:X$269,'[1]Poultry Byproduct Complex'!Y$258:Y$260)+SUM('[1]Poultry Byproduct Complex'!X$356:X$364,'[1]Poultry Byproduct Complex'!Y$353:Y$355)</f>
        <v>#REF!</v>
      </c>
      <c r="Z11" s="45" t="e">
        <f>SUM('[1]Poultry Byproduct Complex'!Y$261:Y$269,'[1]Poultry Byproduct Complex'!Z$258:Z$260)+SUM('[1]Poultry Byproduct Complex'!Y$356:Y$364,'[1]Poultry Byproduct Complex'!Z$353:Z$355)</f>
        <v>#REF!</v>
      </c>
      <c r="AA11" s="45" t="e">
        <f>SUM('[1]Poultry Byproduct Complex'!Z$261:Z$269,'[1]Poultry Byproduct Complex'!AA$258:AA$260)+SUM('[1]Poultry Byproduct Complex'!Z$356:Z$364,'[1]Poultry Byproduct Complex'!AA$353:AA$355)</f>
        <v>#REF!</v>
      </c>
      <c r="AB11" s="45">
        <f>SUM('[1]Poultry Byproduct Complex'!AA$261:AA$269,'[1]Poultry Byproduct Complex'!AB$258:AB$260,'[1]Poultry Byproduct Complex'!AA$277:AA$285,'[1]Poultry Byproduct Complex'!AB$274:AB$276,'[1]Poultry Byproduct Complex'!AA$293:AA$301,'[1]Poultry Byproduct Complex'!AB$290:AB$292)</f>
        <v>0</v>
      </c>
      <c r="AC11" s="45">
        <f>SUM('[1]Poultry Byproduct Complex'!AB$261:AB$269,'[1]Poultry Byproduct Complex'!AC$258:AC$260,'[1]Poultry Byproduct Complex'!AB$277:AB$285,'[1]Poultry Byproduct Complex'!AC$274:AC$276,'[1]Poultry Byproduct Complex'!AB$293:AB$301,'[1]Poultry Byproduct Complex'!AC$290:AC$292)</f>
        <v>0</v>
      </c>
      <c r="AD11" s="45">
        <f>SUM('[1]Poultry Byproduct Complex'!AC$261:AC$269,'[1]Poultry Byproduct Complex'!AD$258:AD$260,'[1]Poultry Byproduct Complex'!AC$277:AC$285,'[1]Poultry Byproduct Complex'!AD$274:AD$276,'[1]Poultry Byproduct Complex'!AC$293:AC$301,'[1]Poultry Byproduct Complex'!AD$290:AD$292)</f>
        <v>4.1840977018889429</v>
      </c>
      <c r="AE11" s="45">
        <f>SUM('[1]Poultry Byproduct Complex'!AD$261:AD$269,'[1]Poultry Byproduct Complex'!AE$258:AE$260,'[1]Poultry Byproduct Complex'!AD$277:AD$285,'[1]Poultry Byproduct Complex'!AE$274:AE$276,'[1]Poultry Byproduct Complex'!AD$293:AD$301,'[1]Poultry Byproduct Complex'!AE$290:AE$292)</f>
        <v>15.879185915772192</v>
      </c>
      <c r="AF11" s="45">
        <f>SUM('[1]Poultry Byproduct Complex'!AE$261:AE$269,'[1]Poultry Byproduct Complex'!AF$258:AF$260,'[1]Poultry Byproduct Complex'!AE$277:AE$285,'[1]Poultry Byproduct Complex'!AF$274:AF$276,'[1]Poultry Byproduct Complex'!AE$293:AE$301,'[1]Poultry Byproduct Complex'!AF$290:AF$292)</f>
        <v>26.905660259164513</v>
      </c>
      <c r="AG11" s="45">
        <f>SUM('[1]Poultry Byproduct Complex'!AF$261:AF$269,'[1]Poultry Byproduct Complex'!AG$258:AG$260,'[1]Poultry Byproduct Complex'!AF$277:AF$285,'[1]Poultry Byproduct Complex'!AG$274:AG$276,'[1]Poultry Byproduct Complex'!AF$293:AF$301,'[1]Poultry Byproduct Complex'!AG$290:AG$292)</f>
        <v>26.827833394659514</v>
      </c>
      <c r="AH11" s="45">
        <f>SUM('[1]Poultry Byproduct Complex'!AG$261:AG$269,'[1]Poultry Byproduct Complex'!AH$258:AH$260,'[1]Poultry Byproduct Complex'!AG$277:AG$285,'[1]Poultry Byproduct Complex'!AH$274:AH$276,'[1]Poultry Byproduct Complex'!AG$293:AG$301,'[1]Poultry Byproduct Complex'!AH$290:AH$292)</f>
        <v>23.046689067473825</v>
      </c>
      <c r="AI11" s="45">
        <f>SUM('[1]Poultry Byproduct Complex'!AH$261:AH$269,'[1]Poultry Byproduct Complex'!AI$258:AI$260,'[1]Poultry Byproduct Complex'!AH$277:AH$285,'[1]Poultry Byproduct Complex'!AI$274:AI$276,'[1]Poultry Byproduct Complex'!AH$293:AH$301,'[1]Poultry Byproduct Complex'!AI$290:AI$292)</f>
        <v>29.174753609443759</v>
      </c>
      <c r="AJ11" s="45">
        <f>SUM('[1]Poultry Byproduct Complex'!AI$261:AI$269,'[1]Poultry Byproduct Complex'!AJ$258:AJ$260,'[1]Poultry Byproduct Complex'!AI$277:AI$285,'[1]Poultry Byproduct Complex'!AJ$274:AJ$276,'[1]Poultry Byproduct Complex'!AI$293:AI$301,'[1]Poultry Byproduct Complex'!AJ$290:AJ$292)</f>
        <v>37.605865313557565</v>
      </c>
      <c r="AK11" s="45">
        <f>SUM('[1]Poultry Byproduct Complex'!AJ$261:AJ$269,'[1]Poultry Byproduct Complex'!AK$258:AK$260,'[1]Poultry Byproduct Complex'!AJ$277:AJ$285,'[1]Poultry Byproduct Complex'!AK$274:AK$276,'[1]Poultry Byproduct Complex'!AJ$293:AJ$301,'[1]Poultry Byproduct Complex'!AK$290:AK$292)</f>
        <v>39.70422382440146</v>
      </c>
      <c r="AL11" s="45">
        <f>SUM('[1]Poultry Byproduct Complex'!AK$261:AK$269,'[1]Poultry Byproduct Complex'!AL$258:AL$260,'[1]Poultry Byproduct Complex'!AK$277:AK$285,'[1]Poultry Byproduct Complex'!AL$274:AL$276,'[1]Poultry Byproduct Complex'!AK$293:AK$301,'[1]Poultry Byproduct Complex'!AL$290:AL$292)</f>
        <v>44.453791251247473</v>
      </c>
      <c r="AM11" s="45">
        <f>SUM('[1]Poultry Byproduct Complex'!AL$261:AL$269,'[1]Poultry Byproduct Complex'!AM$258:AM$260,'[1]Poultry Byproduct Complex'!AL$277:AL$285,'[1]Poultry Byproduct Complex'!AM$274:AM$276,'[1]Poultry Byproduct Complex'!AL$293:AL$301,'[1]Poultry Byproduct Complex'!AM$290:AM$292)</f>
        <v>51.854489545098524</v>
      </c>
      <c r="AN11" s="45">
        <f>SUM('[1]Poultry Byproduct Complex'!AM$261:AM$269,'[1]Poultry Byproduct Complex'!AN$258:AN$260,'[1]Poultry Byproduct Complex'!AM$277:AM$285,'[1]Poultry Byproduct Complex'!AN$274:AN$276,'[1]Poultry Byproduct Complex'!AM$293:AM$301,'[1]Poultry Byproduct Complex'!AN$290:AN$292)</f>
        <v>59.015573923487821</v>
      </c>
      <c r="AO11" s="45">
        <f>SUM('[1]Poultry Byproduct Complex'!AN$261:AN$269,'[1]Poultry Byproduct Complex'!AO$258:AO$260,'[1]Poultry Byproduct Complex'!AN$277:AN$285,'[1]Poultry Byproduct Complex'!AO$274:AO$276,'[1]Poultry Byproduct Complex'!AN$293:AN$301,'[1]Poultry Byproduct Complex'!AO$290:AO$292)</f>
        <v>75.668884528556674</v>
      </c>
      <c r="AP11" s="45">
        <f>SUM('[1]Poultry Byproduct Complex'!AO$261:AO$269,'[1]Poultry Byproduct Complex'!AP$258:AP$260,'[1]Poultry Byproduct Complex'!AO$277:AO$285,'[1]Poultry Byproduct Complex'!AP$274:AP$276,'[1]Poultry Byproduct Complex'!AO$293:AO$301,'[1]Poultry Byproduct Complex'!AP$290:AP$292)</f>
        <v>77.839981249836342</v>
      </c>
      <c r="AQ11" s="45">
        <f>SUM('[1]Poultry Byproduct Complex'!AP$261:AP$269,'[1]Poultry Byproduct Complex'!AQ$258:AQ$260,'[1]Poultry Byproduct Complex'!AP$277:AP$285,'[1]Poultry Byproduct Complex'!AQ$274:AQ$276,'[1]Poultry Byproduct Complex'!AP$293:AP$301,'[1]Poultry Byproduct Complex'!AQ$290:AQ$292)</f>
        <v>80.176348542422559</v>
      </c>
      <c r="AR11" s="45">
        <f>SUM('[1]Poultry Byproduct Complex'!AQ$261:AQ$269,'[1]Poultry Byproduct Complex'!AR$258:AR$260,'[1]Poultry Byproduct Complex'!AQ$277:AQ$285,'[1]Poultry Byproduct Complex'!AR$274:AR$276,'[1]Poultry Byproduct Complex'!AQ$293:AQ$301,'[1]Poultry Byproduct Complex'!AR$290:AR$292)</f>
        <v>83.899107285377241</v>
      </c>
      <c r="AS11" s="45">
        <f>SUM('[1]Poultry Byproduct Complex'!AR$261:AR$269,'[1]Poultry Byproduct Complex'!AS$258:AS$260,'[1]Poultry Byproduct Complex'!AR$277:AR$285,'[1]Poultry Byproduct Complex'!AS$274:AS$276,'[1]Poultry Byproduct Complex'!AR$293:AR$301,'[1]Poultry Byproduct Complex'!AS$290:AS$292)</f>
        <v>76.57521414889375</v>
      </c>
      <c r="AT11" s="45">
        <f>SUM('[1]Poultry Byproduct Complex'!AS$261:AS$269,'[1]Poultry Byproduct Complex'!AT$258:AT$260,'[1]Poultry Byproduct Complex'!AS$277:AS$285,'[1]Poultry Byproduct Complex'!AT$274:AT$276,'[1]Poultry Byproduct Complex'!AS$293:AS$301,'[1]Poultry Byproduct Complex'!AT$290:AT$292)</f>
        <v>85.568990687123716</v>
      </c>
      <c r="AU11" s="45">
        <f>SUM('[1]Poultry Byproduct Complex'!AT$261:AT$269,'[1]Poultry Byproduct Complex'!AU$258:AU$260,'[1]Poultry Byproduct Complex'!AT$277:AT$285,'[1]Poultry Byproduct Complex'!AU$274:AU$276,'[1]Poultry Byproduct Complex'!AT$293:AT$301,'[1]Poultry Byproduct Complex'!AU$290:AU$292)</f>
        <v>95.823192014200586</v>
      </c>
      <c r="AV11" s="45">
        <f>SUM('[1]Poultry Byproduct Complex'!AU$261:AU$269,'[1]Poultry Byproduct Complex'!AV$258:AV$260,'[1]Poultry Byproduct Complex'!AU$277:AU$285,'[1]Poultry Byproduct Complex'!AV$274:AV$276,'[1]Poultry Byproduct Complex'!AU$293:AU$301,'[1]Poultry Byproduct Complex'!AV$290:AV$292)</f>
        <v>95.832193676467725</v>
      </c>
      <c r="AW11" s="45">
        <f>SUM('[1]Poultry Byproduct Complex'!AV$261:AV$269,'[1]Poultry Byproduct Complex'!AW$258:AW$260,'[1]Poultry Byproduct Complex'!AV$277:AV$285,'[1]Poultry Byproduct Complex'!AW$274:AW$276,'[1]Poultry Byproduct Complex'!AV$293:AV$301,'[1]Poultry Byproduct Complex'!AW$290:AW$292)</f>
        <v>89.195471759140958</v>
      </c>
      <c r="AX11" s="45">
        <f>SUM('[1]Poultry Byproduct Complex'!AW$261:AW$269,'[1]Poultry Byproduct Complex'!AX$258:AX$260,'[1]Poultry Byproduct Complex'!AW$277:AW$285,'[1]Poultry Byproduct Complex'!AX$274:AX$276,'[1]Poultry Byproduct Complex'!AW$293:AW$301,'[1]Poultry Byproduct Complex'!AX$290:AX$292)</f>
        <v>93.210421704987098</v>
      </c>
      <c r="AY11" s="45">
        <f>SUM('[1]Poultry Byproduct Complex'!AX$261:AX$269,'[1]Poultry Byproduct Complex'!AY$258:AY$260,'[1]Poultry Byproduct Complex'!AX$277:AX$285,'[1]Poultry Byproduct Complex'!AY$274:AY$276,'[1]Poultry Byproduct Complex'!AX$293:AX$301,'[1]Poultry Byproduct Complex'!AY$290:AY$292)</f>
        <v>96.022791524930909</v>
      </c>
      <c r="AZ11" s="45">
        <f>SUM('[1]Poultry Byproduct Complex'!AY$261:AY$269,'[1]Poultry Byproduct Complex'!AZ$258:AZ$260,'[1]Poultry Byproduct Complex'!AY$277:AY$285,'[1]Poultry Byproduct Complex'!AZ$274:AZ$276,'[1]Poultry Byproduct Complex'!AY$293:AY$301,'[1]Poultry Byproduct Complex'!AZ$290:AZ$292)</f>
        <v>100.53929966017822</v>
      </c>
      <c r="BA11" s="45">
        <f>SUM('[1]Poultry Byproduct Complex'!AZ$261:AZ$269,'[1]Poultry Byproduct Complex'!BA$258:BA$260,'[1]Poultry Byproduct Complex'!AZ$277:AZ$285,'[1]Poultry Byproduct Complex'!BA$274:BA$276,'[1]Poultry Byproduct Complex'!AZ$293:AZ$301,'[1]Poultry Byproduct Complex'!BA$290:BA$292)</f>
        <v>101.66997278215919</v>
      </c>
      <c r="BB11" s="45">
        <f>SUM('[1]Poultry Byproduct Complex'!BA$261:BA$269,'[1]Poultry Byproduct Complex'!BB$258:BB$260,'[1]Poultry Byproduct Complex'!BA$277:BA$285,'[1]Poultry Byproduct Complex'!BB$274:BB$276,'[1]Poultry Byproduct Complex'!BA$293:BA$301,'[1]Poultry Byproduct Complex'!BB$290:BB$292)</f>
        <v>101.34232168128086</v>
      </c>
      <c r="BC11" s="45">
        <f>SUM('[1]Poultry Byproduct Complex'!BB$261:BB$269,'[1]Poultry Byproduct Complex'!BC$258:BC$260,'[1]Poultry Byproduct Complex'!BB$277:BB$285,'[1]Poultry Byproduct Complex'!BC$274:BC$276,'[1]Poultry Byproduct Complex'!BB$293:BB$301,'[1]Poultry Byproduct Complex'!BC$290:BC$292)</f>
        <v>98.638329597269049</v>
      </c>
      <c r="BD11" s="45">
        <f>SUM('[1]Poultry Byproduct Complex'!BC$261:BC$269,'[1]Poultry Byproduct Complex'!BD$258:BD$260,'[1]Poultry Byproduct Complex'!BC$277:BC$285,'[1]Poultry Byproduct Complex'!BD$274:BD$276,'[1]Poultry Byproduct Complex'!BC$293:BC$301,'[1]Poultry Byproduct Complex'!BD$290:BD$292)</f>
        <v>100.88602097988941</v>
      </c>
      <c r="BE11" s="45">
        <f>SUM('[1]Poultry Byproduct Complex'!BD$261:BD$269,'[1]Poultry Byproduct Complex'!BE$258:BE$260,'[1]Poultry Byproduct Complex'!BD$277:BD$285,'[1]Poultry Byproduct Complex'!BE$274:BE$276,'[1]Poultry Byproduct Complex'!BD$293:BD$301,'[1]Poultry Byproduct Complex'!BE$290:BE$292)</f>
        <v>102.93288011828933</v>
      </c>
      <c r="BF11" s="45">
        <f>SUM('[1]Poultry Byproduct Complex'!BE$261:BE$269,'[1]Poultry Byproduct Complex'!BF$258:BF$260,'[1]Poultry Byproduct Complex'!BE$277:BE$285,'[1]Poultry Byproduct Complex'!BF$274:BF$276,'[1]Poultry Byproduct Complex'!BE$293:BE$301,'[1]Poultry Byproduct Complex'!BF$290:BF$292)</f>
        <v>105.06909546945913</v>
      </c>
      <c r="BG11" s="45">
        <f>SUM('[1]Poultry Byproduct Complex'!BF$261:BF$269,'[1]Poultry Byproduct Complex'!BG$258:BG$260,'[1]Poultry Byproduct Complex'!BF$277:BF$285,'[1]Poultry Byproduct Complex'!BG$274:BG$276,'[1]Poultry Byproduct Complex'!BF$293:BF$301,'[1]Poultry Byproduct Complex'!BG$290:BG$292)</f>
        <v>107.71483915468886</v>
      </c>
    </row>
    <row r="12" spans="1:59" x14ac:dyDescent="0.2">
      <c r="A12" s="40"/>
      <c r="B12" s="40" t="s">
        <v>78</v>
      </c>
      <c r="C12" s="45">
        <f>SUM('[1]Poultry Byproduct Complex'!B$293:B$301,'[1]Poultry Byproduct Complex'!C$290:C$292)</f>
        <v>0</v>
      </c>
      <c r="D12" s="45">
        <f>SUM('[1]Poultry Byproduct Complex'!C$293:C$301,'[1]Poultry Byproduct Complex'!D$290:D$292)</f>
        <v>0</v>
      </c>
      <c r="E12" s="45">
        <f>SUM('[1]Poultry Byproduct Complex'!D$293:D$301,'[1]Poultry Byproduct Complex'!E$290:E$292)</f>
        <v>0</v>
      </c>
      <c r="F12" s="45">
        <f>SUM('[1]Poultry Byproduct Complex'!E$293:E$301,'[1]Poultry Byproduct Complex'!F$290:F$292)</f>
        <v>0</v>
      </c>
      <c r="G12" s="45">
        <f>SUM('[1]Poultry Byproduct Complex'!F$293:F$301,'[1]Poultry Byproduct Complex'!G$290:G$292)</f>
        <v>0</v>
      </c>
      <c r="H12" s="45">
        <f>SUM('[1]Poultry Byproduct Complex'!G$293:G$301,'[1]Poultry Byproduct Complex'!H$290:H$292)</f>
        <v>0</v>
      </c>
      <c r="I12" s="45">
        <f>SUM('[1]Poultry Byproduct Complex'!H$293:H$301,'[1]Poultry Byproduct Complex'!I$290:I$292)</f>
        <v>0</v>
      </c>
      <c r="J12" s="45">
        <f>SUM('[1]Poultry Byproduct Complex'!I$293:I$301,'[1]Poultry Byproduct Complex'!J$290:J$292)</f>
        <v>0</v>
      </c>
      <c r="K12" s="45">
        <f>SUM('[1]Poultry Byproduct Complex'!J$293:J$301,'[1]Poultry Byproduct Complex'!K$290:K$292)</f>
        <v>0</v>
      </c>
      <c r="L12" s="45">
        <f>SUM('[1]Poultry Byproduct Complex'!K$293:K$301,'[1]Poultry Byproduct Complex'!L$290:L$292)</f>
        <v>0</v>
      </c>
      <c r="M12" s="45">
        <f>SUM('[1]Poultry Byproduct Complex'!L$293:L$301,'[1]Poultry Byproduct Complex'!M$290:M$292)</f>
        <v>0</v>
      </c>
      <c r="N12" s="45">
        <f>SUM('[1]Poultry Byproduct Complex'!M$293:M$301,'[1]Poultry Byproduct Complex'!N$290:N$292)</f>
        <v>0</v>
      </c>
      <c r="O12" s="45">
        <f>SUM('[1]Poultry Byproduct Complex'!N$293:N$301,'[1]Poultry Byproduct Complex'!O$290:O$292)</f>
        <v>0</v>
      </c>
      <c r="P12" s="45">
        <f>SUM('[1]Poultry Byproduct Complex'!O$293:O$301,'[1]Poultry Byproduct Complex'!P$290:P$292)</f>
        <v>0</v>
      </c>
      <c r="Q12" s="45">
        <f>SUM('[1]Poultry Byproduct Complex'!P$293:P$301,'[1]Poultry Byproduct Complex'!Q$290:Q$292)</f>
        <v>0</v>
      </c>
      <c r="R12" s="45">
        <f>SUM('[1]Poultry Byproduct Complex'!Q$293:Q$301,'[1]Poultry Byproduct Complex'!R$290:R$292)</f>
        <v>0</v>
      </c>
      <c r="S12" s="45">
        <f>SUM('[1]Poultry Byproduct Complex'!R$293:R$301,'[1]Poultry Byproduct Complex'!S$290:S$292)</f>
        <v>0</v>
      </c>
      <c r="T12" s="45">
        <f>SUM('[1]Poultry Byproduct Complex'!S$293:S$301,'[1]Poultry Byproduct Complex'!T$290:T$292)</f>
        <v>0</v>
      </c>
      <c r="U12" s="45">
        <f>SUM('[1]Poultry Byproduct Complex'!T$293:T$301,'[1]Poultry Byproduct Complex'!U$290:U$292)</f>
        <v>0</v>
      </c>
      <c r="V12" s="45">
        <f>SUM('[1]Poultry Byproduct Complex'!U$293:U$301,'[1]Poultry Byproduct Complex'!V$290:V$292)</f>
        <v>0</v>
      </c>
      <c r="W12" s="45">
        <f>SUM('[1]Poultry Byproduct Complex'!V$293:V$301,'[1]Poultry Byproduct Complex'!W$290:W$292)</f>
        <v>0</v>
      </c>
      <c r="X12" s="45">
        <f>SUM('[1]Poultry Byproduct Complex'!W$293:W$301,'[1]Poultry Byproduct Complex'!X$290:X$292)</f>
        <v>0</v>
      </c>
      <c r="Y12" s="45">
        <f>SUM('[1]Poultry Byproduct Complex'!X$293:X$301,'[1]Poultry Byproduct Complex'!Y$290:Y$292)</f>
        <v>0</v>
      </c>
      <c r="Z12" s="45">
        <f>SUM('[1]Poultry Byproduct Complex'!Y$293:Y$301,'[1]Poultry Byproduct Complex'!Z$290:Z$292)</f>
        <v>0</v>
      </c>
      <c r="AA12" s="45">
        <f>SUM('[1]Poultry Byproduct Complex'!Z$293:Z$301,'[1]Poultry Byproduct Complex'!AA$290:AA$292)</f>
        <v>0</v>
      </c>
      <c r="AB12" s="45">
        <f>AB8-AB9</f>
        <v>2308.3751831475142</v>
      </c>
      <c r="AC12" s="45">
        <f t="shared" ref="AC12:BG12" si="4">AC8-AC9</f>
        <v>2321.6162343484862</v>
      </c>
      <c r="AD12" s="45">
        <f t="shared" si="4"/>
        <v>1771.1005146557407</v>
      </c>
      <c r="AE12" s="45">
        <f t="shared" si="4"/>
        <v>1828.9738399999997</v>
      </c>
      <c r="AF12" s="45">
        <f t="shared" si="4"/>
        <v>2097.2662691415203</v>
      </c>
      <c r="AG12" s="45">
        <f t="shared" si="4"/>
        <v>1930.034833864715</v>
      </c>
      <c r="AH12" s="45">
        <f t="shared" si="4"/>
        <v>2006.8763452870844</v>
      </c>
      <c r="AI12" s="45">
        <f t="shared" si="4"/>
        <v>2042.9805241603221</v>
      </c>
      <c r="AJ12" s="45">
        <f t="shared" si="4"/>
        <v>2139.1608422119489</v>
      </c>
      <c r="AK12" s="45">
        <f t="shared" si="4"/>
        <v>2219.4028007299885</v>
      </c>
      <c r="AL12" s="45">
        <f t="shared" si="4"/>
        <v>2211.9395406441063</v>
      </c>
      <c r="AM12" s="45">
        <f t="shared" si="4"/>
        <v>2243.4171844676989</v>
      </c>
      <c r="AN12" s="45">
        <f t="shared" si="4"/>
        <v>2310.7100931268387</v>
      </c>
      <c r="AO12" s="45">
        <f t="shared" si="4"/>
        <v>2356.6969629858772</v>
      </c>
      <c r="AP12" s="45">
        <f t="shared" si="4"/>
        <v>2397.7546401283385</v>
      </c>
      <c r="AQ12" s="45">
        <f t="shared" si="4"/>
        <v>2474.0083928244303</v>
      </c>
      <c r="AR12" s="45">
        <f t="shared" si="4"/>
        <v>2494.3389775699734</v>
      </c>
      <c r="AS12" s="45">
        <f t="shared" si="4"/>
        <v>2561.7056215296443</v>
      </c>
      <c r="AT12" s="45">
        <f t="shared" si="4"/>
        <v>2650.2383836529125</v>
      </c>
      <c r="AU12" s="45">
        <f t="shared" si="4"/>
        <v>2670.5346154806216</v>
      </c>
      <c r="AV12" s="45">
        <f t="shared" si="4"/>
        <v>2731.4376898169826</v>
      </c>
      <c r="AW12" s="45">
        <f t="shared" si="4"/>
        <v>2801.0952627482629</v>
      </c>
      <c r="AX12" s="45">
        <f t="shared" si="4"/>
        <v>2855.1273723156946</v>
      </c>
      <c r="AY12" s="45">
        <f t="shared" si="4"/>
        <v>2891.754514245702</v>
      </c>
      <c r="AZ12" s="45">
        <f t="shared" si="4"/>
        <v>2948.107627733204</v>
      </c>
      <c r="BA12" s="45">
        <f t="shared" si="4"/>
        <v>2998.7076003676648</v>
      </c>
      <c r="BB12" s="45">
        <f t="shared" si="4"/>
        <v>3059.2650646083644</v>
      </c>
      <c r="BC12" s="45">
        <f t="shared" si="4"/>
        <v>3112.4740107846783</v>
      </c>
      <c r="BD12" s="45">
        <f t="shared" si="4"/>
        <v>3163.8962789983193</v>
      </c>
      <c r="BE12" s="45">
        <f t="shared" si="4"/>
        <v>3222.029849674569</v>
      </c>
      <c r="BF12" s="45">
        <f t="shared" si="4"/>
        <v>3269.2890319292796</v>
      </c>
      <c r="BG12" s="45">
        <f t="shared" si="4"/>
        <v>3325.0866934756041</v>
      </c>
    </row>
    <row r="13" spans="1:59" x14ac:dyDescent="0.2">
      <c r="A13" s="40"/>
      <c r="B13" s="40" t="s">
        <v>79</v>
      </c>
      <c r="C13" s="45">
        <f>SUM('[1]Poultry Byproduct Complex'!B$197:B$205,'[1]Poultry Byproduct Complex'!C$194:C$196)</f>
        <v>39.572303513400001</v>
      </c>
      <c r="D13" s="45">
        <f>SUM('[1]Poultry Byproduct Complex'!C$197:C$205,'[1]Poultry Byproduct Complex'!D$194:D$196)</f>
        <v>55.001571042599998</v>
      </c>
      <c r="E13" s="45">
        <f>SUM('[1]Poultry Byproduct Complex'!D$197:D$205,'[1]Poultry Byproduct Complex'!E$194:E$196)</f>
        <v>61.502119471800007</v>
      </c>
      <c r="F13" s="45">
        <f>SUM('[1]Poultry Byproduct Complex'!E$197:E$205,'[1]Poultry Byproduct Complex'!F$194:F$196)</f>
        <v>69.032667299400003</v>
      </c>
      <c r="G13" s="45">
        <f>SUM('[1]Poultry Byproduct Complex'!F$197:F$205,'[1]Poultry Byproduct Complex'!G$194:G$196)</f>
        <v>64.012302081000001</v>
      </c>
      <c r="H13" s="45">
        <f>SUM('[1]Poultry Byproduct Complex'!G$197:G$205,'[1]Poultry Byproduct Complex'!H$194:H$196)</f>
        <v>86.374223951400012</v>
      </c>
      <c r="I13" s="45">
        <f>SUM('[1]Poultry Byproduct Complex'!H$197:H$205,'[1]Poultry Byproduct Complex'!I$194:I$196)</f>
        <v>62.37382701060001</v>
      </c>
      <c r="J13" s="45">
        <f>SUM('[1]Poultry Byproduct Complex'!I$197:I$205,'[1]Poultry Byproduct Complex'!J$194:J$196)</f>
        <v>68.121937951199996</v>
      </c>
      <c r="K13" s="45">
        <f>SUM('[1]Poultry Byproduct Complex'!J$197:J$205,'[1]Poultry Byproduct Complex'!K$194:K$196)</f>
        <v>83.822153524200004</v>
      </c>
      <c r="L13" s="45">
        <f>SUM('[1]Poultry Byproduct Complex'!K$197:K$205,'[1]Poultry Byproduct Complex'!L$194:L$196)</f>
        <v>73.549055928599998</v>
      </c>
      <c r="M13" s="45">
        <f>SUM('[1]Poultry Byproduct Complex'!L$197:L$205,'[1]Poultry Byproduct Complex'!M$194:M$196)</f>
        <v>41.8265295084</v>
      </c>
      <c r="N13" s="45">
        <f>SUM('[1]Poultry Byproduct Complex'!M$197:M$205,'[1]Poultry Byproduct Complex'!N$194:N$196)</f>
        <v>67.743404353800003</v>
      </c>
      <c r="O13" s="45">
        <f>SUM('[1]Poultry Byproduct Complex'!N$197:N$205,'[1]Poultry Byproduct Complex'!O$194:O$196)</f>
        <v>60.450955702200005</v>
      </c>
      <c r="P13" s="45">
        <f>SUM('[1]Poultry Byproduct Complex'!O$197:O$205,'[1]Poultry Byproduct Complex'!P$194:P$196)</f>
        <v>207.52239163320002</v>
      </c>
      <c r="Q13" s="45">
        <f>SUM('[1]Poultry Byproduct Complex'!P$197:P$205,'[1]Poultry Byproduct Complex'!Q$194:Q$196)</f>
        <v>138.796387254</v>
      </c>
      <c r="R13" s="45">
        <f>SUM('[1]Poultry Byproduct Complex'!Q$197:Q$205,'[1]Poultry Byproduct Complex'!R$194:R$196)</f>
        <v>87.461543521799996</v>
      </c>
      <c r="S13" s="45">
        <f>SUM('[1]Poultry Byproduct Complex'!R$197:R$205,'[1]Poultry Byproduct Complex'!S$194:S$196)</f>
        <v>100.934209026</v>
      </c>
      <c r="T13" s="45">
        <f>SUM('[1]Poultry Byproduct Complex'!S$197:S$205,'[1]Poultry Byproduct Complex'!T$194:T$196)</f>
        <v>134.07430739219998</v>
      </c>
      <c r="U13" s="45">
        <f>SUM('[1]Poultry Byproduct Complex'!T$197:T$205,'[1]Poultry Byproduct Complex'!U$194:U$196)</f>
        <v>62.655798164400004</v>
      </c>
      <c r="V13" s="45">
        <f>SUM('[1]Poultry Byproduct Complex'!U$197:U$205,'[1]Poultry Byproduct Complex'!V$194:V$196)</f>
        <v>45.963282229199997</v>
      </c>
      <c r="W13" s="45">
        <f>SUM('[1]Poultry Byproduct Complex'!V$197:V$205,'[1]Poultry Byproduct Complex'!W$194:W$196)</f>
        <v>48.829952215800013</v>
      </c>
      <c r="X13" s="45">
        <f>SUM('[1]Poultry Byproduct Complex'!W$197:W$205,'[1]Poultry Byproduct Complex'!X$194:X$196)</f>
        <v>43.221614310000007</v>
      </c>
      <c r="Y13" s="45">
        <f>SUM('[1]Poultry Byproduct Complex'!X$197:X$205,'[1]Poultry Byproduct Complex'!Y$194:Y$196)</f>
        <v>53.791674489000002</v>
      </c>
      <c r="Z13" s="45">
        <f>SUM('[1]Poultry Byproduct Complex'!Y$197:Y$205,'[1]Poultry Byproduct Complex'!Z$194:Z$196)</f>
        <v>70.774539141600016</v>
      </c>
      <c r="AA13" s="45">
        <f>SUM('[1]Poultry Byproduct Complex'!Z$197:Z$205,'[1]Poultry Byproduct Complex'!AA$194:AA$196)</f>
        <v>39.513540281559997</v>
      </c>
      <c r="AB13" s="45">
        <f>SUM('[1]Poultry Byproduct Complex'!AA$197:AA$205,'[1]Poultry Byproduct Complex'!AB$194:AB$196)</f>
        <v>28.367571774380004</v>
      </c>
      <c r="AC13" s="45">
        <f>SUM('[1]Poultry Byproduct Complex'!AB$197:AB$205,'[1]Poultry Byproduct Complex'!AC$194:AC$196)</f>
        <v>41.889620926879992</v>
      </c>
      <c r="AD13" s="45">
        <f>SUM('[1]Poultry Byproduct Complex'!AC$197:AC$205,'[1]Poultry Byproduct Complex'!AD$194:AD$196)</f>
        <v>37.583168925400003</v>
      </c>
      <c r="AE13" s="45">
        <f>SUM('[1]Poultry Byproduct Complex'!AD$197:AD$205,'[1]Poultry Byproduct Complex'!AE$194:AE$196)</f>
        <v>37.577144000000004</v>
      </c>
      <c r="AF13" s="45">
        <f>SUM('[1]Poultry Byproduct Complex'!AE$197:AE$205,'[1]Poultry Byproduct Complex'!AF$194:AF$196)</f>
        <v>42.354931858480008</v>
      </c>
      <c r="AG13" s="45">
        <f>SUM('[1]Poultry Byproduct Complex'!AF$197:AF$205,'[1]Poultry Byproduct Complex'!AG$194:AG$196)</f>
        <v>52.504623649500004</v>
      </c>
      <c r="AH13" s="45">
        <f>SUM('[1]Poultry Byproduct Complex'!AG$197:AG$205,'[1]Poultry Byproduct Complex'!AH$194:AH$196)</f>
        <v>48.564523850228248</v>
      </c>
      <c r="AI13" s="45">
        <f>SUM('[1]Poultry Byproduct Complex'!AH$197:AH$205,'[1]Poultry Byproduct Complex'!AI$194:AI$196)</f>
        <v>50.494120256173389</v>
      </c>
      <c r="AJ13" s="45">
        <f>SUM('[1]Poultry Byproduct Complex'!AI$197:AI$205,'[1]Poultry Byproduct Complex'!AJ$194:AJ$196)</f>
        <v>49.670893662138134</v>
      </c>
      <c r="AK13" s="45">
        <f>SUM('[1]Poultry Byproduct Complex'!AJ$197:AJ$205,'[1]Poultry Byproduct Complex'!AK$194:AK$196)</f>
        <v>50.127822989601619</v>
      </c>
      <c r="AL13" s="45">
        <f>SUM('[1]Poultry Byproduct Complex'!AK$197:AK$205,'[1]Poultry Byproduct Complex'!AL$194:AL$196)</f>
        <v>49.964674734919392</v>
      </c>
      <c r="AM13" s="45">
        <f>SUM('[1]Poultry Byproduct Complex'!AL$197:AL$205,'[1]Poultry Byproduct Complex'!AM$194:AM$196)</f>
        <v>50.219977803601424</v>
      </c>
      <c r="AN13" s="45">
        <f>SUM('[1]Poultry Byproduct Complex'!AM$197:AM$205,'[1]Poultry Byproduct Complex'!AN$194:AN$196)</f>
        <v>49.764407098612168</v>
      </c>
      <c r="AO13" s="45">
        <f>SUM('[1]Poultry Byproduct Complex'!AN$197:AN$205,'[1]Poultry Byproduct Complex'!AO$194:AO$196)</f>
        <v>50.095497889286783</v>
      </c>
      <c r="AP13" s="45">
        <f>SUM('[1]Poultry Byproduct Complex'!AO$197:AO$205,'[1]Poultry Byproduct Complex'!AP$194:AP$196)</f>
        <v>49.949555257774541</v>
      </c>
      <c r="AQ13" s="45">
        <f>SUM('[1]Poultry Byproduct Complex'!AP$197:AP$205,'[1]Poultry Byproduct Complex'!AQ$194:AQ$196)</f>
        <v>50.034476103204277</v>
      </c>
      <c r="AR13" s="45">
        <f>SUM('[1]Poultry Byproduct Complex'!AQ$197:AQ$205,'[1]Poultry Byproduct Complex'!AR$194:AR$196)</f>
        <v>49.99882255683886</v>
      </c>
      <c r="AS13" s="45">
        <f>SUM('[1]Poultry Byproduct Complex'!AR$197:AR$205,'[1]Poultry Byproduct Complex'!AS$194:AS$196)</f>
        <v>50.012782830495837</v>
      </c>
      <c r="AT13" s="45">
        <f>SUM('[1]Poultry Byproduct Complex'!AS$197:AS$205,'[1]Poultry Byproduct Complex'!AT$194:AT$196)</f>
        <v>49.968551781143319</v>
      </c>
      <c r="AU13" s="45">
        <f>SUM('[1]Poultry Byproduct Complex'!AT$197:AT$205,'[1]Poultry Byproduct Complex'!AU$194:AU$196)</f>
        <v>50.018226927520068</v>
      </c>
      <c r="AV13" s="45">
        <f>SUM('[1]Poultry Byproduct Complex'!AU$197:AU$205,'[1]Poultry Byproduct Complex'!AV$194:AV$196)</f>
        <v>49.992837705891375</v>
      </c>
      <c r="AW13" s="45">
        <f>SUM('[1]Poultry Byproduct Complex'!AV$197:AV$205,'[1]Poultry Byproduct Complex'!AW$194:AW$196)</f>
        <v>50.006572039840478</v>
      </c>
      <c r="AX13" s="45">
        <f>SUM('[1]Poultry Byproduct Complex'!AW$197:AW$205,'[1]Poultry Byproduct Complex'!AX$194:AX$196)</f>
        <v>49.998244360377889</v>
      </c>
      <c r="AY13" s="45">
        <f>SUM('[1]Poultry Byproduct Complex'!AX$197:AX$205,'[1]Poultry Byproduct Complex'!AY$194:AY$196)</f>
        <v>49.99979425697822</v>
      </c>
      <c r="AZ13" s="45">
        <f>SUM('[1]Poultry Byproduct Complex'!AY$197:AY$205,'[1]Poultry Byproduct Complex'!AZ$194:AZ$196)</f>
        <v>49.996886562954622</v>
      </c>
      <c r="BA13" s="45">
        <f>SUM('[1]Poultry Byproduct Complex'!AZ$197:AZ$205,'[1]Poultry Byproduct Complex'!BA$194:BA$196)</f>
        <v>50.0031350581216</v>
      </c>
      <c r="BB13" s="45">
        <f>SUM('[1]Poultry Byproduct Complex'!BA$197:BA$205,'[1]Poultry Byproduct Complex'!BB$194:BB$196)</f>
        <v>49.998866985208515</v>
      </c>
      <c r="BC13" s="45">
        <f>SUM('[1]Poultry Byproduct Complex'!BB$197:BB$205,'[1]Poultry Byproduct Complex'!BC$194:BC$196)</f>
        <v>50.000926455654565</v>
      </c>
      <c r="BD13" s="45">
        <f>SUM('[1]Poultry Byproduct Complex'!BC$197:BC$205,'[1]Poultry Byproduct Complex'!BD$194:BD$196)</f>
        <v>49.999385444728169</v>
      </c>
      <c r="BE13" s="45">
        <f>SUM('[1]Poultry Byproduct Complex'!BD$197:BD$205,'[1]Poultry Byproduct Complex'!BE$194:BE$196)</f>
        <v>49.999921863783506</v>
      </c>
      <c r="BF13" s="45">
        <f>SUM('[1]Poultry Byproduct Complex'!BE$197:BE$205,'[1]Poultry Byproduct Complex'!BF$194:BF$196)</f>
        <v>49.999840101333497</v>
      </c>
      <c r="BG13" s="45">
        <f>SUM('[1]Poultry Byproduct Complex'!BF$197:BF$205,'[1]Poultry Byproduct Complex'!BG$194:BG$196)</f>
        <v>50.000447161499274</v>
      </c>
    </row>
    <row r="14" spans="1:59" x14ac:dyDescent="0.2">
      <c r="A14" s="40"/>
      <c r="B14" s="61" t="s">
        <v>80</v>
      </c>
      <c r="C14" s="62" t="e">
        <f t="shared" ref="C14:AA14" si="5">C13+C8</f>
        <v>#REF!</v>
      </c>
      <c r="D14" s="62" t="e">
        <f t="shared" si="5"/>
        <v>#REF!</v>
      </c>
      <c r="E14" s="62" t="e">
        <f t="shared" si="5"/>
        <v>#REF!</v>
      </c>
      <c r="F14" s="62" t="e">
        <f t="shared" si="5"/>
        <v>#REF!</v>
      </c>
      <c r="G14" s="62" t="e">
        <f t="shared" si="5"/>
        <v>#REF!</v>
      </c>
      <c r="H14" s="62" t="e">
        <f t="shared" si="5"/>
        <v>#REF!</v>
      </c>
      <c r="I14" s="62" t="e">
        <f t="shared" si="5"/>
        <v>#REF!</v>
      </c>
      <c r="J14" s="62" t="e">
        <f t="shared" si="5"/>
        <v>#REF!</v>
      </c>
      <c r="K14" s="62" t="e">
        <f t="shared" si="5"/>
        <v>#REF!</v>
      </c>
      <c r="L14" s="62" t="e">
        <f t="shared" si="5"/>
        <v>#REF!</v>
      </c>
      <c r="M14" s="62" t="e">
        <f t="shared" si="5"/>
        <v>#REF!</v>
      </c>
      <c r="N14" s="62" t="e">
        <f t="shared" si="5"/>
        <v>#REF!</v>
      </c>
      <c r="O14" s="62" t="e">
        <f t="shared" si="5"/>
        <v>#REF!</v>
      </c>
      <c r="P14" s="62" t="e">
        <f t="shared" si="5"/>
        <v>#REF!</v>
      </c>
      <c r="Q14" s="62" t="e">
        <f t="shared" si="5"/>
        <v>#REF!</v>
      </c>
      <c r="R14" s="62" t="e">
        <f t="shared" si="5"/>
        <v>#REF!</v>
      </c>
      <c r="S14" s="62" t="e">
        <f t="shared" si="5"/>
        <v>#REF!</v>
      </c>
      <c r="T14" s="62" t="e">
        <f t="shared" si="5"/>
        <v>#REF!</v>
      </c>
      <c r="U14" s="62" t="e">
        <f t="shared" si="5"/>
        <v>#REF!</v>
      </c>
      <c r="V14" s="62" t="e">
        <f t="shared" si="5"/>
        <v>#REF!</v>
      </c>
      <c r="W14" s="62" t="e">
        <f t="shared" si="5"/>
        <v>#REF!</v>
      </c>
      <c r="X14" s="62" t="e">
        <f t="shared" si="5"/>
        <v>#REF!</v>
      </c>
      <c r="Y14" s="62" t="e">
        <f t="shared" si="5"/>
        <v>#REF!</v>
      </c>
      <c r="Z14" s="62" t="e">
        <f t="shared" si="5"/>
        <v>#REF!</v>
      </c>
      <c r="AA14" s="62" t="e">
        <f t="shared" si="5"/>
        <v>#REF!</v>
      </c>
      <c r="AB14" s="62">
        <f>AB7-AB15</f>
        <v>2499.7444215885607</v>
      </c>
      <c r="AC14" s="62">
        <f t="shared" ref="AC14:BG14" si="6">AC7-AC15</f>
        <v>2531.449883571659</v>
      </c>
      <c r="AD14" s="62">
        <f t="shared" si="6"/>
        <v>2116.0286835811407</v>
      </c>
      <c r="AE14" s="62">
        <f t="shared" si="6"/>
        <v>2028.1229839999996</v>
      </c>
      <c r="AF14" s="62">
        <f t="shared" si="6"/>
        <v>2298.3992010000002</v>
      </c>
      <c r="AG14" s="62">
        <f t="shared" si="6"/>
        <v>2234.9429284231996</v>
      </c>
      <c r="AH14" s="62">
        <f t="shared" si="6"/>
        <v>2263.4066445430462</v>
      </c>
      <c r="AI14" s="62">
        <f t="shared" si="6"/>
        <v>2302.5101688941281</v>
      </c>
      <c r="AJ14" s="62">
        <f t="shared" si="6"/>
        <v>2388.7612922455696</v>
      </c>
      <c r="AK14" s="62">
        <f t="shared" si="6"/>
        <v>2442.8522539745518</v>
      </c>
      <c r="AL14" s="62">
        <f t="shared" si="6"/>
        <v>2466.2761649794584</v>
      </c>
      <c r="AM14" s="62">
        <f t="shared" si="6"/>
        <v>2501.0774184749012</v>
      </c>
      <c r="AN14" s="62">
        <f t="shared" si="6"/>
        <v>2572.9390755320915</v>
      </c>
      <c r="AO14" s="62">
        <f t="shared" si="6"/>
        <v>2642.0580309951406</v>
      </c>
      <c r="AP14" s="62">
        <f t="shared" si="6"/>
        <v>2677.0825561423985</v>
      </c>
      <c r="AQ14" s="62">
        <f t="shared" si="6"/>
        <v>2751.7045973513241</v>
      </c>
      <c r="AR14" s="62">
        <f t="shared" si="6"/>
        <v>2770.8638734884644</v>
      </c>
      <c r="AS14" s="62">
        <f t="shared" si="6"/>
        <v>2807.0430414591265</v>
      </c>
      <c r="AT14" s="62">
        <f t="shared" si="6"/>
        <v>2881.7597397592431</v>
      </c>
      <c r="AU14" s="62">
        <f t="shared" si="6"/>
        <v>2910.5993517114193</v>
      </c>
      <c r="AV14" s="62">
        <f t="shared" si="6"/>
        <v>2969.7137794087657</v>
      </c>
      <c r="AW14" s="62">
        <f t="shared" si="6"/>
        <v>3032.7483647566687</v>
      </c>
      <c r="AX14" s="62">
        <f t="shared" si="6"/>
        <v>3090.787096590484</v>
      </c>
      <c r="AY14" s="62">
        <f t="shared" si="6"/>
        <v>3130.2281582370351</v>
      </c>
      <c r="AZ14" s="62">
        <f t="shared" si="6"/>
        <v>3191.094872165761</v>
      </c>
      <c r="BA14" s="62">
        <f t="shared" si="6"/>
        <v>3242.8317664173696</v>
      </c>
      <c r="BB14" s="62">
        <f t="shared" si="6"/>
        <v>3303.0573114842778</v>
      </c>
      <c r="BC14" s="62">
        <f t="shared" si="6"/>
        <v>3353.5643250470262</v>
      </c>
      <c r="BD14" s="62">
        <f t="shared" si="6"/>
        <v>3407.2327436323608</v>
      </c>
      <c r="BE14" s="62">
        <f t="shared" si="6"/>
        <v>3467.4137098660658</v>
      </c>
      <c r="BF14" s="62">
        <f t="shared" si="6"/>
        <v>3516.8090257094964</v>
      </c>
      <c r="BG14" s="62">
        <f t="shared" si="6"/>
        <v>3575.2530380012163</v>
      </c>
    </row>
    <row r="15" spans="1:59" ht="12" thickBot="1" x14ac:dyDescent="0.25">
      <c r="A15" s="40"/>
      <c r="B15" s="40" t="s">
        <v>81</v>
      </c>
      <c r="C15" s="45">
        <f>'[1]Poultry Byproduct Complex'!C$308</f>
        <v>32.862166959604906</v>
      </c>
      <c r="D15" s="45">
        <f>'[1]Poultry Byproduct Complex'!D$308</f>
        <v>36.972448918234093</v>
      </c>
      <c r="E15" s="45">
        <f>'[1]Poultry Byproduct Complex'!E$308</f>
        <v>37.554420814512994</v>
      </c>
      <c r="F15" s="45">
        <f>'[1]Poultry Byproduct Complex'!F$308</f>
        <v>48.462913885055443</v>
      </c>
      <c r="G15" s="45">
        <f>'[1]Poultry Byproduct Complex'!G$308</f>
        <v>52.48109090608817</v>
      </c>
      <c r="H15" s="45">
        <f>'[1]Poultry Byproduct Complex'!H$308</f>
        <v>59.89988911249462</v>
      </c>
      <c r="I15" s="45">
        <f>'[1]Poultry Byproduct Complex'!I$308</f>
        <v>59.782507146331781</v>
      </c>
      <c r="J15" s="45">
        <f>'[1]Poultry Byproduct Complex'!J$308</f>
        <v>64.365496620735257</v>
      </c>
      <c r="K15" s="45">
        <f>'[1]Poultry Byproduct Complex'!K$308</f>
        <v>66.924167689000001</v>
      </c>
      <c r="L15" s="45">
        <f>'[1]Poultry Byproduct Complex'!L$308</f>
        <v>65.26307954939999</v>
      </c>
      <c r="M15" s="45">
        <f>'[1]Poultry Byproduct Complex'!M$308</f>
        <v>83.742062340800004</v>
      </c>
      <c r="N15" s="45">
        <f>'[1]Poultry Byproduct Complex'!N$308</f>
        <v>94.301439972200001</v>
      </c>
      <c r="O15" s="45">
        <f>'[1]Poultry Byproduct Complex'!O$308</f>
        <v>107.28537506839999</v>
      </c>
      <c r="P15" s="45">
        <f>'[1]Poultry Byproduct Complex'!P$308</f>
        <v>106.68831212300003</v>
      </c>
      <c r="Q15" s="45">
        <f>'[1]Poultry Byproduct Complex'!Q$308</f>
        <v>94.368619377800002</v>
      </c>
      <c r="R15" s="45">
        <f>'[1]Poultry Byproduct Complex'!R$308</f>
        <v>97.140359431600004</v>
      </c>
      <c r="S15" s="45">
        <f>'[1]Poultry Byproduct Complex'!S$308</f>
        <v>100.24229317199999</v>
      </c>
      <c r="T15" s="45">
        <f>'[1]Poultry Byproduct Complex'!T$308</f>
        <v>85.040546715374191</v>
      </c>
      <c r="U15" s="45">
        <f>'[1]Poultry Byproduct Complex'!U$308</f>
        <v>104.84780666384802</v>
      </c>
      <c r="V15" s="45">
        <f>'[1]Poultry Byproduct Complex'!V$308</f>
        <v>102.71241224109467</v>
      </c>
      <c r="W15" s="45">
        <f>'[1]Poultry Byproduct Complex'!W$308</f>
        <v>106.20153592981494</v>
      </c>
      <c r="X15" s="45">
        <f>'[1]Poultry Byproduct Complex'!X$308</f>
        <v>176.79080552019997</v>
      </c>
      <c r="Y15" s="45">
        <f>'[1]Poultry Byproduct Complex'!Y$308</f>
        <v>178.22217758919999</v>
      </c>
      <c r="Z15" s="45">
        <f>'[1]Poultry Byproduct Complex'!Z$308</f>
        <v>192.97435249219998</v>
      </c>
      <c r="AA15" s="45">
        <f>'[1]Poultry Byproduct Complex'!AA$308</f>
        <v>135.93111286631998</v>
      </c>
      <c r="AB15" s="45">
        <f>'[1]Poultry Byproduct Complex'!AB$324</f>
        <v>31.498999999999999</v>
      </c>
      <c r="AC15" s="45">
        <f>'[1]Poultry Byproduct Complex'!AC$324</f>
        <v>32.604999999999997</v>
      </c>
      <c r="AD15" s="45">
        <f>'[1]Poultry Byproduct Complex'!AD$324</f>
        <v>29.689</v>
      </c>
      <c r="AE15" s="45">
        <f>'[1]Poultry Byproduct Complex'!AE$324</f>
        <v>31.9</v>
      </c>
      <c r="AF15" s="45">
        <f>'[1]Poultry Byproduct Complex'!AF$324</f>
        <v>35.591000000000001</v>
      </c>
      <c r="AG15" s="45">
        <f>'[1]Poultry Byproduct Complex'!AG$324</f>
        <v>29.704000000000001</v>
      </c>
      <c r="AH15" s="45">
        <f>'[1]Poultry Byproduct Complex'!AH$324</f>
        <v>46.296051502485767</v>
      </c>
      <c r="AI15" s="45">
        <f>'[1]Poultry Byproduct Complex'!AI$324</f>
        <v>68.151475190734629</v>
      </c>
      <c r="AJ15" s="45">
        <f>'[1]Poultry Byproduct Complex'!AJ$324</f>
        <v>49.510603148958836</v>
      </c>
      <c r="AK15" s="45">
        <f>'[1]Poultry Byproduct Complex'!AK$324</f>
        <v>43.878862538840622</v>
      </c>
      <c r="AL15" s="45">
        <f>'[1]Poultry Byproduct Complex'!AL$324</f>
        <v>31.800680380182769</v>
      </c>
      <c r="AM15" s="45">
        <f>'[1]Poultry Byproduct Complex'!AM$324</f>
        <v>37.839016346039699</v>
      </c>
      <c r="AN15" s="45">
        <f>'[1]Poultry Byproduct Complex'!AN$324</f>
        <v>39.34949559519427</v>
      </c>
      <c r="AO15" s="45">
        <f>'[1]Poultry Byproduct Complex'!AO$324</f>
        <v>39.148148420582572</v>
      </c>
      <c r="AP15" s="45">
        <f>'[1]Poultry Byproduct Complex'!AP$324</f>
        <v>39.023784975691058</v>
      </c>
      <c r="AQ15" s="45">
        <f>'[1]Poultry Byproduct Complex'!AQ$324</f>
        <v>32.949394353166014</v>
      </c>
      <c r="AR15" s="45">
        <f>'[1]Poultry Byproduct Complex'!AR$324</f>
        <v>29.818018676756878</v>
      </c>
      <c r="AS15" s="45">
        <f>'[1]Poultry Byproduct Complex'!AS$324</f>
        <v>37.953176063396086</v>
      </c>
      <c r="AT15" s="45">
        <f>'[1]Poultry Byproduct Complex'!AT$324</f>
        <v>36.174573416206641</v>
      </c>
      <c r="AU15" s="45">
        <f>'[1]Poultry Byproduct Complex'!AU$324</f>
        <v>39.409643383860868</v>
      </c>
      <c r="AV15" s="45">
        <f>'[1]Poultry Byproduct Complex'!AV$324</f>
        <v>41.276451238384055</v>
      </c>
      <c r="AW15" s="45">
        <f>'[1]Poultry Byproduct Complex'!AW$324</f>
        <v>41.139192957021294</v>
      </c>
      <c r="AX15" s="45">
        <f>'[1]Poultry Byproduct Complex'!AX$324</f>
        <v>36.181645029743777</v>
      </c>
      <c r="AY15" s="45">
        <f>'[1]Poultry Byproduct Complex'!AY$324</f>
        <v>44.069159972834825</v>
      </c>
      <c r="AZ15" s="45">
        <f>'[1]Poultry Byproduct Complex'!AZ$324</f>
        <v>44.35060562290559</v>
      </c>
      <c r="BA15" s="45">
        <f>'[1]Poultry Byproduct Complex'!BA$324</f>
        <v>50.280993236044225</v>
      </c>
      <c r="BB15" s="45">
        <f>'[1]Poultry Byproduct Complex'!BB$324</f>
        <v>48.379335146202436</v>
      </c>
      <c r="BC15" s="45">
        <f>'[1]Poultry Byproduct Complex'!BC$324</f>
        <v>47.580292224572247</v>
      </c>
      <c r="BD15" s="45">
        <f>'[1]Poultry Byproduct Complex'!BD$324</f>
        <v>45.86686854594069</v>
      </c>
      <c r="BE15" s="45">
        <f>'[1]Poultry Byproduct Complex'!BE$324</f>
        <v>40.708969272863669</v>
      </c>
      <c r="BF15" s="45">
        <f>'[1]Poultry Byproduct Complex'!BF$324</f>
        <v>42.403450595039942</v>
      </c>
      <c r="BG15" s="45">
        <f>'[1]Poultry Byproduct Complex'!BG$324</f>
        <v>45.502936251449398</v>
      </c>
    </row>
    <row r="16" spans="1:59" x14ac:dyDescent="0.2">
      <c r="A16" s="40"/>
      <c r="B16" s="49" t="s">
        <v>188</v>
      </c>
      <c r="C16" s="49"/>
      <c r="D16" s="49"/>
      <c r="E16" s="49"/>
      <c r="F16" s="49"/>
      <c r="G16" s="49"/>
      <c r="H16" s="72"/>
      <c r="I16" s="72"/>
      <c r="J16" s="72">
        <f>MEDIAN('[1]Poultry Byproduct Complex'!I$324:I$332,'[1]Poultry Byproduct Complex'!J$321:J$323)</f>
        <v>16.3</v>
      </c>
      <c r="K16" s="72">
        <f>MEDIAN('[1]Poultry Byproduct Complex'!J$324:J$332,'[1]Poultry Byproduct Complex'!K$321:K$323)</f>
        <v>16.3</v>
      </c>
      <c r="L16" s="72">
        <f>MEDIAN('[1]Poultry Byproduct Complex'!K$324:K$332,'[1]Poultry Byproduct Complex'!L$321:L$323)</f>
        <v>13.090999999999999</v>
      </c>
      <c r="M16" s="72">
        <f>MEDIAN('[1]Poultry Byproduct Complex'!L$324:L$332,'[1]Poultry Byproduct Complex'!M$321:M$323)</f>
        <v>13.881874999999992</v>
      </c>
      <c r="N16" s="72">
        <f>MEDIAN('[1]Poultry Byproduct Complex'!M$324:M$332,'[1]Poultry Byproduct Complex'!N$321:N$323)</f>
        <v>14.672749999999985</v>
      </c>
      <c r="O16" s="72">
        <f>MEDIAN('[1]Poultry Byproduct Complex'!N$324:N$332,'[1]Poultry Byproduct Complex'!O$321:O$323)</f>
        <v>16.7</v>
      </c>
      <c r="P16" s="72">
        <f>MEDIAN('[1]Poultry Byproduct Complex'!O$324:O$332,'[1]Poultry Byproduct Complex'!P$321:P$323)</f>
        <v>19.100000000000001</v>
      </c>
      <c r="Q16" s="72">
        <f>MEDIAN('[1]Poultry Byproduct Complex'!P$324:P$332,'[1]Poultry Byproduct Complex'!Q$321:Q$323)</f>
        <v>25.6</v>
      </c>
      <c r="R16" s="72">
        <f>MEDIAN('[1]Poultry Byproduct Complex'!Q$324:Q$332,'[1]Poultry Byproduct Complex'!R$321:R$323)</f>
        <v>21.7</v>
      </c>
      <c r="S16" s="72">
        <f>MEDIAN('[1]Poultry Byproduct Complex'!R$324:R$332,'[1]Poultry Byproduct Complex'!S$321:S$323)</f>
        <v>23.811</v>
      </c>
      <c r="T16" s="72">
        <f>MEDIAN('[1]Poultry Byproduct Complex'!S$324:S$332,'[1]Poultry Byproduct Complex'!T$321:T$323)</f>
        <v>26.477</v>
      </c>
      <c r="U16" s="72">
        <f>MEDIAN('[1]Poultry Byproduct Complex'!T$324:T$332,'[1]Poultry Byproduct Complex'!U$321:U$323)</f>
        <v>30.390173913043476</v>
      </c>
      <c r="V16" s="72">
        <f>MEDIAN('[1]Poultry Byproduct Complex'!U$324:U$332,'[1]Poultry Byproduct Complex'!V$321:V$323)</f>
        <v>27.050782608695663</v>
      </c>
      <c r="W16" s="72">
        <f>MEDIAN('[1]Poultry Byproduct Complex'!V$324:V$332,'[1]Poultry Byproduct Complex'!W$321:W$323)</f>
        <v>23.711391304347849</v>
      </c>
      <c r="X16" s="72">
        <f>MEDIAN('[1]Poultry Byproduct Complex'!W$324:W$332,'[1]Poultry Byproduct Complex'!X$321:X$323)</f>
        <v>20.372</v>
      </c>
      <c r="Y16" s="72">
        <f>MEDIAN('[1]Poultry Byproduct Complex'!X$324:X$332,'[1]Poultry Byproduct Complex'!Y$321:Y$323)</f>
        <v>21.652000000000001</v>
      </c>
      <c r="Z16" s="72">
        <f>MEDIAN('[1]Poultry Byproduct Complex'!Y$324:Y$332,'[1]Poultry Byproduct Complex'!Z$321:Z$323)</f>
        <v>23.033999999999999</v>
      </c>
      <c r="AA16" s="72">
        <f>MEDIAN('[1]Poultry Byproduct Complex'!Z$324:Z$332,'[1]Poultry Byproduct Complex'!AA$321:AA$323)</f>
        <v>24.405999999999999</v>
      </c>
      <c r="AB16" s="72">
        <f>MEDIAN('[1]Poultry Byproduct Complex'!AA$324:AA$332,'[1]Poultry Byproduct Complex'!AB$321:AB$323)</f>
        <v>24.463000000000001</v>
      </c>
      <c r="AC16" s="72">
        <f>MEDIAN('[1]Poultry Byproduct Complex'!AB$324:AB$332,'[1]Poultry Byproduct Complex'!AC$321:AC$323)</f>
        <v>31.231000000000002</v>
      </c>
      <c r="AD16" s="72">
        <f>MEDIAN('[1]Poultry Byproduct Complex'!AC$324:AC$332,'[1]Poultry Byproduct Complex'!AD$321:AD$323)</f>
        <v>31.885999999999999</v>
      </c>
      <c r="AE16" s="72">
        <f>MEDIAN('[1]Poultry Byproduct Complex'!AD$324:AD$332,'[1]Poultry Byproduct Complex'!AE$321:AE$323)</f>
        <v>30.72</v>
      </c>
      <c r="AF16" s="72">
        <f>MEDIAN('[1]Poultry Byproduct Complex'!AE$324:AE$332,'[1]Poultry Byproduct Complex'!AF$321:AF$323)</f>
        <v>26.957999999999998</v>
      </c>
      <c r="AG16" s="72">
        <f>MEDIAN('[1]Poultry Byproduct Complex'!AF$324:AF$332,'[1]Poultry Byproduct Complex'!AG$321:AG$323)</f>
        <v>33.302</v>
      </c>
      <c r="AH16" s="72">
        <f>MEDIAN('[1]Poultry Byproduct Complex'!AG$324:AG$332,'[1]Poultry Byproduct Complex'!AH$321:AH$323)</f>
        <v>31.359077436674795</v>
      </c>
      <c r="AI16" s="72">
        <f>MEDIAN('[1]Poultry Byproduct Complex'!AH$324:AH$332,'[1]Poultry Byproduct Complex'!AI$321:AI$323)</f>
        <v>38.104496944917486</v>
      </c>
      <c r="AJ16" s="72">
        <f>MEDIAN('[1]Poultry Byproduct Complex'!AI$324:AI$332,'[1]Poultry Byproduct Complex'!AJ$321:AJ$323)</f>
        <v>57.481307656599796</v>
      </c>
      <c r="AK16" s="72">
        <f>MEDIAN('[1]Poultry Byproduct Complex'!AJ$324:AJ$332,'[1]Poultry Byproduct Complex'!AK$321:AK$323)</f>
        <v>41.48770747247832</v>
      </c>
      <c r="AL16" s="72">
        <f>MEDIAN('[1]Poultry Byproduct Complex'!AK$324:AK$332,'[1]Poultry Byproduct Complex'!AL$321:AL$323)</f>
        <v>38.523335419621418</v>
      </c>
      <c r="AM16" s="72">
        <f>MEDIAN('[1]Poultry Byproduct Complex'!AL$324:AL$332,'[1]Poultry Byproduct Complex'!AM$321:AM$323)</f>
        <v>42.947931021376263</v>
      </c>
      <c r="AN16" s="72">
        <f>MEDIAN('[1]Poultry Byproduct Complex'!AM$324:AM$332,'[1]Poultry Byproduct Complex'!AN$321:AN$323)</f>
        <v>51.78514094658604</v>
      </c>
      <c r="AO16" s="72">
        <f>MEDIAN('[1]Poultry Byproduct Complex'!AN$324:AN$332,'[1]Poultry Byproduct Complex'!AO$321:AO$323)</f>
        <v>61.544394969968266</v>
      </c>
      <c r="AP16" s="72">
        <f>MEDIAN('[1]Poultry Byproduct Complex'!AO$324:AO$332,'[1]Poultry Byproduct Complex'!AP$321:AP$323)</f>
        <v>57.293119587689091</v>
      </c>
      <c r="AQ16" s="72">
        <f>MEDIAN('[1]Poultry Byproduct Complex'!AP$324:AP$332,'[1]Poultry Byproduct Complex'!AQ$321:AQ$323)</f>
        <v>57.085895206487606</v>
      </c>
      <c r="AR16" s="72">
        <f>MEDIAN('[1]Poultry Byproduct Complex'!AQ$324:AQ$332,'[1]Poultry Byproduct Complex'!AR$321:AR$323)</f>
        <v>35.707027540677217</v>
      </c>
      <c r="AS16" s="72">
        <f>MEDIAN('[1]Poultry Byproduct Complex'!AR$324:AR$332,'[1]Poultry Byproduct Complex'!AS$321:AS$323)</f>
        <v>39.144322334214735</v>
      </c>
      <c r="AT16" s="72">
        <f>MEDIAN('[1]Poultry Byproduct Complex'!AS$324:AS$332,'[1]Poultry Byproduct Complex'!AT$321:AT$323)</f>
        <v>35.383970083312619</v>
      </c>
      <c r="AU16" s="72">
        <f>MEDIAN('[1]Poultry Byproduct Complex'!AT$324:AT$332,'[1]Poultry Byproduct Complex'!AU$321:AU$323)</f>
        <v>24.614252528344167</v>
      </c>
      <c r="AV16" s="72">
        <f>MEDIAN('[1]Poultry Byproduct Complex'!AU$324:AU$332,'[1]Poultry Byproduct Complex'!AV$321:AV$323)</f>
        <v>38.449075128037236</v>
      </c>
      <c r="AW16" s="72">
        <f>MEDIAN('[1]Poultry Byproduct Complex'!AV$324:AV$332,'[1]Poultry Byproduct Complex'!AW$321:AW$323)</f>
        <v>56.275893966991646</v>
      </c>
      <c r="AX16" s="72">
        <f>MEDIAN('[1]Poultry Byproduct Complex'!AW$324:AW$332,'[1]Poultry Byproduct Complex'!AX$321:AX$323)</f>
        <v>63.18728214727679</v>
      </c>
      <c r="AY16" s="72">
        <f>MEDIAN('[1]Poultry Byproduct Complex'!AX$324:AX$332,'[1]Poultry Byproduct Complex'!AY$321:AY$323)</f>
        <v>56.980943250280831</v>
      </c>
      <c r="AZ16" s="72">
        <f>MEDIAN('[1]Poultry Byproduct Complex'!AY$324:AY$332,'[1]Poultry Byproduct Complex'!AZ$321:AZ$323)</f>
        <v>66.07996330904632</v>
      </c>
      <c r="BA16" s="72">
        <f>MEDIAN('[1]Poultry Byproduct Complex'!AZ$324:AZ$332,'[1]Poultry Byproduct Complex'!BA$321:BA$323)</f>
        <v>65.187735027377556</v>
      </c>
      <c r="BB16" s="72">
        <f>MEDIAN('[1]Poultry Byproduct Complex'!BA$324:BA$332,'[1]Poultry Byproduct Complex'!BB$321:BB$323)</f>
        <v>62.426973809587651</v>
      </c>
      <c r="BC16" s="72">
        <f>MEDIAN('[1]Poultry Byproduct Complex'!BB$324:BB$332,'[1]Poultry Byproduct Complex'!BC$321:BC$323)</f>
        <v>50.582117230951951</v>
      </c>
      <c r="BD16" s="72">
        <f>MEDIAN('[1]Poultry Byproduct Complex'!BC$324:BC$332,'[1]Poultry Byproduct Complex'!BD$321:BD$323)</f>
        <v>46.94368319658463</v>
      </c>
      <c r="BE16" s="72">
        <f>MEDIAN('[1]Poultry Byproduct Complex'!BD$324:BD$332,'[1]Poultry Byproduct Complex'!BE$321:BE$323)</f>
        <v>47.795690040965439</v>
      </c>
      <c r="BF16" s="72">
        <f>MEDIAN('[1]Poultry Byproduct Complex'!BE$324:BE$332,'[1]Poultry Byproduct Complex'!BF$321:BF$323)</f>
        <v>51.756759036838275</v>
      </c>
      <c r="BG16" s="72">
        <f>MEDIAN('[1]Poultry Byproduct Complex'!BF$324:BF$332,'[1]Poultry Byproduct Complex'!BG$321:BG$323)</f>
        <v>63.396908701075347</v>
      </c>
    </row>
    <row r="17" spans="1:59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</row>
    <row r="18" spans="1:59" x14ac:dyDescent="0.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73"/>
      <c r="AD18" s="40"/>
      <c r="AE18" s="73"/>
      <c r="AF18" s="73"/>
      <c r="AG18" s="73"/>
      <c r="AH18" s="73"/>
      <c r="AI18" s="73"/>
      <c r="AJ18" s="73"/>
      <c r="AK18" s="73"/>
      <c r="AL18" s="73"/>
      <c r="AM18" s="73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</row>
    <row r="19" spans="1:59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</row>
    <row r="20" spans="1:59" x14ac:dyDescent="0.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</row>
    <row r="21" spans="1:59" x14ac:dyDescent="0.2">
      <c r="B21" s="41" t="s">
        <v>83</v>
      </c>
      <c r="C21" s="51">
        <f t="shared" ref="C21:BG21" si="7">C7</f>
        <v>462.69101646774322</v>
      </c>
      <c r="D21" s="51">
        <f t="shared" si="7"/>
        <v>525.26929910320916</v>
      </c>
      <c r="E21" s="51">
        <f t="shared" si="7"/>
        <v>592.9738772392443</v>
      </c>
      <c r="F21" s="51">
        <f t="shared" si="7"/>
        <v>649.95734300408003</v>
      </c>
      <c r="G21" s="51">
        <f t="shared" si="7"/>
        <v>711.4656375318134</v>
      </c>
      <c r="H21" s="51">
        <f t="shared" si="7"/>
        <v>796.62415834738295</v>
      </c>
      <c r="I21" s="51">
        <f t="shared" si="7"/>
        <v>864.42619580264034</v>
      </c>
      <c r="J21" s="51">
        <f t="shared" si="7"/>
        <v>932.10528807722005</v>
      </c>
      <c r="K21" s="51">
        <f t="shared" si="7"/>
        <v>997.32310032085843</v>
      </c>
      <c r="L21" s="51">
        <f t="shared" si="7"/>
        <v>962.98561273960013</v>
      </c>
      <c r="M21" s="51">
        <f t="shared" si="7"/>
        <v>1111.1478043177999</v>
      </c>
      <c r="N21" s="51">
        <f t="shared" si="7"/>
        <v>1272.0816899032</v>
      </c>
      <c r="O21" s="51">
        <f t="shared" si="7"/>
        <v>1385.4260512961998</v>
      </c>
      <c r="P21" s="51">
        <f t="shared" si="7"/>
        <v>1495.226023936</v>
      </c>
      <c r="Q21" s="51">
        <f t="shared" si="7"/>
        <v>1565.4693535006002</v>
      </c>
      <c r="R21" s="51">
        <f t="shared" si="7"/>
        <v>1478.2412749222001</v>
      </c>
      <c r="S21" s="51">
        <f t="shared" si="7"/>
        <v>1520.3385287634001</v>
      </c>
      <c r="T21" s="51">
        <f t="shared" si="7"/>
        <v>1516.1372702262279</v>
      </c>
      <c r="U21" s="51">
        <f t="shared" si="7"/>
        <v>1470.7017745190742</v>
      </c>
      <c r="V21" s="51">
        <f t="shared" si="7"/>
        <v>1513.1357162782665</v>
      </c>
      <c r="W21" s="51">
        <f t="shared" si="7"/>
        <v>1528.5286454063425</v>
      </c>
      <c r="X21" s="51">
        <f t="shared" si="7"/>
        <v>2127.3124207173664</v>
      </c>
      <c r="Y21" s="51">
        <f t="shared" si="7"/>
        <v>2633.3805957931995</v>
      </c>
      <c r="Z21" s="51">
        <f t="shared" si="7"/>
        <v>2598.2704506005998</v>
      </c>
      <c r="AA21" s="51">
        <f t="shared" si="7"/>
        <v>2455.41974718958</v>
      </c>
      <c r="AB21" s="51">
        <f t="shared" si="7"/>
        <v>2531.2434215885605</v>
      </c>
      <c r="AC21" s="51">
        <f t="shared" si="7"/>
        <v>2564.054883571659</v>
      </c>
      <c r="AD21" s="51">
        <f t="shared" si="7"/>
        <v>2145.7176835811406</v>
      </c>
      <c r="AE21" s="51">
        <f t="shared" si="7"/>
        <v>2060.0229839999997</v>
      </c>
      <c r="AF21" s="51">
        <f t="shared" si="7"/>
        <v>2333.9902010000001</v>
      </c>
      <c r="AG21" s="51">
        <f t="shared" si="7"/>
        <v>2264.6469284231998</v>
      </c>
      <c r="AH21" s="51">
        <f t="shared" si="7"/>
        <v>2309.7026960455319</v>
      </c>
      <c r="AI21" s="51">
        <f t="shared" si="7"/>
        <v>2370.6616440848629</v>
      </c>
      <c r="AJ21" s="51">
        <f t="shared" si="7"/>
        <v>2438.2718953945287</v>
      </c>
      <c r="AK21" s="51">
        <f t="shared" si="7"/>
        <v>2486.7311165133924</v>
      </c>
      <c r="AL21" s="51">
        <f t="shared" si="7"/>
        <v>2498.0768453596411</v>
      </c>
      <c r="AM21" s="51">
        <f t="shared" si="7"/>
        <v>2538.916434820941</v>
      </c>
      <c r="AN21" s="51">
        <f t="shared" si="7"/>
        <v>2612.2885711272856</v>
      </c>
      <c r="AO21" s="51">
        <f t="shared" si="7"/>
        <v>2681.206179415723</v>
      </c>
      <c r="AP21" s="51">
        <f t="shared" si="7"/>
        <v>2716.1063411180894</v>
      </c>
      <c r="AQ21" s="51">
        <f t="shared" si="7"/>
        <v>2784.6539917044902</v>
      </c>
      <c r="AR21" s="51">
        <f t="shared" si="7"/>
        <v>2800.6818921652211</v>
      </c>
      <c r="AS21" s="51">
        <f t="shared" si="7"/>
        <v>2844.9962175225228</v>
      </c>
      <c r="AT21" s="51">
        <f t="shared" si="7"/>
        <v>2917.9343131754499</v>
      </c>
      <c r="AU21" s="51">
        <f t="shared" si="7"/>
        <v>2950.0089950952802</v>
      </c>
      <c r="AV21" s="51">
        <f t="shared" si="7"/>
        <v>3010.9902306471499</v>
      </c>
      <c r="AW21" s="51">
        <f t="shared" si="7"/>
        <v>3073.8875577136901</v>
      </c>
      <c r="AX21" s="51">
        <f t="shared" si="7"/>
        <v>3126.9687416202278</v>
      </c>
      <c r="AY21" s="51">
        <f t="shared" si="7"/>
        <v>3174.2973182098699</v>
      </c>
      <c r="AZ21" s="51">
        <f t="shared" si="7"/>
        <v>3235.4454777886667</v>
      </c>
      <c r="BA21" s="51">
        <f t="shared" si="7"/>
        <v>3293.1127596534138</v>
      </c>
      <c r="BB21" s="51">
        <f t="shared" si="7"/>
        <v>3351.43664663048</v>
      </c>
      <c r="BC21" s="51">
        <f t="shared" si="7"/>
        <v>3401.1446172715982</v>
      </c>
      <c r="BD21" s="51">
        <f t="shared" si="7"/>
        <v>3453.0996121783014</v>
      </c>
      <c r="BE21" s="51">
        <f t="shared" si="7"/>
        <v>3508.1226791389295</v>
      </c>
      <c r="BF21" s="51">
        <f t="shared" si="7"/>
        <v>3559.2124763045363</v>
      </c>
      <c r="BG21" s="51">
        <f t="shared" si="7"/>
        <v>3620.7559742526655</v>
      </c>
    </row>
    <row r="22" spans="1:59" x14ac:dyDescent="0.2">
      <c r="B22" s="41" t="s">
        <v>84</v>
      </c>
      <c r="C22" s="51">
        <f>C15</f>
        <v>32.862166959604906</v>
      </c>
      <c r="D22" s="51">
        <f t="shared" ref="D22:BF22" si="8">D15</f>
        <v>36.972448918234093</v>
      </c>
      <c r="E22" s="51">
        <f t="shared" si="8"/>
        <v>37.554420814512994</v>
      </c>
      <c r="F22" s="51">
        <f t="shared" si="8"/>
        <v>48.462913885055443</v>
      </c>
      <c r="G22" s="51">
        <f t="shared" si="8"/>
        <v>52.48109090608817</v>
      </c>
      <c r="H22" s="51">
        <f t="shared" si="8"/>
        <v>59.89988911249462</v>
      </c>
      <c r="I22" s="51">
        <f t="shared" si="8"/>
        <v>59.782507146331781</v>
      </c>
      <c r="J22" s="51">
        <f t="shared" si="8"/>
        <v>64.365496620735257</v>
      </c>
      <c r="K22" s="51">
        <f t="shared" si="8"/>
        <v>66.924167689000001</v>
      </c>
      <c r="L22" s="51">
        <f t="shared" si="8"/>
        <v>65.26307954939999</v>
      </c>
      <c r="M22" s="51">
        <f t="shared" si="8"/>
        <v>83.742062340800004</v>
      </c>
      <c r="N22" s="51">
        <f t="shared" si="8"/>
        <v>94.301439972200001</v>
      </c>
      <c r="O22" s="51">
        <f t="shared" si="8"/>
        <v>107.28537506839999</v>
      </c>
      <c r="P22" s="51">
        <f t="shared" si="8"/>
        <v>106.68831212300003</v>
      </c>
      <c r="Q22" s="51">
        <f t="shared" si="8"/>
        <v>94.368619377800002</v>
      </c>
      <c r="R22" s="51">
        <f t="shared" si="8"/>
        <v>97.140359431600004</v>
      </c>
      <c r="S22" s="51">
        <f t="shared" si="8"/>
        <v>100.24229317199999</v>
      </c>
      <c r="T22" s="51">
        <f t="shared" si="8"/>
        <v>85.040546715374191</v>
      </c>
      <c r="U22" s="51">
        <f t="shared" si="8"/>
        <v>104.84780666384802</v>
      </c>
      <c r="V22" s="51">
        <f t="shared" si="8"/>
        <v>102.71241224109467</v>
      </c>
      <c r="W22" s="51">
        <f t="shared" si="8"/>
        <v>106.20153592981494</v>
      </c>
      <c r="X22" s="51">
        <f t="shared" si="8"/>
        <v>176.79080552019997</v>
      </c>
      <c r="Y22" s="51">
        <f t="shared" si="8"/>
        <v>178.22217758919999</v>
      </c>
      <c r="Z22" s="51">
        <f t="shared" si="8"/>
        <v>192.97435249219998</v>
      </c>
      <c r="AA22" s="51">
        <f t="shared" si="8"/>
        <v>135.93111286631998</v>
      </c>
      <c r="AB22" s="51">
        <f t="shared" si="8"/>
        <v>31.498999999999999</v>
      </c>
      <c r="AC22" s="51">
        <f t="shared" si="8"/>
        <v>32.604999999999997</v>
      </c>
      <c r="AD22" s="51">
        <f t="shared" si="8"/>
        <v>29.689</v>
      </c>
      <c r="AE22" s="51">
        <f t="shared" si="8"/>
        <v>31.9</v>
      </c>
      <c r="AF22" s="51">
        <f t="shared" si="8"/>
        <v>35.591000000000001</v>
      </c>
      <c r="AG22" s="51">
        <f t="shared" si="8"/>
        <v>29.704000000000001</v>
      </c>
      <c r="AH22" s="51">
        <f t="shared" si="8"/>
        <v>46.296051502485767</v>
      </c>
      <c r="AI22" s="51">
        <f t="shared" si="8"/>
        <v>68.151475190734629</v>
      </c>
      <c r="AJ22" s="51">
        <f t="shared" si="8"/>
        <v>49.510603148958836</v>
      </c>
      <c r="AK22" s="51">
        <f t="shared" si="8"/>
        <v>43.878862538840622</v>
      </c>
      <c r="AL22" s="51">
        <f t="shared" si="8"/>
        <v>31.800680380182769</v>
      </c>
      <c r="AM22" s="51">
        <f t="shared" si="8"/>
        <v>37.839016346039699</v>
      </c>
      <c r="AN22" s="51">
        <f t="shared" si="8"/>
        <v>39.34949559519427</v>
      </c>
      <c r="AO22" s="51">
        <f t="shared" si="8"/>
        <v>39.148148420582572</v>
      </c>
      <c r="AP22" s="51">
        <f t="shared" si="8"/>
        <v>39.023784975691058</v>
      </c>
      <c r="AQ22" s="51">
        <f t="shared" si="8"/>
        <v>32.949394353166014</v>
      </c>
      <c r="AR22" s="51">
        <f t="shared" si="8"/>
        <v>29.818018676756878</v>
      </c>
      <c r="AS22" s="51">
        <f t="shared" si="8"/>
        <v>37.953176063396086</v>
      </c>
      <c r="AT22" s="51">
        <f t="shared" si="8"/>
        <v>36.174573416206641</v>
      </c>
      <c r="AU22" s="51">
        <f t="shared" si="8"/>
        <v>39.409643383860868</v>
      </c>
      <c r="AV22" s="51">
        <f t="shared" si="8"/>
        <v>41.276451238384055</v>
      </c>
      <c r="AW22" s="51">
        <f t="shared" si="8"/>
        <v>41.139192957021294</v>
      </c>
      <c r="AX22" s="51">
        <f t="shared" si="8"/>
        <v>36.181645029743777</v>
      </c>
      <c r="AY22" s="51">
        <f t="shared" si="8"/>
        <v>44.069159972834825</v>
      </c>
      <c r="AZ22" s="51">
        <f t="shared" si="8"/>
        <v>44.35060562290559</v>
      </c>
      <c r="BA22" s="51">
        <f t="shared" si="8"/>
        <v>50.280993236044225</v>
      </c>
      <c r="BB22" s="51">
        <f t="shared" si="8"/>
        <v>48.379335146202436</v>
      </c>
      <c r="BC22" s="51">
        <f t="shared" si="8"/>
        <v>47.580292224572247</v>
      </c>
      <c r="BD22" s="51">
        <f t="shared" si="8"/>
        <v>45.86686854594069</v>
      </c>
      <c r="BE22" s="51">
        <f t="shared" si="8"/>
        <v>40.708969272863669</v>
      </c>
      <c r="BF22" s="51">
        <f t="shared" si="8"/>
        <v>42.403450595039942</v>
      </c>
      <c r="BG22" s="51">
        <f>BG15</f>
        <v>45.502936251449398</v>
      </c>
    </row>
    <row r="23" spans="1:59" x14ac:dyDescent="0.2">
      <c r="B23" s="41" t="s">
        <v>85</v>
      </c>
      <c r="C23" s="51">
        <f>C21-C22</f>
        <v>429.82884950813832</v>
      </c>
      <c r="D23" s="51">
        <f t="shared" ref="D23:BF23" si="9">D21-D22</f>
        <v>488.29685018497509</v>
      </c>
      <c r="E23" s="51">
        <f t="shared" si="9"/>
        <v>555.41945642473127</v>
      </c>
      <c r="F23" s="51">
        <f t="shared" si="9"/>
        <v>601.49442911902463</v>
      </c>
      <c r="G23" s="51">
        <f t="shared" si="9"/>
        <v>658.98454662572522</v>
      </c>
      <c r="H23" s="51">
        <f t="shared" si="9"/>
        <v>736.72426923488831</v>
      </c>
      <c r="I23" s="51">
        <f t="shared" si="9"/>
        <v>804.64368865630854</v>
      </c>
      <c r="J23" s="51">
        <f t="shared" si="9"/>
        <v>867.7397914564848</v>
      </c>
      <c r="K23" s="51">
        <f t="shared" si="9"/>
        <v>930.39893263185843</v>
      </c>
      <c r="L23" s="51">
        <f t="shared" si="9"/>
        <v>897.72253319020012</v>
      </c>
      <c r="M23" s="51">
        <f t="shared" si="9"/>
        <v>1027.4057419769999</v>
      </c>
      <c r="N23" s="51">
        <f t="shared" si="9"/>
        <v>1177.7802499310001</v>
      </c>
      <c r="O23" s="51">
        <f t="shared" si="9"/>
        <v>1278.1406762277998</v>
      </c>
      <c r="P23" s="51">
        <f t="shared" si="9"/>
        <v>1388.537711813</v>
      </c>
      <c r="Q23" s="51">
        <f t="shared" si="9"/>
        <v>1471.1007341228001</v>
      </c>
      <c r="R23" s="51">
        <f t="shared" si="9"/>
        <v>1381.1009154906001</v>
      </c>
      <c r="S23" s="51">
        <f t="shared" si="9"/>
        <v>1420.0962355914</v>
      </c>
      <c r="T23" s="51">
        <f t="shared" si="9"/>
        <v>1431.0967235108537</v>
      </c>
      <c r="U23" s="51">
        <f t="shared" si="9"/>
        <v>1365.8539678552261</v>
      </c>
      <c r="V23" s="51">
        <f t="shared" si="9"/>
        <v>1410.4233040371719</v>
      </c>
      <c r="W23" s="51">
        <f t="shared" si="9"/>
        <v>1422.3271094765275</v>
      </c>
      <c r="X23" s="51">
        <f t="shared" si="9"/>
        <v>1950.5216151971665</v>
      </c>
      <c r="Y23" s="51">
        <f t="shared" si="9"/>
        <v>2455.1584182039996</v>
      </c>
      <c r="Z23" s="51">
        <f t="shared" si="9"/>
        <v>2405.2960981083997</v>
      </c>
      <c r="AA23" s="51">
        <f t="shared" si="9"/>
        <v>2319.4886343232602</v>
      </c>
      <c r="AB23" s="51">
        <f t="shared" si="9"/>
        <v>2499.7444215885607</v>
      </c>
      <c r="AC23" s="51">
        <f t="shared" si="9"/>
        <v>2531.449883571659</v>
      </c>
      <c r="AD23" s="51">
        <f t="shared" si="9"/>
        <v>2116.0286835811407</v>
      </c>
      <c r="AE23" s="51">
        <f t="shared" si="9"/>
        <v>2028.1229839999996</v>
      </c>
      <c r="AF23" s="51">
        <f t="shared" si="9"/>
        <v>2298.3992010000002</v>
      </c>
      <c r="AG23" s="51">
        <f t="shared" si="9"/>
        <v>2234.9429284231996</v>
      </c>
      <c r="AH23" s="51">
        <f t="shared" si="9"/>
        <v>2263.4066445430462</v>
      </c>
      <c r="AI23" s="51">
        <f t="shared" si="9"/>
        <v>2302.5101688941281</v>
      </c>
      <c r="AJ23" s="51">
        <f t="shared" si="9"/>
        <v>2388.7612922455696</v>
      </c>
      <c r="AK23" s="51">
        <f t="shared" si="9"/>
        <v>2442.8522539745518</v>
      </c>
      <c r="AL23" s="51">
        <f t="shared" si="9"/>
        <v>2466.2761649794584</v>
      </c>
      <c r="AM23" s="51">
        <f t="shared" si="9"/>
        <v>2501.0774184749012</v>
      </c>
      <c r="AN23" s="51">
        <f t="shared" si="9"/>
        <v>2572.9390755320915</v>
      </c>
      <c r="AO23" s="51">
        <f t="shared" si="9"/>
        <v>2642.0580309951406</v>
      </c>
      <c r="AP23" s="51">
        <f t="shared" si="9"/>
        <v>2677.0825561423985</v>
      </c>
      <c r="AQ23" s="51">
        <f t="shared" si="9"/>
        <v>2751.7045973513241</v>
      </c>
      <c r="AR23" s="51">
        <f t="shared" si="9"/>
        <v>2770.8638734884644</v>
      </c>
      <c r="AS23" s="51">
        <f t="shared" si="9"/>
        <v>2807.0430414591265</v>
      </c>
      <c r="AT23" s="51">
        <f t="shared" si="9"/>
        <v>2881.7597397592431</v>
      </c>
      <c r="AU23" s="51">
        <f t="shared" si="9"/>
        <v>2910.5993517114193</v>
      </c>
      <c r="AV23" s="51">
        <f t="shared" si="9"/>
        <v>2969.7137794087657</v>
      </c>
      <c r="AW23" s="51">
        <f t="shared" si="9"/>
        <v>3032.7483647566687</v>
      </c>
      <c r="AX23" s="51">
        <f t="shared" si="9"/>
        <v>3090.787096590484</v>
      </c>
      <c r="AY23" s="51">
        <f t="shared" si="9"/>
        <v>3130.2281582370351</v>
      </c>
      <c r="AZ23" s="51">
        <f t="shared" si="9"/>
        <v>3191.094872165761</v>
      </c>
      <c r="BA23" s="51">
        <f t="shared" si="9"/>
        <v>3242.8317664173696</v>
      </c>
      <c r="BB23" s="51">
        <f t="shared" si="9"/>
        <v>3303.0573114842778</v>
      </c>
      <c r="BC23" s="51">
        <f t="shared" si="9"/>
        <v>3353.5643250470262</v>
      </c>
      <c r="BD23" s="51">
        <f t="shared" si="9"/>
        <v>3407.2327436323608</v>
      </c>
      <c r="BE23" s="51">
        <f t="shared" si="9"/>
        <v>3467.4137098660658</v>
      </c>
      <c r="BF23" s="51">
        <f t="shared" si="9"/>
        <v>3516.8090257094964</v>
      </c>
      <c r="BG23" s="51">
        <f>BG21-BG22</f>
        <v>3575.2530380012163</v>
      </c>
    </row>
    <row r="24" spans="1:59" x14ac:dyDescent="0.2">
      <c r="B24" s="70" t="s">
        <v>86</v>
      </c>
      <c r="C24" s="52" t="e">
        <f>C23-C14</f>
        <v>#REF!</v>
      </c>
      <c r="D24" s="52" t="e">
        <f t="shared" ref="D24:BF24" si="10">D23-D14</f>
        <v>#REF!</v>
      </c>
      <c r="E24" s="52" t="e">
        <f t="shared" si="10"/>
        <v>#REF!</v>
      </c>
      <c r="F24" s="52" t="e">
        <f t="shared" si="10"/>
        <v>#REF!</v>
      </c>
      <c r="G24" s="52" t="e">
        <f t="shared" si="10"/>
        <v>#REF!</v>
      </c>
      <c r="H24" s="52" t="e">
        <f t="shared" si="10"/>
        <v>#REF!</v>
      </c>
      <c r="I24" s="52" t="e">
        <f t="shared" si="10"/>
        <v>#REF!</v>
      </c>
      <c r="J24" s="52" t="e">
        <f t="shared" si="10"/>
        <v>#REF!</v>
      </c>
      <c r="K24" s="52" t="e">
        <f t="shared" si="10"/>
        <v>#REF!</v>
      </c>
      <c r="L24" s="52" t="e">
        <f t="shared" si="10"/>
        <v>#REF!</v>
      </c>
      <c r="M24" s="52" t="e">
        <f t="shared" si="10"/>
        <v>#REF!</v>
      </c>
      <c r="N24" s="52" t="e">
        <f t="shared" si="10"/>
        <v>#REF!</v>
      </c>
      <c r="O24" s="52" t="e">
        <f t="shared" si="10"/>
        <v>#REF!</v>
      </c>
      <c r="P24" s="52" t="e">
        <f t="shared" si="10"/>
        <v>#REF!</v>
      </c>
      <c r="Q24" s="52" t="e">
        <f t="shared" si="10"/>
        <v>#REF!</v>
      </c>
      <c r="R24" s="52" t="e">
        <f t="shared" si="10"/>
        <v>#REF!</v>
      </c>
      <c r="S24" s="52" t="e">
        <f t="shared" si="10"/>
        <v>#REF!</v>
      </c>
      <c r="T24" s="52" t="e">
        <f t="shared" si="10"/>
        <v>#REF!</v>
      </c>
      <c r="U24" s="52" t="e">
        <f t="shared" si="10"/>
        <v>#REF!</v>
      </c>
      <c r="V24" s="52" t="e">
        <f t="shared" si="10"/>
        <v>#REF!</v>
      </c>
      <c r="W24" s="52" t="e">
        <f t="shared" si="10"/>
        <v>#REF!</v>
      </c>
      <c r="X24" s="52" t="e">
        <f t="shared" si="10"/>
        <v>#REF!</v>
      </c>
      <c r="Y24" s="52" t="e">
        <f t="shared" si="10"/>
        <v>#REF!</v>
      </c>
      <c r="Z24" s="52" t="e">
        <f t="shared" si="10"/>
        <v>#REF!</v>
      </c>
      <c r="AA24" s="52" t="e">
        <f t="shared" si="10"/>
        <v>#REF!</v>
      </c>
      <c r="AB24" s="52">
        <f t="shared" si="10"/>
        <v>0</v>
      </c>
      <c r="AC24" s="52">
        <f t="shared" si="10"/>
        <v>0</v>
      </c>
      <c r="AD24" s="52">
        <f t="shared" si="10"/>
        <v>0</v>
      </c>
      <c r="AE24" s="52">
        <f t="shared" si="10"/>
        <v>0</v>
      </c>
      <c r="AF24" s="52">
        <f t="shared" si="10"/>
        <v>0</v>
      </c>
      <c r="AG24" s="52">
        <f t="shared" si="10"/>
        <v>0</v>
      </c>
      <c r="AH24" s="52">
        <f t="shared" si="10"/>
        <v>0</v>
      </c>
      <c r="AI24" s="52">
        <f t="shared" si="10"/>
        <v>0</v>
      </c>
      <c r="AJ24" s="52">
        <f t="shared" si="10"/>
        <v>0</v>
      </c>
      <c r="AK24" s="52">
        <f t="shared" si="10"/>
        <v>0</v>
      </c>
      <c r="AL24" s="52">
        <f t="shared" si="10"/>
        <v>0</v>
      </c>
      <c r="AM24" s="52">
        <f t="shared" si="10"/>
        <v>0</v>
      </c>
      <c r="AN24" s="52">
        <f t="shared" si="10"/>
        <v>0</v>
      </c>
      <c r="AO24" s="52">
        <f t="shared" si="10"/>
        <v>0</v>
      </c>
      <c r="AP24" s="52">
        <f t="shared" si="10"/>
        <v>0</v>
      </c>
      <c r="AQ24" s="52">
        <f t="shared" si="10"/>
        <v>0</v>
      </c>
      <c r="AR24" s="52">
        <f t="shared" si="10"/>
        <v>0</v>
      </c>
      <c r="AS24" s="52">
        <f t="shared" si="10"/>
        <v>0</v>
      </c>
      <c r="AT24" s="52">
        <f t="shared" si="10"/>
        <v>0</v>
      </c>
      <c r="AU24" s="52">
        <f t="shared" si="10"/>
        <v>0</v>
      </c>
      <c r="AV24" s="52">
        <f t="shared" si="10"/>
        <v>0</v>
      </c>
      <c r="AW24" s="52">
        <f t="shared" si="10"/>
        <v>0</v>
      </c>
      <c r="AX24" s="52">
        <f t="shared" si="10"/>
        <v>0</v>
      </c>
      <c r="AY24" s="52">
        <f t="shared" si="10"/>
        <v>0</v>
      </c>
      <c r="AZ24" s="52">
        <f t="shared" si="10"/>
        <v>0</v>
      </c>
      <c r="BA24" s="52">
        <f t="shared" si="10"/>
        <v>0</v>
      </c>
      <c r="BB24" s="52">
        <f t="shared" si="10"/>
        <v>0</v>
      </c>
      <c r="BC24" s="52">
        <f t="shared" si="10"/>
        <v>0</v>
      </c>
      <c r="BD24" s="52">
        <f t="shared" si="10"/>
        <v>0</v>
      </c>
      <c r="BE24" s="52">
        <f t="shared" si="10"/>
        <v>0</v>
      </c>
      <c r="BF24" s="52">
        <f t="shared" si="10"/>
        <v>0</v>
      </c>
      <c r="BG24" s="52">
        <f>BG23-BG14</f>
        <v>0</v>
      </c>
    </row>
    <row r="25" spans="1:59" x14ac:dyDescent="0.2">
      <c r="B25" s="41" t="s">
        <v>79</v>
      </c>
      <c r="C25" s="51">
        <f>C13</f>
        <v>39.572303513400001</v>
      </c>
      <c r="D25" s="51">
        <f t="shared" ref="D25:BF25" si="11">D13</f>
        <v>55.001571042599998</v>
      </c>
      <c r="E25" s="51">
        <f t="shared" si="11"/>
        <v>61.502119471800007</v>
      </c>
      <c r="F25" s="51">
        <f t="shared" si="11"/>
        <v>69.032667299400003</v>
      </c>
      <c r="G25" s="51">
        <f t="shared" si="11"/>
        <v>64.012302081000001</v>
      </c>
      <c r="H25" s="51">
        <f t="shared" si="11"/>
        <v>86.374223951400012</v>
      </c>
      <c r="I25" s="51">
        <f t="shared" si="11"/>
        <v>62.37382701060001</v>
      </c>
      <c r="J25" s="51">
        <f t="shared" si="11"/>
        <v>68.121937951199996</v>
      </c>
      <c r="K25" s="51">
        <f t="shared" si="11"/>
        <v>83.822153524200004</v>
      </c>
      <c r="L25" s="51">
        <f t="shared" si="11"/>
        <v>73.549055928599998</v>
      </c>
      <c r="M25" s="51">
        <f t="shared" si="11"/>
        <v>41.8265295084</v>
      </c>
      <c r="N25" s="51">
        <f t="shared" si="11"/>
        <v>67.743404353800003</v>
      </c>
      <c r="O25" s="51">
        <f t="shared" si="11"/>
        <v>60.450955702200005</v>
      </c>
      <c r="P25" s="51">
        <f t="shared" si="11"/>
        <v>207.52239163320002</v>
      </c>
      <c r="Q25" s="51">
        <f t="shared" si="11"/>
        <v>138.796387254</v>
      </c>
      <c r="R25" s="51">
        <f t="shared" si="11"/>
        <v>87.461543521799996</v>
      </c>
      <c r="S25" s="51">
        <f t="shared" si="11"/>
        <v>100.934209026</v>
      </c>
      <c r="T25" s="51">
        <f t="shared" si="11"/>
        <v>134.07430739219998</v>
      </c>
      <c r="U25" s="51">
        <f t="shared" si="11"/>
        <v>62.655798164400004</v>
      </c>
      <c r="V25" s="51">
        <f t="shared" si="11"/>
        <v>45.963282229199997</v>
      </c>
      <c r="W25" s="51">
        <f t="shared" si="11"/>
        <v>48.829952215800013</v>
      </c>
      <c r="X25" s="51">
        <f t="shared" si="11"/>
        <v>43.221614310000007</v>
      </c>
      <c r="Y25" s="51">
        <f t="shared" si="11"/>
        <v>53.791674489000002</v>
      </c>
      <c r="Z25" s="51">
        <f t="shared" si="11"/>
        <v>70.774539141600016</v>
      </c>
      <c r="AA25" s="51">
        <f t="shared" si="11"/>
        <v>39.513540281559997</v>
      </c>
      <c r="AB25" s="51">
        <f t="shared" si="11"/>
        <v>28.367571774380004</v>
      </c>
      <c r="AC25" s="51">
        <f t="shared" si="11"/>
        <v>41.889620926879992</v>
      </c>
      <c r="AD25" s="51">
        <f t="shared" si="11"/>
        <v>37.583168925400003</v>
      </c>
      <c r="AE25" s="51">
        <f t="shared" si="11"/>
        <v>37.577144000000004</v>
      </c>
      <c r="AF25" s="51">
        <f t="shared" si="11"/>
        <v>42.354931858480008</v>
      </c>
      <c r="AG25" s="51">
        <f t="shared" si="11"/>
        <v>52.504623649500004</v>
      </c>
      <c r="AH25" s="51">
        <f t="shared" si="11"/>
        <v>48.564523850228248</v>
      </c>
      <c r="AI25" s="51">
        <f t="shared" si="11"/>
        <v>50.494120256173389</v>
      </c>
      <c r="AJ25" s="51">
        <f t="shared" si="11"/>
        <v>49.670893662138134</v>
      </c>
      <c r="AK25" s="51">
        <f t="shared" si="11"/>
        <v>50.127822989601619</v>
      </c>
      <c r="AL25" s="51">
        <f t="shared" si="11"/>
        <v>49.964674734919392</v>
      </c>
      <c r="AM25" s="51">
        <f t="shared" si="11"/>
        <v>50.219977803601424</v>
      </c>
      <c r="AN25" s="51">
        <f t="shared" si="11"/>
        <v>49.764407098612168</v>
      </c>
      <c r="AO25" s="51">
        <f t="shared" si="11"/>
        <v>50.095497889286783</v>
      </c>
      <c r="AP25" s="51">
        <f t="shared" si="11"/>
        <v>49.949555257774541</v>
      </c>
      <c r="AQ25" s="51">
        <f t="shared" si="11"/>
        <v>50.034476103204277</v>
      </c>
      <c r="AR25" s="51">
        <f t="shared" si="11"/>
        <v>49.99882255683886</v>
      </c>
      <c r="AS25" s="51">
        <f t="shared" si="11"/>
        <v>50.012782830495837</v>
      </c>
      <c r="AT25" s="51">
        <f t="shared" si="11"/>
        <v>49.968551781143319</v>
      </c>
      <c r="AU25" s="51">
        <f t="shared" si="11"/>
        <v>50.018226927520068</v>
      </c>
      <c r="AV25" s="51">
        <f t="shared" si="11"/>
        <v>49.992837705891375</v>
      </c>
      <c r="AW25" s="51">
        <f t="shared" si="11"/>
        <v>50.006572039840478</v>
      </c>
      <c r="AX25" s="51">
        <f t="shared" si="11"/>
        <v>49.998244360377889</v>
      </c>
      <c r="AY25" s="51">
        <f t="shared" si="11"/>
        <v>49.99979425697822</v>
      </c>
      <c r="AZ25" s="51">
        <f t="shared" si="11"/>
        <v>49.996886562954622</v>
      </c>
      <c r="BA25" s="51">
        <f t="shared" si="11"/>
        <v>50.0031350581216</v>
      </c>
      <c r="BB25" s="51">
        <f t="shared" si="11"/>
        <v>49.998866985208515</v>
      </c>
      <c r="BC25" s="51">
        <f t="shared" si="11"/>
        <v>50.000926455654565</v>
      </c>
      <c r="BD25" s="51">
        <f t="shared" si="11"/>
        <v>49.999385444728169</v>
      </c>
      <c r="BE25" s="51">
        <f t="shared" si="11"/>
        <v>49.999921863783506</v>
      </c>
      <c r="BF25" s="51">
        <f t="shared" si="11"/>
        <v>49.999840101333497</v>
      </c>
      <c r="BG25" s="51">
        <f>BG13</f>
        <v>50.000447161499274</v>
      </c>
    </row>
    <row r="26" spans="1:59" x14ac:dyDescent="0.2">
      <c r="B26" s="41" t="s">
        <v>157</v>
      </c>
      <c r="C26" s="51">
        <f>C23-C25</f>
        <v>390.2565459947383</v>
      </c>
      <c r="D26" s="51">
        <f t="shared" ref="D26:BF26" si="12">D23-D25</f>
        <v>433.29527914237508</v>
      </c>
      <c r="E26" s="51">
        <f t="shared" si="12"/>
        <v>493.91733695293124</v>
      </c>
      <c r="F26" s="51">
        <f t="shared" si="12"/>
        <v>532.4617618196246</v>
      </c>
      <c r="G26" s="51">
        <f t="shared" si="12"/>
        <v>594.97224454472519</v>
      </c>
      <c r="H26" s="51">
        <f t="shared" si="12"/>
        <v>650.35004528348827</v>
      </c>
      <c r="I26" s="51">
        <f t="shared" si="12"/>
        <v>742.26986164570849</v>
      </c>
      <c r="J26" s="51">
        <f t="shared" si="12"/>
        <v>799.61785350528476</v>
      </c>
      <c r="K26" s="51">
        <f t="shared" si="12"/>
        <v>846.57677910765847</v>
      </c>
      <c r="L26" s="51">
        <f t="shared" si="12"/>
        <v>824.17347726160017</v>
      </c>
      <c r="M26" s="51">
        <f t="shared" si="12"/>
        <v>985.57921246859996</v>
      </c>
      <c r="N26" s="51">
        <f t="shared" si="12"/>
        <v>1110.0368455772</v>
      </c>
      <c r="O26" s="51">
        <f t="shared" si="12"/>
        <v>1217.6897205255998</v>
      </c>
      <c r="P26" s="51">
        <f t="shared" si="12"/>
        <v>1181.0153201798</v>
      </c>
      <c r="Q26" s="51">
        <f t="shared" si="12"/>
        <v>1332.3043468688002</v>
      </c>
      <c r="R26" s="51">
        <f t="shared" si="12"/>
        <v>1293.6393719688001</v>
      </c>
      <c r="S26" s="51">
        <f t="shared" si="12"/>
        <v>1319.1620265654001</v>
      </c>
      <c r="T26" s="51">
        <f t="shared" si="12"/>
        <v>1297.0224161186538</v>
      </c>
      <c r="U26" s="51">
        <f t="shared" si="12"/>
        <v>1303.198169690826</v>
      </c>
      <c r="V26" s="51">
        <f t="shared" si="12"/>
        <v>1364.4600218079718</v>
      </c>
      <c r="W26" s="51">
        <f t="shared" si="12"/>
        <v>1373.4971572607276</v>
      </c>
      <c r="X26" s="51">
        <f t="shared" si="12"/>
        <v>1907.3000008871666</v>
      </c>
      <c r="Y26" s="51">
        <f t="shared" si="12"/>
        <v>2401.3667437149998</v>
      </c>
      <c r="Z26" s="51">
        <f t="shared" si="12"/>
        <v>2334.5215589667996</v>
      </c>
      <c r="AA26" s="51">
        <f t="shared" si="12"/>
        <v>2279.9750940417002</v>
      </c>
      <c r="AB26" s="51">
        <f t="shared" si="12"/>
        <v>2471.3768498141808</v>
      </c>
      <c r="AC26" s="51">
        <f t="shared" si="12"/>
        <v>2489.560262644779</v>
      </c>
      <c r="AD26" s="51">
        <f t="shared" si="12"/>
        <v>2078.4455146557407</v>
      </c>
      <c r="AE26" s="51">
        <f t="shared" si="12"/>
        <v>1990.5458399999995</v>
      </c>
      <c r="AF26" s="51">
        <f t="shared" si="12"/>
        <v>2256.0442691415201</v>
      </c>
      <c r="AG26" s="51">
        <f t="shared" si="12"/>
        <v>2182.4383047736997</v>
      </c>
      <c r="AH26" s="51">
        <f t="shared" si="12"/>
        <v>2214.8421206928178</v>
      </c>
      <c r="AI26" s="51">
        <f t="shared" si="12"/>
        <v>2252.0160486379546</v>
      </c>
      <c r="AJ26" s="51">
        <f t="shared" si="12"/>
        <v>2339.0903985834316</v>
      </c>
      <c r="AK26" s="51">
        <f t="shared" si="12"/>
        <v>2392.7244309849502</v>
      </c>
      <c r="AL26" s="51">
        <f t="shared" si="12"/>
        <v>2416.3114902445391</v>
      </c>
      <c r="AM26" s="51">
        <f t="shared" si="12"/>
        <v>2450.8574406712996</v>
      </c>
      <c r="AN26" s="51">
        <f t="shared" si="12"/>
        <v>2523.1746684334794</v>
      </c>
      <c r="AO26" s="51">
        <f t="shared" si="12"/>
        <v>2591.9625331058537</v>
      </c>
      <c r="AP26" s="51">
        <f t="shared" si="12"/>
        <v>2627.1330008846239</v>
      </c>
      <c r="AQ26" s="51">
        <f t="shared" si="12"/>
        <v>2701.6701212481198</v>
      </c>
      <c r="AR26" s="51">
        <f t="shared" si="12"/>
        <v>2720.8650509316253</v>
      </c>
      <c r="AS26" s="51">
        <f t="shared" si="12"/>
        <v>2757.0302586286307</v>
      </c>
      <c r="AT26" s="51">
        <f t="shared" si="12"/>
        <v>2831.7911879781</v>
      </c>
      <c r="AU26" s="51">
        <f t="shared" si="12"/>
        <v>2860.5811247838992</v>
      </c>
      <c r="AV26" s="51">
        <f t="shared" si="12"/>
        <v>2919.7209417028744</v>
      </c>
      <c r="AW26" s="51">
        <f t="shared" si="12"/>
        <v>2982.7417927168281</v>
      </c>
      <c r="AX26" s="51">
        <f t="shared" si="12"/>
        <v>3040.7888522301059</v>
      </c>
      <c r="AY26" s="51">
        <f t="shared" si="12"/>
        <v>3080.2283639800571</v>
      </c>
      <c r="AZ26" s="51">
        <f t="shared" si="12"/>
        <v>3141.0979856028061</v>
      </c>
      <c r="BA26" s="51">
        <f t="shared" si="12"/>
        <v>3192.828631359248</v>
      </c>
      <c r="BB26" s="51">
        <f t="shared" si="12"/>
        <v>3253.0584444990691</v>
      </c>
      <c r="BC26" s="51">
        <f t="shared" si="12"/>
        <v>3303.5633985913714</v>
      </c>
      <c r="BD26" s="51">
        <f t="shared" si="12"/>
        <v>3357.2333581876328</v>
      </c>
      <c r="BE26" s="51">
        <f t="shared" si="12"/>
        <v>3417.4137880022822</v>
      </c>
      <c r="BF26" s="51">
        <f t="shared" si="12"/>
        <v>3466.8091856081628</v>
      </c>
      <c r="BG26" s="51">
        <f>BG23-BG25</f>
        <v>3525.252590839717</v>
      </c>
    </row>
    <row r="27" spans="1:59" x14ac:dyDescent="0.2">
      <c r="B27" s="70" t="s">
        <v>86</v>
      </c>
      <c r="C27" s="52" t="e">
        <f t="shared" ref="C27:BG27" si="13">C26-C8</f>
        <v>#REF!</v>
      </c>
      <c r="D27" s="52" t="e">
        <f t="shared" si="13"/>
        <v>#REF!</v>
      </c>
      <c r="E27" s="52" t="e">
        <f t="shared" si="13"/>
        <v>#REF!</v>
      </c>
      <c r="F27" s="52" t="e">
        <f t="shared" si="13"/>
        <v>#REF!</v>
      </c>
      <c r="G27" s="52" t="e">
        <f t="shared" si="13"/>
        <v>#REF!</v>
      </c>
      <c r="H27" s="52" t="e">
        <f t="shared" si="13"/>
        <v>#REF!</v>
      </c>
      <c r="I27" s="52" t="e">
        <f t="shared" si="13"/>
        <v>#REF!</v>
      </c>
      <c r="J27" s="52" t="e">
        <f t="shared" si="13"/>
        <v>#REF!</v>
      </c>
      <c r="K27" s="52" t="e">
        <f t="shared" si="13"/>
        <v>#REF!</v>
      </c>
      <c r="L27" s="52" t="e">
        <f t="shared" si="13"/>
        <v>#REF!</v>
      </c>
      <c r="M27" s="52" t="e">
        <f t="shared" si="13"/>
        <v>#REF!</v>
      </c>
      <c r="N27" s="52" t="e">
        <f t="shared" si="13"/>
        <v>#REF!</v>
      </c>
      <c r="O27" s="52" t="e">
        <f t="shared" si="13"/>
        <v>#REF!</v>
      </c>
      <c r="P27" s="52" t="e">
        <f t="shared" si="13"/>
        <v>#REF!</v>
      </c>
      <c r="Q27" s="52" t="e">
        <f t="shared" si="13"/>
        <v>#REF!</v>
      </c>
      <c r="R27" s="52" t="e">
        <f t="shared" si="13"/>
        <v>#REF!</v>
      </c>
      <c r="S27" s="52" t="e">
        <f t="shared" si="13"/>
        <v>#REF!</v>
      </c>
      <c r="T27" s="52" t="e">
        <f t="shared" si="13"/>
        <v>#REF!</v>
      </c>
      <c r="U27" s="52" t="e">
        <f t="shared" si="13"/>
        <v>#REF!</v>
      </c>
      <c r="V27" s="52" t="e">
        <f t="shared" si="13"/>
        <v>#REF!</v>
      </c>
      <c r="W27" s="52" t="e">
        <f t="shared" si="13"/>
        <v>#REF!</v>
      </c>
      <c r="X27" s="52" t="e">
        <f t="shared" si="13"/>
        <v>#REF!</v>
      </c>
      <c r="Y27" s="52" t="e">
        <f t="shared" si="13"/>
        <v>#REF!</v>
      </c>
      <c r="Z27" s="52" t="e">
        <f t="shared" si="13"/>
        <v>#REF!</v>
      </c>
      <c r="AA27" s="52" t="e">
        <f t="shared" si="13"/>
        <v>#REF!</v>
      </c>
      <c r="AB27" s="52">
        <f t="shared" si="13"/>
        <v>0</v>
      </c>
      <c r="AC27" s="52">
        <f t="shared" si="13"/>
        <v>0</v>
      </c>
      <c r="AD27" s="52">
        <f t="shared" si="13"/>
        <v>0</v>
      </c>
      <c r="AE27" s="52">
        <f t="shared" si="13"/>
        <v>0</v>
      </c>
      <c r="AF27" s="52">
        <f t="shared" si="13"/>
        <v>0</v>
      </c>
      <c r="AG27" s="52">
        <f t="shared" si="13"/>
        <v>0</v>
      </c>
      <c r="AH27" s="52">
        <f t="shared" si="13"/>
        <v>0</v>
      </c>
      <c r="AI27" s="52">
        <f t="shared" si="13"/>
        <v>0</v>
      </c>
      <c r="AJ27" s="52">
        <f t="shared" si="13"/>
        <v>0</v>
      </c>
      <c r="AK27" s="52">
        <f t="shared" si="13"/>
        <v>0</v>
      </c>
      <c r="AL27" s="52">
        <f t="shared" si="13"/>
        <v>0</v>
      </c>
      <c r="AM27" s="52">
        <f t="shared" si="13"/>
        <v>0</v>
      </c>
      <c r="AN27" s="52">
        <f t="shared" si="13"/>
        <v>0</v>
      </c>
      <c r="AO27" s="52">
        <f t="shared" si="13"/>
        <v>0</v>
      </c>
      <c r="AP27" s="52">
        <f t="shared" si="13"/>
        <v>0</v>
      </c>
      <c r="AQ27" s="52">
        <f t="shared" si="13"/>
        <v>0</v>
      </c>
      <c r="AR27" s="52">
        <f t="shared" si="13"/>
        <v>0</v>
      </c>
      <c r="AS27" s="52">
        <f t="shared" si="13"/>
        <v>0</v>
      </c>
      <c r="AT27" s="52">
        <f t="shared" si="13"/>
        <v>0</v>
      </c>
      <c r="AU27" s="52">
        <f t="shared" si="13"/>
        <v>0</v>
      </c>
      <c r="AV27" s="52">
        <f t="shared" si="13"/>
        <v>0</v>
      </c>
      <c r="AW27" s="52">
        <f t="shared" si="13"/>
        <v>0</v>
      </c>
      <c r="AX27" s="52">
        <f t="shared" si="13"/>
        <v>0</v>
      </c>
      <c r="AY27" s="52">
        <f t="shared" si="13"/>
        <v>0</v>
      </c>
      <c r="AZ27" s="52">
        <f t="shared" si="13"/>
        <v>0</v>
      </c>
      <c r="BA27" s="52">
        <f t="shared" si="13"/>
        <v>0</v>
      </c>
      <c r="BB27" s="52">
        <f t="shared" si="13"/>
        <v>0</v>
      </c>
      <c r="BC27" s="52">
        <f t="shared" si="13"/>
        <v>0</v>
      </c>
      <c r="BD27" s="52">
        <f t="shared" si="13"/>
        <v>0</v>
      </c>
      <c r="BE27" s="52">
        <f t="shared" si="13"/>
        <v>0</v>
      </c>
      <c r="BF27" s="52">
        <f t="shared" si="13"/>
        <v>0</v>
      </c>
      <c r="BG27" s="52">
        <f t="shared" si="13"/>
        <v>0</v>
      </c>
    </row>
    <row r="28" spans="1:59" x14ac:dyDescent="0.2">
      <c r="B28" s="41" t="s">
        <v>158</v>
      </c>
      <c r="C28" s="51" t="e">
        <f t="shared" ref="C28:BG28" si="14">C9</f>
        <v>#REF!</v>
      </c>
      <c r="D28" s="51" t="e">
        <f t="shared" si="14"/>
        <v>#REF!</v>
      </c>
      <c r="E28" s="51" t="e">
        <f t="shared" si="14"/>
        <v>#REF!</v>
      </c>
      <c r="F28" s="51" t="e">
        <f t="shared" si="14"/>
        <v>#REF!</v>
      </c>
      <c r="G28" s="51" t="e">
        <f t="shared" si="14"/>
        <v>#REF!</v>
      </c>
      <c r="H28" s="51" t="e">
        <f t="shared" si="14"/>
        <v>#REF!</v>
      </c>
      <c r="I28" s="51" t="e">
        <f t="shared" si="14"/>
        <v>#REF!</v>
      </c>
      <c r="J28" s="51" t="e">
        <f t="shared" si="14"/>
        <v>#REF!</v>
      </c>
      <c r="K28" s="51" t="e">
        <f t="shared" si="14"/>
        <v>#REF!</v>
      </c>
      <c r="L28" s="51" t="e">
        <f t="shared" si="14"/>
        <v>#REF!</v>
      </c>
      <c r="M28" s="51" t="e">
        <f t="shared" si="14"/>
        <v>#REF!</v>
      </c>
      <c r="N28" s="51" t="e">
        <f t="shared" si="14"/>
        <v>#REF!</v>
      </c>
      <c r="O28" s="51" t="e">
        <f t="shared" si="14"/>
        <v>#REF!</v>
      </c>
      <c r="P28" s="51" t="e">
        <f t="shared" si="14"/>
        <v>#REF!</v>
      </c>
      <c r="Q28" s="51" t="e">
        <f t="shared" si="14"/>
        <v>#REF!</v>
      </c>
      <c r="R28" s="51" t="e">
        <f t="shared" si="14"/>
        <v>#REF!</v>
      </c>
      <c r="S28" s="51" t="e">
        <f t="shared" si="14"/>
        <v>#REF!</v>
      </c>
      <c r="T28" s="51" t="e">
        <f t="shared" si="14"/>
        <v>#REF!</v>
      </c>
      <c r="U28" s="51" t="e">
        <f t="shared" si="14"/>
        <v>#REF!</v>
      </c>
      <c r="V28" s="51" t="e">
        <f t="shared" si="14"/>
        <v>#REF!</v>
      </c>
      <c r="W28" s="51" t="e">
        <f t="shared" si="14"/>
        <v>#REF!</v>
      </c>
      <c r="X28" s="51" t="e">
        <f t="shared" si="14"/>
        <v>#REF!</v>
      </c>
      <c r="Y28" s="51" t="e">
        <f t="shared" si="14"/>
        <v>#REF!</v>
      </c>
      <c r="Z28" s="51" t="e">
        <f t="shared" si="14"/>
        <v>#REF!</v>
      </c>
      <c r="AA28" s="51" t="e">
        <f t="shared" si="14"/>
        <v>#REF!</v>
      </c>
      <c r="AB28" s="51">
        <f t="shared" si="14"/>
        <v>163.00166666666669</v>
      </c>
      <c r="AC28" s="51">
        <f t="shared" si="14"/>
        <v>167.94402829629274</v>
      </c>
      <c r="AD28" s="51">
        <f t="shared" si="14"/>
        <v>307.34500000000003</v>
      </c>
      <c r="AE28" s="51">
        <f t="shared" si="14"/>
        <v>161.572</v>
      </c>
      <c r="AF28" s="51">
        <f t="shared" si="14"/>
        <v>158.77799999999999</v>
      </c>
      <c r="AG28" s="51">
        <f t="shared" si="14"/>
        <v>252.40347090898456</v>
      </c>
      <c r="AH28" s="51">
        <f t="shared" si="14"/>
        <v>207.96577540573344</v>
      </c>
      <c r="AI28" s="51">
        <f t="shared" si="14"/>
        <v>209.03552447763238</v>
      </c>
      <c r="AJ28" s="51">
        <f t="shared" si="14"/>
        <v>199.92955637148293</v>
      </c>
      <c r="AK28" s="51">
        <f t="shared" si="14"/>
        <v>173.32163025496172</v>
      </c>
      <c r="AL28" s="51">
        <f t="shared" si="14"/>
        <v>204.37194960043271</v>
      </c>
      <c r="AM28" s="51">
        <f t="shared" si="14"/>
        <v>207.44025620360054</v>
      </c>
      <c r="AN28" s="51">
        <f t="shared" si="14"/>
        <v>212.46457530664043</v>
      </c>
      <c r="AO28" s="51">
        <f t="shared" si="14"/>
        <v>235.26557011997656</v>
      </c>
      <c r="AP28" s="51">
        <f t="shared" si="14"/>
        <v>229.37836075628539</v>
      </c>
      <c r="AQ28" s="51">
        <f t="shared" si="14"/>
        <v>227.6617284236894</v>
      </c>
      <c r="AR28" s="51">
        <f t="shared" si="14"/>
        <v>226.52607336165181</v>
      </c>
      <c r="AS28" s="51">
        <f t="shared" si="14"/>
        <v>195.32463709898644</v>
      </c>
      <c r="AT28" s="51">
        <f t="shared" si="14"/>
        <v>181.55280432518754</v>
      </c>
      <c r="AU28" s="51">
        <f t="shared" si="14"/>
        <v>190.04650930327745</v>
      </c>
      <c r="AV28" s="51">
        <f t="shared" si="14"/>
        <v>188.28325188589167</v>
      </c>
      <c r="AW28" s="51">
        <f t="shared" si="14"/>
        <v>181.64652996856492</v>
      </c>
      <c r="AX28" s="51">
        <f t="shared" si="14"/>
        <v>185.66147991441107</v>
      </c>
      <c r="AY28" s="51">
        <f t="shared" si="14"/>
        <v>188.47384973435487</v>
      </c>
      <c r="AZ28" s="51">
        <f t="shared" si="14"/>
        <v>192.99035786960218</v>
      </c>
      <c r="BA28" s="51">
        <f t="shared" si="14"/>
        <v>194.12103099158315</v>
      </c>
      <c r="BB28" s="51">
        <f t="shared" si="14"/>
        <v>193.79337989070484</v>
      </c>
      <c r="BC28" s="51">
        <f t="shared" si="14"/>
        <v>191.08938780669303</v>
      </c>
      <c r="BD28" s="51">
        <f t="shared" si="14"/>
        <v>193.33707918931339</v>
      </c>
      <c r="BE28" s="51">
        <f t="shared" si="14"/>
        <v>195.38393832771328</v>
      </c>
      <c r="BF28" s="51">
        <f t="shared" si="14"/>
        <v>197.5201536788831</v>
      </c>
      <c r="BG28" s="51">
        <f t="shared" si="14"/>
        <v>200.16589736411282</v>
      </c>
    </row>
    <row r="29" spans="1:59" x14ac:dyDescent="0.2">
      <c r="B29" s="41" t="s">
        <v>159</v>
      </c>
      <c r="C29" s="51" t="e">
        <f>C26-C28</f>
        <v>#REF!</v>
      </c>
      <c r="D29" s="51" t="e">
        <f t="shared" ref="D29:BF29" si="15">D26-D28</f>
        <v>#REF!</v>
      </c>
      <c r="E29" s="51" t="e">
        <f t="shared" si="15"/>
        <v>#REF!</v>
      </c>
      <c r="F29" s="51" t="e">
        <f t="shared" si="15"/>
        <v>#REF!</v>
      </c>
      <c r="G29" s="51" t="e">
        <f t="shared" si="15"/>
        <v>#REF!</v>
      </c>
      <c r="H29" s="51" t="e">
        <f t="shared" si="15"/>
        <v>#REF!</v>
      </c>
      <c r="I29" s="51" t="e">
        <f t="shared" si="15"/>
        <v>#REF!</v>
      </c>
      <c r="J29" s="51" t="e">
        <f t="shared" si="15"/>
        <v>#REF!</v>
      </c>
      <c r="K29" s="51" t="e">
        <f t="shared" si="15"/>
        <v>#REF!</v>
      </c>
      <c r="L29" s="51" t="e">
        <f t="shared" si="15"/>
        <v>#REF!</v>
      </c>
      <c r="M29" s="51" t="e">
        <f t="shared" si="15"/>
        <v>#REF!</v>
      </c>
      <c r="N29" s="51" t="e">
        <f t="shared" si="15"/>
        <v>#REF!</v>
      </c>
      <c r="O29" s="51" t="e">
        <f t="shared" si="15"/>
        <v>#REF!</v>
      </c>
      <c r="P29" s="51" t="e">
        <f t="shared" si="15"/>
        <v>#REF!</v>
      </c>
      <c r="Q29" s="51" t="e">
        <f t="shared" si="15"/>
        <v>#REF!</v>
      </c>
      <c r="R29" s="51" t="e">
        <f t="shared" si="15"/>
        <v>#REF!</v>
      </c>
      <c r="S29" s="51" t="e">
        <f t="shared" si="15"/>
        <v>#REF!</v>
      </c>
      <c r="T29" s="51" t="e">
        <f t="shared" si="15"/>
        <v>#REF!</v>
      </c>
      <c r="U29" s="51" t="e">
        <f t="shared" si="15"/>
        <v>#REF!</v>
      </c>
      <c r="V29" s="51" t="e">
        <f t="shared" si="15"/>
        <v>#REF!</v>
      </c>
      <c r="W29" s="51" t="e">
        <f t="shared" si="15"/>
        <v>#REF!</v>
      </c>
      <c r="X29" s="51" t="e">
        <f t="shared" si="15"/>
        <v>#REF!</v>
      </c>
      <c r="Y29" s="51" t="e">
        <f t="shared" si="15"/>
        <v>#REF!</v>
      </c>
      <c r="Z29" s="51" t="e">
        <f t="shared" si="15"/>
        <v>#REF!</v>
      </c>
      <c r="AA29" s="51" t="e">
        <f t="shared" si="15"/>
        <v>#REF!</v>
      </c>
      <c r="AB29" s="51">
        <f t="shared" si="15"/>
        <v>2308.3751831475142</v>
      </c>
      <c r="AC29" s="51">
        <f t="shared" si="15"/>
        <v>2321.6162343484862</v>
      </c>
      <c r="AD29" s="51">
        <f t="shared" si="15"/>
        <v>1771.1005146557407</v>
      </c>
      <c r="AE29" s="51">
        <f t="shared" si="15"/>
        <v>1828.9738399999997</v>
      </c>
      <c r="AF29" s="51">
        <f t="shared" si="15"/>
        <v>2097.2662691415203</v>
      </c>
      <c r="AG29" s="51">
        <f t="shared" si="15"/>
        <v>1930.034833864715</v>
      </c>
      <c r="AH29" s="51">
        <f t="shared" si="15"/>
        <v>2006.8763452870844</v>
      </c>
      <c r="AI29" s="51">
        <f t="shared" si="15"/>
        <v>2042.9805241603221</v>
      </c>
      <c r="AJ29" s="51">
        <f t="shared" si="15"/>
        <v>2139.1608422119489</v>
      </c>
      <c r="AK29" s="51">
        <f t="shared" si="15"/>
        <v>2219.4028007299885</v>
      </c>
      <c r="AL29" s="51">
        <f t="shared" si="15"/>
        <v>2211.9395406441063</v>
      </c>
      <c r="AM29" s="51">
        <f t="shared" si="15"/>
        <v>2243.4171844676989</v>
      </c>
      <c r="AN29" s="51">
        <f t="shared" si="15"/>
        <v>2310.7100931268387</v>
      </c>
      <c r="AO29" s="51">
        <f t="shared" si="15"/>
        <v>2356.6969629858772</v>
      </c>
      <c r="AP29" s="51">
        <f t="shared" si="15"/>
        <v>2397.7546401283385</v>
      </c>
      <c r="AQ29" s="51">
        <f t="shared" si="15"/>
        <v>2474.0083928244303</v>
      </c>
      <c r="AR29" s="51">
        <f t="shared" si="15"/>
        <v>2494.3389775699734</v>
      </c>
      <c r="AS29" s="51">
        <f t="shared" si="15"/>
        <v>2561.7056215296443</v>
      </c>
      <c r="AT29" s="51">
        <f t="shared" si="15"/>
        <v>2650.2383836529125</v>
      </c>
      <c r="AU29" s="51">
        <f t="shared" si="15"/>
        <v>2670.5346154806216</v>
      </c>
      <c r="AV29" s="51">
        <f t="shared" si="15"/>
        <v>2731.4376898169826</v>
      </c>
      <c r="AW29" s="51">
        <f t="shared" si="15"/>
        <v>2801.0952627482629</v>
      </c>
      <c r="AX29" s="51">
        <f t="shared" si="15"/>
        <v>2855.1273723156946</v>
      </c>
      <c r="AY29" s="51">
        <f t="shared" si="15"/>
        <v>2891.754514245702</v>
      </c>
      <c r="AZ29" s="51">
        <f t="shared" si="15"/>
        <v>2948.107627733204</v>
      </c>
      <c r="BA29" s="51">
        <f t="shared" si="15"/>
        <v>2998.7076003676648</v>
      </c>
      <c r="BB29" s="51">
        <f t="shared" si="15"/>
        <v>3059.2650646083644</v>
      </c>
      <c r="BC29" s="51">
        <f t="shared" si="15"/>
        <v>3112.4740107846783</v>
      </c>
      <c r="BD29" s="51">
        <f t="shared" si="15"/>
        <v>3163.8962789983193</v>
      </c>
      <c r="BE29" s="51">
        <f t="shared" si="15"/>
        <v>3222.029849674569</v>
      </c>
      <c r="BF29" s="51">
        <f t="shared" si="15"/>
        <v>3269.2890319292796</v>
      </c>
      <c r="BG29" s="51">
        <f>BG26-BG28</f>
        <v>3325.0866934756041</v>
      </c>
    </row>
    <row r="30" spans="1:59" x14ac:dyDescent="0.2">
      <c r="B30" s="70" t="s">
        <v>86</v>
      </c>
      <c r="C30" s="52" t="e">
        <f>C29-C12</f>
        <v>#REF!</v>
      </c>
      <c r="D30" s="52" t="e">
        <f t="shared" ref="D30:BF30" si="16">D29-D12</f>
        <v>#REF!</v>
      </c>
      <c r="E30" s="52" t="e">
        <f t="shared" si="16"/>
        <v>#REF!</v>
      </c>
      <c r="F30" s="52" t="e">
        <f t="shared" si="16"/>
        <v>#REF!</v>
      </c>
      <c r="G30" s="52" t="e">
        <f t="shared" si="16"/>
        <v>#REF!</v>
      </c>
      <c r="H30" s="52" t="e">
        <f t="shared" si="16"/>
        <v>#REF!</v>
      </c>
      <c r="I30" s="52" t="e">
        <f t="shared" si="16"/>
        <v>#REF!</v>
      </c>
      <c r="J30" s="52" t="e">
        <f t="shared" si="16"/>
        <v>#REF!</v>
      </c>
      <c r="K30" s="52" t="e">
        <f t="shared" si="16"/>
        <v>#REF!</v>
      </c>
      <c r="L30" s="52" t="e">
        <f t="shared" si="16"/>
        <v>#REF!</v>
      </c>
      <c r="M30" s="52" t="e">
        <f t="shared" si="16"/>
        <v>#REF!</v>
      </c>
      <c r="N30" s="52" t="e">
        <f t="shared" si="16"/>
        <v>#REF!</v>
      </c>
      <c r="O30" s="52" t="e">
        <f t="shared" si="16"/>
        <v>#REF!</v>
      </c>
      <c r="P30" s="52" t="e">
        <f t="shared" si="16"/>
        <v>#REF!</v>
      </c>
      <c r="Q30" s="52" t="e">
        <f t="shared" si="16"/>
        <v>#REF!</v>
      </c>
      <c r="R30" s="52" t="e">
        <f t="shared" si="16"/>
        <v>#REF!</v>
      </c>
      <c r="S30" s="52" t="e">
        <f t="shared" si="16"/>
        <v>#REF!</v>
      </c>
      <c r="T30" s="52" t="e">
        <f t="shared" si="16"/>
        <v>#REF!</v>
      </c>
      <c r="U30" s="52" t="e">
        <f t="shared" si="16"/>
        <v>#REF!</v>
      </c>
      <c r="V30" s="52" t="e">
        <f t="shared" si="16"/>
        <v>#REF!</v>
      </c>
      <c r="W30" s="52" t="e">
        <f t="shared" si="16"/>
        <v>#REF!</v>
      </c>
      <c r="X30" s="52" t="e">
        <f t="shared" si="16"/>
        <v>#REF!</v>
      </c>
      <c r="Y30" s="52" t="e">
        <f t="shared" si="16"/>
        <v>#REF!</v>
      </c>
      <c r="Z30" s="52" t="e">
        <f t="shared" si="16"/>
        <v>#REF!</v>
      </c>
      <c r="AA30" s="52" t="e">
        <f t="shared" si="16"/>
        <v>#REF!</v>
      </c>
      <c r="AB30" s="52">
        <f t="shared" si="16"/>
        <v>0</v>
      </c>
      <c r="AC30" s="52">
        <f t="shared" si="16"/>
        <v>0</v>
      </c>
      <c r="AD30" s="52">
        <f t="shared" si="16"/>
        <v>0</v>
      </c>
      <c r="AE30" s="52">
        <f t="shared" si="16"/>
        <v>0</v>
      </c>
      <c r="AF30" s="52">
        <f t="shared" si="16"/>
        <v>0</v>
      </c>
      <c r="AG30" s="52">
        <f t="shared" si="16"/>
        <v>0</v>
      </c>
      <c r="AH30" s="52">
        <f t="shared" si="16"/>
        <v>0</v>
      </c>
      <c r="AI30" s="52">
        <f t="shared" si="16"/>
        <v>0</v>
      </c>
      <c r="AJ30" s="52">
        <f t="shared" si="16"/>
        <v>0</v>
      </c>
      <c r="AK30" s="52">
        <f t="shared" si="16"/>
        <v>0</v>
      </c>
      <c r="AL30" s="52">
        <f t="shared" si="16"/>
        <v>0</v>
      </c>
      <c r="AM30" s="52">
        <f t="shared" si="16"/>
        <v>0</v>
      </c>
      <c r="AN30" s="52">
        <f t="shared" si="16"/>
        <v>0</v>
      </c>
      <c r="AO30" s="52">
        <f t="shared" si="16"/>
        <v>0</v>
      </c>
      <c r="AP30" s="52">
        <f t="shared" si="16"/>
        <v>0</v>
      </c>
      <c r="AQ30" s="52">
        <f t="shared" si="16"/>
        <v>0</v>
      </c>
      <c r="AR30" s="52">
        <f t="shared" si="16"/>
        <v>0</v>
      </c>
      <c r="AS30" s="52">
        <f t="shared" si="16"/>
        <v>0</v>
      </c>
      <c r="AT30" s="52">
        <f t="shared" si="16"/>
        <v>0</v>
      </c>
      <c r="AU30" s="52">
        <f t="shared" si="16"/>
        <v>0</v>
      </c>
      <c r="AV30" s="52">
        <f t="shared" si="16"/>
        <v>0</v>
      </c>
      <c r="AW30" s="52">
        <f t="shared" si="16"/>
        <v>0</v>
      </c>
      <c r="AX30" s="52">
        <f t="shared" si="16"/>
        <v>0</v>
      </c>
      <c r="AY30" s="52">
        <f t="shared" si="16"/>
        <v>0</v>
      </c>
      <c r="AZ30" s="52">
        <f t="shared" si="16"/>
        <v>0</v>
      </c>
      <c r="BA30" s="52">
        <f t="shared" si="16"/>
        <v>0</v>
      </c>
      <c r="BB30" s="52">
        <f t="shared" si="16"/>
        <v>0</v>
      </c>
      <c r="BC30" s="52">
        <f t="shared" si="16"/>
        <v>0</v>
      </c>
      <c r="BD30" s="52">
        <f t="shared" si="16"/>
        <v>0</v>
      </c>
      <c r="BE30" s="52">
        <f t="shared" si="16"/>
        <v>0</v>
      </c>
      <c r="BF30" s="52">
        <f t="shared" si="16"/>
        <v>0</v>
      </c>
      <c r="BG30" s="52">
        <f>BG29-BG12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0BA1-84D9-44C8-A527-8D08E41E8085}">
  <dimension ref="A1:P34"/>
  <sheetViews>
    <sheetView workbookViewId="0">
      <selection activeCell="M14" sqref="M14"/>
    </sheetView>
  </sheetViews>
  <sheetFormatPr defaultColWidth="9" defaultRowHeight="15" x14ac:dyDescent="0.2"/>
  <cols>
    <col min="1" max="1" width="38.1640625" bestFit="1" customWidth="1"/>
    <col min="2" max="3" width="10.33203125" style="91" hidden="1" customWidth="1"/>
    <col min="4" max="5" width="10.33203125" style="91" bestFit="1" customWidth="1"/>
    <col min="6" max="6" width="11.1640625" style="91" customWidth="1"/>
    <col min="7" max="14" width="11.33203125" style="91" bestFit="1" customWidth="1"/>
    <col min="15" max="16" width="11.33203125" customWidth="1"/>
  </cols>
  <sheetData>
    <row r="1" spans="1:16" ht="18" x14ac:dyDescent="0.25">
      <c r="A1" s="88" t="s">
        <v>189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6" ht="15.75" x14ac:dyDescent="0.25">
      <c r="A2" s="89" t="s">
        <v>190</v>
      </c>
      <c r="B2" s="90">
        <f>'Veg Oils Comp'!B2</f>
        <v>2019</v>
      </c>
      <c r="C2" s="90">
        <f>'Veg Oils Comp'!C2</f>
        <v>2020</v>
      </c>
      <c r="D2" s="90">
        <f>'Veg Oils Comp'!D2</f>
        <v>2021</v>
      </c>
      <c r="E2" s="90">
        <f>'Veg Oils Comp'!E2</f>
        <v>2022</v>
      </c>
      <c r="F2" s="90">
        <f>'Veg Oils Comp'!F2</f>
        <v>2023</v>
      </c>
      <c r="G2" s="90">
        <f>'Veg Oils Comp'!G2</f>
        <v>2024</v>
      </c>
      <c r="H2" s="90">
        <f>'Veg Oils Comp'!H2</f>
        <v>2025</v>
      </c>
      <c r="I2" s="90">
        <f>'Veg Oils Comp'!I2</f>
        <v>2026</v>
      </c>
      <c r="J2" s="90">
        <f>'Veg Oils Comp'!J2</f>
        <v>2027</v>
      </c>
      <c r="K2" s="90">
        <f>'Veg Oils Comp'!K2</f>
        <v>2028</v>
      </c>
      <c r="L2" s="90">
        <f>'Veg Oils Comp'!L2</f>
        <v>2029</v>
      </c>
      <c r="M2" s="90">
        <f>'Veg Oils Comp'!M2</f>
        <v>2030</v>
      </c>
      <c r="N2" s="90">
        <f>'Veg Oils Comp'!N2</f>
        <v>2031</v>
      </c>
      <c r="O2" s="90">
        <f>'Veg Oils Comp'!O2</f>
        <v>2032</v>
      </c>
      <c r="P2" s="90">
        <f>'Veg Oils Comp'!P2</f>
        <v>2033</v>
      </c>
    </row>
    <row r="3" spans="1:16" x14ac:dyDescent="0.2">
      <c r="A3" s="89" t="s">
        <v>70</v>
      </c>
      <c r="B3" s="91">
        <f>'Total Feedstocks'!AB4-B18</f>
        <v>11.396372994382546</v>
      </c>
      <c r="C3" s="91">
        <f>'Total Feedstocks'!AC4-C18</f>
        <v>16.185552161415217</v>
      </c>
      <c r="D3" s="91">
        <f>'Total Feedstocks'!AD4-D18</f>
        <v>14.84890519573446</v>
      </c>
      <c r="E3" s="91">
        <f>'Total Feedstocks'!AE4-E18</f>
        <v>12.606135219145017</v>
      </c>
      <c r="F3" s="91">
        <f>'Total Feedstocks'!AF4-F18</f>
        <v>24.222657003386757</v>
      </c>
      <c r="G3" s="91">
        <f>'Total Feedstocks'!AG4-G18</f>
        <v>-655.98217338666927</v>
      </c>
      <c r="H3" s="91">
        <f>'Total Feedstocks'!AH4-H18</f>
        <v>-653.87589948821551</v>
      </c>
      <c r="I3" s="91">
        <f>'Total Feedstocks'!AI4-I18</f>
        <v>-403.27574624673889</v>
      </c>
      <c r="J3" s="91">
        <f>'Total Feedstocks'!AJ4-J18</f>
        <v>1378.2574567885758</v>
      </c>
      <c r="K3" s="91">
        <f>'Total Feedstocks'!AK4-K18</f>
        <v>3108.0817481750055</v>
      </c>
      <c r="L3" s="91">
        <f>'Total Feedstocks'!AL4-L18</f>
        <v>5920.8351904911869</v>
      </c>
      <c r="M3" s="91">
        <f>'Total Feedstocks'!AM4-M18</f>
        <v>8424.4331092628636</v>
      </c>
      <c r="N3" s="91">
        <f>'Total Feedstocks'!AN4-N18</f>
        <v>11547.990569481926</v>
      </c>
      <c r="O3" s="91">
        <f>'Total Feedstocks'!AO4-O18</f>
        <v>14660.975596905093</v>
      </c>
      <c r="P3" s="91">
        <f>'Total Feedstocks'!AP4-P18</f>
        <v>18903.653158609231</v>
      </c>
    </row>
    <row r="4" spans="1:16" x14ac:dyDescent="0.2">
      <c r="A4" s="89" t="s">
        <v>71</v>
      </c>
      <c r="B4" s="91">
        <f>'Total Feedstocks'!AB5-B19</f>
        <v>2130.0868248493789</v>
      </c>
      <c r="C4" s="91">
        <f>'Total Feedstocks'!AC5-C19</f>
        <v>2460.1362487042861</v>
      </c>
      <c r="D4" s="91">
        <f>'Total Feedstocks'!AD5-D19</f>
        <v>1360.8406728835689</v>
      </c>
      <c r="E4" s="91">
        <f>'Total Feedstocks'!AE5-E19</f>
        <v>996.92005470077129</v>
      </c>
      <c r="F4" s="91">
        <f>'Total Feedstocks'!AF5-F19</f>
        <v>2443.8322788277146</v>
      </c>
      <c r="G4" s="91">
        <f>'Total Feedstocks'!AG5-G19</f>
        <v>2972.763982916993</v>
      </c>
      <c r="H4" s="91">
        <f>'Total Feedstocks'!AH5-H19</f>
        <v>-710.76601969883632</v>
      </c>
      <c r="I4" s="91">
        <f>'Total Feedstocks'!AI5-I19</f>
        <v>966.38013759326714</v>
      </c>
      <c r="J4" s="91">
        <f>'Total Feedstocks'!AJ5-J19</f>
        <v>361.33037338729628</v>
      </c>
      <c r="K4" s="91">
        <f>'Total Feedstocks'!AK5-K19</f>
        <v>702.82699539151508</v>
      </c>
      <c r="L4" s="91">
        <f>'Total Feedstocks'!AL5-L19</f>
        <v>618.03475975748006</v>
      </c>
      <c r="M4" s="91">
        <f>'Total Feedstocks'!AM5-M19</f>
        <v>1967.1833702225413</v>
      </c>
      <c r="N4" s="91">
        <f>'Total Feedstocks'!AN5-N19</f>
        <v>1488.4237236666231</v>
      </c>
      <c r="O4" s="91">
        <f>'Total Feedstocks'!AO5-O19</f>
        <v>3014.3173990716459</v>
      </c>
      <c r="P4" s="91">
        <f>'Total Feedstocks'!AP5-P19</f>
        <v>3518.0266574458656</v>
      </c>
    </row>
    <row r="5" spans="1:16" x14ac:dyDescent="0.2">
      <c r="A5" s="89" t="s">
        <v>72</v>
      </c>
      <c r="B5" s="91">
        <f>'Total Feedstocks'!AB6-B20</f>
        <v>2.0215467031994194</v>
      </c>
      <c r="C5" s="91">
        <f>'Total Feedstocks'!AC6-C20</f>
        <v>3.5143044271599138</v>
      </c>
      <c r="D5" s="91">
        <f>'Total Feedstocks'!AD6-D20</f>
        <v>20.360449929819879</v>
      </c>
      <c r="E5" s="91">
        <f>'Total Feedstocks'!AE6-E20</f>
        <v>432.54117553800097</v>
      </c>
      <c r="F5" s="91">
        <f>'Total Feedstocks'!AF6-F20</f>
        <v>5217.8145710799981</v>
      </c>
      <c r="G5" s="91">
        <f>'Total Feedstocks'!AG6-G20</f>
        <v>7016.43978399156</v>
      </c>
      <c r="H5" s="91">
        <f>'Total Feedstocks'!AH6-H20</f>
        <v>7004.9235344740628</v>
      </c>
      <c r="I5" s="91">
        <f>'Total Feedstocks'!AI6-I20</f>
        <v>9050.7030509773031</v>
      </c>
      <c r="J5" s="91">
        <f>'Total Feedstocks'!AJ6-J20</f>
        <v>14238.180718395313</v>
      </c>
      <c r="K5" s="91">
        <f>'Total Feedstocks'!AK6-K20</f>
        <v>17517.233369590856</v>
      </c>
      <c r="L5" s="91">
        <f>'Total Feedstocks'!AL6-L20</f>
        <v>21253.361053822224</v>
      </c>
      <c r="M5" s="91">
        <f>'Total Feedstocks'!AM6-M20</f>
        <v>26816.567275950372</v>
      </c>
      <c r="N5" s="91">
        <f>'Total Feedstocks'!AN6-N20</f>
        <v>30457.531468234076</v>
      </c>
      <c r="O5" s="91">
        <f>'Total Feedstocks'!AO6-O20</f>
        <v>34690.416913083944</v>
      </c>
      <c r="P5" s="91">
        <f>'Total Feedstocks'!AP6-P20</f>
        <v>37471.503810789633</v>
      </c>
    </row>
    <row r="6" spans="1:16" x14ac:dyDescent="0.2">
      <c r="A6" s="89" t="s">
        <v>83</v>
      </c>
      <c r="B6" s="91">
        <f>'Total Feedstocks'!AB7-B21</f>
        <v>2143.5047445469536</v>
      </c>
      <c r="C6" s="91">
        <f>'Total Feedstocks'!AC7-C21</f>
        <v>2480.8361052928594</v>
      </c>
      <c r="D6" s="91">
        <f>'Total Feedstocks'!AD7-D21</f>
        <v>1396.0500280091219</v>
      </c>
      <c r="E6" s="91">
        <f>'Total Feedstocks'!AE7-E21</f>
        <v>1442.067365457915</v>
      </c>
      <c r="F6" s="91">
        <f>'Total Feedstocks'!AF7-F21</f>
        <v>7685.8695069110981</v>
      </c>
      <c r="G6" s="91">
        <f>'Total Feedstocks'!AG7-G21</f>
        <v>9333.2215935218846</v>
      </c>
      <c r="H6" s="91">
        <f>'Total Feedstocks'!AH7-H21</f>
        <v>5640.2816152870073</v>
      </c>
      <c r="I6" s="91">
        <f>'Total Feedstocks'!AI7-I21</f>
        <v>9613.8074423238286</v>
      </c>
      <c r="J6" s="91">
        <f>'Total Feedstocks'!AJ7-J21</f>
        <v>15977.768548571185</v>
      </c>
      <c r="K6" s="91">
        <f>'Total Feedstocks'!AK7-K21</f>
        <v>21328.142113157373</v>
      </c>
      <c r="L6" s="91">
        <f>'Total Feedstocks'!AL7-L21</f>
        <v>27793.231004070898</v>
      </c>
      <c r="M6" s="91">
        <f>'Total Feedstocks'!AM7-M21</f>
        <v>37207.183755435777</v>
      </c>
      <c r="N6" s="91">
        <f>'Total Feedstocks'!AN7-N21</f>
        <v>43493.945761382638</v>
      </c>
      <c r="O6" s="91">
        <f>'Total Feedstocks'!AO7-O21</f>
        <v>52366.709909060679</v>
      </c>
      <c r="P6" s="91">
        <f>'Total Feedstocks'!AP7-P21</f>
        <v>59893.183626844722</v>
      </c>
    </row>
    <row r="7" spans="1:16" x14ac:dyDescent="0.2">
      <c r="A7" s="89" t="s">
        <v>74</v>
      </c>
      <c r="O7" s="91"/>
      <c r="P7" s="91"/>
    </row>
    <row r="8" spans="1:16" x14ac:dyDescent="0.2">
      <c r="A8" s="89" t="s">
        <v>191</v>
      </c>
      <c r="B8" s="91">
        <f>'Total Feedstocks'!AB9-B23</f>
        <v>1146.6392143450248</v>
      </c>
      <c r="C8" s="91">
        <f>'Total Feedstocks'!AC9-C23</f>
        <v>1269.9930931856725</v>
      </c>
      <c r="D8" s="91">
        <f>'Total Feedstocks'!AD9-D23</f>
        <v>665.34930835882915</v>
      </c>
      <c r="E8" s="91">
        <f>'Total Feedstocks'!AE9-E23</f>
        <v>3679.3844617276118</v>
      </c>
      <c r="F8" s="91">
        <f>'Total Feedstocks'!AF9-F23</f>
        <v>8029.6061733345559</v>
      </c>
      <c r="G8" s="91">
        <f>'Total Feedstocks'!AG9-G23</f>
        <v>9047.4292987111039</v>
      </c>
      <c r="H8" s="91">
        <f>'Total Feedstocks'!AH9-H23</f>
        <v>2705.4190077829553</v>
      </c>
      <c r="I8" s="91">
        <f>'Total Feedstocks'!AI9-I23</f>
        <v>2450.5928122540645</v>
      </c>
      <c r="J8" s="91">
        <f>'Total Feedstocks'!AJ9-J23</f>
        <v>9924.1744038487959</v>
      </c>
      <c r="K8" s="91">
        <f>'Total Feedstocks'!AK9-K23</f>
        <v>9253.2716819939669</v>
      </c>
      <c r="L8" s="91">
        <f>'Total Feedstocks'!AL9-L23</f>
        <v>13328.411173084678</v>
      </c>
      <c r="M8" s="91">
        <f>'Total Feedstocks'!AM9-M23</f>
        <v>18807.740291701411</v>
      </c>
      <c r="N8" s="91">
        <f>'Total Feedstocks'!AN9-N23</f>
        <v>22491.054481646192</v>
      </c>
      <c r="O8" s="91">
        <f>'Total Feedstocks'!AO9-O23</f>
        <v>33165.853945716532</v>
      </c>
      <c r="P8" s="91">
        <f>'Total Feedstocks'!AP9-P23</f>
        <v>31240.417547848017</v>
      </c>
    </row>
    <row r="9" spans="1:16" x14ac:dyDescent="0.2">
      <c r="A9" s="89" t="s">
        <v>192</v>
      </c>
      <c r="B9" s="91">
        <f>'Total Feedstocks'!AB10-B24</f>
        <v>-6.1434230119630229E-2</v>
      </c>
      <c r="C9" s="91">
        <f>'Total Feedstocks'!AC10-C24</f>
        <v>-0.31648591628618306</v>
      </c>
      <c r="D9" s="91">
        <f>'Total Feedstocks'!AD10-D24</f>
        <v>970.64424820534623</v>
      </c>
      <c r="E9" s="91">
        <f>'Total Feedstocks'!AE10-E24</f>
        <v>1931.5142529906916</v>
      </c>
      <c r="F9" s="91">
        <f>'Total Feedstocks'!AF10-F24</f>
        <v>2336.7963880096249</v>
      </c>
      <c r="G9" s="91">
        <f>'Total Feedstocks'!AG10-G24</f>
        <v>6325.4420638908105</v>
      </c>
      <c r="H9" s="91">
        <f>'Total Feedstocks'!AH10-H24</f>
        <v>7703.1319957811065</v>
      </c>
      <c r="I9" s="91">
        <f>'Total Feedstocks'!AI10-I24</f>
        <v>7634.7748621982937</v>
      </c>
      <c r="J9" s="91">
        <f>'Total Feedstocks'!AJ10-J24</f>
        <v>7411.6019219598929</v>
      </c>
      <c r="K9" s="91">
        <f>'Total Feedstocks'!AK10-K24</f>
        <v>5368.5726943244954</v>
      </c>
      <c r="L9" s="91">
        <f>'Total Feedstocks'!AL10-L24</f>
        <v>6608.5266390699071</v>
      </c>
      <c r="M9" s="91">
        <f>'Total Feedstocks'!AM10-M24</f>
        <v>7020.5673827728206</v>
      </c>
      <c r="N9" s="91">
        <f>'Total Feedstocks'!AN10-N24</f>
        <v>7074.095589937433</v>
      </c>
      <c r="O9" s="91">
        <f>'Total Feedstocks'!AO10-O24</f>
        <v>7848.4949565622901</v>
      </c>
      <c r="P9" s="91">
        <f>'Total Feedstocks'!AP10-P24</f>
        <v>6777.1252866962386</v>
      </c>
    </row>
    <row r="10" spans="1:16" x14ac:dyDescent="0.2">
      <c r="A10" s="89" t="s">
        <v>193</v>
      </c>
      <c r="B10" s="91">
        <f>'Total Feedstocks'!AB11-B25</f>
        <v>1411.7006485751444</v>
      </c>
      <c r="C10" s="91">
        <f>'Total Feedstocks'!AC11-C25</f>
        <v>1661.3095791019587</v>
      </c>
      <c r="D10" s="91">
        <f>'Total Feedstocks'!AD11-D25</f>
        <v>151.70506015348292</v>
      </c>
      <c r="E10" s="91">
        <f>'Total Feedstocks'!AE11-E25</f>
        <v>2379.8702087369202</v>
      </c>
      <c r="F10" s="91">
        <f>'Total Feedstocks'!AF11-F25</f>
        <v>6458.809785324931</v>
      </c>
      <c r="G10" s="91">
        <f>'Total Feedstocks'!AG11-G25</f>
        <v>3568.9872348202953</v>
      </c>
      <c r="H10" s="91">
        <f>'Total Feedstocks'!AH11-H25</f>
        <v>-4081.7129879981512</v>
      </c>
      <c r="I10" s="91">
        <f>'Total Feedstocks'!AI11-I25</f>
        <v>-4182.1820499442329</v>
      </c>
      <c r="J10" s="91">
        <f>'Total Feedstocks'!AJ11-J25</f>
        <v>3252.5724818888993</v>
      </c>
      <c r="K10" s="91">
        <f>'Total Feedstocks'!AK11-K25</f>
        <v>4625.6989876694715</v>
      </c>
      <c r="L10" s="91">
        <f>'Total Feedstocks'!AL11-L25</f>
        <v>7460.8845340147673</v>
      </c>
      <c r="M10" s="91">
        <f>'Total Feedstocks'!AM11-M25</f>
        <v>12523.172908928595</v>
      </c>
      <c r="N10" s="91">
        <f>'Total Feedstocks'!AN11-N25</f>
        <v>16151.95889170876</v>
      </c>
      <c r="O10" s="91">
        <f>'Total Feedstocks'!AO11-O25</f>
        <v>26047.358989154236</v>
      </c>
      <c r="P10" s="91">
        <f>'Total Feedstocks'!AP11-P25</f>
        <v>25186.292261151772</v>
      </c>
    </row>
    <row r="11" spans="1:16" x14ac:dyDescent="0.2">
      <c r="A11" s="89" t="s">
        <v>194</v>
      </c>
      <c r="B11" s="91" t="e">
        <f>'Total Feedstocks'!#REF!-B26</f>
        <v>#REF!</v>
      </c>
      <c r="C11" s="91" t="e">
        <f>'Total Feedstocks'!#REF!-C26</f>
        <v>#REF!</v>
      </c>
      <c r="D11" s="91" t="e">
        <f>'Total Feedstocks'!#REF!-D26</f>
        <v>#REF!</v>
      </c>
      <c r="E11" s="91" t="e">
        <f>'Total Feedstocks'!#REF!-E26</f>
        <v>#REF!</v>
      </c>
      <c r="F11" s="91" t="e">
        <f>'Total Feedstocks'!#REF!-F26</f>
        <v>#REF!</v>
      </c>
      <c r="G11" s="91" t="e">
        <f>'Total Feedstocks'!#REF!-G26</f>
        <v>#REF!</v>
      </c>
      <c r="H11" s="91" t="e">
        <f>'Total Feedstocks'!#REF!-H26</f>
        <v>#REF!</v>
      </c>
      <c r="I11" s="91" t="e">
        <f>'Total Feedstocks'!#REF!-I26</f>
        <v>#REF!</v>
      </c>
      <c r="J11" s="91" t="e">
        <f>'Total Feedstocks'!#REF!-J26</f>
        <v>#REF!</v>
      </c>
      <c r="K11" s="91" t="e">
        <f>'Total Feedstocks'!#REF!-K26</f>
        <v>#REF!</v>
      </c>
      <c r="L11" s="91" t="e">
        <f>'Total Feedstocks'!#REF!-L26</f>
        <v>#REF!</v>
      </c>
      <c r="M11" s="91" t="e">
        <f>'Total Feedstocks'!#REF!-M26</f>
        <v>#REF!</v>
      </c>
      <c r="N11" s="91" t="e">
        <f>'Total Feedstocks'!#REF!-N26</f>
        <v>#REF!</v>
      </c>
      <c r="O11" s="91" t="e">
        <f>'Total Feedstocks'!#REF!-O26</f>
        <v>#REF!</v>
      </c>
      <c r="P11" s="91" t="e">
        <f>'Total Feedstocks'!#REF!-P26</f>
        <v>#REF!</v>
      </c>
    </row>
    <row r="12" spans="1:16" x14ac:dyDescent="0.2">
      <c r="A12" s="89" t="s">
        <v>159</v>
      </c>
      <c r="B12" s="91">
        <f>'Total Feedstocks'!AB12-B27</f>
        <v>-319.40462424140787</v>
      </c>
      <c r="C12" s="91">
        <f>'Total Feedstocks'!AC12-C27</f>
        <v>-1127.9590818906072</v>
      </c>
      <c r="D12" s="91">
        <f>'Total Feedstocks'!AD12-D27</f>
        <v>-906.93551980539269</v>
      </c>
      <c r="E12" s="91">
        <f>'Total Feedstocks'!AE12-E27</f>
        <v>-4792.8354554150865</v>
      </c>
      <c r="F12" s="91">
        <f>'Total Feedstocks'!AF12-F27</f>
        <v>-205.28731403526763</v>
      </c>
      <c r="G12" s="91">
        <f>'Total Feedstocks'!AG12-G27</f>
        <v>-849.1023788507955</v>
      </c>
      <c r="H12" s="91">
        <f>'Total Feedstocks'!AH12-H27</f>
        <v>121.54774974851171</v>
      </c>
      <c r="I12" s="91">
        <f>'Total Feedstocks'!AI12-I27</f>
        <v>2457.4301621540799</v>
      </c>
      <c r="J12" s="91">
        <f>'Total Feedstocks'!AJ12-J27</f>
        <v>839.931513506177</v>
      </c>
      <c r="K12" s="91">
        <f>'Total Feedstocks'!AK12-K27</f>
        <v>3613.5133128749731</v>
      </c>
      <c r="L12" s="91">
        <f>'Total Feedstocks'!AL12-L27</f>
        <v>3260.9973695980589</v>
      </c>
      <c r="M12" s="91">
        <f>'Total Feedstocks'!AM12-M27</f>
        <v>2950.2448795574455</v>
      </c>
      <c r="N12" s="91">
        <f>'Total Feedstocks'!AN12-N27</f>
        <v>3439.1024949758139</v>
      </c>
      <c r="O12" s="91">
        <f>'Total Feedstocks'!AO12-O27</f>
        <v>-2359.5326064198453</v>
      </c>
      <c r="P12" s="91">
        <f>'Total Feedstocks'!AP12-P27</f>
        <v>942.43036890194344</v>
      </c>
    </row>
    <row r="13" spans="1:16" x14ac:dyDescent="0.2">
      <c r="A13" s="89" t="s">
        <v>79</v>
      </c>
      <c r="B13" s="91">
        <f>'Total Feedstocks'!AB13-B28</f>
        <v>1299.9236022819205</v>
      </c>
      <c r="C13" s="91">
        <f>'Total Feedstocks'!AC13-C28</f>
        <v>2294.4324888020592</v>
      </c>
      <c r="D13" s="91">
        <f>'Total Feedstocks'!AD13-D28</f>
        <v>1625.4056042365401</v>
      </c>
      <c r="E13" s="91">
        <f>'Total Feedstocks'!AE13-E28</f>
        <v>2532.7534021419997</v>
      </c>
      <c r="F13" s="91">
        <f>'Total Feedstocks'!AF13-F28</f>
        <v>521.38482099847988</v>
      </c>
      <c r="G13" s="91">
        <f>'Total Feedstocks'!AG13-G28</f>
        <v>1789.1365837252843</v>
      </c>
      <c r="H13" s="91">
        <f>'Total Feedstocks'!AH13-H28</f>
        <v>3216.6512743459734</v>
      </c>
      <c r="I13" s="91">
        <f>'Total Feedstocks'!AI13-I28</f>
        <v>3329.9756849297573</v>
      </c>
      <c r="J13" s="91">
        <f>'Total Feedstocks'!AJ13-J28</f>
        <v>2103.8157601522603</v>
      </c>
      <c r="K13" s="91">
        <f>'Total Feedstocks'!AK13-K28</f>
        <v>2543.4156560866713</v>
      </c>
      <c r="L13" s="91">
        <f>'Total Feedstocks'!AL13-L28</f>
        <v>2780.020325970494</v>
      </c>
      <c r="M13" s="91">
        <f>'Total Feedstocks'!AM13-M28</f>
        <v>3897.1937016113807</v>
      </c>
      <c r="N13" s="91">
        <f>'Total Feedstocks'!AN13-N28</f>
        <v>2904.53914844579</v>
      </c>
      <c r="O13" s="91">
        <f>'Total Feedstocks'!AO13-O28</f>
        <v>2659.3505475221182</v>
      </c>
      <c r="P13" s="91">
        <f>'Total Feedstocks'!AP13-P28</f>
        <v>2613.4616240633927</v>
      </c>
    </row>
    <row r="14" spans="1:16" x14ac:dyDescent="0.2">
      <c r="A14" s="89" t="s">
        <v>85</v>
      </c>
      <c r="B14" s="91">
        <f>'Total Feedstocks'!AB14-B29</f>
        <v>2127.158192385541</v>
      </c>
      <c r="C14" s="91">
        <f>'Total Feedstocks'!AC14-C29</f>
        <v>2436.4665000971218</v>
      </c>
      <c r="D14" s="91">
        <f>'Total Feedstocks'!AD14-D29</f>
        <v>1383.8193927899774</v>
      </c>
      <c r="E14" s="91">
        <f>'Total Feedstocks'!AE14-E29</f>
        <v>1419.302408454525</v>
      </c>
      <c r="F14" s="91">
        <f>'Total Feedstocks'!AF14-F29</f>
        <v>8345.7036802977673</v>
      </c>
      <c r="G14" s="91">
        <f>'Total Feedstocks'!AG14-G29</f>
        <v>9987.4635035855899</v>
      </c>
      <c r="H14" s="91">
        <f>'Total Feedstocks'!AH14-H29</f>
        <v>6043.6180318774423</v>
      </c>
      <c r="I14" s="91">
        <f>'Total Feedstocks'!AI14-I29</f>
        <v>8237.9986593378999</v>
      </c>
      <c r="J14" s="91">
        <f>'Total Feedstocks'!AJ14-J29</f>
        <v>12867.921677507227</v>
      </c>
      <c r="K14" s="91">
        <f>'Total Feedstocks'!AK14-K29</f>
        <v>15410.200650955609</v>
      </c>
      <c r="L14" s="91">
        <f>'Total Feedstocks'!AL14-L29</f>
        <v>19368.428868653238</v>
      </c>
      <c r="M14" s="91">
        <f>'Total Feedstocks'!AM14-M29</f>
        <v>25654.178872870238</v>
      </c>
      <c r="N14" s="91">
        <f>'Total Feedstocks'!AN14-N29</f>
        <v>28834.6961250678</v>
      </c>
      <c r="O14" s="91">
        <f>'Total Feedstocks'!AO14-O29</f>
        <v>33464.671886818804</v>
      </c>
      <c r="P14" s="91">
        <f>'Total Feedstocks'!AP14-P29</f>
        <v>34796.309540813352</v>
      </c>
    </row>
    <row r="15" spans="1:16" x14ac:dyDescent="0.2">
      <c r="A15" s="89" t="s">
        <v>81</v>
      </c>
      <c r="B15" s="91">
        <f>'Total Feedstocks'!AB15-B30</f>
        <v>16.346552161415275</v>
      </c>
      <c r="C15" s="91">
        <f>'Total Feedstocks'!AC15-C30</f>
        <v>18.369605195734493</v>
      </c>
      <c r="D15" s="91">
        <f>'Total Feedstocks'!AD15-D30</f>
        <v>12.230635219144915</v>
      </c>
      <c r="E15" s="91">
        <f>'Total Feedstocks'!AE15-E30</f>
        <v>22.764957003386826</v>
      </c>
      <c r="F15" s="91">
        <f>'Total Feedstocks'!AF15-F30</f>
        <v>-659.83417338666959</v>
      </c>
      <c r="G15" s="91">
        <f>'Total Feedstocks'!AG15-G30</f>
        <v>-654.24191006370984</v>
      </c>
      <c r="H15" s="91">
        <f>'Total Feedstocks'!AH15-H30</f>
        <v>-403.33641659043678</v>
      </c>
      <c r="I15" s="91">
        <f>'Total Feedstocks'!AI15-I30</f>
        <v>1375.8087829859269</v>
      </c>
      <c r="J15" s="91">
        <f>'Total Feedstocks'!AJ15-J30</f>
        <v>3108.8468710639627</v>
      </c>
      <c r="K15" s="91">
        <f>'Total Feedstocks'!AK15-K30</f>
        <v>5917.9414622017648</v>
      </c>
      <c r="L15" s="91">
        <f>'Total Feedstocks'!AL15-L30</f>
        <v>8423.8021354176617</v>
      </c>
      <c r="M15" s="91">
        <f>'Total Feedstocks'!AM15-M30</f>
        <v>11553.004882565534</v>
      </c>
      <c r="N15" s="91">
        <f>'Total Feedstocks'!AN15-N30</f>
        <v>14659.249636314838</v>
      </c>
      <c r="O15" s="91">
        <f>'Total Feedstocks'!AO15-O30</f>
        <v>18901.038022241883</v>
      </c>
      <c r="P15" s="91">
        <f>'Total Feedstocks'!AP15-P30</f>
        <v>25097.87408603137</v>
      </c>
    </row>
    <row r="16" spans="1:16" x14ac:dyDescent="0.2">
      <c r="A16" s="89"/>
    </row>
    <row r="17" spans="1:16" x14ac:dyDescent="0.2">
      <c r="A17" s="89"/>
    </row>
    <row r="18" spans="1:16" x14ac:dyDescent="0.2">
      <c r="A18" s="89" t="s">
        <v>70</v>
      </c>
      <c r="B18" s="91">
        <v>2487</v>
      </c>
      <c r="C18" s="91">
        <v>2601</v>
      </c>
      <c r="D18" s="91">
        <v>2598</v>
      </c>
      <c r="E18" s="91">
        <v>2934</v>
      </c>
      <c r="F18" s="91">
        <v>2853</v>
      </c>
      <c r="G18" s="91">
        <v>2994</v>
      </c>
      <c r="H18" s="91">
        <v>2760</v>
      </c>
      <c r="I18" s="91">
        <v>3041</v>
      </c>
      <c r="J18" s="91">
        <v>2733</v>
      </c>
      <c r="K18" s="91">
        <v>2737</v>
      </c>
      <c r="L18" s="91">
        <v>3125</v>
      </c>
      <c r="M18" s="91">
        <v>3350</v>
      </c>
      <c r="N18" s="91">
        <v>3096</v>
      </c>
      <c r="O18" s="91">
        <v>3213</v>
      </c>
      <c r="P18" s="91">
        <v>3208</v>
      </c>
    </row>
    <row r="19" spans="1:16" x14ac:dyDescent="0.2">
      <c r="A19" s="89" t="s">
        <v>71</v>
      </c>
      <c r="B19" s="91">
        <v>40463</v>
      </c>
      <c r="C19" s="91">
        <v>40983</v>
      </c>
      <c r="D19" s="91">
        <v>42494</v>
      </c>
      <c r="E19" s="91">
        <v>46754</v>
      </c>
      <c r="F19" s="91">
        <v>49552</v>
      </c>
      <c r="G19" s="91">
        <v>49313</v>
      </c>
      <c r="H19" s="91">
        <v>51929</v>
      </c>
      <c r="I19" s="91">
        <v>58625</v>
      </c>
      <c r="J19" s="91">
        <v>60074</v>
      </c>
      <c r="K19" s="91">
        <v>61225</v>
      </c>
      <c r="L19" s="91">
        <v>62923</v>
      </c>
      <c r="M19" s="91">
        <v>65217</v>
      </c>
      <c r="N19" s="91">
        <v>67615</v>
      </c>
      <c r="O19" s="91">
        <v>69286</v>
      </c>
      <c r="P19" s="91">
        <v>70110</v>
      </c>
    </row>
    <row r="20" spans="1:16" x14ac:dyDescent="0.2">
      <c r="A20" s="89" t="s">
        <v>72</v>
      </c>
      <c r="B20" s="91">
        <v>5060</v>
      </c>
      <c r="C20" s="91">
        <v>4927</v>
      </c>
      <c r="D20" s="91">
        <v>5693</v>
      </c>
      <c r="E20" s="91">
        <v>6448</v>
      </c>
      <c r="F20" s="91">
        <v>6438</v>
      </c>
      <c r="G20" s="91">
        <v>8546</v>
      </c>
      <c r="H20" s="91">
        <v>9192</v>
      </c>
      <c r="I20" s="91">
        <v>9523</v>
      </c>
      <c r="J20" s="91">
        <v>9227</v>
      </c>
      <c r="K20" s="91">
        <v>8846</v>
      </c>
      <c r="L20" s="91">
        <v>8568</v>
      </c>
      <c r="M20" s="91">
        <v>7877</v>
      </c>
      <c r="N20" s="91">
        <v>8295</v>
      </c>
      <c r="O20" s="91">
        <v>9917</v>
      </c>
      <c r="P20" s="91">
        <v>11750</v>
      </c>
    </row>
    <row r="21" spans="1:16" x14ac:dyDescent="0.2">
      <c r="A21" s="89" t="s">
        <v>83</v>
      </c>
      <c r="B21" s="91">
        <v>48010</v>
      </c>
      <c r="C21" s="91">
        <v>48510</v>
      </c>
      <c r="D21" s="91">
        <v>50785</v>
      </c>
      <c r="E21" s="91">
        <v>56136</v>
      </c>
      <c r="F21" s="91">
        <v>58843</v>
      </c>
      <c r="G21" s="91">
        <v>60853</v>
      </c>
      <c r="H21" s="91">
        <v>63881</v>
      </c>
      <c r="I21" s="91">
        <v>71189</v>
      </c>
      <c r="J21" s="91">
        <v>72034</v>
      </c>
      <c r="K21" s="91">
        <v>72808</v>
      </c>
      <c r="L21" s="91">
        <v>74615</v>
      </c>
      <c r="M21" s="91">
        <v>76445</v>
      </c>
      <c r="N21" s="91">
        <v>79006</v>
      </c>
      <c r="O21" s="91">
        <v>82415</v>
      </c>
      <c r="P21" s="91">
        <v>85068</v>
      </c>
    </row>
    <row r="22" spans="1:16" x14ac:dyDescent="0.2">
      <c r="A22" s="89" t="s">
        <v>74</v>
      </c>
      <c r="O22" s="91"/>
      <c r="P22" s="91"/>
    </row>
    <row r="23" spans="1:16" x14ac:dyDescent="0.2">
      <c r="A23" s="89" t="s">
        <v>191</v>
      </c>
      <c r="B23" s="91">
        <v>16908</v>
      </c>
      <c r="C23" s="91">
        <v>17835</v>
      </c>
      <c r="D23" s="91">
        <v>19004</v>
      </c>
      <c r="E23" s="91">
        <v>26064</v>
      </c>
      <c r="F23" s="91">
        <v>32357</v>
      </c>
      <c r="G23" s="91">
        <v>35253</v>
      </c>
      <c r="H23" s="91">
        <v>36759</v>
      </c>
      <c r="I23" s="91">
        <v>44645</v>
      </c>
      <c r="J23" s="91">
        <v>45964</v>
      </c>
      <c r="K23" s="91">
        <v>47032</v>
      </c>
      <c r="L23" s="91">
        <v>48261</v>
      </c>
      <c r="M23" s="91">
        <v>50229</v>
      </c>
      <c r="N23" s="91">
        <v>52346</v>
      </c>
      <c r="O23" s="91">
        <v>54309</v>
      </c>
      <c r="P23" s="91">
        <v>56127</v>
      </c>
    </row>
    <row r="24" spans="1:16" x14ac:dyDescent="0.2">
      <c r="A24" s="89" t="s">
        <v>192</v>
      </c>
      <c r="B24" s="91">
        <v>12745</v>
      </c>
      <c r="C24" s="91">
        <v>13318</v>
      </c>
      <c r="D24" s="91">
        <v>11010</v>
      </c>
      <c r="E24" s="91">
        <v>11582</v>
      </c>
      <c r="F24" s="91">
        <v>12165</v>
      </c>
      <c r="G24" s="91">
        <v>6925</v>
      </c>
      <c r="H24" s="91">
        <v>5010</v>
      </c>
      <c r="I24" s="91">
        <v>4266</v>
      </c>
      <c r="J24" s="91">
        <v>4594</v>
      </c>
      <c r="K24" s="91">
        <v>4051</v>
      </c>
      <c r="L24" s="91">
        <v>3721</v>
      </c>
      <c r="M24" s="91">
        <v>3319</v>
      </c>
      <c r="N24" s="91">
        <v>3139</v>
      </c>
      <c r="O24" s="91">
        <v>2837</v>
      </c>
      <c r="P24" s="91">
        <v>2283</v>
      </c>
    </row>
    <row r="25" spans="1:16" x14ac:dyDescent="0.2">
      <c r="A25" s="89" t="s">
        <v>193</v>
      </c>
      <c r="B25" s="91">
        <v>3898</v>
      </c>
      <c r="C25" s="91">
        <v>4126</v>
      </c>
      <c r="D25" s="91">
        <v>7537</v>
      </c>
      <c r="E25" s="91">
        <v>13850</v>
      </c>
      <c r="F25" s="91">
        <v>19426</v>
      </c>
      <c r="G25" s="91">
        <v>27481</v>
      </c>
      <c r="H25" s="91">
        <v>30833</v>
      </c>
      <c r="I25" s="91">
        <v>39377</v>
      </c>
      <c r="J25" s="91">
        <v>40630</v>
      </c>
      <c r="K25" s="91">
        <v>42240</v>
      </c>
      <c r="L25" s="91">
        <v>43799</v>
      </c>
      <c r="M25" s="91">
        <v>46174</v>
      </c>
      <c r="N25" s="91">
        <v>48472</v>
      </c>
      <c r="O25" s="91">
        <v>50742</v>
      </c>
      <c r="P25" s="91">
        <v>53121</v>
      </c>
    </row>
    <row r="26" spans="1:16" x14ac:dyDescent="0.2">
      <c r="A26" s="89" t="s">
        <v>194</v>
      </c>
      <c r="B26" s="91">
        <v>265</v>
      </c>
      <c r="C26" s="91">
        <v>391</v>
      </c>
      <c r="D26" s="91">
        <v>457</v>
      </c>
      <c r="E26" s="91">
        <v>632</v>
      </c>
      <c r="F26" s="91">
        <v>765</v>
      </c>
      <c r="G26" s="91">
        <v>847</v>
      </c>
      <c r="H26" s="91">
        <v>916</v>
      </c>
      <c r="I26" s="91">
        <v>1002</v>
      </c>
      <c r="J26" s="91">
        <v>740</v>
      </c>
      <c r="K26" s="91">
        <v>741</v>
      </c>
      <c r="L26" s="91">
        <v>742</v>
      </c>
      <c r="M26" s="91">
        <v>736</v>
      </c>
      <c r="N26" s="91">
        <v>734</v>
      </c>
      <c r="O26" s="91">
        <v>730</v>
      </c>
      <c r="P26" s="91">
        <v>723</v>
      </c>
    </row>
    <row r="27" spans="1:16" x14ac:dyDescent="0.2">
      <c r="A27" s="89" t="s">
        <v>159</v>
      </c>
      <c r="B27" s="91">
        <v>24214</v>
      </c>
      <c r="C27" s="91">
        <v>22531</v>
      </c>
      <c r="D27" s="91">
        <v>25576</v>
      </c>
      <c r="E27" s="91">
        <v>24821</v>
      </c>
      <c r="F27" s="91">
        <v>22179</v>
      </c>
      <c r="G27" s="91">
        <v>21575</v>
      </c>
      <c r="H27" s="91">
        <v>22953</v>
      </c>
      <c r="I27" s="91">
        <v>22748</v>
      </c>
      <c r="J27" s="91">
        <v>22361</v>
      </c>
      <c r="K27" s="91">
        <v>21682</v>
      </c>
      <c r="L27" s="91">
        <v>22052</v>
      </c>
      <c r="M27" s="91">
        <v>22221</v>
      </c>
      <c r="N27" s="91">
        <v>22557</v>
      </c>
      <c r="O27" s="91">
        <v>24026</v>
      </c>
      <c r="P27" s="91">
        <v>24781</v>
      </c>
    </row>
    <row r="28" spans="1:16" x14ac:dyDescent="0.2">
      <c r="A28" s="89" t="s">
        <v>79</v>
      </c>
      <c r="B28" s="91">
        <v>4287</v>
      </c>
      <c r="C28" s="91">
        <v>5572</v>
      </c>
      <c r="D28" s="91">
        <v>3271</v>
      </c>
      <c r="E28" s="91">
        <v>2398</v>
      </c>
      <c r="F28" s="91">
        <v>1313</v>
      </c>
      <c r="G28" s="91">
        <v>1265</v>
      </c>
      <c r="H28" s="91">
        <v>1128</v>
      </c>
      <c r="I28" s="91">
        <v>1063</v>
      </c>
      <c r="J28" s="91">
        <v>973</v>
      </c>
      <c r="K28" s="91">
        <v>969</v>
      </c>
      <c r="L28" s="91">
        <v>952</v>
      </c>
      <c r="M28" s="91">
        <v>898</v>
      </c>
      <c r="N28" s="91">
        <v>890</v>
      </c>
      <c r="O28" s="91">
        <v>872</v>
      </c>
      <c r="P28" s="91">
        <v>871</v>
      </c>
    </row>
    <row r="29" spans="1:16" x14ac:dyDescent="0.2">
      <c r="A29" s="89" t="s">
        <v>85</v>
      </c>
      <c r="B29" s="91">
        <v>45409</v>
      </c>
      <c r="C29" s="91">
        <v>45938</v>
      </c>
      <c r="D29" s="91">
        <v>47851</v>
      </c>
      <c r="E29" s="91">
        <v>53283</v>
      </c>
      <c r="F29" s="91">
        <v>55849</v>
      </c>
      <c r="G29" s="91">
        <v>58093</v>
      </c>
      <c r="H29" s="91">
        <v>60840</v>
      </c>
      <c r="I29" s="91">
        <v>68456</v>
      </c>
      <c r="J29" s="91">
        <v>69298</v>
      </c>
      <c r="K29" s="91">
        <v>69683</v>
      </c>
      <c r="L29" s="91">
        <v>71266</v>
      </c>
      <c r="M29" s="91">
        <v>73349</v>
      </c>
      <c r="N29" s="91">
        <v>75793</v>
      </c>
      <c r="O29" s="91">
        <v>79208</v>
      </c>
      <c r="P29" s="91">
        <v>81779</v>
      </c>
    </row>
    <row r="30" spans="1:16" x14ac:dyDescent="0.2">
      <c r="A30" s="89" t="s">
        <v>81</v>
      </c>
      <c r="B30" s="91">
        <v>2601</v>
      </c>
      <c r="C30" s="91">
        <v>2598</v>
      </c>
      <c r="D30" s="91">
        <v>2934</v>
      </c>
      <c r="E30" s="91">
        <v>2853</v>
      </c>
      <c r="F30" s="91">
        <v>2994</v>
      </c>
      <c r="G30" s="91">
        <v>2760</v>
      </c>
      <c r="H30" s="91">
        <v>3041</v>
      </c>
      <c r="I30" s="91">
        <v>2733</v>
      </c>
      <c r="J30" s="91">
        <v>2737</v>
      </c>
      <c r="K30" s="91">
        <v>3125</v>
      </c>
      <c r="L30" s="91">
        <v>3350</v>
      </c>
      <c r="M30" s="91">
        <v>3096</v>
      </c>
      <c r="N30" s="91">
        <v>3213</v>
      </c>
      <c r="O30" s="91">
        <v>3208</v>
      </c>
      <c r="P30" s="91">
        <v>3288</v>
      </c>
    </row>
    <row r="31" spans="1:16" x14ac:dyDescent="0.2">
      <c r="A31" s="89"/>
    </row>
    <row r="32" spans="1:16" x14ac:dyDescent="0.2">
      <c r="A32" s="89"/>
    </row>
    <row r="33" spans="1:1" x14ac:dyDescent="0.2">
      <c r="A33" s="89"/>
    </row>
    <row r="34" spans="1:1" x14ac:dyDescent="0.2">
      <c r="A34" s="8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4A57-0006-445C-8EB7-2A357110846C}">
  <dimension ref="A1:P35"/>
  <sheetViews>
    <sheetView workbookViewId="0">
      <selection activeCell="M14" sqref="M14"/>
    </sheetView>
  </sheetViews>
  <sheetFormatPr defaultColWidth="9" defaultRowHeight="15" x14ac:dyDescent="0.2"/>
  <cols>
    <col min="1" max="1" width="38.1640625" bestFit="1" customWidth="1"/>
    <col min="2" max="3" width="10.33203125" style="91" hidden="1" customWidth="1"/>
    <col min="4" max="6" width="10.33203125" style="91" bestFit="1" customWidth="1"/>
    <col min="7" max="14" width="11.33203125" style="91" bestFit="1" customWidth="1"/>
    <col min="15" max="16" width="11.33203125" customWidth="1"/>
  </cols>
  <sheetData>
    <row r="1" spans="1:16" ht="18" x14ac:dyDescent="0.25">
      <c r="A1" s="88" t="s">
        <v>195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6" ht="15.75" x14ac:dyDescent="0.25">
      <c r="A2" s="89" t="s">
        <v>190</v>
      </c>
      <c r="B2" s="90">
        <v>2019</v>
      </c>
      <c r="C2" s="90">
        <v>2020</v>
      </c>
      <c r="D2" s="90">
        <v>2021</v>
      </c>
      <c r="E2" s="90">
        <v>2022</v>
      </c>
      <c r="F2" s="90">
        <v>2023</v>
      </c>
      <c r="G2" s="90">
        <v>2024</v>
      </c>
      <c r="H2" s="90">
        <v>2025</v>
      </c>
      <c r="I2" s="90">
        <v>2026</v>
      </c>
      <c r="J2" s="90">
        <v>2027</v>
      </c>
      <c r="K2" s="90">
        <v>2028</v>
      </c>
      <c r="L2" s="90">
        <v>2029</v>
      </c>
      <c r="M2" s="90">
        <v>2030</v>
      </c>
      <c r="N2" s="90">
        <v>2031</v>
      </c>
      <c r="O2" s="90">
        <v>2032</v>
      </c>
      <c r="P2" s="90">
        <v>2033</v>
      </c>
    </row>
    <row r="3" spans="1:16" x14ac:dyDescent="0.2">
      <c r="A3" s="89" t="s">
        <v>196</v>
      </c>
      <c r="B3" s="91">
        <f>'Veg Oils'!AB4-B20</f>
        <v>-99.621000000000095</v>
      </c>
      <c r="C3" s="91">
        <f>'Veg Oils'!AC4-C20</f>
        <v>-103.18700000000035</v>
      </c>
      <c r="D3" s="91">
        <f>'Veg Oils'!AD4-D20</f>
        <v>0.3930000000000291</v>
      </c>
      <c r="E3" s="91">
        <f>'Veg Oils'!AE4-E20</f>
        <v>6.1999999999898137E-2</v>
      </c>
      <c r="F3" s="91">
        <f>'Veg Oils'!AF4-F20</f>
        <v>-0.21000000000003638</v>
      </c>
      <c r="G3" s="91">
        <f>'Veg Oils'!AG4-G20</f>
        <v>-604.44200000000001</v>
      </c>
      <c r="H3" s="91">
        <f>'Veg Oils'!AH4-H20</f>
        <v>-468.19100000000003</v>
      </c>
      <c r="I3" s="91">
        <f>'Veg Oils'!AI4-I20</f>
        <v>-1188.9958552185701</v>
      </c>
      <c r="J3" s="91">
        <f>'Veg Oils'!AJ4-J20</f>
        <v>-276.22071823203964</v>
      </c>
      <c r="K3" s="91">
        <f>'Veg Oils'!AK4-K20</f>
        <v>-376.58601363436719</v>
      </c>
      <c r="L3" s="91">
        <f>'Veg Oils'!AL4-L20</f>
        <v>-970.99981882381439</v>
      </c>
      <c r="M3" s="91">
        <f>'Veg Oils'!AM4-M20</f>
        <v>-1142.8339288403008</v>
      </c>
      <c r="N3" s="91">
        <f>'Veg Oils'!AN4-N20</f>
        <v>-945.59606895461798</v>
      </c>
      <c r="O3" s="91">
        <f>'Veg Oils'!AO4-O20</f>
        <v>-969.2045019511736</v>
      </c>
      <c r="P3" s="91">
        <f>'Veg Oils'!AP4-P20</f>
        <v>-674.02805325456438</v>
      </c>
    </row>
    <row r="4" spans="1:16" x14ac:dyDescent="0.2">
      <c r="A4" s="89" t="s">
        <v>71</v>
      </c>
      <c r="B4" s="91">
        <f>'Veg Oils'!AB7-B21</f>
        <v>-2276.3559999999925</v>
      </c>
      <c r="C4" s="91">
        <f>'Veg Oils'!AC7-C21</f>
        <v>-1594.3709999999955</v>
      </c>
      <c r="D4" s="91">
        <f>'Veg Oils'!AD7-D21</f>
        <v>1587.3790000000008</v>
      </c>
      <c r="E4" s="91">
        <f>'Veg Oils'!AE7-E21</f>
        <v>137.23032389603759</v>
      </c>
      <c r="F4" s="91">
        <f>'Veg Oils'!AF7-F21</f>
        <v>914.54521949780246</v>
      </c>
      <c r="G4" s="91">
        <f>'Veg Oils'!AG7-G21</f>
        <v>723.83550847514562</v>
      </c>
      <c r="H4" s="91">
        <f>'Veg Oils'!AH7-H21</f>
        <v>-2862.5028680818941</v>
      </c>
      <c r="I4" s="91">
        <f>'Veg Oils'!AI7-I21</f>
        <v>-1575.942201284015</v>
      </c>
      <c r="J4" s="91">
        <f>'Veg Oils'!AJ7-J21</f>
        <v>-2471.3977130027561</v>
      </c>
      <c r="K4" s="91">
        <f>'Veg Oils'!AK7-K21</f>
        <v>-2239.2273645591049</v>
      </c>
      <c r="L4" s="91">
        <f>'Veg Oils'!AL7-L21</f>
        <v>-2265.7629776437971</v>
      </c>
      <c r="M4" s="91">
        <f>'Veg Oils'!AM7-M21</f>
        <v>-1790.9393013979789</v>
      </c>
      <c r="N4" s="91">
        <f>'Veg Oils'!AN7-N21</f>
        <v>-2521.4871725506746</v>
      </c>
      <c r="O4" s="91">
        <f>'Veg Oils'!AO7-O21</f>
        <v>-1812.3539182195527</v>
      </c>
      <c r="P4" s="91">
        <f>'Veg Oils'!AP7-P21</f>
        <v>-1638.941745609256</v>
      </c>
    </row>
    <row r="5" spans="1:16" x14ac:dyDescent="0.2">
      <c r="A5" s="89" t="s">
        <v>72</v>
      </c>
      <c r="B5" s="91">
        <f>'Veg Oils'!AB10-B22</f>
        <v>1.7630179999996471</v>
      </c>
      <c r="C5" s="91">
        <f>'Veg Oils'!AC10-C22</f>
        <v>-0.16597000000001572</v>
      </c>
      <c r="D5" s="91">
        <f>'Veg Oils'!AD10-D22</f>
        <v>-10.584849097999722</v>
      </c>
      <c r="E5" s="91">
        <f>'Veg Oils'!AE10-E22</f>
        <v>38.645149538000624</v>
      </c>
      <c r="F5" s="91">
        <f>'Veg Oils'!AF10-F22</f>
        <v>1872.6752470799993</v>
      </c>
      <c r="G5" s="91">
        <f>'Veg Oils'!AG10-G22</f>
        <v>1110.1466339388198</v>
      </c>
      <c r="H5" s="91">
        <f>'Veg Oils'!AH10-H22</f>
        <v>-818.35476058194035</v>
      </c>
      <c r="I5" s="91">
        <f>'Veg Oils'!AI10-I22</f>
        <v>-1057.5577882165871</v>
      </c>
      <c r="J5" s="91">
        <f>'Veg Oils'!AJ10-J22</f>
        <v>-55.747280647813568</v>
      </c>
      <c r="K5" s="91">
        <f>'Veg Oils'!AK10-K22</f>
        <v>801.29915046470433</v>
      </c>
      <c r="L5" s="91">
        <f>'Veg Oils'!AL10-L22</f>
        <v>1633.7674372163092</v>
      </c>
      <c r="M5" s="91">
        <f>'Veg Oils'!AM10-M22</f>
        <v>2902.7722457561213</v>
      </c>
      <c r="N5" s="91">
        <f>'Veg Oils'!AN10-N22</f>
        <v>2882.6656501546786</v>
      </c>
      <c r="O5" s="91">
        <f>'Veg Oils'!AO10-O22</f>
        <v>2329.8342007779811</v>
      </c>
      <c r="P5" s="91">
        <f>'Veg Oils'!AP10-P22</f>
        <v>881.23228340029709</v>
      </c>
    </row>
    <row r="6" spans="1:16" x14ac:dyDescent="0.2">
      <c r="A6" s="89" t="s">
        <v>83</v>
      </c>
      <c r="B6" s="91">
        <f>'Veg Oils'!AB13-B23</f>
        <v>-2374.2139819999938</v>
      </c>
      <c r="C6" s="91">
        <f>'Veg Oils'!AC13-C23</f>
        <v>-1697.7239699999918</v>
      </c>
      <c r="D6" s="91">
        <f>'Veg Oils'!AD13-D23</f>
        <v>1577.1871509019984</v>
      </c>
      <c r="E6" s="91">
        <f>'Veg Oils'!AE13-E23</f>
        <v>175.93747343403811</v>
      </c>
      <c r="F6" s="91">
        <f>'Veg Oils'!AF13-F23</f>
        <v>2787.0104665778053</v>
      </c>
      <c r="G6" s="91">
        <f>'Veg Oils'!AG13-G23</f>
        <v>1229.5401424139636</v>
      </c>
      <c r="H6" s="91">
        <f>'Veg Oils'!AH13-H23</f>
        <v>-4149.0486286638334</v>
      </c>
      <c r="I6" s="91">
        <f>'Veg Oils'!AI13-I23</f>
        <v>-3822.4958447191748</v>
      </c>
      <c r="J6" s="91">
        <f>'Veg Oils'!AJ13-J23</f>
        <v>-2803.3657118826086</v>
      </c>
      <c r="K6" s="91">
        <f>'Veg Oils'!AK13-K23</f>
        <v>-1814.5142277287669</v>
      </c>
      <c r="L6" s="91">
        <f>'Veg Oils'!AL13-L23</f>
        <v>-1601.9953592513048</v>
      </c>
      <c r="M6" s="91">
        <f>'Veg Oils'!AM13-M23</f>
        <v>-31.000984482154308</v>
      </c>
      <c r="N6" s="91">
        <f>'Veg Oils'!AN13-N23</f>
        <v>-584.41759135061875</v>
      </c>
      <c r="O6" s="91">
        <f>'Veg Oils'!AO13-O23</f>
        <v>-451.724219392745</v>
      </c>
      <c r="P6" s="91">
        <f>'Veg Oils'!AP13-P23</f>
        <v>-1431.7375154635229</v>
      </c>
    </row>
    <row r="7" spans="1:16" x14ac:dyDescent="0.2">
      <c r="A7" s="89"/>
      <c r="O7" s="91"/>
      <c r="P7" s="91"/>
    </row>
    <row r="8" spans="1:16" x14ac:dyDescent="0.2">
      <c r="A8" s="89" t="s">
        <v>74</v>
      </c>
      <c r="B8" s="91">
        <f>'Veg Oils'!AB15-B25</f>
        <v>-3805.5705609999859</v>
      </c>
      <c r="C8" s="91">
        <f>'Veg Oils'!AC15-C25</f>
        <v>-4501.1757059999945</v>
      </c>
      <c r="D8" s="91">
        <f>'Veg Oils'!AD15-D25</f>
        <v>-378.01604955000585</v>
      </c>
      <c r="E8" s="91">
        <f>'Veg Oils'!AE15-E25</f>
        <v>-1513.3737237079695</v>
      </c>
      <c r="F8" s="91">
        <f>'Veg Oils'!AF15-F25</f>
        <v>3122.9698884378013</v>
      </c>
      <c r="G8" s="91">
        <f>'Veg Oils'!AG15-G25</f>
        <v>110.47394536398497</v>
      </c>
      <c r="H8" s="91">
        <f>'Veg Oils'!AH15-H25</f>
        <v>-6214.3795653016132</v>
      </c>
      <c r="I8" s="91">
        <f>'Veg Oils'!AI15-I25</f>
        <v>-6888.3476905404023</v>
      </c>
      <c r="J8" s="91">
        <f>'Veg Oils'!AJ15-J25</f>
        <v>-4555.2473803466928</v>
      </c>
      <c r="K8" s="91">
        <f>'Veg Oils'!AK15-K25</f>
        <v>-3404.0358208251273</v>
      </c>
      <c r="L8" s="91">
        <f>'Veg Oils'!AL15-L25</f>
        <v>-3287.8434614600119</v>
      </c>
      <c r="M8" s="91">
        <f>'Veg Oils'!AM15-M25</f>
        <v>-2996.9574417124677</v>
      </c>
      <c r="N8" s="91">
        <f>'Veg Oils'!AN15-N25</f>
        <v>-2550.4877577716106</v>
      </c>
      <c r="O8" s="91">
        <f>'Veg Oils'!AO15-O25</f>
        <v>-2449.3554091993428</v>
      </c>
      <c r="P8" s="91">
        <f>'Veg Oils'!AP15-P25</f>
        <v>-4051.9628077442612</v>
      </c>
    </row>
    <row r="9" spans="1:16" x14ac:dyDescent="0.2">
      <c r="A9" s="89" t="s">
        <v>197</v>
      </c>
      <c r="B9" s="91">
        <f>'Veg Oils'!AB16-B26</f>
        <v>-2057.873490891021</v>
      </c>
      <c r="C9" s="91">
        <f>'Veg Oils'!AC16-C26</f>
        <v>-1714.8240374054294</v>
      </c>
      <c r="D9" s="91">
        <f>'Veg Oils'!AD16-D26</f>
        <v>386.11489775042355</v>
      </c>
      <c r="E9" s="91">
        <f>'Veg Oils'!AE16-E26</f>
        <v>-1506.6557172100202</v>
      </c>
      <c r="F9" s="91">
        <f>'Veg Oils'!AF16-F26</f>
        <v>-534.80470944089757</v>
      </c>
      <c r="G9" s="91">
        <f>'Veg Oils'!AG16-G26</f>
        <v>-3043.2861802282787</v>
      </c>
      <c r="H9" s="91">
        <f>'Veg Oils'!AH16-H26</f>
        <v>-7309.1628483533204</v>
      </c>
      <c r="I9" s="91">
        <f>'Veg Oils'!AI16-I26</f>
        <v>-8440.8700244686806</v>
      </c>
      <c r="J9" s="91">
        <f>'Veg Oils'!AJ16-J26</f>
        <v>-5459.1253450445365</v>
      </c>
      <c r="K9" s="91">
        <f>'Veg Oils'!AK16-K26</f>
        <v>-5897.2075970702717</v>
      </c>
      <c r="L9" s="91">
        <f>'Veg Oils'!AL16-L26</f>
        <v>-6061.6381697509569</v>
      </c>
      <c r="M9" s="91">
        <f>'Veg Oils'!AM16-M26</f>
        <v>-4765.7981950658104</v>
      </c>
      <c r="N9" s="91">
        <f>'Veg Oils'!AN16-N26</f>
        <v>-4054.4800378409564</v>
      </c>
      <c r="O9" s="91">
        <f>'Veg Oils'!AO16-O26</f>
        <v>-1368.6054671557431</v>
      </c>
      <c r="P9" s="91">
        <f>'Veg Oils'!AP16-P26</f>
        <v>-2069.3388072911621</v>
      </c>
    </row>
    <row r="10" spans="1:16" x14ac:dyDescent="0.2">
      <c r="A10" s="89" t="s">
        <v>198</v>
      </c>
      <c r="B10" s="91">
        <f>'Veg Oils'!AB17-B27</f>
        <v>-1759.7731008967858</v>
      </c>
      <c r="C10" s="91">
        <f>'Veg Oils'!AC17-C27</f>
        <v>-1516.8237966839934</v>
      </c>
      <c r="D10" s="91">
        <f>'Veg Oils'!AD17-D27</f>
        <v>667.59823792368115</v>
      </c>
      <c r="E10" s="91">
        <f>'Veg Oils'!AE17-E27</f>
        <v>1302.8580882127462</v>
      </c>
      <c r="F10" s="91">
        <f>'Veg Oils'!AF17-F27</f>
        <v>2353.4974651807024</v>
      </c>
      <c r="G10" s="91">
        <f>'Veg Oils'!AG17-G27</f>
        <v>4597.1920551468338</v>
      </c>
      <c r="H10" s="91">
        <f>'Veg Oils'!AH17-H27</f>
        <v>5409.6448342002222</v>
      </c>
      <c r="I10" s="91">
        <f>'Veg Oils'!AI17-I27</f>
        <v>5389.5446374897138</v>
      </c>
      <c r="J10" s="91">
        <f>'Veg Oils'!AJ17-J27</f>
        <v>5142.8809885019537</v>
      </c>
      <c r="K10" s="91">
        <f>'Veg Oils'!AK17-K27</f>
        <v>3874.2968211723319</v>
      </c>
      <c r="L10" s="91">
        <f>'Veg Oils'!AL17-L27</f>
        <v>4802.3244759831232</v>
      </c>
      <c r="M10" s="91">
        <f>'Veg Oils'!AM17-M27</f>
        <v>4936.766039331008</v>
      </c>
      <c r="N10" s="91">
        <f>'Veg Oils'!AN17-N27</f>
        <v>4892.1821333443859</v>
      </c>
      <c r="O10" s="91">
        <f>'Veg Oils'!AO17-O27</f>
        <v>5322.7958899620999</v>
      </c>
      <c r="P10" s="91">
        <f>'Veg Oils'!AP17-P27</f>
        <v>4222.5663908091683</v>
      </c>
    </row>
    <row r="11" spans="1:16" x14ac:dyDescent="0.2">
      <c r="A11" s="89" t="s">
        <v>199</v>
      </c>
      <c r="B11" s="91">
        <f>'Veg Oils'!AB20-B28</f>
        <v>-287.10038999423568</v>
      </c>
      <c r="C11" s="91">
        <f>'Veg Oils'!AC20-C28</f>
        <v>-78.000240721435603</v>
      </c>
      <c r="D11" s="91">
        <f>'Veg Oils'!AD20-D28</f>
        <v>-25.483340173256693</v>
      </c>
      <c r="E11" s="91">
        <f>'Veg Oils'!AE20-E28</f>
        <v>-2304.5138054227664</v>
      </c>
      <c r="F11" s="91">
        <f>'Veg Oils'!AF20-F28</f>
        <v>-2241.3021746216</v>
      </c>
      <c r="G11" s="91">
        <f>'Veg Oils'!AG20-G28</f>
        <v>-6924.4782353751107</v>
      </c>
      <c r="H11" s="91">
        <f>'Veg Oils'!AH20-H28</f>
        <v>-11944.807682553545</v>
      </c>
      <c r="I11" s="91">
        <f>'Veg Oils'!AI20-I28</f>
        <v>-12984.414661958393</v>
      </c>
      <c r="J11" s="91">
        <f>'Veg Oils'!AJ20-J28</f>
        <v>-9976.0063335464911</v>
      </c>
      <c r="K11" s="91">
        <f>'Veg Oils'!AK20-K28</f>
        <v>-9144.5044182426027</v>
      </c>
      <c r="L11" s="91">
        <f>'Veg Oils'!AL20-L28</f>
        <v>-10236.962645734078</v>
      </c>
      <c r="M11" s="91">
        <f>'Veg Oils'!AM20-M28</f>
        <v>-9080.5642343968175</v>
      </c>
      <c r="N11" s="91">
        <f>'Veg Oils'!AN20-N28</f>
        <v>-8326.6621711853441</v>
      </c>
      <c r="O11" s="91">
        <f>'Veg Oils'!AO20-O28</f>
        <v>-6074.4013571178439</v>
      </c>
      <c r="P11" s="91">
        <f>'Veg Oils'!AP20-P28</f>
        <v>-5680.9051981003286</v>
      </c>
    </row>
    <row r="12" spans="1:16" x14ac:dyDescent="0.2">
      <c r="A12" s="89" t="s">
        <v>200</v>
      </c>
      <c r="B12" s="91" t="e">
        <f>'Veg Oils'!#REF!-B29</f>
        <v>#REF!</v>
      </c>
      <c r="C12" s="91" t="e">
        <f>'Veg Oils'!#REF!-C29</f>
        <v>#REF!</v>
      </c>
      <c r="D12" s="91" t="e">
        <f>'Veg Oils'!#REF!-D29</f>
        <v>#REF!</v>
      </c>
      <c r="E12" s="91" t="e">
        <f>'Veg Oils'!#REF!-E29</f>
        <v>#REF!</v>
      </c>
      <c r="F12" s="91" t="e">
        <f>'Veg Oils'!#REF!-F29</f>
        <v>#REF!</v>
      </c>
      <c r="G12" s="91" t="e">
        <f>'Veg Oils'!#REF!-G29</f>
        <v>#REF!</v>
      </c>
      <c r="H12" s="91" t="e">
        <f>'Veg Oils'!#REF!-H29</f>
        <v>#REF!</v>
      </c>
      <c r="I12" s="91" t="e">
        <f>'Veg Oils'!#REF!-I29</f>
        <v>#REF!</v>
      </c>
      <c r="J12" s="91" t="e">
        <f>'Veg Oils'!#REF!-J29</f>
        <v>#REF!</v>
      </c>
      <c r="K12" s="91" t="e">
        <f>'Veg Oils'!#REF!-K29</f>
        <v>#REF!</v>
      </c>
      <c r="L12" s="91" t="e">
        <f>'Veg Oils'!#REF!-L29</f>
        <v>#REF!</v>
      </c>
      <c r="M12" s="91" t="e">
        <f>'Veg Oils'!#REF!-M29</f>
        <v>#REF!</v>
      </c>
      <c r="N12" s="91" t="e">
        <f>'Veg Oils'!#REF!-N29</f>
        <v>#REF!</v>
      </c>
      <c r="O12" s="91" t="e">
        <f>'Veg Oils'!#REF!-O29</f>
        <v>#REF!</v>
      </c>
      <c r="P12" s="91" t="e">
        <f>'Veg Oils'!#REF!-P29</f>
        <v>#REF!</v>
      </c>
    </row>
    <row r="13" spans="1:16" x14ac:dyDescent="0.2">
      <c r="A13" s="89" t="s">
        <v>201</v>
      </c>
      <c r="B13" s="91">
        <f>'Veg Oils'!AB23-B30</f>
        <v>-1747.6970701089667</v>
      </c>
      <c r="C13" s="91">
        <f>'Veg Oils'!AC23-C30</f>
        <v>-2786.3516685945669</v>
      </c>
      <c r="D13" s="91">
        <f>'Veg Oils'!AD23-D30</f>
        <v>-764.1309473004294</v>
      </c>
      <c r="E13" s="91">
        <f>'Veg Oils'!AE23-E30</f>
        <v>-6.7180064979474992</v>
      </c>
      <c r="F13" s="91">
        <f>'Veg Oils'!AF23-F30</f>
        <v>3657.7745978786988</v>
      </c>
      <c r="G13" s="91">
        <f>'Veg Oils'!AG23-G30</f>
        <v>3153.7601255922636</v>
      </c>
      <c r="H13" s="91">
        <f>'Veg Oils'!AH23-H30</f>
        <v>1094.7832830517109</v>
      </c>
      <c r="I13" s="91">
        <f>'Veg Oils'!AI23-I30</f>
        <v>1552.5223339282784</v>
      </c>
      <c r="J13" s="91">
        <f>'Veg Oils'!AJ23-J30</f>
        <v>903.87796469784371</v>
      </c>
      <c r="K13" s="91">
        <f>'Veg Oils'!AK23-K30</f>
        <v>2492.1717762451444</v>
      </c>
      <c r="L13" s="91">
        <f>'Veg Oils'!AL23-L30</f>
        <v>2773.794708290945</v>
      </c>
      <c r="M13" s="91">
        <f>'Veg Oils'!AM23-M30</f>
        <v>1768.8407533533391</v>
      </c>
      <c r="N13" s="91">
        <f>'Veg Oils'!AN23-N30</f>
        <v>1503.9922800693494</v>
      </c>
      <c r="O13" s="91">
        <f>'Veg Oils'!AO23-O30</f>
        <v>-1080.7499420435961</v>
      </c>
      <c r="P13" s="91">
        <f>'Veg Oils'!AP23-P30</f>
        <v>-1981.6240004530991</v>
      </c>
    </row>
    <row r="14" spans="1:16" x14ac:dyDescent="0.2">
      <c r="A14" s="89" t="s">
        <v>79</v>
      </c>
      <c r="B14" s="91">
        <f>'Veg Oils'!AB26-B31</f>
        <v>1535.5435790000001</v>
      </c>
      <c r="C14" s="91">
        <f>'Veg Oils'!AC26-C31</f>
        <v>2906.058735999999</v>
      </c>
      <c r="D14" s="91">
        <f>'Veg Oils'!AD26-D31</f>
        <v>1955.1412004519998</v>
      </c>
      <c r="E14" s="91">
        <f>'Veg Oils'!AE26-E31</f>
        <v>1689.5211971419999</v>
      </c>
      <c r="F14" s="91">
        <f>'Veg Oils'!AF26-F31</f>
        <v>267.48257813999999</v>
      </c>
      <c r="G14" s="91">
        <f>'Veg Oils'!AG26-G31</f>
        <v>1587.2571970499803</v>
      </c>
      <c r="H14" s="91">
        <f>'Veg Oils'!AH26-H31</f>
        <v>3254.3267918563461</v>
      </c>
      <c r="I14" s="91">
        <f>'Veg Oils'!AI26-I31</f>
        <v>3342.0725640532651</v>
      </c>
      <c r="J14" s="91">
        <f>'Veg Oils'!AJ26-J31</f>
        <v>2128.4676820984473</v>
      </c>
      <c r="K14" s="91">
        <f>'Veg Oils'!AK26-K31</f>
        <v>2560.5214119201796</v>
      </c>
      <c r="L14" s="91">
        <f>'Veg Oils'!AL26-L31</f>
        <v>2828.6820310490111</v>
      </c>
      <c r="M14" s="91">
        <f>'Veg Oils'!AM26-M31</f>
        <v>3911.5525261849252</v>
      </c>
      <c r="N14" s="91">
        <f>'Veg Oils'!AN26-N31</f>
        <v>2935.2746683721662</v>
      </c>
      <c r="O14" s="91">
        <f>'Veg Oils'!AO26-O31</f>
        <v>2671.6592430611659</v>
      </c>
      <c r="P14" s="91">
        <f>'Veg Oils'!AP26-P31</f>
        <v>2625.8996639249458</v>
      </c>
    </row>
    <row r="15" spans="1:16" x14ac:dyDescent="0.2">
      <c r="A15" s="89" t="s">
        <v>85</v>
      </c>
      <c r="B15" s="91">
        <f>'Veg Oils'!AB29-B32</f>
        <v>-2270.0269819999849</v>
      </c>
      <c r="C15" s="91">
        <f>'Veg Oils'!AC29-C32</f>
        <v>-1596.1169699999955</v>
      </c>
      <c r="D15" s="91">
        <f>'Veg Oils'!AD29-D32</f>
        <v>1577.125150901993</v>
      </c>
      <c r="E15" s="91">
        <f>'Veg Oils'!AE29-E32</f>
        <v>176.14747343402996</v>
      </c>
      <c r="F15" s="91">
        <f>'Veg Oils'!AF29-F32</f>
        <v>3390.4524665778008</v>
      </c>
      <c r="G15" s="91">
        <f>'Veg Oils'!AG29-G32</f>
        <v>1697.7311424139625</v>
      </c>
      <c r="H15" s="91">
        <f>'Veg Oils'!AH29-H32</f>
        <v>-2960.0527734452698</v>
      </c>
      <c r="I15" s="91">
        <f>'Veg Oils'!AI29-I32</f>
        <v>-3547.2751264871404</v>
      </c>
      <c r="J15" s="91">
        <f>'Veg Oils'!AJ29-J32</f>
        <v>-2426.7796982482469</v>
      </c>
      <c r="K15" s="91">
        <f>'Veg Oils'!AK29-K32</f>
        <v>-843.51440890494996</v>
      </c>
      <c r="L15" s="91">
        <f>'Veg Oils'!AL29-L32</f>
        <v>-459.16143041099713</v>
      </c>
      <c r="M15" s="91">
        <f>'Veg Oils'!AM29-M32</f>
        <v>914.59508447245753</v>
      </c>
      <c r="N15" s="91">
        <f>'Veg Oils'!AN29-N32</f>
        <v>384.7869106005528</v>
      </c>
      <c r="O15" s="91">
        <f>'Veg Oils'!AO29-O32</f>
        <v>222.30383386182075</v>
      </c>
      <c r="P15" s="91">
        <f>'Veg Oils'!AP29-P32</f>
        <v>-1426.0631438193159</v>
      </c>
    </row>
    <row r="16" spans="1:16" x14ac:dyDescent="0.2">
      <c r="A16" s="89"/>
      <c r="O16" s="91"/>
      <c r="P16" s="91"/>
    </row>
    <row r="17" spans="1:16" x14ac:dyDescent="0.2">
      <c r="A17" s="89" t="s">
        <v>202</v>
      </c>
      <c r="B17" s="91">
        <f>'Veg Oils'!AB31-B34</f>
        <v>-104.18700000000035</v>
      </c>
      <c r="C17" s="91">
        <f>'Veg Oils'!AC31-C34</f>
        <v>-101.60699999999997</v>
      </c>
      <c r="D17" s="91">
        <f>'Veg Oils'!AD31-D34</f>
        <v>6.1999999999898137E-2</v>
      </c>
      <c r="E17" s="91">
        <f>'Veg Oils'!AE31-E34</f>
        <v>-0.21000000000003638</v>
      </c>
      <c r="F17" s="91">
        <f>'Veg Oils'!AF31-F34</f>
        <v>-604.44200000000001</v>
      </c>
      <c r="G17" s="91">
        <f>'Veg Oils'!AG31-G34</f>
        <v>-468.19100000000003</v>
      </c>
      <c r="H17" s="91">
        <f>'Veg Oils'!AH31-H34</f>
        <v>-1188.9958552185701</v>
      </c>
      <c r="I17" s="91">
        <f>'Veg Oils'!AI31-I34</f>
        <v>-276.22071823203964</v>
      </c>
      <c r="J17" s="91">
        <f>'Veg Oils'!AJ31-J34</f>
        <v>-376.58601363436719</v>
      </c>
      <c r="K17" s="91">
        <f>'Veg Oils'!AK31-K34</f>
        <v>-970.99981882381439</v>
      </c>
      <c r="L17" s="91">
        <f>'Veg Oils'!AL31-L34</f>
        <v>-1142.8339288403008</v>
      </c>
      <c r="M17" s="91">
        <f>'Veg Oils'!AM31-M34</f>
        <v>-945.59606895461798</v>
      </c>
      <c r="N17" s="91">
        <f>'Veg Oils'!AN31-N34</f>
        <v>-969.2045019511736</v>
      </c>
      <c r="O17" s="91">
        <f>'Veg Oils'!AO31-O34</f>
        <v>-674.02805325456438</v>
      </c>
      <c r="P17" s="91">
        <f>'Veg Oils'!AP31-P34</f>
        <v>-5.6743716442178993</v>
      </c>
    </row>
    <row r="18" spans="1:16" x14ac:dyDescent="0.2">
      <c r="A18" s="89"/>
    </row>
    <row r="19" spans="1:16" x14ac:dyDescent="0.2">
      <c r="A19" s="89"/>
    </row>
    <row r="20" spans="1:16" x14ac:dyDescent="0.2">
      <c r="A20" s="89" t="s">
        <v>196</v>
      </c>
      <c r="B20" s="91">
        <v>2254</v>
      </c>
      <c r="C20" s="91">
        <v>2368</v>
      </c>
      <c r="D20" s="91">
        <v>2275</v>
      </c>
      <c r="E20" s="91">
        <v>2605</v>
      </c>
      <c r="F20" s="91">
        <v>2497</v>
      </c>
      <c r="G20" s="91">
        <v>2618</v>
      </c>
      <c r="H20" s="91">
        <v>2285</v>
      </c>
      <c r="I20" s="91">
        <v>2545</v>
      </c>
      <c r="J20" s="91">
        <v>2196</v>
      </c>
      <c r="K20" s="91">
        <v>2275</v>
      </c>
      <c r="L20" s="91">
        <v>2648</v>
      </c>
      <c r="M20" s="91">
        <v>2921</v>
      </c>
      <c r="N20" s="91">
        <v>2677</v>
      </c>
      <c r="O20" s="91">
        <v>2765</v>
      </c>
      <c r="P20" s="91">
        <v>2742</v>
      </c>
    </row>
    <row r="21" spans="1:16" x14ac:dyDescent="0.2">
      <c r="A21" s="89" t="s">
        <v>71</v>
      </c>
      <c r="B21" s="91">
        <v>29329</v>
      </c>
      <c r="C21" s="91">
        <v>30527</v>
      </c>
      <c r="D21" s="91">
        <v>26888</v>
      </c>
      <c r="E21" s="91">
        <v>28702</v>
      </c>
      <c r="F21" s="91">
        <v>31054</v>
      </c>
      <c r="G21" s="91">
        <v>31856</v>
      </c>
      <c r="H21" s="91">
        <v>34337</v>
      </c>
      <c r="I21" s="91">
        <v>39946</v>
      </c>
      <c r="J21" s="91">
        <v>40875</v>
      </c>
      <c r="K21" s="91">
        <v>41554</v>
      </c>
      <c r="L21" s="91">
        <v>42889</v>
      </c>
      <c r="M21" s="91">
        <v>44739</v>
      </c>
      <c r="N21" s="91">
        <v>46415</v>
      </c>
      <c r="O21" s="91">
        <v>47597</v>
      </c>
      <c r="P21" s="91">
        <v>47983</v>
      </c>
    </row>
    <row r="22" spans="1:16" x14ac:dyDescent="0.2">
      <c r="A22" s="89" t="s">
        <v>72</v>
      </c>
      <c r="B22" s="91">
        <v>4405</v>
      </c>
      <c r="C22" s="91">
        <v>4193</v>
      </c>
      <c r="D22" s="91">
        <v>4676</v>
      </c>
      <c r="E22" s="91">
        <v>4883</v>
      </c>
      <c r="F22" s="91">
        <v>4938</v>
      </c>
      <c r="G22" s="91">
        <v>6968</v>
      </c>
      <c r="H22" s="91">
        <v>7498</v>
      </c>
      <c r="I22" s="91">
        <v>7674</v>
      </c>
      <c r="J22" s="91">
        <v>7277</v>
      </c>
      <c r="K22" s="91">
        <v>6779</v>
      </c>
      <c r="L22" s="91">
        <v>6379</v>
      </c>
      <c r="M22" s="91">
        <v>5567</v>
      </c>
      <c r="N22" s="91">
        <v>5875</v>
      </c>
      <c r="O22" s="91">
        <v>7376</v>
      </c>
      <c r="P22" s="91">
        <v>9097</v>
      </c>
    </row>
    <row r="23" spans="1:16" x14ac:dyDescent="0.2">
      <c r="A23" s="89" t="s">
        <v>83</v>
      </c>
      <c r="B23" s="91">
        <v>35988</v>
      </c>
      <c r="C23" s="91">
        <v>37088</v>
      </c>
      <c r="D23" s="91">
        <v>33839</v>
      </c>
      <c r="E23" s="91">
        <v>36190</v>
      </c>
      <c r="F23" s="91">
        <v>38489</v>
      </c>
      <c r="G23" s="91">
        <v>41442</v>
      </c>
      <c r="H23" s="91">
        <v>44120</v>
      </c>
      <c r="I23" s="91">
        <v>50165</v>
      </c>
      <c r="J23" s="91">
        <v>50348</v>
      </c>
      <c r="K23" s="91">
        <v>50608</v>
      </c>
      <c r="L23" s="91">
        <v>51915</v>
      </c>
      <c r="M23" s="91">
        <v>53227</v>
      </c>
      <c r="N23" s="91">
        <v>54967</v>
      </c>
      <c r="O23" s="91">
        <v>57738</v>
      </c>
      <c r="P23" s="91">
        <v>59822</v>
      </c>
    </row>
    <row r="24" spans="1:16" x14ac:dyDescent="0.2">
      <c r="A24" s="89"/>
      <c r="O24" s="91"/>
      <c r="P24" s="91"/>
    </row>
    <row r="25" spans="1:16" x14ac:dyDescent="0.2">
      <c r="A25" s="89" t="s">
        <v>74</v>
      </c>
      <c r="B25" s="91">
        <v>31050</v>
      </c>
      <c r="C25" s="91">
        <v>31538</v>
      </c>
      <c r="D25" s="91">
        <v>29300</v>
      </c>
      <c r="E25" s="91">
        <v>32083</v>
      </c>
      <c r="F25" s="91">
        <v>35071</v>
      </c>
      <c r="G25" s="91">
        <v>38391</v>
      </c>
      <c r="H25" s="91">
        <v>40924</v>
      </c>
      <c r="I25" s="91">
        <v>47327</v>
      </c>
      <c r="J25" s="91">
        <v>47487</v>
      </c>
      <c r="K25" s="91">
        <v>47362</v>
      </c>
      <c r="L25" s="91">
        <v>48388</v>
      </c>
      <c r="M25" s="91">
        <v>49950</v>
      </c>
      <c r="N25" s="91">
        <v>51602</v>
      </c>
      <c r="O25" s="91">
        <v>54396</v>
      </c>
      <c r="P25" s="91">
        <v>56469</v>
      </c>
    </row>
    <row r="26" spans="1:16" x14ac:dyDescent="0.2">
      <c r="A26" s="89" t="s">
        <v>197</v>
      </c>
      <c r="B26" s="91">
        <v>12692</v>
      </c>
      <c r="C26" s="91">
        <v>13679</v>
      </c>
      <c r="D26" s="91">
        <v>10641</v>
      </c>
      <c r="E26" s="91">
        <v>13422</v>
      </c>
      <c r="F26" s="91">
        <v>18882</v>
      </c>
      <c r="G26" s="91">
        <v>22322</v>
      </c>
      <c r="H26" s="91">
        <v>23789</v>
      </c>
      <c r="I26" s="91">
        <v>30031</v>
      </c>
      <c r="J26" s="91">
        <v>30491</v>
      </c>
      <c r="K26" s="91">
        <v>30819</v>
      </c>
      <c r="L26" s="91">
        <v>31612</v>
      </c>
      <c r="M26" s="91">
        <v>33014</v>
      </c>
      <c r="N26" s="91">
        <v>34199</v>
      </c>
      <c r="O26" s="91">
        <v>35536</v>
      </c>
      <c r="P26" s="91">
        <v>36942</v>
      </c>
    </row>
    <row r="27" spans="1:16" x14ac:dyDescent="0.2">
      <c r="A27" s="89" t="s">
        <v>198</v>
      </c>
      <c r="B27" s="91">
        <v>10308</v>
      </c>
      <c r="C27" s="91">
        <v>11117</v>
      </c>
      <c r="D27" s="91">
        <v>7577</v>
      </c>
      <c r="E27" s="91">
        <v>7136</v>
      </c>
      <c r="F27" s="91">
        <v>7258</v>
      </c>
      <c r="G27" s="91">
        <v>4129</v>
      </c>
      <c r="H27" s="91">
        <v>3068</v>
      </c>
      <c r="I27" s="91">
        <v>2604</v>
      </c>
      <c r="J27" s="91">
        <v>2767</v>
      </c>
      <c r="K27" s="91">
        <v>2414</v>
      </c>
      <c r="L27" s="91">
        <v>2211</v>
      </c>
      <c r="M27" s="91">
        <v>2122</v>
      </c>
      <c r="N27" s="91">
        <v>2060</v>
      </c>
      <c r="O27" s="91">
        <v>1893</v>
      </c>
      <c r="P27" s="91">
        <v>1482</v>
      </c>
    </row>
    <row r="28" spans="1:16" x14ac:dyDescent="0.2">
      <c r="A28" s="89" t="s">
        <v>199</v>
      </c>
      <c r="B28" s="91">
        <v>2373</v>
      </c>
      <c r="C28" s="91">
        <v>2442</v>
      </c>
      <c r="D28" s="91">
        <v>2808</v>
      </c>
      <c r="E28" s="91">
        <v>5781</v>
      </c>
      <c r="F28" s="91">
        <v>10977</v>
      </c>
      <c r="G28" s="91">
        <v>17477</v>
      </c>
      <c r="H28" s="91">
        <v>19947</v>
      </c>
      <c r="I28" s="91">
        <v>26581</v>
      </c>
      <c r="J28" s="91">
        <v>27098</v>
      </c>
      <c r="K28" s="91">
        <v>27778</v>
      </c>
      <c r="L28" s="91">
        <v>28774</v>
      </c>
      <c r="M28" s="91">
        <v>30270</v>
      </c>
      <c r="N28" s="91">
        <v>31519</v>
      </c>
      <c r="O28" s="91">
        <v>33026</v>
      </c>
      <c r="P28" s="91">
        <v>34849</v>
      </c>
    </row>
    <row r="29" spans="1:16" x14ac:dyDescent="0.2">
      <c r="A29" s="89" t="s">
        <v>200</v>
      </c>
      <c r="B29" s="91">
        <v>11</v>
      </c>
      <c r="C29" s="91">
        <v>120</v>
      </c>
      <c r="D29" s="91">
        <v>255</v>
      </c>
      <c r="E29" s="91">
        <v>505</v>
      </c>
      <c r="F29" s="91">
        <v>646</v>
      </c>
      <c r="G29" s="91">
        <v>716</v>
      </c>
      <c r="H29" s="91">
        <v>774</v>
      </c>
      <c r="I29" s="91">
        <v>847</v>
      </c>
      <c r="J29" s="91">
        <v>625</v>
      </c>
      <c r="K29" s="91">
        <v>626</v>
      </c>
      <c r="L29" s="91">
        <v>627</v>
      </c>
      <c r="M29" s="91">
        <v>622</v>
      </c>
      <c r="N29" s="91">
        <v>621</v>
      </c>
      <c r="O29" s="91">
        <v>617</v>
      </c>
      <c r="P29" s="91">
        <v>611</v>
      </c>
    </row>
    <row r="30" spans="1:16" x14ac:dyDescent="0.2">
      <c r="A30" s="89" t="s">
        <v>201</v>
      </c>
      <c r="B30" s="91">
        <v>18358</v>
      </c>
      <c r="C30" s="91">
        <v>17859</v>
      </c>
      <c r="D30" s="91">
        <v>18659</v>
      </c>
      <c r="E30" s="91">
        <v>18661</v>
      </c>
      <c r="F30" s="91">
        <v>16189</v>
      </c>
      <c r="G30" s="91">
        <v>16069</v>
      </c>
      <c r="H30" s="91">
        <v>17135</v>
      </c>
      <c r="I30" s="91">
        <v>17296</v>
      </c>
      <c r="J30" s="91">
        <v>16996</v>
      </c>
      <c r="K30" s="91">
        <v>16544</v>
      </c>
      <c r="L30" s="91">
        <v>16776</v>
      </c>
      <c r="M30" s="91">
        <v>16936</v>
      </c>
      <c r="N30" s="91">
        <v>17403</v>
      </c>
      <c r="O30" s="91">
        <v>18860</v>
      </c>
      <c r="P30" s="91">
        <v>19526</v>
      </c>
    </row>
    <row r="31" spans="1:16" x14ac:dyDescent="0.2">
      <c r="A31" s="89" t="s">
        <v>79</v>
      </c>
      <c r="B31" s="91">
        <v>2569</v>
      </c>
      <c r="C31" s="91">
        <v>3172</v>
      </c>
      <c r="D31" s="91">
        <v>1934</v>
      </c>
      <c r="E31" s="91">
        <v>1610</v>
      </c>
      <c r="F31" s="91">
        <v>801</v>
      </c>
      <c r="G31" s="91">
        <v>766</v>
      </c>
      <c r="H31" s="91">
        <v>651</v>
      </c>
      <c r="I31" s="91">
        <v>642</v>
      </c>
      <c r="J31" s="91">
        <v>586</v>
      </c>
      <c r="K31" s="91">
        <v>598</v>
      </c>
      <c r="L31" s="91">
        <v>606</v>
      </c>
      <c r="M31" s="91">
        <v>600</v>
      </c>
      <c r="N31" s="91">
        <v>600</v>
      </c>
      <c r="O31" s="91">
        <v>600</v>
      </c>
      <c r="P31" s="91">
        <v>600</v>
      </c>
    </row>
    <row r="32" spans="1:16" x14ac:dyDescent="0.2">
      <c r="A32" s="89" t="s">
        <v>85</v>
      </c>
      <c r="B32" s="91">
        <v>33619</v>
      </c>
      <c r="C32" s="91">
        <v>34711</v>
      </c>
      <c r="D32" s="91">
        <v>31234</v>
      </c>
      <c r="E32" s="91">
        <v>33693</v>
      </c>
      <c r="F32" s="91">
        <v>35872</v>
      </c>
      <c r="G32" s="91">
        <v>39157</v>
      </c>
      <c r="H32" s="91">
        <v>41575</v>
      </c>
      <c r="I32" s="91">
        <v>47970</v>
      </c>
      <c r="J32" s="91">
        <v>48073</v>
      </c>
      <c r="K32" s="91">
        <v>47960</v>
      </c>
      <c r="L32" s="91">
        <v>48994</v>
      </c>
      <c r="M32" s="91">
        <v>50550</v>
      </c>
      <c r="N32" s="91">
        <v>52202</v>
      </c>
      <c r="O32" s="91">
        <v>54996</v>
      </c>
      <c r="P32" s="91">
        <v>57069</v>
      </c>
    </row>
    <row r="33" spans="1:16" x14ac:dyDescent="0.2">
      <c r="A33" s="89"/>
    </row>
    <row r="34" spans="1:16" x14ac:dyDescent="0.2">
      <c r="A34" s="89" t="s">
        <v>202</v>
      </c>
      <c r="B34" s="91">
        <v>2369</v>
      </c>
      <c r="C34" s="91">
        <v>2377</v>
      </c>
      <c r="D34" s="91">
        <v>2605</v>
      </c>
      <c r="E34" s="91">
        <v>2497</v>
      </c>
      <c r="F34" s="91">
        <v>2618</v>
      </c>
      <c r="G34" s="91">
        <v>2285</v>
      </c>
      <c r="H34" s="91">
        <v>2545</v>
      </c>
      <c r="I34" s="91">
        <v>2196</v>
      </c>
      <c r="J34" s="91">
        <v>2275</v>
      </c>
      <c r="K34" s="91">
        <v>2648</v>
      </c>
      <c r="L34" s="91">
        <v>2921</v>
      </c>
      <c r="M34" s="91">
        <v>2677</v>
      </c>
      <c r="N34" s="91">
        <v>2765</v>
      </c>
      <c r="O34" s="91">
        <v>2742</v>
      </c>
      <c r="P34" s="91">
        <v>2753</v>
      </c>
    </row>
    <row r="35" spans="1:16" x14ac:dyDescent="0.2">
      <c r="A35" s="89"/>
      <c r="O35" s="91"/>
      <c r="P35" s="9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9BAA-D197-4369-9BEE-9C9DEA4ECAAE}">
  <dimension ref="A1:P34"/>
  <sheetViews>
    <sheetView workbookViewId="0">
      <selection activeCell="M14" sqref="M14"/>
    </sheetView>
  </sheetViews>
  <sheetFormatPr defaultColWidth="9" defaultRowHeight="15" x14ac:dyDescent="0.2"/>
  <cols>
    <col min="1" max="1" width="38.1640625" bestFit="1" customWidth="1"/>
    <col min="2" max="3" width="10.33203125" style="91" hidden="1" customWidth="1"/>
    <col min="4" max="6" width="10.33203125" style="91" bestFit="1" customWidth="1"/>
    <col min="7" max="14" width="11.33203125" style="91" bestFit="1" customWidth="1"/>
    <col min="15" max="16" width="11.33203125" customWidth="1"/>
  </cols>
  <sheetData>
    <row r="1" spans="1:16" ht="18" x14ac:dyDescent="0.25">
      <c r="A1" s="88" t="s">
        <v>203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6" ht="15.75" x14ac:dyDescent="0.25">
      <c r="A2" s="89" t="s">
        <v>190</v>
      </c>
      <c r="B2" s="90">
        <f>'Veg Oils Comp'!B2</f>
        <v>2019</v>
      </c>
      <c r="C2" s="90">
        <f>'Veg Oils Comp'!C2</f>
        <v>2020</v>
      </c>
      <c r="D2" s="90">
        <f>'Veg Oils Comp'!D2</f>
        <v>2021</v>
      </c>
      <c r="E2" s="90">
        <f>'Veg Oils Comp'!E2</f>
        <v>2022</v>
      </c>
      <c r="F2" s="90">
        <f>'Veg Oils Comp'!F2</f>
        <v>2023</v>
      </c>
      <c r="G2" s="90">
        <f>'Veg Oils Comp'!G2</f>
        <v>2024</v>
      </c>
      <c r="H2" s="90">
        <f>'Veg Oils Comp'!H2</f>
        <v>2025</v>
      </c>
      <c r="I2" s="90">
        <f>'Veg Oils Comp'!I2</f>
        <v>2026</v>
      </c>
      <c r="J2" s="90">
        <f>'Veg Oils Comp'!J2</f>
        <v>2027</v>
      </c>
      <c r="K2" s="90">
        <f>'Veg Oils Comp'!K2</f>
        <v>2028</v>
      </c>
      <c r="L2" s="90">
        <f>'Veg Oils Comp'!L2</f>
        <v>2029</v>
      </c>
      <c r="M2" s="90">
        <f>'Veg Oils Comp'!M2</f>
        <v>2030</v>
      </c>
      <c r="N2" s="90">
        <f>'Veg Oils Comp'!N2</f>
        <v>2031</v>
      </c>
      <c r="O2" s="90">
        <f>'Veg Oils Comp'!O2</f>
        <v>2032</v>
      </c>
      <c r="P2" s="90">
        <f>'Veg Oils Comp'!P2</f>
        <v>2033</v>
      </c>
    </row>
    <row r="3" spans="1:16" x14ac:dyDescent="0.2">
      <c r="A3" s="89" t="s">
        <v>70</v>
      </c>
      <c r="B3" s="91">
        <f>'Fats and Grease'!AB4-B19</f>
        <v>111.01737299438275</v>
      </c>
      <c r="C3" s="91">
        <f>'Fats and Grease'!AC4-C19</f>
        <v>119.37255216141568</v>
      </c>
      <c r="D3" s="91">
        <f>'Fats and Grease'!AD4-D19</f>
        <v>15.455905195734317</v>
      </c>
      <c r="E3" s="91">
        <f>'Fats and Grease'!AE4-E19</f>
        <v>12.544135219145005</v>
      </c>
      <c r="F3" s="91">
        <f>'Fats and Grease'!AF4-F19</f>
        <v>24.432657003386737</v>
      </c>
      <c r="G3" s="91">
        <f>'Fats and Grease'!AG4-G19</f>
        <v>-51.540173386669494</v>
      </c>
      <c r="H3" s="91">
        <f>'Fats and Grease'!AH4-H19</f>
        <v>-185.68489948821536</v>
      </c>
      <c r="I3" s="91">
        <f>'Fats and Grease'!AI4-I19</f>
        <v>785.72010897183122</v>
      </c>
      <c r="J3" s="91">
        <f>'Fats and Grease'!AJ4-J19</f>
        <v>1654.4781750206153</v>
      </c>
      <c r="K3" s="91">
        <f>'Fats and Grease'!AK4-K19</f>
        <v>3484.6677618093731</v>
      </c>
      <c r="L3" s="91">
        <f>'Fats and Grease'!AL4-L19</f>
        <v>6891.8350093150011</v>
      </c>
      <c r="M3" s="91">
        <f>'Fats and Grease'!AM4-M19</f>
        <v>9567.2670381031639</v>
      </c>
      <c r="N3" s="91">
        <f>'Fats and Grease'!AN4-N19</f>
        <v>12494.586638436544</v>
      </c>
      <c r="O3" s="91">
        <f>'Fats and Grease'!AO4-O19</f>
        <v>15630.180098856266</v>
      </c>
      <c r="P3" s="91">
        <f>'Fats and Grease'!AP4-P19</f>
        <v>19577.681211863797</v>
      </c>
    </row>
    <row r="4" spans="1:16" x14ac:dyDescent="0.2">
      <c r="A4" s="89" t="s">
        <v>71</v>
      </c>
      <c r="B4" s="91">
        <f>'Fats and Grease'!AB11-B20</f>
        <v>4406.4428248493714</v>
      </c>
      <c r="C4" s="91">
        <f>'Fats and Grease'!AC11-C20</f>
        <v>3265.5072487042817</v>
      </c>
      <c r="D4" s="91">
        <f>'Fats and Grease'!AD11-D20</f>
        <v>-226.5383271164319</v>
      </c>
      <c r="E4" s="91">
        <f>'Fats and Grease'!AE11-E20</f>
        <v>858.6897308047337</v>
      </c>
      <c r="F4" s="91">
        <f>'Fats and Grease'!AF11-F20</f>
        <v>1530.2870593299122</v>
      </c>
      <c r="G4" s="91">
        <f>'Fats and Grease'!AG11-G20</f>
        <v>2248.928474441851</v>
      </c>
      <c r="H4" s="91">
        <f>'Fats and Grease'!AH11-H20</f>
        <v>2151.7368483830578</v>
      </c>
      <c r="I4" s="91">
        <f>'Fats and Grease'!AI11-I20</f>
        <v>2542.3223388772785</v>
      </c>
      <c r="J4" s="91">
        <f>'Fats and Grease'!AJ11-J20</f>
        <v>2831.7280863900523</v>
      </c>
      <c r="K4" s="91">
        <f>'Fats and Grease'!AK11-K20</f>
        <v>2943.0543599506163</v>
      </c>
      <c r="L4" s="91">
        <f>'Fats and Grease'!AL11-L20</f>
        <v>2883.7977374012771</v>
      </c>
      <c r="M4" s="91">
        <f>'Fats and Grease'!AM11-M20</f>
        <v>3758.1226716205201</v>
      </c>
      <c r="N4" s="91">
        <f>'Fats and Grease'!AN11-N20</f>
        <v>4009.9108962173013</v>
      </c>
      <c r="O4" s="91">
        <f>'Fats and Grease'!AO11-O20</f>
        <v>4826.6713172912023</v>
      </c>
      <c r="P4" s="91">
        <f>'Fats and Grease'!AP11-P20</f>
        <v>5156.968403055118</v>
      </c>
    </row>
    <row r="5" spans="1:16" x14ac:dyDescent="0.2">
      <c r="A5" s="89" t="s">
        <v>72</v>
      </c>
      <c r="B5" s="91">
        <f>'Fats and Grease'!AB18-B21</f>
        <v>0.25852870319988597</v>
      </c>
      <c r="C5" s="91">
        <f>'Fats and Grease'!AC18-C21</f>
        <v>-0.31972557284007053</v>
      </c>
      <c r="D5" s="91">
        <f>'Fats and Grease'!AD18-D21</f>
        <v>29.945299027819829</v>
      </c>
      <c r="E5" s="91">
        <f>'Fats and Grease'!AE18-E21</f>
        <v>393.89602600000012</v>
      </c>
      <c r="F5" s="91">
        <f>'Fats and Grease'!AF18-F21</f>
        <v>3345.1393239999998</v>
      </c>
      <c r="G5" s="91">
        <f>'Fats and Grease'!AG18-G21</f>
        <v>5906.2931500527402</v>
      </c>
      <c r="H5" s="91">
        <f>'Fats and Grease'!AH18-H21</f>
        <v>7824.2782950560031</v>
      </c>
      <c r="I5" s="91">
        <f>'Fats and Grease'!AI18-I21</f>
        <v>10108.260839193892</v>
      </c>
      <c r="J5" s="91">
        <f>'Fats and Grease'!AJ18-J21</f>
        <v>14293.927999043126</v>
      </c>
      <c r="K5" s="91">
        <f>'Fats and Grease'!AK18-K21</f>
        <v>16714.934219126153</v>
      </c>
      <c r="L5" s="91">
        <f>'Fats and Grease'!AL18-L21</f>
        <v>19619.593616605915</v>
      </c>
      <c r="M5" s="91">
        <f>'Fats and Grease'!AM18-M21</f>
        <v>23913.795030194251</v>
      </c>
      <c r="N5" s="91">
        <f>'Fats and Grease'!AN18-N21</f>
        <v>27574.865818079397</v>
      </c>
      <c r="O5" s="91">
        <f>'Fats and Grease'!AO18-O21</f>
        <v>32360.582712305964</v>
      </c>
      <c r="P5" s="91">
        <f>'Fats and Grease'!AP18-P21</f>
        <v>36590.271527389334</v>
      </c>
    </row>
    <row r="6" spans="1:16" x14ac:dyDescent="0.2">
      <c r="A6" s="89" t="s">
        <v>83</v>
      </c>
      <c r="B6" s="91">
        <f>'Fats and Grease'!AB25-B22</f>
        <v>4516.7187265469547</v>
      </c>
      <c r="C6" s="91">
        <f>'Fats and Grease'!AC25-C22</f>
        <v>3384.5600752928567</v>
      </c>
      <c r="D6" s="91">
        <f>'Fats and Grease'!AD25-D22</f>
        <v>-181.13712289288014</v>
      </c>
      <c r="E6" s="91">
        <f>'Fats and Grease'!AE25-E22</f>
        <v>1266.1298920238769</v>
      </c>
      <c r="F6" s="91">
        <f>'Fats and Grease'!AF25-F22</f>
        <v>4899.8590403333001</v>
      </c>
      <c r="G6" s="91">
        <f>'Fats and Grease'!AG25-G22</f>
        <v>8103.681451107921</v>
      </c>
      <c r="H6" s="91">
        <f>'Fats and Grease'!AH25-H22</f>
        <v>9789.3302439508443</v>
      </c>
      <c r="I6" s="91">
        <f>'Fats and Grease'!AI25-I22</f>
        <v>13436.303287043003</v>
      </c>
      <c r="J6" s="91">
        <f>'Fats and Grease'!AJ25-J22</f>
        <v>18780.134260453793</v>
      </c>
      <c r="K6" s="91">
        <f>'Fats and Grease'!AK25-K22</f>
        <v>23142.656340886148</v>
      </c>
      <c r="L6" s="91">
        <f>'Fats and Grease'!AL25-L22</f>
        <v>29395.226363322196</v>
      </c>
      <c r="M6" s="91">
        <f>'Fats and Grease'!AM25-M22</f>
        <v>37239.184739917939</v>
      </c>
      <c r="N6" s="91">
        <f>'Fats and Grease'!AN25-N22</f>
        <v>44078.363352733242</v>
      </c>
      <c r="O6" s="91">
        <f>'Fats and Grease'!AO25-O22</f>
        <v>52818.434128453431</v>
      </c>
      <c r="P6" s="91">
        <f>'Fats and Grease'!AP25-P22</f>
        <v>61324.921142308245</v>
      </c>
    </row>
    <row r="7" spans="1:16" x14ac:dyDescent="0.2">
      <c r="A7" s="89"/>
      <c r="O7" s="91"/>
      <c r="P7" s="91"/>
    </row>
    <row r="8" spans="1:16" x14ac:dyDescent="0.2">
      <c r="A8" s="89" t="s">
        <v>74</v>
      </c>
      <c r="B8" s="91">
        <f>'Fats and Grease'!AB27-B24</f>
        <v>4632.8051511036174</v>
      </c>
      <c r="C8" s="91">
        <f>'Fats and Grease'!AC27-C24</f>
        <v>3889.2097172950635</v>
      </c>
      <c r="D8" s="91">
        <f>'Fats and Grease'!AD27-D24</f>
        <v>136.42983810343685</v>
      </c>
      <c r="E8" s="91">
        <f>'Fats and Grease'!AE27-E24</f>
        <v>399.92273002049478</v>
      </c>
      <c r="F8" s="91">
        <f>'Fats and Grease'!AF27-F24</f>
        <v>4701.3489708614798</v>
      </c>
      <c r="G8" s="91">
        <f>'Fats and Grease'!AG27-G24</f>
        <v>8087.8529744963271</v>
      </c>
      <c r="H8" s="91">
        <f>'Fats and Grease'!AH27-H24</f>
        <v>9041.3463228330838</v>
      </c>
      <c r="I8" s="91">
        <f>'Fats and Grease'!AI27-I24</f>
        <v>11796.370664948547</v>
      </c>
      <c r="J8" s="91">
        <f>'Fats and Grease'!AJ27-J24</f>
        <v>15319.353297701651</v>
      </c>
      <c r="K8" s="91">
        <f>'Fats and Grease'!AK27-K24</f>
        <v>16270.820815694067</v>
      </c>
      <c r="L8" s="91">
        <f>'Fats and Grease'!AL27-L24</f>
        <v>19877.252004142749</v>
      </c>
      <c r="M8" s="91">
        <f>'Fats and Grease'!AM27-M24</f>
        <v>24754.942612971325</v>
      </c>
      <c r="N8" s="91">
        <f>'Fats and Grease'!AN27-N24</f>
        <v>28480.644734393602</v>
      </c>
      <c r="O8" s="91">
        <f>'Fats and Grease'!AO27-O24</f>
        <v>33255.676748496036</v>
      </c>
      <c r="P8" s="91">
        <f>'Fats and Grease'!AP27-P24</f>
        <v>36234.810724494208</v>
      </c>
    </row>
    <row r="9" spans="1:16" x14ac:dyDescent="0.2">
      <c r="A9" s="89" t="s">
        <v>191</v>
      </c>
      <c r="B9" s="91">
        <f>'Fats and Grease'!AB28-B25</f>
        <v>3204.5127052360467</v>
      </c>
      <c r="C9" s="91">
        <f>'Fats and Grease'!AC28-C25</f>
        <v>2970.8171305911019</v>
      </c>
      <c r="D9" s="91">
        <f>'Fats and Grease'!AD28-D25</f>
        <v>278.2344106084056</v>
      </c>
      <c r="E9" s="91">
        <f>'Fats and Grease'!AE28-E25</f>
        <v>5186.0401789376338</v>
      </c>
      <c r="F9" s="91">
        <f>'Fats and Grease'!AF28-F25</f>
        <v>8564.4108827754535</v>
      </c>
      <c r="G9" s="91">
        <f>'Fats and Grease'!AG28-G25</f>
        <v>12090.715478939383</v>
      </c>
      <c r="H9" s="91">
        <f>'Fats and Grease'!AH28-H25</f>
        <v>10014.581856136279</v>
      </c>
      <c r="I9" s="91">
        <f>'Fats and Grease'!AI28-I25</f>
        <v>10891.462836722738</v>
      </c>
      <c r="J9" s="91">
        <f>'Fats and Grease'!AJ28-J25</f>
        <v>15383.299748893325</v>
      </c>
      <c r="K9" s="91">
        <f>'Fats and Grease'!AK28-K25</f>
        <v>15149.479279064239</v>
      </c>
      <c r="L9" s="91">
        <f>'Fats and Grease'!AL28-L25</f>
        <v>19390.049342835628</v>
      </c>
      <c r="M9" s="91">
        <f>'Fats and Grease'!AM28-M25</f>
        <v>23573.538486767218</v>
      </c>
      <c r="N9" s="91">
        <f>'Fats and Grease'!AN28-N25</f>
        <v>26546.534519487148</v>
      </c>
      <c r="O9" s="91">
        <f>'Fats and Grease'!AO28-O25</f>
        <v>34534.459412872267</v>
      </c>
      <c r="P9" s="91">
        <f>'Fats and Grease'!AP28-P25</f>
        <v>33309.756355139172</v>
      </c>
    </row>
    <row r="10" spans="1:16" x14ac:dyDescent="0.2">
      <c r="A10" s="89" t="s">
        <v>192</v>
      </c>
      <c r="B10" s="91">
        <f>'Fats and Grease'!AB29-B26</f>
        <v>1759.7116666666661</v>
      </c>
      <c r="C10" s="91">
        <f>'Fats and Grease'!AC29-C26</f>
        <v>1516.5073107677081</v>
      </c>
      <c r="D10" s="91">
        <f>'Fats and Grease'!AD29-D26</f>
        <v>303.04601028166599</v>
      </c>
      <c r="E10" s="91">
        <f>'Fats and Grease'!AE29-E26</f>
        <v>628.65616477794538</v>
      </c>
      <c r="F10" s="91">
        <f>'Fats and Grease'!AF29-F26</f>
        <v>-16.701077171076577</v>
      </c>
      <c r="G10" s="91">
        <f>'Fats and Grease'!AG29-G26</f>
        <v>1728.2500087439767</v>
      </c>
      <c r="H10" s="91">
        <f>'Fats and Grease'!AH29-H26</f>
        <v>2293.4871615808843</v>
      </c>
      <c r="I10" s="91">
        <f>'Fats and Grease'!AI29-I26</f>
        <v>2245.23022470858</v>
      </c>
      <c r="J10" s="91">
        <f>'Fats and Grease'!AJ29-J26</f>
        <v>2268.7209334579388</v>
      </c>
      <c r="K10" s="91">
        <f>'Fats and Grease'!AK29-K26</f>
        <v>1494.2758731521626</v>
      </c>
      <c r="L10" s="91">
        <f>'Fats and Grease'!AL29-L26</f>
        <v>1807.2021630867844</v>
      </c>
      <c r="M10" s="91">
        <f>'Fats and Grease'!AM29-M26</f>
        <v>2083.8013434418126</v>
      </c>
      <c r="N10" s="91">
        <f>'Fats and Grease'!AN29-N26</f>
        <v>2180.9134565930467</v>
      </c>
      <c r="O10" s="91">
        <f>'Fats and Grease'!AO29-O26</f>
        <v>2525.6990666001907</v>
      </c>
      <c r="P10" s="91">
        <f>'Fats and Grease'!AP29-P26</f>
        <v>2554.5588958870694</v>
      </c>
    </row>
    <row r="11" spans="1:16" x14ac:dyDescent="0.2">
      <c r="A11" s="89" t="s">
        <v>193</v>
      </c>
      <c r="B11" s="91">
        <f>'Fats and Grease'!AB36-B27</f>
        <v>1698.8010385693806</v>
      </c>
      <c r="C11" s="91">
        <f>'Fats and Grease'!AC36-C27</f>
        <v>1722.3098198233938</v>
      </c>
      <c r="D11" s="91">
        <f>'Fats and Grease'!AD36-D27</f>
        <v>177.18840032673961</v>
      </c>
      <c r="E11" s="91">
        <f>'Fats and Grease'!AE36-E27</f>
        <v>4683.3840141596866</v>
      </c>
      <c r="F11" s="91">
        <f>'Fats and Grease'!AF36-F27</f>
        <v>8700.111959946531</v>
      </c>
      <c r="G11" s="91">
        <f>'Fats and Grease'!AG36-G27</f>
        <v>10493.465470195406</v>
      </c>
      <c r="H11" s="91">
        <f>'Fats and Grease'!AH36-H27</f>
        <v>7863.0946945553951</v>
      </c>
      <c r="I11" s="91">
        <f>'Fats and Grease'!AI36-I27</f>
        <v>8801.2326120141588</v>
      </c>
      <c r="J11" s="91">
        <f>'Fats and Grease'!AJ36-J27</f>
        <v>13229.578815435387</v>
      </c>
      <c r="K11" s="91">
        <f>'Fats and Grease'!AK36-K27</f>
        <v>13770.203405912078</v>
      </c>
      <c r="L11" s="91">
        <f>'Fats and Grease'!AL36-L27</f>
        <v>17698.847179748842</v>
      </c>
      <c r="M11" s="91">
        <f>'Fats and Grease'!AM36-M27</f>
        <v>21603.737143325408</v>
      </c>
      <c r="N11" s="91">
        <f>'Fats and Grease'!AN36-N27</f>
        <v>24478.621062894104</v>
      </c>
      <c r="O11" s="91">
        <f>'Fats and Grease'!AO36-O27</f>
        <v>32121.76034627208</v>
      </c>
      <c r="P11" s="91">
        <f>'Fats and Grease'!AP36-P27</f>
        <v>30867.1974592521</v>
      </c>
    </row>
    <row r="12" spans="1:16" x14ac:dyDescent="0.2">
      <c r="A12" s="89" t="s">
        <v>194</v>
      </c>
      <c r="B12" s="91" t="e">
        <f>'Fats and Grease'!#REF!-B28</f>
        <v>#REF!</v>
      </c>
      <c r="C12" s="91" t="e">
        <f>'Fats and Grease'!#REF!-C28</f>
        <v>#REF!</v>
      </c>
      <c r="D12" s="91" t="e">
        <f>'Fats and Grease'!#REF!-D28</f>
        <v>#REF!</v>
      </c>
      <c r="E12" s="91" t="e">
        <f>'Fats and Grease'!#REF!-E28</f>
        <v>#REF!</v>
      </c>
      <c r="F12" s="91" t="e">
        <f>'Fats and Grease'!#REF!-F28</f>
        <v>#REF!</v>
      </c>
      <c r="G12" s="91" t="e">
        <f>'Fats and Grease'!#REF!-G28</f>
        <v>#REF!</v>
      </c>
      <c r="H12" s="91" t="e">
        <f>'Fats and Grease'!#REF!-H28</f>
        <v>#REF!</v>
      </c>
      <c r="I12" s="91" t="e">
        <f>'Fats and Grease'!#REF!-I28</f>
        <v>#REF!</v>
      </c>
      <c r="J12" s="91" t="e">
        <f>'Fats and Grease'!#REF!-J28</f>
        <v>#REF!</v>
      </c>
      <c r="K12" s="91" t="e">
        <f>'Fats and Grease'!#REF!-K28</f>
        <v>#REF!</v>
      </c>
      <c r="L12" s="91" t="e">
        <f>'Fats and Grease'!#REF!-L28</f>
        <v>#REF!</v>
      </c>
      <c r="M12" s="91" t="e">
        <f>'Fats and Grease'!#REF!-M28</f>
        <v>#REF!</v>
      </c>
      <c r="N12" s="91" t="e">
        <f>'Fats and Grease'!#REF!-N28</f>
        <v>#REF!</v>
      </c>
      <c r="O12" s="91" t="e">
        <f>'Fats and Grease'!#REF!-O28</f>
        <v>#REF!</v>
      </c>
      <c r="P12" s="91" t="e">
        <f>'Fats and Grease'!#REF!-P28</f>
        <v>#REF!</v>
      </c>
    </row>
    <row r="13" spans="1:16" x14ac:dyDescent="0.2">
      <c r="A13" s="89" t="s">
        <v>159</v>
      </c>
      <c r="B13" s="91">
        <f>'Fats and Grease'!AB43-B29</f>
        <v>1428.2924458675716</v>
      </c>
      <c r="C13" s="91">
        <f>'Fats and Grease'!AC43-C29</f>
        <v>918.39258670396157</v>
      </c>
      <c r="D13" s="91">
        <f>'Fats and Grease'!AD43-D29</f>
        <v>-142.80457250496875</v>
      </c>
      <c r="E13" s="91">
        <f>'Fats and Grease'!AE43-E29</f>
        <v>-4786.117448917139</v>
      </c>
      <c r="F13" s="91">
        <f>'Fats and Grease'!AF43-F29</f>
        <v>-3863.0619119139737</v>
      </c>
      <c r="G13" s="91">
        <f>'Fats and Grease'!AG43-G29</f>
        <v>-4002.8625044430555</v>
      </c>
      <c r="H13" s="91">
        <f>'Fats and Grease'!AH43-H29</f>
        <v>-974.23553330319555</v>
      </c>
      <c r="I13" s="91">
        <f>'Fats and Grease'!AI43-I29</f>
        <v>904.90782822580968</v>
      </c>
      <c r="J13" s="91">
        <f>'Fats and Grease'!AJ43-J29</f>
        <v>-62.946451191671258</v>
      </c>
      <c r="K13" s="91">
        <f>'Fats and Grease'!AK43-K29</f>
        <v>1121.3415366298295</v>
      </c>
      <c r="L13" s="91">
        <f>'Fats and Grease'!AL43-L29</f>
        <v>487.2026613071248</v>
      </c>
      <c r="M13" s="91">
        <f>'Fats and Grease'!AM43-M29</f>
        <v>1181.4041262041028</v>
      </c>
      <c r="N13" s="91">
        <f>'Fats and Grease'!AN43-N29</f>
        <v>1935.1102149064545</v>
      </c>
      <c r="O13" s="91">
        <f>'Fats and Grease'!AO43-O29</f>
        <v>-1278.7826643762278</v>
      </c>
      <c r="P13" s="91">
        <f>'Fats and Grease'!AP43-P29</f>
        <v>2925.0543693550371</v>
      </c>
    </row>
    <row r="14" spans="1:16" x14ac:dyDescent="0.2">
      <c r="A14" s="89" t="s">
        <v>79</v>
      </c>
      <c r="B14" s="91">
        <f>'Fats and Grease'!AB50-B30</f>
        <v>-235.61997671808012</v>
      </c>
      <c r="C14" s="91">
        <f>'Fats and Grease'!AC50-C30</f>
        <v>-624.62624719793985</v>
      </c>
      <c r="D14" s="91">
        <f>'Fats and Grease'!AD50-D30</f>
        <v>-329.73559621545996</v>
      </c>
      <c r="E14" s="91">
        <f>'Fats and Grease'!AE50-E30</f>
        <v>843.23220500000025</v>
      </c>
      <c r="F14" s="91">
        <f>'Fats and Grease'!AF50-F30</f>
        <v>253.90224285847989</v>
      </c>
      <c r="G14" s="91">
        <f>'Fats and Grease'!AG50-G30</f>
        <v>201.87938667530375</v>
      </c>
      <c r="H14" s="91">
        <f>'Fats and Grease'!AH50-H30</f>
        <v>-37.675517510372174</v>
      </c>
      <c r="I14" s="91">
        <f>'Fats and Grease'!AI50-I30</f>
        <v>-12.096879123508074</v>
      </c>
      <c r="J14" s="91">
        <f>'Fats and Grease'!AJ50-J30</f>
        <v>-24.651921946186917</v>
      </c>
      <c r="K14" s="91">
        <f>'Fats and Grease'!AK50-K30</f>
        <v>-17.105755833508169</v>
      </c>
      <c r="L14" s="91">
        <f>'Fats and Grease'!AL50-L30</f>
        <v>-48.661705078517002</v>
      </c>
      <c r="M14" s="91">
        <f>'Fats and Grease'!AM50-M30</f>
        <v>-14.358824573544268</v>
      </c>
      <c r="N14" s="91">
        <f>'Fats and Grease'!AN50-N30</f>
        <v>-30.735519926376185</v>
      </c>
      <c r="O14" s="91">
        <f>'Fats and Grease'!AO50-O30</f>
        <v>-12.308695539047562</v>
      </c>
      <c r="P14" s="91">
        <f>'Fats and Grease'!AP50-P30</f>
        <v>-12.438039861553079</v>
      </c>
    </row>
    <row r="15" spans="1:16" x14ac:dyDescent="0.2">
      <c r="A15" s="89" t="s">
        <v>85</v>
      </c>
      <c r="B15" s="91">
        <f>'Fats and Grease'!AB57-B31</f>
        <v>4397.1851743855368</v>
      </c>
      <c r="C15" s="91">
        <f>'Fats and Grease'!AC57-C31</f>
        <v>3264.5834700971245</v>
      </c>
      <c r="D15" s="91">
        <f>'Fats and Grease'!AD57-D31</f>
        <v>-193.30575811202289</v>
      </c>
      <c r="E15" s="91">
        <f>'Fats and Grease'!AE57-E31</f>
        <v>1243.154935020495</v>
      </c>
      <c r="F15" s="91">
        <f>'Fats and Grease'!AF57-F31</f>
        <v>4955.2512137199592</v>
      </c>
      <c r="G15" s="91">
        <f>'Fats and Grease'!AG57-G31</f>
        <v>8289.7323611716311</v>
      </c>
      <c r="H15" s="91">
        <f>'Fats and Grease'!AH57-H31</f>
        <v>9003.6708053227121</v>
      </c>
      <c r="I15" s="91">
        <f>'Fats and Grease'!AI57-I31</f>
        <v>11785.27378582504</v>
      </c>
      <c r="J15" s="91">
        <f>'Fats and Grease'!AJ57-J31</f>
        <v>15294.701375755467</v>
      </c>
      <c r="K15" s="91">
        <f>'Fats and Grease'!AK57-K31</f>
        <v>16253.715059860559</v>
      </c>
      <c r="L15" s="91">
        <f>'Fats and Grease'!AL57-L31</f>
        <v>19828.590299064235</v>
      </c>
      <c r="M15" s="91">
        <f>'Fats and Grease'!AM57-M31</f>
        <v>24739.58378839778</v>
      </c>
      <c r="N15" s="91">
        <f>'Fats and Grease'!AN57-N31</f>
        <v>28449.909214467225</v>
      </c>
      <c r="O15" s="91">
        <f>'Fats and Grease'!AO57-O31</f>
        <v>33242.36805295699</v>
      </c>
      <c r="P15" s="91">
        <f>'Fats and Grease'!AP57-P31</f>
        <v>36221.372684632654</v>
      </c>
    </row>
    <row r="16" spans="1:16" x14ac:dyDescent="0.2">
      <c r="A16" s="89" t="s">
        <v>81</v>
      </c>
      <c r="B16" s="91">
        <f>'Fats and Grease'!AB59-B32</f>
        <v>119.53355216141574</v>
      </c>
      <c r="C16" s="91">
        <f>'Fats and Grease'!AC59-C32</f>
        <v>119.97660519573429</v>
      </c>
      <c r="D16" s="91">
        <f>'Fats and Grease'!AD59-D32</f>
        <v>12.168635219145017</v>
      </c>
      <c r="E16" s="91">
        <f>'Fats and Grease'!AE59-E32</f>
        <v>22.974957003386749</v>
      </c>
      <c r="F16" s="91">
        <f>'Fats and Grease'!AF59-F32</f>
        <v>-55.392173386669469</v>
      </c>
      <c r="G16" s="91">
        <f>'Fats and Grease'!AG59-G32</f>
        <v>-186.05091006370998</v>
      </c>
      <c r="H16" s="91">
        <f>'Fats and Grease'!AH59-H32</f>
        <v>785.65943862813333</v>
      </c>
      <c r="I16" s="91">
        <f>'Fats and Grease'!AI59-I32</f>
        <v>1652.0295012179668</v>
      </c>
      <c r="J16" s="91">
        <f>'Fats and Grease'!AJ59-J32</f>
        <v>3485.4328846983299</v>
      </c>
      <c r="K16" s="91">
        <f>'Fats and Grease'!AK59-K32</f>
        <v>6888.9412810255799</v>
      </c>
      <c r="L16" s="91">
        <f>'Fats and Grease'!AL59-L32</f>
        <v>9566.6360642579621</v>
      </c>
      <c r="M16" s="91">
        <f>'Fats and Grease'!AM59-M32</f>
        <v>12499.600951520151</v>
      </c>
      <c r="N16" s="91">
        <f>'Fats and Grease'!AN59-N32</f>
        <v>15628.454138266014</v>
      </c>
      <c r="O16" s="91">
        <f>'Fats and Grease'!AO59-O32</f>
        <v>19575.066075496448</v>
      </c>
      <c r="P16" s="91">
        <f>'Fats and Grease'!AP59-P32</f>
        <v>25103.548457675588</v>
      </c>
    </row>
    <row r="17" spans="1:16" x14ac:dyDescent="0.2">
      <c r="A17" s="89"/>
    </row>
    <row r="18" spans="1:16" x14ac:dyDescent="0.2">
      <c r="A18" s="89"/>
    </row>
    <row r="19" spans="1:16" x14ac:dyDescent="0.2">
      <c r="A19" s="89" t="s">
        <v>70</v>
      </c>
      <c r="B19" s="91">
        <v>233</v>
      </c>
      <c r="C19" s="91">
        <v>233</v>
      </c>
      <c r="D19" s="91">
        <v>322</v>
      </c>
      <c r="E19" s="91">
        <v>329</v>
      </c>
      <c r="F19" s="91">
        <v>356</v>
      </c>
      <c r="G19" s="91">
        <v>376</v>
      </c>
      <c r="H19" s="91">
        <v>475</v>
      </c>
      <c r="I19" s="91">
        <v>496</v>
      </c>
      <c r="J19" s="91">
        <v>537</v>
      </c>
      <c r="K19" s="91">
        <v>462</v>
      </c>
      <c r="L19" s="91">
        <v>477</v>
      </c>
      <c r="M19" s="91">
        <v>429</v>
      </c>
      <c r="N19" s="91">
        <v>418</v>
      </c>
      <c r="O19" s="91">
        <v>448</v>
      </c>
      <c r="P19" s="91">
        <v>466</v>
      </c>
    </row>
    <row r="20" spans="1:16" x14ac:dyDescent="0.2">
      <c r="A20" s="89" t="s">
        <v>71</v>
      </c>
      <c r="B20" s="91">
        <v>11134</v>
      </c>
      <c r="C20" s="91">
        <v>11245</v>
      </c>
      <c r="D20" s="91">
        <v>15606</v>
      </c>
      <c r="E20" s="91">
        <v>18053</v>
      </c>
      <c r="F20" s="91">
        <v>18497</v>
      </c>
      <c r="G20" s="91">
        <v>17457</v>
      </c>
      <c r="H20" s="91">
        <v>17592</v>
      </c>
      <c r="I20" s="91">
        <v>18679</v>
      </c>
      <c r="J20" s="91">
        <v>19200</v>
      </c>
      <c r="K20" s="91">
        <v>19670</v>
      </c>
      <c r="L20" s="91">
        <v>20034</v>
      </c>
      <c r="M20" s="91">
        <v>20478</v>
      </c>
      <c r="N20" s="91">
        <v>21200</v>
      </c>
      <c r="O20" s="91">
        <v>21689</v>
      </c>
      <c r="P20" s="91">
        <v>22127</v>
      </c>
    </row>
    <row r="21" spans="1:16" x14ac:dyDescent="0.2">
      <c r="A21" s="89" t="s">
        <v>72</v>
      </c>
      <c r="B21" s="91">
        <v>655</v>
      </c>
      <c r="C21" s="91">
        <v>738</v>
      </c>
      <c r="D21" s="91">
        <v>1018</v>
      </c>
      <c r="E21" s="91">
        <v>1565</v>
      </c>
      <c r="F21" s="91">
        <v>1500</v>
      </c>
      <c r="G21" s="91">
        <v>1578</v>
      </c>
      <c r="H21" s="91">
        <v>1693</v>
      </c>
      <c r="I21" s="91">
        <v>1849</v>
      </c>
      <c r="J21" s="91">
        <v>1950</v>
      </c>
      <c r="K21" s="91">
        <v>2068</v>
      </c>
      <c r="L21" s="91">
        <v>2189</v>
      </c>
      <c r="M21" s="91">
        <v>2310</v>
      </c>
      <c r="N21" s="91">
        <v>2420</v>
      </c>
      <c r="O21" s="91">
        <v>2541</v>
      </c>
      <c r="P21" s="91">
        <v>2653</v>
      </c>
    </row>
    <row r="22" spans="1:16" x14ac:dyDescent="0.2">
      <c r="A22" s="89" t="s">
        <v>83</v>
      </c>
      <c r="B22" s="91">
        <v>12023</v>
      </c>
      <c r="C22" s="91">
        <v>12216</v>
      </c>
      <c r="D22" s="91">
        <v>16946</v>
      </c>
      <c r="E22" s="91">
        <v>19946</v>
      </c>
      <c r="F22" s="91">
        <v>20353</v>
      </c>
      <c r="G22" s="91">
        <v>19411</v>
      </c>
      <c r="H22" s="91">
        <v>19761</v>
      </c>
      <c r="I22" s="91">
        <v>21024</v>
      </c>
      <c r="J22" s="91">
        <v>21687</v>
      </c>
      <c r="K22" s="91">
        <v>22200</v>
      </c>
      <c r="L22" s="91">
        <v>22700</v>
      </c>
      <c r="M22" s="91">
        <v>23217</v>
      </c>
      <c r="N22" s="91">
        <v>24039</v>
      </c>
      <c r="O22" s="91">
        <v>24677</v>
      </c>
      <c r="P22" s="91">
        <v>25246</v>
      </c>
    </row>
    <row r="23" spans="1:16" x14ac:dyDescent="0.2">
      <c r="A23" s="89"/>
      <c r="O23" s="91"/>
      <c r="P23" s="91"/>
    </row>
    <row r="24" spans="1:16" x14ac:dyDescent="0.2">
      <c r="A24" s="89" t="s">
        <v>74</v>
      </c>
      <c r="B24" s="91">
        <v>10072</v>
      </c>
      <c r="C24" s="91">
        <v>9582</v>
      </c>
      <c r="D24" s="91">
        <v>15280</v>
      </c>
      <c r="E24" s="91">
        <v>18802</v>
      </c>
      <c r="F24" s="91">
        <v>19465</v>
      </c>
      <c r="G24" s="91">
        <v>18437</v>
      </c>
      <c r="H24" s="91">
        <v>18788</v>
      </c>
      <c r="I24" s="91">
        <v>20066</v>
      </c>
      <c r="J24" s="91">
        <v>20838</v>
      </c>
      <c r="K24" s="91">
        <v>21352</v>
      </c>
      <c r="L24" s="91">
        <v>21925</v>
      </c>
      <c r="M24" s="91">
        <v>22500</v>
      </c>
      <c r="N24" s="91">
        <v>23301</v>
      </c>
      <c r="O24" s="91">
        <v>23939</v>
      </c>
      <c r="P24" s="91">
        <v>24439</v>
      </c>
    </row>
    <row r="25" spans="1:16" x14ac:dyDescent="0.2">
      <c r="A25" s="89" t="s">
        <v>191</v>
      </c>
      <c r="B25" s="91">
        <v>4216</v>
      </c>
      <c r="C25" s="91">
        <v>4170</v>
      </c>
      <c r="D25" s="91">
        <v>8364</v>
      </c>
      <c r="E25" s="91">
        <v>12642</v>
      </c>
      <c r="F25" s="91">
        <v>13475</v>
      </c>
      <c r="G25" s="91">
        <v>12931</v>
      </c>
      <c r="H25" s="91">
        <v>12970</v>
      </c>
      <c r="I25" s="91">
        <v>14614</v>
      </c>
      <c r="J25" s="91">
        <v>15473</v>
      </c>
      <c r="K25" s="91">
        <v>16214</v>
      </c>
      <c r="L25" s="91">
        <v>16649</v>
      </c>
      <c r="M25" s="91">
        <v>17215</v>
      </c>
      <c r="N25" s="91">
        <v>18146</v>
      </c>
      <c r="O25" s="91">
        <v>18773</v>
      </c>
      <c r="P25" s="91">
        <v>19185</v>
      </c>
    </row>
    <row r="26" spans="1:16" x14ac:dyDescent="0.2">
      <c r="A26" s="89" t="s">
        <v>192</v>
      </c>
      <c r="B26" s="91">
        <v>2437</v>
      </c>
      <c r="C26" s="91">
        <v>2201</v>
      </c>
      <c r="D26" s="91">
        <v>3433</v>
      </c>
      <c r="E26" s="91">
        <v>4446</v>
      </c>
      <c r="F26" s="91">
        <v>4907</v>
      </c>
      <c r="G26" s="91">
        <v>2796</v>
      </c>
      <c r="H26" s="91">
        <v>1942</v>
      </c>
      <c r="I26" s="91">
        <v>1662</v>
      </c>
      <c r="J26" s="91">
        <v>1827</v>
      </c>
      <c r="K26" s="91">
        <v>1637</v>
      </c>
      <c r="L26" s="91">
        <v>1509</v>
      </c>
      <c r="M26" s="91">
        <v>1197</v>
      </c>
      <c r="N26" s="91">
        <v>1080</v>
      </c>
      <c r="O26" s="91">
        <v>944</v>
      </c>
      <c r="P26" s="91">
        <v>801</v>
      </c>
    </row>
    <row r="27" spans="1:16" x14ac:dyDescent="0.2">
      <c r="A27" s="89" t="s">
        <v>193</v>
      </c>
      <c r="B27" s="91">
        <v>1525</v>
      </c>
      <c r="C27" s="91">
        <v>1701</v>
      </c>
      <c r="D27" s="91">
        <v>4729</v>
      </c>
      <c r="E27" s="91">
        <v>8070</v>
      </c>
      <c r="F27" s="91">
        <v>8449</v>
      </c>
      <c r="G27" s="91">
        <v>10004</v>
      </c>
      <c r="H27" s="91">
        <v>10886</v>
      </c>
      <c r="I27" s="91">
        <v>12797</v>
      </c>
      <c r="J27" s="91">
        <v>13531</v>
      </c>
      <c r="K27" s="91">
        <v>14462</v>
      </c>
      <c r="L27" s="91">
        <v>15024</v>
      </c>
      <c r="M27" s="91">
        <v>15904</v>
      </c>
      <c r="N27" s="91">
        <v>16953</v>
      </c>
      <c r="O27" s="91">
        <v>17716</v>
      </c>
      <c r="P27" s="91">
        <v>18272</v>
      </c>
    </row>
    <row r="28" spans="1:16" x14ac:dyDescent="0.2">
      <c r="A28" s="89" t="s">
        <v>194</v>
      </c>
      <c r="B28" s="91">
        <v>255</v>
      </c>
      <c r="C28" s="91">
        <v>268</v>
      </c>
      <c r="D28" s="91">
        <v>201</v>
      </c>
      <c r="E28" s="91">
        <v>127</v>
      </c>
      <c r="F28" s="91">
        <v>119</v>
      </c>
      <c r="G28" s="91">
        <v>131</v>
      </c>
      <c r="H28" s="91">
        <v>142</v>
      </c>
      <c r="I28" s="91">
        <v>155</v>
      </c>
      <c r="J28" s="91">
        <v>115</v>
      </c>
      <c r="K28" s="91">
        <v>115</v>
      </c>
      <c r="L28" s="91">
        <v>115</v>
      </c>
      <c r="M28" s="91">
        <v>114</v>
      </c>
      <c r="N28" s="91">
        <v>114</v>
      </c>
      <c r="O28" s="91">
        <v>113</v>
      </c>
      <c r="P28" s="91">
        <v>112</v>
      </c>
    </row>
    <row r="29" spans="1:16" x14ac:dyDescent="0.2">
      <c r="A29" s="89" t="s">
        <v>159</v>
      </c>
      <c r="B29" s="91">
        <v>5856</v>
      </c>
      <c r="C29" s="91">
        <v>5412</v>
      </c>
      <c r="D29" s="91">
        <v>6917</v>
      </c>
      <c r="E29" s="91">
        <v>6160</v>
      </c>
      <c r="F29" s="91">
        <v>5990</v>
      </c>
      <c r="G29" s="91">
        <v>5506</v>
      </c>
      <c r="H29" s="91">
        <v>5819</v>
      </c>
      <c r="I29" s="91">
        <v>5452</v>
      </c>
      <c r="J29" s="91">
        <v>5364</v>
      </c>
      <c r="K29" s="91">
        <v>5138</v>
      </c>
      <c r="L29" s="91">
        <v>5276</v>
      </c>
      <c r="M29" s="91">
        <v>5285</v>
      </c>
      <c r="N29" s="91">
        <v>5154</v>
      </c>
      <c r="O29" s="91">
        <v>5166</v>
      </c>
      <c r="P29" s="91">
        <v>5254</v>
      </c>
    </row>
    <row r="30" spans="1:16" x14ac:dyDescent="0.2">
      <c r="A30" s="89" t="s">
        <v>79</v>
      </c>
      <c r="B30" s="91">
        <v>1718</v>
      </c>
      <c r="C30" s="91">
        <v>2413</v>
      </c>
      <c r="D30" s="91">
        <v>1337</v>
      </c>
      <c r="E30" s="91">
        <v>788</v>
      </c>
      <c r="F30" s="91">
        <v>512</v>
      </c>
      <c r="G30" s="91">
        <v>499</v>
      </c>
      <c r="H30" s="91">
        <v>477</v>
      </c>
      <c r="I30" s="91">
        <v>421</v>
      </c>
      <c r="J30" s="91">
        <v>387</v>
      </c>
      <c r="K30" s="91">
        <v>371</v>
      </c>
      <c r="L30" s="91">
        <v>346</v>
      </c>
      <c r="M30" s="91">
        <v>298</v>
      </c>
      <c r="N30" s="91">
        <v>290</v>
      </c>
      <c r="O30" s="91">
        <v>272</v>
      </c>
      <c r="P30" s="91">
        <v>271</v>
      </c>
    </row>
    <row r="31" spans="1:16" x14ac:dyDescent="0.2">
      <c r="A31" s="89" t="s">
        <v>85</v>
      </c>
      <c r="B31" s="91">
        <v>11790</v>
      </c>
      <c r="C31" s="91">
        <v>11995</v>
      </c>
      <c r="D31" s="91">
        <v>16617</v>
      </c>
      <c r="E31" s="91">
        <v>19590</v>
      </c>
      <c r="F31" s="91">
        <v>19977</v>
      </c>
      <c r="G31" s="91">
        <v>18936</v>
      </c>
      <c r="H31" s="91">
        <v>19265</v>
      </c>
      <c r="I31" s="91">
        <v>20486</v>
      </c>
      <c r="J31" s="91">
        <v>21225</v>
      </c>
      <c r="K31" s="91">
        <v>21723</v>
      </c>
      <c r="L31" s="91">
        <v>22271</v>
      </c>
      <c r="M31" s="91">
        <v>22799</v>
      </c>
      <c r="N31" s="91">
        <v>23591</v>
      </c>
      <c r="O31" s="91">
        <v>24212</v>
      </c>
      <c r="P31" s="91">
        <v>24711</v>
      </c>
    </row>
    <row r="32" spans="1:16" x14ac:dyDescent="0.2">
      <c r="A32" s="89" t="s">
        <v>81</v>
      </c>
      <c r="B32" s="91">
        <v>233</v>
      </c>
      <c r="C32" s="91">
        <v>221</v>
      </c>
      <c r="D32" s="91">
        <v>329</v>
      </c>
      <c r="E32" s="91">
        <v>356</v>
      </c>
      <c r="F32" s="91">
        <v>376</v>
      </c>
      <c r="G32" s="91">
        <v>475</v>
      </c>
      <c r="H32" s="91">
        <v>496</v>
      </c>
      <c r="I32" s="91">
        <v>537</v>
      </c>
      <c r="J32" s="91">
        <v>462</v>
      </c>
      <c r="K32" s="91">
        <v>477</v>
      </c>
      <c r="L32" s="91">
        <v>429</v>
      </c>
      <c r="M32" s="91">
        <v>418</v>
      </c>
      <c r="N32" s="91">
        <v>448</v>
      </c>
      <c r="O32" s="91">
        <v>466</v>
      </c>
      <c r="P32" s="91">
        <v>535</v>
      </c>
    </row>
    <row r="33" spans="1:1" x14ac:dyDescent="0.2">
      <c r="A33" s="89"/>
    </row>
    <row r="34" spans="1:1" x14ac:dyDescent="0.2">
      <c r="A34" s="8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5B03-61B2-4BB8-B8FD-EA39749EB1B0}">
  <dimension ref="A1:P36"/>
  <sheetViews>
    <sheetView topLeftCell="A7" workbookViewId="0">
      <selection activeCell="M14" sqref="M14"/>
    </sheetView>
  </sheetViews>
  <sheetFormatPr defaultColWidth="9" defaultRowHeight="15" x14ac:dyDescent="0.2"/>
  <cols>
    <col min="1" max="1" width="38.1640625" bestFit="1" customWidth="1"/>
    <col min="2" max="3" width="10.33203125" style="91" hidden="1" customWidth="1"/>
    <col min="4" max="6" width="10.33203125" style="91" bestFit="1" customWidth="1"/>
    <col min="7" max="14" width="11.33203125" style="91" bestFit="1" customWidth="1"/>
    <col min="15" max="16" width="11.33203125" customWidth="1"/>
  </cols>
  <sheetData>
    <row r="1" spans="1:16" ht="18" x14ac:dyDescent="0.25">
      <c r="A1" s="88" t="s">
        <v>204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6" ht="15.75" x14ac:dyDescent="0.25">
      <c r="A2" s="89" t="s">
        <v>190</v>
      </c>
      <c r="B2" s="90">
        <f>'Veg Oils Comp'!B2</f>
        <v>2019</v>
      </c>
      <c r="C2" s="90">
        <f>'Veg Oils Comp'!C2</f>
        <v>2020</v>
      </c>
      <c r="D2" s="90">
        <f>'Veg Oils Comp'!D2</f>
        <v>2021</v>
      </c>
      <c r="E2" s="90">
        <f>'Veg Oils Comp'!E2</f>
        <v>2022</v>
      </c>
      <c r="F2" s="90">
        <f>'Veg Oils Comp'!F2</f>
        <v>2023</v>
      </c>
      <c r="G2" s="90">
        <f>'Veg Oils Comp'!G2</f>
        <v>2024</v>
      </c>
      <c r="H2" s="90">
        <f>'Veg Oils Comp'!H2</f>
        <v>2025</v>
      </c>
      <c r="I2" s="90">
        <f>'Veg Oils Comp'!I2</f>
        <v>2026</v>
      </c>
      <c r="J2" s="90">
        <f>'Veg Oils Comp'!J2</f>
        <v>2027</v>
      </c>
      <c r="K2" s="90">
        <f>'Veg Oils Comp'!K2</f>
        <v>2028</v>
      </c>
      <c r="L2" s="90">
        <f>'Veg Oils Comp'!L2</f>
        <v>2029</v>
      </c>
      <c r="M2" s="90">
        <f>'Veg Oils Comp'!M2</f>
        <v>2030</v>
      </c>
      <c r="N2" s="90">
        <f>'Veg Oils Comp'!N2</f>
        <v>2031</v>
      </c>
      <c r="O2" s="90">
        <f>'Veg Oils Comp'!O2</f>
        <v>2032</v>
      </c>
      <c r="P2" s="90">
        <f>'Veg Oils Comp'!P2</f>
        <v>2033</v>
      </c>
    </row>
    <row r="3" spans="1:16" x14ac:dyDescent="0.2">
      <c r="A3" s="89" t="s">
        <v>196</v>
      </c>
      <c r="B3" s="91">
        <f>SBO!AB4-B21</f>
        <v>-0.15200000000004366</v>
      </c>
      <c r="C3" s="91">
        <f>SBO!AC4-C21</f>
        <v>6.3999999999850843E-2</v>
      </c>
      <c r="D3" s="91">
        <f>SBO!AD4-D21</f>
        <v>-0.21399999999994179</v>
      </c>
      <c r="E3" s="91">
        <f>SBO!AE4-E21</f>
        <v>-0.1089999999999236</v>
      </c>
      <c r="F3" s="91">
        <f>SBO!AF4-F21</f>
        <v>0.14699999999993452</v>
      </c>
      <c r="G3" s="91">
        <f>SBO!AG4-G21</f>
        <v>-641.16599999999994</v>
      </c>
      <c r="H3" s="91">
        <f>SBO!AH4-H21</f>
        <v>-422.43000000000006</v>
      </c>
      <c r="I3" s="91">
        <f>SBO!AI4-I21</f>
        <v>-1136.7805016555876</v>
      </c>
      <c r="J3" s="91">
        <f>SBO!AJ4-J21</f>
        <v>-213.55480164083201</v>
      </c>
      <c r="K3" s="91">
        <f>SBO!AK4-K21</f>
        <v>-278.12725176429012</v>
      </c>
      <c r="L3" s="91">
        <f>SBO!AL4-L21</f>
        <v>-871.27956693212764</v>
      </c>
      <c r="M3" s="91">
        <f>SBO!AM4-M21</f>
        <v>-1129.3595842854961</v>
      </c>
      <c r="N3" s="91">
        <f>SBO!AN4-N21</f>
        <v>-903.08563385354682</v>
      </c>
      <c r="O3" s="91">
        <f>SBO!AO4-O21</f>
        <v>-933.06042899746808</v>
      </c>
      <c r="P3" s="91">
        <f>SBO!AP4-P21</f>
        <v>-587.64734059475177</v>
      </c>
    </row>
    <row r="4" spans="1:16" x14ac:dyDescent="0.2">
      <c r="A4" s="89" t="s">
        <v>71</v>
      </c>
      <c r="B4" s="91">
        <f>SBO!AB5-B22</f>
        <v>0.26600000000689761</v>
      </c>
      <c r="C4" s="91">
        <f>SBO!AC5-C22</f>
        <v>0.32100000000355067</v>
      </c>
      <c r="D4" s="91">
        <f>SBO!AD5-D22</f>
        <v>5.0999999999476131E-2</v>
      </c>
      <c r="E4" s="91">
        <f>SBO!AE5-E22</f>
        <v>13.512323896036833</v>
      </c>
      <c r="F4" s="91">
        <f>SBO!AF5-F22</f>
        <v>-1005.5370000000003</v>
      </c>
      <c r="G4" s="91">
        <f>SBO!AG5-G22</f>
        <v>-1232.9251742504784</v>
      </c>
      <c r="H4" s="91">
        <f>SBO!AH5-H22</f>
        <v>-4712.9968533333304</v>
      </c>
      <c r="I4" s="91">
        <f>SBO!AI5-I22</f>
        <v>-3498.5500000000029</v>
      </c>
      <c r="J4" s="91">
        <f>SBO!AJ5-J22</f>
        <v>-4303.2299999999996</v>
      </c>
      <c r="K4" s="91">
        <f>SBO!AK5-K22</f>
        <v>-4141.510000000002</v>
      </c>
      <c r="L4" s="91">
        <f>SBO!AL5-L22</f>
        <v>-4195.1499999999942</v>
      </c>
      <c r="M4" s="91">
        <f>SBO!AM5-M22</f>
        <v>-3705.0999999999985</v>
      </c>
      <c r="N4" s="91">
        <f>SBO!AN5-N22</f>
        <v>-4442.6999999999971</v>
      </c>
      <c r="O4" s="91">
        <f>SBO!AO5-O22</f>
        <v>-3786.9000000000015</v>
      </c>
      <c r="P4" s="91">
        <f>SBO!AP5-P22</f>
        <v>-3617.4000000000015</v>
      </c>
    </row>
    <row r="5" spans="1:16" x14ac:dyDescent="0.2">
      <c r="A5" s="89" t="s">
        <v>72</v>
      </c>
      <c r="B5" s="91">
        <f>SBO!AB6-B23</f>
        <v>4.6844000000021424E-2</v>
      </c>
      <c r="C5" s="91">
        <f>SBO!AC6-C23</f>
        <v>-2.8787999999963176E-2</v>
      </c>
      <c r="D5" s="91">
        <f>SBO!AD6-D23</f>
        <v>0.51018800000002784</v>
      </c>
      <c r="E5" s="91">
        <f>SBO!AE6-E23</f>
        <v>0.30074999999999363</v>
      </c>
      <c r="F5" s="91">
        <f>SBO!AF6-F23</f>
        <v>-340.07812900000005</v>
      </c>
      <c r="G5" s="91">
        <f>SBO!AG6-G23</f>
        <v>-1385.7557723823802</v>
      </c>
      <c r="H5" s="91">
        <f>SBO!AH6-H23</f>
        <v>-1505.0642691687199</v>
      </c>
      <c r="I5" s="91">
        <f>SBO!AI6-I23</f>
        <v>-1682</v>
      </c>
      <c r="J5" s="91">
        <f>SBO!AJ6-J23</f>
        <v>-1500</v>
      </c>
      <c r="K5" s="91">
        <f>SBO!AK6-K23</f>
        <v>-1516.6</v>
      </c>
      <c r="L5" s="91">
        <f>SBO!AL6-L23</f>
        <v>-1154.6500000000001</v>
      </c>
      <c r="M5" s="91">
        <f>SBO!AM6-M23</f>
        <v>-178.40000000000009</v>
      </c>
      <c r="N5" s="91">
        <f>SBO!AN6-N23</f>
        <v>-406.35</v>
      </c>
      <c r="O5" s="91">
        <f>SBO!AO6-O23</f>
        <v>-1774.6999999999998</v>
      </c>
      <c r="P5" s="91">
        <f>SBO!AP6-P23</f>
        <v>-3388.2</v>
      </c>
    </row>
    <row r="6" spans="1:16" x14ac:dyDescent="0.2">
      <c r="A6" s="89" t="s">
        <v>83</v>
      </c>
      <c r="B6" s="91">
        <f>SBO!AB7-B24</f>
        <v>0.16084400000909227</v>
      </c>
      <c r="C6" s="91">
        <f>SBO!AC7-C24</f>
        <v>0.35621200000241515</v>
      </c>
      <c r="D6" s="91">
        <f>SBO!AD7-D24</f>
        <v>0.34718799999973271</v>
      </c>
      <c r="E6" s="91">
        <f>SBO!AE7-E24</f>
        <v>13.70407389603497</v>
      </c>
      <c r="F6" s="91">
        <f>SBO!AF7-F24</f>
        <v>-1345.4681290000008</v>
      </c>
      <c r="G6" s="91">
        <f>SBO!AG7-G24</f>
        <v>-3259.8469466328606</v>
      </c>
      <c r="H6" s="91">
        <f>SBO!AH7-H24</f>
        <v>-6641.4911225020514</v>
      </c>
      <c r="I6" s="91">
        <f>SBO!AI7-I24</f>
        <v>-6317.3305016555896</v>
      </c>
      <c r="J6" s="91">
        <f>SBO!AJ7-J24</f>
        <v>-6016.7848016408316</v>
      </c>
      <c r="K6" s="91">
        <f>SBO!AK7-K24</f>
        <v>-5937.2372517642907</v>
      </c>
      <c r="L6" s="91">
        <f>SBO!AL7-L24</f>
        <v>-6220.0795669321233</v>
      </c>
      <c r="M6" s="91">
        <f>SBO!AM7-M24</f>
        <v>-5011.8595842854993</v>
      </c>
      <c r="N6" s="91">
        <f>SBO!AN7-N24</f>
        <v>-5752.1356338535406</v>
      </c>
      <c r="O6" s="91">
        <f>SBO!AO7-O24</f>
        <v>-6494.6604289974639</v>
      </c>
      <c r="P6" s="91">
        <f>SBO!AP7-P24</f>
        <v>-7592.247340594753</v>
      </c>
    </row>
    <row r="7" spans="1:16" x14ac:dyDescent="0.2">
      <c r="A7" s="89"/>
      <c r="O7" s="91"/>
      <c r="P7" s="91"/>
    </row>
    <row r="8" spans="1:16" x14ac:dyDescent="0.2">
      <c r="A8" s="89" t="s">
        <v>74</v>
      </c>
      <c r="B8" s="91">
        <f>SBO!AB8-B26</f>
        <v>-1577.2468929999886</v>
      </c>
      <c r="C8" s="91">
        <f>SBO!AC8-C26</f>
        <v>-2848.0328389999959</v>
      </c>
      <c r="D8" s="91">
        <f>SBO!AD8-D26</f>
        <v>-1638.0231300000014</v>
      </c>
      <c r="E8" s="91">
        <f>SBO!AE8-E26</f>
        <v>-1461.1156081039662</v>
      </c>
      <c r="F8" s="91">
        <f>SBO!AF8-F26</f>
        <v>-844.97863499999949</v>
      </c>
      <c r="G8" s="91">
        <f>SBO!AG8-G26</f>
        <v>-4387.8195265164395</v>
      </c>
      <c r="H8" s="91">
        <f>SBO!AH8-H26</f>
        <v>-8679.4077599628836</v>
      </c>
      <c r="I8" s="91">
        <f>SBO!AI8-I26</f>
        <v>-9344.7757000147576</v>
      </c>
      <c r="J8" s="91">
        <f>SBO!AJ8-J26</f>
        <v>-7728.6575498765415</v>
      </c>
      <c r="K8" s="91">
        <f>SBO!AK8-K26</f>
        <v>-7489.9576848321631</v>
      </c>
      <c r="L8" s="91">
        <f>SBO!AL8-L26</f>
        <v>-7786.7199826466276</v>
      </c>
      <c r="M8" s="91">
        <f>SBO!AM8-M26</f>
        <v>-7883.7739504319543</v>
      </c>
      <c r="N8" s="91">
        <f>SBO!AN8-N26</f>
        <v>-7619.0752048560753</v>
      </c>
      <c r="O8" s="91">
        <f>SBO!AO8-O26</f>
        <v>-8442.0130884027094</v>
      </c>
      <c r="P8" s="91">
        <f>SBO!AP8-P26</f>
        <v>-10167.027287484918</v>
      </c>
    </row>
    <row r="9" spans="1:16" x14ac:dyDescent="0.2">
      <c r="A9" s="89" t="s">
        <v>197</v>
      </c>
      <c r="B9" s="91">
        <f>SBO!AB9-B27</f>
        <v>842.86961000576594</v>
      </c>
      <c r="C9" s="91">
        <f>SBO!AC9-C27</f>
        <v>984.71975927856329</v>
      </c>
      <c r="D9" s="91">
        <f>SBO!AD9-D27</f>
        <v>34.066861464842077</v>
      </c>
      <c r="E9" s="91">
        <f>SBO!AE9-E27</f>
        <v>-241.61700000000201</v>
      </c>
      <c r="F9" s="91">
        <f>SBO!AF9-F27</f>
        <v>-2270.2628055806999</v>
      </c>
      <c r="G9" s="91">
        <f>SBO!AG9-G27</f>
        <v>-6486.4525776527007</v>
      </c>
      <c r="H9" s="91">
        <f>SBO!AH9-H27</f>
        <v>-9963.3463516777447</v>
      </c>
      <c r="I9" s="91">
        <f>SBO!AI9-I27</f>
        <v>-11185.575700014755</v>
      </c>
      <c r="J9" s="91">
        <f>SBO!AJ9-J27</f>
        <v>-9104.7575498765436</v>
      </c>
      <c r="K9" s="91">
        <f>SBO!AK9-K27</f>
        <v>-9596.4576848321612</v>
      </c>
      <c r="L9" s="91">
        <f>SBO!AL9-L27</f>
        <v>-10238.069982646632</v>
      </c>
      <c r="M9" s="91">
        <f>SBO!AM9-M27</f>
        <v>-9620.2739504319507</v>
      </c>
      <c r="N9" s="91">
        <f>SBO!AN9-N27</f>
        <v>-9515.1752048560775</v>
      </c>
      <c r="O9" s="91">
        <f>SBO!AO9-O27</f>
        <v>-7985.6630884027145</v>
      </c>
      <c r="P9" s="91">
        <f>SBO!AP9-P27</f>
        <v>-8595.5772874849099</v>
      </c>
    </row>
    <row r="10" spans="1:16" x14ac:dyDescent="0.2">
      <c r="A10" s="89" t="s">
        <v>198</v>
      </c>
      <c r="B10" s="91">
        <f>SBO!AB10-B28</f>
        <v>-2.9999999998835847E-2</v>
      </c>
      <c r="C10" s="91">
        <f>SBO!AC10-C28</f>
        <v>-0.28000000000065484</v>
      </c>
      <c r="D10" s="91">
        <f>SBO!AD10-D28</f>
        <v>315.55020163809786</v>
      </c>
      <c r="E10" s="91">
        <f>SBO!AE10-E28</f>
        <v>1485.4959999999992</v>
      </c>
      <c r="F10" s="91">
        <f>SBO!AF10-F28</f>
        <v>1723.1859999999997</v>
      </c>
      <c r="G10" s="91">
        <f>SBO!AG10-G28</f>
        <v>3806.639144025</v>
      </c>
      <c r="H10" s="91">
        <f>SBO!AH10-H28</f>
        <v>3912.9101585168355</v>
      </c>
      <c r="I10" s="91">
        <f>SBO!AI10-I28</f>
        <v>3807.9324119875573</v>
      </c>
      <c r="J10" s="91">
        <f>SBO!AJ10-J28</f>
        <v>3766.2146097605128</v>
      </c>
      <c r="K10" s="91">
        <f>SBO!AK10-K28</f>
        <v>2779.4925590042239</v>
      </c>
      <c r="L10" s="91">
        <f>SBO!AL10-L28</f>
        <v>3433.4858700599034</v>
      </c>
      <c r="M10" s="91">
        <f>SBO!AM10-M28</f>
        <v>3438.6927418231116</v>
      </c>
      <c r="N10" s="91">
        <f>SBO!AN10-N28</f>
        <v>3416.7882060058346</v>
      </c>
      <c r="O10" s="91">
        <f>SBO!AO10-O28</f>
        <v>3728.4129413643632</v>
      </c>
      <c r="P10" s="91">
        <f>SBO!AP10-P28</f>
        <v>2695.4688692156246</v>
      </c>
    </row>
    <row r="11" spans="1:16" x14ac:dyDescent="0.2">
      <c r="A11" s="89" t="s">
        <v>199</v>
      </c>
      <c r="B11" s="91">
        <f>SBO!AB11-B29</f>
        <v>852.89961000576432</v>
      </c>
      <c r="C11" s="91">
        <f>SBO!AC11-C29</f>
        <v>1103.9997592785644</v>
      </c>
      <c r="D11" s="91">
        <f>SBO!AD11-D29</f>
        <v>-25.483340173256693</v>
      </c>
      <c r="E11" s="91">
        <f>SBO!AE11-E29</f>
        <v>-1222.1130000000003</v>
      </c>
      <c r="F11" s="91">
        <f>SBO!AF11-F29</f>
        <v>-3347.4488055806996</v>
      </c>
      <c r="G11" s="91">
        <f>SBO!AG11-G29</f>
        <v>-9577.0917216777016</v>
      </c>
      <c r="H11" s="91">
        <f>SBO!AH11-H29</f>
        <v>-13102.25651019458</v>
      </c>
      <c r="I11" s="91">
        <f>SBO!AI11-I29</f>
        <v>-14146.508112002313</v>
      </c>
      <c r="J11" s="91">
        <f>SBO!AJ11-J29</f>
        <v>-12245.972159637056</v>
      </c>
      <c r="K11" s="91">
        <f>SBO!AK11-K29</f>
        <v>-11749.950243836385</v>
      </c>
      <c r="L11" s="91">
        <f>SBO!AL11-L29</f>
        <v>-13044.555852706535</v>
      </c>
      <c r="M11" s="91">
        <f>SBO!AM11-M29</f>
        <v>-12435.966692255062</v>
      </c>
      <c r="N11" s="91">
        <f>SBO!AN11-N29</f>
        <v>-12311.963410861912</v>
      </c>
      <c r="O11" s="91">
        <f>SBO!AO11-O29</f>
        <v>-11098.076029767079</v>
      </c>
      <c r="P11" s="91">
        <f>SBO!AP11-P29</f>
        <v>-10679.046156700533</v>
      </c>
    </row>
    <row r="12" spans="1:16" x14ac:dyDescent="0.2">
      <c r="A12" s="89" t="s">
        <v>200</v>
      </c>
      <c r="B12" s="91" t="e">
        <f>SBO!#REF!-B30</f>
        <v>#REF!</v>
      </c>
      <c r="C12" s="91" t="e">
        <f>SBO!#REF!-C30</f>
        <v>#REF!</v>
      </c>
      <c r="D12" s="91" t="e">
        <f>SBO!#REF!-D30</f>
        <v>#REF!</v>
      </c>
      <c r="E12" s="91" t="e">
        <f>SBO!#REF!-E30</f>
        <v>#REF!</v>
      </c>
      <c r="F12" s="91" t="e">
        <f>SBO!#REF!-F30</f>
        <v>#REF!</v>
      </c>
      <c r="G12" s="91" t="e">
        <f>SBO!#REF!-G30</f>
        <v>#REF!</v>
      </c>
      <c r="H12" s="91" t="e">
        <f>SBO!#REF!-H30</f>
        <v>#REF!</v>
      </c>
      <c r="I12" s="91" t="e">
        <f>SBO!#REF!-I30</f>
        <v>#REF!</v>
      </c>
      <c r="J12" s="91" t="e">
        <f>SBO!#REF!-J30</f>
        <v>#REF!</v>
      </c>
      <c r="K12" s="91" t="e">
        <f>SBO!#REF!-K30</f>
        <v>#REF!</v>
      </c>
      <c r="L12" s="91" t="e">
        <f>SBO!#REF!-L30</f>
        <v>#REF!</v>
      </c>
      <c r="M12" s="91" t="e">
        <f>SBO!#REF!-M30</f>
        <v>#REF!</v>
      </c>
      <c r="N12" s="91" t="e">
        <f>SBO!#REF!-N30</f>
        <v>#REF!</v>
      </c>
      <c r="O12" s="91" t="e">
        <f>SBO!#REF!-O30</f>
        <v>#REF!</v>
      </c>
      <c r="P12" s="91" t="e">
        <f>SBO!#REF!-P30</f>
        <v>#REF!</v>
      </c>
    </row>
    <row r="13" spans="1:16" x14ac:dyDescent="0.2">
      <c r="A13" s="89" t="s">
        <v>201</v>
      </c>
      <c r="B13" s="91">
        <f>SBO!AB12-B31</f>
        <v>-2420.1165030057546</v>
      </c>
      <c r="C13" s="91">
        <f>SBO!AC12-C31</f>
        <v>-3832.7525982785592</v>
      </c>
      <c r="D13" s="91">
        <f>SBO!AD12-D31</f>
        <v>-1672.0899914648435</v>
      </c>
      <c r="E13" s="91">
        <f>SBO!AE12-E31</f>
        <v>-1219.4986081039642</v>
      </c>
      <c r="F13" s="91">
        <f>SBO!AF12-F31</f>
        <v>1425.2841705807004</v>
      </c>
      <c r="G13" s="91">
        <f>SBO!AG12-G31</f>
        <v>2098.6330511362612</v>
      </c>
      <c r="H13" s="91">
        <f>SBO!AH12-H31</f>
        <v>1283.9385917148611</v>
      </c>
      <c r="I13" s="91">
        <f>SBO!AI12-I31</f>
        <v>1840.7999999999975</v>
      </c>
      <c r="J13" s="91">
        <f>SBO!AJ12-J31</f>
        <v>1376.1000000000022</v>
      </c>
      <c r="K13" s="91">
        <f>SBO!AK12-K31</f>
        <v>2106.4999999999982</v>
      </c>
      <c r="L13" s="91">
        <f>SBO!AL12-L31</f>
        <v>2451.350000000004</v>
      </c>
      <c r="M13" s="91">
        <f>SBO!AM12-M31</f>
        <v>1736.4999999999964</v>
      </c>
      <c r="N13" s="91">
        <f>SBO!AN12-N31</f>
        <v>1897.1000000000022</v>
      </c>
      <c r="O13" s="91">
        <f>SBO!AO12-O31</f>
        <v>-456.34999999999491</v>
      </c>
      <c r="P13" s="91">
        <f>SBO!AP12-P31</f>
        <v>-1571.450000000008</v>
      </c>
    </row>
    <row r="14" spans="1:16" x14ac:dyDescent="0.2">
      <c r="A14" s="89" t="s">
        <v>79</v>
      </c>
      <c r="B14" s="91">
        <f>SBO!AB13-B32</f>
        <v>1577.3437370000001</v>
      </c>
      <c r="C14" s="91">
        <f>SBO!AC13-C32</f>
        <v>2847.6030509999991</v>
      </c>
      <c r="D14" s="91">
        <f>SBO!AD13-D32</f>
        <v>1638.4793179999997</v>
      </c>
      <c r="E14" s="91">
        <f>SBO!AE13-E32</f>
        <v>1474.6726819999999</v>
      </c>
      <c r="F14" s="91">
        <f>SBO!AF13-F32</f>
        <v>141.67650600000013</v>
      </c>
      <c r="G14" s="91">
        <f>SBO!AG13-G32</f>
        <v>1550.4025798835801</v>
      </c>
      <c r="H14" s="91">
        <f>SBO!AH13-H32</f>
        <v>3175.6971391164197</v>
      </c>
      <c r="I14" s="91">
        <f>SBO!AI13-I32</f>
        <v>3240</v>
      </c>
      <c r="J14" s="91">
        <f>SBO!AJ13-J32</f>
        <v>1990</v>
      </c>
      <c r="K14" s="91">
        <f>SBO!AK13-K32</f>
        <v>2425</v>
      </c>
      <c r="L14" s="91">
        <f>SBO!AL13-L32</f>
        <v>2695</v>
      </c>
      <c r="M14" s="91">
        <f>SBO!AM13-M32</f>
        <v>3775</v>
      </c>
      <c r="N14" s="91">
        <f>SBO!AN13-N32</f>
        <v>2800</v>
      </c>
      <c r="O14" s="91">
        <f>SBO!AO13-O32</f>
        <v>2535</v>
      </c>
      <c r="P14" s="91">
        <f>SBO!AP13-P32</f>
        <v>2490</v>
      </c>
    </row>
    <row r="15" spans="1:16" x14ac:dyDescent="0.2">
      <c r="A15" s="89" t="s">
        <v>85</v>
      </c>
      <c r="B15" s="91">
        <f>SBO!AB14-B33</f>
        <v>9.6844000010605669E-2</v>
      </c>
      <c r="C15" s="91">
        <f>SBO!AC14-C33</f>
        <v>0.57021200000235694</v>
      </c>
      <c r="D15" s="91">
        <f>SBO!AD14-D33</f>
        <v>0.45618800000011106</v>
      </c>
      <c r="E15" s="91">
        <f>SBO!AE14-E33</f>
        <v>13.557073896034126</v>
      </c>
      <c r="F15" s="91">
        <f>SBO!AF14-F33</f>
        <v>-703.3021289999997</v>
      </c>
      <c r="G15" s="91">
        <f>SBO!AG14-G33</f>
        <v>-2837.4169466328603</v>
      </c>
      <c r="H15" s="91">
        <f>SBO!AH14-H33</f>
        <v>-5503.7106208464647</v>
      </c>
      <c r="I15" s="91">
        <f>SBO!AI14-I33</f>
        <v>-6104.7757000147576</v>
      </c>
      <c r="J15" s="91">
        <f>SBO!AJ14-J33</f>
        <v>-5738.6575498765415</v>
      </c>
      <c r="K15" s="91">
        <f>SBO!AK14-K33</f>
        <v>-5064.9576848321631</v>
      </c>
      <c r="L15" s="91">
        <f>SBO!AL14-L33</f>
        <v>-5091.7199826466276</v>
      </c>
      <c r="M15" s="91">
        <f>SBO!AM14-M33</f>
        <v>-4108.7739504319543</v>
      </c>
      <c r="N15" s="91">
        <f>SBO!AN14-N33</f>
        <v>-4819.0752048560753</v>
      </c>
      <c r="O15" s="91">
        <f>SBO!AO14-O33</f>
        <v>-5907.0130884027094</v>
      </c>
      <c r="P15" s="91">
        <f>SBO!AP14-P33</f>
        <v>-7677.0272874849179</v>
      </c>
    </row>
    <row r="16" spans="1:16" x14ac:dyDescent="0.2">
      <c r="A16" s="89"/>
      <c r="O16" s="91"/>
      <c r="P16" s="91"/>
    </row>
    <row r="17" spans="1:16" x14ac:dyDescent="0.2">
      <c r="A17" s="89" t="s">
        <v>202</v>
      </c>
      <c r="B17" s="91">
        <f>SBO!AB15-B35</f>
        <v>6.3999999999850843E-2</v>
      </c>
      <c r="C17" s="91">
        <f>SBO!AC15-C35</f>
        <v>-0.21399999999994179</v>
      </c>
      <c r="D17" s="91">
        <f>SBO!AD15-D35</f>
        <v>-0.1089999999999236</v>
      </c>
      <c r="E17" s="91">
        <f>SBO!AE15-E35</f>
        <v>0.14699999999993452</v>
      </c>
      <c r="F17" s="91">
        <f>SBO!AF15-F35</f>
        <v>-641.16599999999994</v>
      </c>
      <c r="G17" s="91">
        <f>SBO!AG15-G35</f>
        <v>-422.43000000000006</v>
      </c>
      <c r="H17" s="91">
        <f>SBO!AH15-H35</f>
        <v>-1136.7805016555876</v>
      </c>
      <c r="I17" s="91">
        <f>SBO!AI15-I35</f>
        <v>-213.55480164083201</v>
      </c>
      <c r="J17" s="91">
        <f>SBO!AJ15-J35</f>
        <v>-278.12725176429012</v>
      </c>
      <c r="K17" s="91">
        <f>SBO!AK15-K35</f>
        <v>-871.27956693212764</v>
      </c>
      <c r="L17" s="91">
        <f>SBO!AL15-L35</f>
        <v>-1129.3595842854961</v>
      </c>
      <c r="M17" s="91">
        <f>SBO!AM15-M35</f>
        <v>-903.08563385354682</v>
      </c>
      <c r="N17" s="91">
        <f>SBO!AN15-N35</f>
        <v>-933.06042899746808</v>
      </c>
      <c r="O17" s="91">
        <f>SBO!AO15-O35</f>
        <v>-587.64734059475177</v>
      </c>
      <c r="P17" s="91">
        <f>SBO!AP15-P35</f>
        <v>84.779946890161682</v>
      </c>
    </row>
    <row r="18" spans="1:16" x14ac:dyDescent="0.2">
      <c r="A18" s="89" t="s">
        <v>156</v>
      </c>
      <c r="B18" s="92">
        <f>SBO!AB16-B36</f>
        <v>5.9264069264070685E-2</v>
      </c>
      <c r="C18" s="92">
        <f>SBO!AC16-C36</f>
        <v>-6.2255639097745785E-2</v>
      </c>
      <c r="D18" s="92">
        <f>SBO!AD16-D36</f>
        <v>-1.452380952380949</v>
      </c>
      <c r="E18" s="92">
        <f>SBO!AE16-E36</f>
        <v>1.8980952380952374</v>
      </c>
      <c r="F18" s="92">
        <f>SBO!AF16-F36</f>
        <v>-11.345739348370934</v>
      </c>
      <c r="G18" s="92">
        <f>SBO!AG16-G36</f>
        <v>-26.003206521739138</v>
      </c>
      <c r="H18" s="92">
        <f>SBO!AH16-H36</f>
        <v>-21.429262452895728</v>
      </c>
      <c r="I18" s="92">
        <f>SBO!AI16-I36</f>
        <v>-15.186765337231591</v>
      </c>
      <c r="J18" s="92">
        <f>SBO!AJ16-J36</f>
        <v>-14.855455070889299</v>
      </c>
      <c r="K18" s="92">
        <f>SBO!AK16-K36</f>
        <v>-21.437048904671251</v>
      </c>
      <c r="L18" s="92">
        <f>SBO!AL16-L36</f>
        <v>-30.478546623042874</v>
      </c>
      <c r="M18" s="92">
        <f>SBO!AM16-M36</f>
        <v>-25.204762027437738</v>
      </c>
      <c r="N18" s="92">
        <f>SBO!AN16-N36</f>
        <v>-28.676704709637512</v>
      </c>
      <c r="O18" s="92">
        <f>SBO!AO16-O36</f>
        <v>-26.569657782386223</v>
      </c>
      <c r="P18" s="92">
        <f>SBO!AP16-P36</f>
        <v>-18.858950160059372</v>
      </c>
    </row>
    <row r="19" spans="1:16" x14ac:dyDescent="0.2">
      <c r="A19" s="89"/>
    </row>
    <row r="20" spans="1:16" x14ac:dyDescent="0.2">
      <c r="A20" s="89"/>
    </row>
    <row r="21" spans="1:16" x14ac:dyDescent="0.2">
      <c r="A21" s="89" t="s">
        <v>196</v>
      </c>
      <c r="B21" s="91">
        <v>1946</v>
      </c>
      <c r="C21" s="91">
        <v>2134</v>
      </c>
      <c r="D21" s="91">
        <v>2111</v>
      </c>
      <c r="E21" s="91">
        <v>2466</v>
      </c>
      <c r="F21" s="91">
        <v>2306</v>
      </c>
      <c r="G21" s="91">
        <v>2465</v>
      </c>
      <c r="H21" s="91">
        <v>2113</v>
      </c>
      <c r="I21" s="91">
        <v>2372</v>
      </c>
      <c r="J21" s="91">
        <v>2012</v>
      </c>
      <c r="K21" s="91">
        <v>2068</v>
      </c>
      <c r="L21" s="91">
        <v>2425</v>
      </c>
      <c r="M21" s="91">
        <v>2767</v>
      </c>
      <c r="N21" s="91">
        <v>2509</v>
      </c>
      <c r="O21" s="91">
        <v>2581</v>
      </c>
      <c r="P21" s="91">
        <v>2506</v>
      </c>
    </row>
    <row r="22" spans="1:16" x14ac:dyDescent="0.2">
      <c r="A22" s="89" t="s">
        <v>71</v>
      </c>
      <c r="B22" s="91">
        <v>24127</v>
      </c>
      <c r="C22" s="91">
        <v>25373</v>
      </c>
      <c r="D22" s="91">
        <v>25207</v>
      </c>
      <c r="E22" s="91">
        <v>25954</v>
      </c>
      <c r="F22" s="91">
        <v>27576</v>
      </c>
      <c r="G22" s="91">
        <v>28897</v>
      </c>
      <c r="H22" s="91">
        <v>31111</v>
      </c>
      <c r="I22" s="91">
        <v>32235</v>
      </c>
      <c r="J22" s="91">
        <v>33318</v>
      </c>
      <c r="K22" s="91">
        <v>33873</v>
      </c>
      <c r="L22" s="91">
        <v>34925</v>
      </c>
      <c r="M22" s="91">
        <v>36369</v>
      </c>
      <c r="N22" s="91">
        <v>37786</v>
      </c>
      <c r="O22" s="91">
        <v>38743</v>
      </c>
      <c r="P22" s="91">
        <v>38523</v>
      </c>
    </row>
    <row r="23" spans="1:16" x14ac:dyDescent="0.2">
      <c r="A23" s="89" t="s">
        <v>72</v>
      </c>
      <c r="B23" s="91">
        <v>374</v>
      </c>
      <c r="C23" s="91">
        <v>297</v>
      </c>
      <c r="D23" s="91">
        <v>336</v>
      </c>
      <c r="E23" s="91">
        <v>280</v>
      </c>
      <c r="F23" s="91">
        <v>768</v>
      </c>
      <c r="G23" s="91">
        <v>2000</v>
      </c>
      <c r="H23" s="91">
        <v>2068</v>
      </c>
      <c r="I23" s="91">
        <v>2182</v>
      </c>
      <c r="J23" s="91">
        <v>2000</v>
      </c>
      <c r="K23" s="91">
        <v>1999</v>
      </c>
      <c r="L23" s="91">
        <v>1660</v>
      </c>
      <c r="M23" s="91">
        <v>682</v>
      </c>
      <c r="N23" s="91">
        <v>909</v>
      </c>
      <c r="O23" s="91">
        <v>2273</v>
      </c>
      <c r="P23" s="91">
        <v>3887</v>
      </c>
    </row>
    <row r="24" spans="1:16" x14ac:dyDescent="0.2">
      <c r="A24" s="89" t="s">
        <v>83</v>
      </c>
      <c r="B24" s="91">
        <v>26447</v>
      </c>
      <c r="C24" s="91">
        <v>27804</v>
      </c>
      <c r="D24" s="91">
        <v>27654</v>
      </c>
      <c r="E24" s="91">
        <v>28700</v>
      </c>
      <c r="F24" s="91">
        <v>30650</v>
      </c>
      <c r="G24" s="91">
        <v>33362</v>
      </c>
      <c r="H24" s="91">
        <v>35293</v>
      </c>
      <c r="I24" s="91">
        <v>36789</v>
      </c>
      <c r="J24" s="91">
        <v>37330</v>
      </c>
      <c r="K24" s="91">
        <v>37941</v>
      </c>
      <c r="L24" s="91">
        <v>39009</v>
      </c>
      <c r="M24" s="91">
        <v>39817</v>
      </c>
      <c r="N24" s="91">
        <v>41204</v>
      </c>
      <c r="O24" s="91">
        <v>43597</v>
      </c>
      <c r="P24" s="91">
        <v>44915</v>
      </c>
    </row>
    <row r="25" spans="1:16" x14ac:dyDescent="0.2">
      <c r="A25" s="89"/>
      <c r="O25" s="91"/>
      <c r="P25" s="91"/>
    </row>
    <row r="26" spans="1:16" x14ac:dyDescent="0.2">
      <c r="A26" s="89" t="s">
        <v>74</v>
      </c>
      <c r="B26" s="91">
        <v>22197</v>
      </c>
      <c r="C26" s="91">
        <v>22964</v>
      </c>
      <c r="D26" s="91">
        <v>23611</v>
      </c>
      <c r="E26" s="91">
        <v>24994</v>
      </c>
      <c r="F26" s="91">
        <v>27635</v>
      </c>
      <c r="G26" s="91">
        <v>30744</v>
      </c>
      <c r="H26" s="91">
        <v>32420</v>
      </c>
      <c r="I26" s="91">
        <v>34273</v>
      </c>
      <c r="J26" s="91">
        <v>34777</v>
      </c>
      <c r="K26" s="91">
        <v>35015</v>
      </c>
      <c r="L26" s="91">
        <v>35738</v>
      </c>
      <c r="M26" s="91">
        <v>36808</v>
      </c>
      <c r="N26" s="91">
        <v>38123</v>
      </c>
      <c r="O26" s="91">
        <v>40591</v>
      </c>
      <c r="P26" s="91">
        <v>41926</v>
      </c>
    </row>
    <row r="27" spans="1:16" x14ac:dyDescent="0.2">
      <c r="A27" s="89" t="s">
        <v>197</v>
      </c>
      <c r="B27" s="91">
        <v>8561</v>
      </c>
      <c r="C27" s="91">
        <v>9762</v>
      </c>
      <c r="D27" s="91">
        <v>9149</v>
      </c>
      <c r="E27" s="91">
        <v>10767</v>
      </c>
      <c r="F27" s="91">
        <v>15291</v>
      </c>
      <c r="G27" s="91">
        <v>19722</v>
      </c>
      <c r="H27" s="91">
        <v>21431</v>
      </c>
      <c r="I27" s="91">
        <v>23270</v>
      </c>
      <c r="J27" s="91">
        <v>23753</v>
      </c>
      <c r="K27" s="91">
        <v>24014</v>
      </c>
      <c r="L27" s="91">
        <v>24760</v>
      </c>
      <c r="M27" s="91">
        <v>25800</v>
      </c>
      <c r="N27" s="91">
        <v>26745</v>
      </c>
      <c r="O27" s="91">
        <v>27898</v>
      </c>
      <c r="P27" s="91">
        <v>28674</v>
      </c>
    </row>
    <row r="28" spans="1:16" x14ac:dyDescent="0.2">
      <c r="A28" s="89" t="s">
        <v>198</v>
      </c>
      <c r="B28" s="91">
        <v>7318</v>
      </c>
      <c r="C28" s="91">
        <v>8383</v>
      </c>
      <c r="D28" s="91">
        <v>6085</v>
      </c>
      <c r="E28" s="91">
        <v>5615</v>
      </c>
      <c r="F28" s="91">
        <v>5609</v>
      </c>
      <c r="G28" s="91">
        <v>2823</v>
      </c>
      <c r="H28" s="91">
        <v>2371</v>
      </c>
      <c r="I28" s="91">
        <v>2001</v>
      </c>
      <c r="J28" s="91">
        <v>2199</v>
      </c>
      <c r="K28" s="91">
        <v>1920</v>
      </c>
      <c r="L28" s="91">
        <v>1740</v>
      </c>
      <c r="M28" s="91">
        <v>1627</v>
      </c>
      <c r="N28" s="91">
        <v>1520</v>
      </c>
      <c r="O28" s="91">
        <v>1358</v>
      </c>
      <c r="P28" s="91">
        <v>697</v>
      </c>
    </row>
    <row r="29" spans="1:16" x14ac:dyDescent="0.2">
      <c r="A29" s="89" t="s">
        <v>199</v>
      </c>
      <c r="B29" s="91">
        <v>1233</v>
      </c>
      <c r="C29" s="91">
        <v>1260</v>
      </c>
      <c r="D29" s="91">
        <v>2808</v>
      </c>
      <c r="E29" s="91">
        <v>4647</v>
      </c>
      <c r="F29" s="91">
        <v>9036</v>
      </c>
      <c r="G29" s="91">
        <v>16183</v>
      </c>
      <c r="H29" s="91">
        <v>18286</v>
      </c>
      <c r="I29" s="91">
        <v>20422</v>
      </c>
      <c r="J29" s="91">
        <v>20929</v>
      </c>
      <c r="K29" s="91">
        <v>21468</v>
      </c>
      <c r="L29" s="91">
        <v>22393</v>
      </c>
      <c r="M29" s="91">
        <v>23550</v>
      </c>
      <c r="N29" s="91">
        <v>24605</v>
      </c>
      <c r="O29" s="91">
        <v>25924</v>
      </c>
      <c r="P29" s="91">
        <v>27365</v>
      </c>
    </row>
    <row r="30" spans="1:16" x14ac:dyDescent="0.2">
      <c r="A30" s="89" t="s">
        <v>200</v>
      </c>
      <c r="B30" s="91">
        <v>11</v>
      </c>
      <c r="C30" s="91">
        <v>120</v>
      </c>
      <c r="D30" s="91">
        <v>255</v>
      </c>
      <c r="E30" s="91">
        <v>505</v>
      </c>
      <c r="F30" s="91">
        <v>646</v>
      </c>
      <c r="G30" s="91">
        <v>716</v>
      </c>
      <c r="H30" s="91">
        <v>774</v>
      </c>
      <c r="I30" s="91">
        <v>847</v>
      </c>
      <c r="J30" s="91">
        <v>625</v>
      </c>
      <c r="K30" s="91">
        <v>626</v>
      </c>
      <c r="L30" s="91">
        <v>627</v>
      </c>
      <c r="M30" s="91">
        <v>622</v>
      </c>
      <c r="N30" s="91">
        <v>621</v>
      </c>
      <c r="O30" s="91">
        <v>617</v>
      </c>
      <c r="P30" s="91">
        <v>611</v>
      </c>
    </row>
    <row r="31" spans="1:16" x14ac:dyDescent="0.2">
      <c r="A31" s="89" t="s">
        <v>201</v>
      </c>
      <c r="B31" s="91">
        <v>13636</v>
      </c>
      <c r="C31" s="91">
        <v>13202</v>
      </c>
      <c r="D31" s="91">
        <v>14462</v>
      </c>
      <c r="E31" s="91">
        <v>14227</v>
      </c>
      <c r="F31" s="91">
        <v>12344</v>
      </c>
      <c r="G31" s="91">
        <v>11022</v>
      </c>
      <c r="H31" s="91">
        <v>10989</v>
      </c>
      <c r="I31" s="91">
        <v>11003</v>
      </c>
      <c r="J31" s="91">
        <v>11024</v>
      </c>
      <c r="K31" s="91">
        <v>11001</v>
      </c>
      <c r="L31" s="91">
        <v>10978</v>
      </c>
      <c r="M31" s="91">
        <v>11008</v>
      </c>
      <c r="N31" s="91">
        <v>11377</v>
      </c>
      <c r="O31" s="91">
        <v>12693</v>
      </c>
      <c r="P31" s="91">
        <v>13252</v>
      </c>
    </row>
    <row r="32" spans="1:16" x14ac:dyDescent="0.2">
      <c r="A32" s="89" t="s">
        <v>79</v>
      </c>
      <c r="B32" s="91">
        <v>2116</v>
      </c>
      <c r="C32" s="91">
        <v>2730</v>
      </c>
      <c r="D32" s="91">
        <v>1577</v>
      </c>
      <c r="E32" s="91">
        <v>1400</v>
      </c>
      <c r="F32" s="91">
        <v>549</v>
      </c>
      <c r="G32" s="91">
        <v>505</v>
      </c>
      <c r="H32" s="91">
        <v>500</v>
      </c>
      <c r="I32" s="91">
        <v>505</v>
      </c>
      <c r="J32" s="91">
        <v>485</v>
      </c>
      <c r="K32" s="91">
        <v>500</v>
      </c>
      <c r="L32" s="91">
        <v>505</v>
      </c>
      <c r="M32" s="91">
        <v>500</v>
      </c>
      <c r="N32" s="91">
        <v>500</v>
      </c>
      <c r="O32" s="91">
        <v>500</v>
      </c>
      <c r="P32" s="91">
        <v>500</v>
      </c>
    </row>
    <row r="33" spans="1:16" x14ac:dyDescent="0.2">
      <c r="A33" s="89" t="s">
        <v>85</v>
      </c>
      <c r="B33" s="91">
        <v>24313</v>
      </c>
      <c r="C33" s="91">
        <v>25693</v>
      </c>
      <c r="D33" s="91">
        <v>25188</v>
      </c>
      <c r="E33" s="91">
        <v>26394</v>
      </c>
      <c r="F33" s="91">
        <v>28184</v>
      </c>
      <c r="G33" s="91">
        <v>31249</v>
      </c>
      <c r="H33" s="91">
        <v>32920</v>
      </c>
      <c r="I33" s="91">
        <v>34778</v>
      </c>
      <c r="J33" s="91">
        <v>35262</v>
      </c>
      <c r="K33" s="91">
        <v>35515</v>
      </c>
      <c r="L33" s="91">
        <v>36243</v>
      </c>
      <c r="M33" s="91">
        <v>37308</v>
      </c>
      <c r="N33" s="91">
        <v>38623</v>
      </c>
      <c r="O33" s="91">
        <v>41091</v>
      </c>
      <c r="P33" s="91">
        <v>42426</v>
      </c>
    </row>
    <row r="34" spans="1:16" x14ac:dyDescent="0.2">
      <c r="A34" s="89"/>
      <c r="O34" s="91"/>
      <c r="P34" s="91"/>
    </row>
    <row r="35" spans="1:16" x14ac:dyDescent="0.2">
      <c r="A35" t="s">
        <v>202</v>
      </c>
      <c r="B35" s="91">
        <v>2134</v>
      </c>
      <c r="C35" s="91">
        <v>2111</v>
      </c>
      <c r="D35" s="91">
        <v>2466</v>
      </c>
      <c r="E35" s="91">
        <v>2306</v>
      </c>
      <c r="F35" s="91">
        <v>2465</v>
      </c>
      <c r="G35" s="91">
        <v>2113</v>
      </c>
      <c r="H35" s="91">
        <v>2372</v>
      </c>
      <c r="I35" s="91">
        <v>2012</v>
      </c>
      <c r="J35" s="91">
        <v>2068</v>
      </c>
      <c r="K35" s="91">
        <v>2425</v>
      </c>
      <c r="L35" s="91">
        <v>2767</v>
      </c>
      <c r="M35" s="91">
        <v>2509</v>
      </c>
      <c r="N35" s="91">
        <v>2581</v>
      </c>
      <c r="O35" s="91">
        <v>2506</v>
      </c>
      <c r="P35" s="91">
        <v>2489</v>
      </c>
    </row>
    <row r="36" spans="1:16" x14ac:dyDescent="0.2">
      <c r="A36" t="s">
        <v>156</v>
      </c>
      <c r="B36" s="91">
        <v>28.41</v>
      </c>
      <c r="C36" s="91">
        <v>31.2</v>
      </c>
      <c r="D36" s="92">
        <v>66.2</v>
      </c>
      <c r="E36" s="92">
        <v>72.5</v>
      </c>
      <c r="F36" s="92">
        <v>72.8</v>
      </c>
      <c r="G36" s="92">
        <v>70</v>
      </c>
      <c r="H36" s="92">
        <v>66.400000000000006</v>
      </c>
      <c r="I36" s="92">
        <v>59</v>
      </c>
      <c r="J36" s="92">
        <v>57.9</v>
      </c>
      <c r="K36" s="92">
        <v>63.5</v>
      </c>
      <c r="L36" s="92">
        <v>73</v>
      </c>
      <c r="M36" s="92">
        <v>72.3</v>
      </c>
      <c r="N36" s="92">
        <v>69.2</v>
      </c>
      <c r="O36" s="92">
        <v>67.599999999999994</v>
      </c>
      <c r="P36" s="92">
        <v>74.400000000000006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F3A8-167F-4C50-B1E5-0ABAE91720AF}">
  <dimension ref="A1:P34"/>
  <sheetViews>
    <sheetView workbookViewId="0">
      <selection activeCell="M14" sqref="M14"/>
    </sheetView>
  </sheetViews>
  <sheetFormatPr defaultColWidth="9" defaultRowHeight="15" x14ac:dyDescent="0.2"/>
  <cols>
    <col min="1" max="1" width="58.6640625" bestFit="1" customWidth="1"/>
    <col min="2" max="3" width="10.33203125" style="91" hidden="1" customWidth="1"/>
    <col min="4" max="6" width="10.33203125" style="91" bestFit="1" customWidth="1"/>
    <col min="7" max="14" width="11.33203125" style="91" bestFit="1" customWidth="1"/>
    <col min="15" max="16" width="11.33203125" customWidth="1"/>
  </cols>
  <sheetData>
    <row r="1" spans="1:16" ht="18" x14ac:dyDescent="0.25">
      <c r="A1" s="88" t="s">
        <v>205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6" ht="15.75" x14ac:dyDescent="0.25">
      <c r="A2" s="89" t="s">
        <v>190</v>
      </c>
      <c r="B2" s="90">
        <f>'Veg Oils Comp'!B2</f>
        <v>2019</v>
      </c>
      <c r="C2" s="90">
        <f>'Veg Oils Comp'!C2</f>
        <v>2020</v>
      </c>
      <c r="D2" s="90">
        <f>'Veg Oils Comp'!D2</f>
        <v>2021</v>
      </c>
      <c r="E2" s="90">
        <f>'Veg Oils Comp'!E2</f>
        <v>2022</v>
      </c>
      <c r="F2" s="90">
        <f>'Veg Oils Comp'!F2</f>
        <v>2023</v>
      </c>
      <c r="G2" s="90">
        <f>'Veg Oils Comp'!G2</f>
        <v>2024</v>
      </c>
      <c r="H2" s="90">
        <f>'Veg Oils Comp'!H2</f>
        <v>2025</v>
      </c>
      <c r="I2" s="90">
        <f>'Veg Oils Comp'!I2</f>
        <v>2026</v>
      </c>
      <c r="J2" s="90">
        <f>'Veg Oils Comp'!J2</f>
        <v>2027</v>
      </c>
      <c r="K2" s="90">
        <f>'Veg Oils Comp'!K2</f>
        <v>2028</v>
      </c>
      <c r="L2" s="90">
        <f>'Veg Oils Comp'!L2</f>
        <v>2029</v>
      </c>
      <c r="M2" s="90">
        <f>'Veg Oils Comp'!M2</f>
        <v>2030</v>
      </c>
      <c r="N2" s="90">
        <f>'Veg Oils Comp'!N2</f>
        <v>2031</v>
      </c>
      <c r="O2" s="90">
        <f>'Veg Oils Comp'!O2</f>
        <v>2032</v>
      </c>
      <c r="P2" s="90">
        <f>'Veg Oils Comp'!P2</f>
        <v>2033</v>
      </c>
    </row>
    <row r="3" spans="1:16" x14ac:dyDescent="0.2">
      <c r="A3" s="89" t="s">
        <v>70</v>
      </c>
      <c r="B3" s="91">
        <f>'Canola Oil'!AB4-B19</f>
        <v>-0.46899999999999409</v>
      </c>
      <c r="C3" s="91">
        <f>'Canola Oil'!AC4-C19</f>
        <v>-0.25100000000000477</v>
      </c>
      <c r="D3" s="91">
        <f>'Canola Oil'!AD4-D19</f>
        <v>-0.39299999999997226</v>
      </c>
      <c r="E3" s="91">
        <f>'Canola Oil'!AE4-E19</f>
        <v>0.17099999999999227</v>
      </c>
      <c r="F3" s="91">
        <f>'Canola Oil'!AF4-F19</f>
        <v>-0.35700000000002774</v>
      </c>
      <c r="G3" s="91">
        <f>'Canola Oil'!AG4-G19</f>
        <v>36.72399999999999</v>
      </c>
      <c r="H3" s="91">
        <f>'Canola Oil'!AH4-H19</f>
        <v>-44.760999999999996</v>
      </c>
      <c r="I3" s="91">
        <f>'Canola Oil'!AI4-I19</f>
        <v>-52.2153535629825</v>
      </c>
      <c r="J3" s="91">
        <f>'Canola Oil'!AJ4-J19</f>
        <v>-62.665916591207633</v>
      </c>
      <c r="K3" s="91">
        <f>'Canola Oil'!AK4-K19</f>
        <v>-98.458761870077069</v>
      </c>
      <c r="L3" s="91">
        <f>'Canola Oil'!AL4-L19</f>
        <v>-99.720251891686758</v>
      </c>
      <c r="M3" s="91">
        <f>'Canola Oil'!AM4-M19</f>
        <v>-13.474344554804816</v>
      </c>
      <c r="N3" s="91">
        <f>'Canola Oil'!AN4-N19</f>
        <v>-42.510435101071153</v>
      </c>
      <c r="O3" s="91">
        <f>'Canola Oil'!AO4-O19</f>
        <v>-36.144072953705518</v>
      </c>
      <c r="P3" s="91">
        <f>'Canola Oil'!AP4-P19</f>
        <v>-86.380712659812502</v>
      </c>
    </row>
    <row r="4" spans="1:16" x14ac:dyDescent="0.2">
      <c r="A4" s="89" t="s">
        <v>71</v>
      </c>
      <c r="B4" s="91">
        <f>'Canola Oil'!AB5-B20</f>
        <v>1377.3779999999997</v>
      </c>
      <c r="C4" s="91">
        <f>'Canola Oil'!AC5-C20</f>
        <v>1649.308</v>
      </c>
      <c r="D4" s="91">
        <f>'Canola Oil'!AD5-D20</f>
        <v>1587.3280000000004</v>
      </c>
      <c r="E4" s="91">
        <f>'Canola Oil'!AE5-E20</f>
        <v>1358.7179999999998</v>
      </c>
      <c r="F4" s="91">
        <f>'Canola Oil'!AF5-F20</f>
        <v>1663.8929999999996</v>
      </c>
      <c r="G4" s="91">
        <f>'Canola Oil'!AG5-G20</f>
        <v>1732.7249999999999</v>
      </c>
      <c r="H4" s="91">
        <f>'Canola Oil'!AH5-H20</f>
        <v>1618.6397353721632</v>
      </c>
      <c r="I4" s="91">
        <f>'Canola Oil'!AI5-I20</f>
        <v>1736.8036384222701</v>
      </c>
      <c r="J4" s="91">
        <f>'Canola Oil'!AJ5-J20</f>
        <v>1728.6991378220846</v>
      </c>
      <c r="K4" s="91">
        <f>'Canola Oil'!AK5-K20</f>
        <v>1816.7903438205312</v>
      </c>
      <c r="L4" s="91">
        <f>'Canola Oil'!AL5-L20</f>
        <v>1848.9975089441032</v>
      </c>
      <c r="M4" s="91">
        <f>'Canola Oil'!AM5-M20</f>
        <v>1814.9701310745695</v>
      </c>
      <c r="N4" s="91">
        <f>'Canola Oil'!AN5-N20</f>
        <v>1821.8935581458827</v>
      </c>
      <c r="O4" s="91">
        <f>'Canola Oil'!AO5-O20</f>
        <v>1868.5624335138937</v>
      </c>
      <c r="P4" s="91">
        <f>'Canola Oil'!AP5-P20</f>
        <v>1879.9934232854775</v>
      </c>
    </row>
    <row r="5" spans="1:16" x14ac:dyDescent="0.2">
      <c r="A5" s="89" t="s">
        <v>72</v>
      </c>
      <c r="B5" s="91">
        <f>'Canola Oil'!AB6-B21</f>
        <v>1.7161739999996826</v>
      </c>
      <c r="C5" s="91">
        <f>'Canola Oil'!AC6-C21</f>
        <v>-0.1371820000003936</v>
      </c>
      <c r="D5" s="91">
        <f>'Canola Oil'!AD6-D21</f>
        <v>-10.095037097999921</v>
      </c>
      <c r="E5" s="91">
        <f>'Canola Oil'!AE6-E21</f>
        <v>38.344399538000289</v>
      </c>
      <c r="F5" s="91">
        <f>'Canola Oil'!AF6-F21</f>
        <v>2212.7533760799997</v>
      </c>
      <c r="G5" s="91">
        <f>'Canola Oil'!AG6-G21</f>
        <v>2495.9024063212</v>
      </c>
      <c r="H5" s="91">
        <f>'Canola Oil'!AH6-H21</f>
        <v>686.70950858677952</v>
      </c>
      <c r="I5" s="91">
        <f>'Canola Oil'!AI6-I21</f>
        <v>624.44221178341286</v>
      </c>
      <c r="J5" s="91">
        <f>'Canola Oil'!AJ6-J21</f>
        <v>1444.2527193521864</v>
      </c>
      <c r="K5" s="91">
        <f>'Canola Oil'!AK6-K21</f>
        <v>2317.8991504647047</v>
      </c>
      <c r="L5" s="91">
        <f>'Canola Oil'!AL6-L21</f>
        <v>2788.4174372163088</v>
      </c>
      <c r="M5" s="91">
        <f>'Canola Oil'!AM6-M21</f>
        <v>3081.1722457561209</v>
      </c>
      <c r="N5" s="91">
        <f>'Canola Oil'!AN6-N21</f>
        <v>3289.015650154679</v>
      </c>
      <c r="O5" s="91">
        <f>'Canola Oil'!AO6-O21</f>
        <v>4104.5342007779818</v>
      </c>
      <c r="P5" s="91">
        <f>'Canola Oil'!AP6-P21</f>
        <v>4269.4322834002978</v>
      </c>
    </row>
    <row r="6" spans="1:16" x14ac:dyDescent="0.2">
      <c r="A6" s="89" t="s">
        <v>83</v>
      </c>
      <c r="B6" s="91">
        <f>'Canola Oil'!AB7-B22</f>
        <v>1379.6251739999989</v>
      </c>
      <c r="C6" s="91">
        <f>'Canola Oil'!AC7-C22</f>
        <v>1649.9198179999994</v>
      </c>
      <c r="D6" s="91">
        <f>'Canola Oil'!AD7-D22</f>
        <v>1576.8399629020005</v>
      </c>
      <c r="E6" s="91">
        <f>'Canola Oil'!AE7-E22</f>
        <v>1398.2333995379995</v>
      </c>
      <c r="F6" s="91">
        <f>'Canola Oil'!AF7-F22</f>
        <v>3876.2893760799998</v>
      </c>
      <c r="G6" s="91">
        <f>'Canola Oil'!AG7-G22</f>
        <v>4265.3514063212006</v>
      </c>
      <c r="H6" s="91">
        <f>'Canola Oil'!AH7-H22</f>
        <v>2259.5882439589423</v>
      </c>
      <c r="I6" s="91">
        <f>'Canola Oil'!AI7-I22</f>
        <v>2308.0304966426993</v>
      </c>
      <c r="J6" s="91">
        <f>'Canola Oil'!AJ7-J22</f>
        <v>3109.2859405830641</v>
      </c>
      <c r="K6" s="91">
        <f>'Canola Oil'!AK7-K22</f>
        <v>4037.2307324151589</v>
      </c>
      <c r="L6" s="91">
        <f>'Canola Oil'!AL7-L22</f>
        <v>4537.6946942687246</v>
      </c>
      <c r="M6" s="91">
        <f>'Canola Oil'!AM7-M22</f>
        <v>4882.6680322758857</v>
      </c>
      <c r="N6" s="91">
        <f>'Canola Oil'!AN7-N22</f>
        <v>5068.3987731994894</v>
      </c>
      <c r="O6" s="91">
        <f>'Canola Oil'!AO7-O22</f>
        <v>5936.9525613381702</v>
      </c>
      <c r="P6" s="91">
        <f>'Canola Oil'!AP7-P22</f>
        <v>6063.0449940259641</v>
      </c>
    </row>
    <row r="7" spans="1:16" x14ac:dyDescent="0.2">
      <c r="A7" s="89" t="s">
        <v>74</v>
      </c>
      <c r="O7" s="91"/>
      <c r="P7" s="91"/>
    </row>
    <row r="8" spans="1:16" x14ac:dyDescent="0.2">
      <c r="A8" s="89" t="s">
        <v>191</v>
      </c>
      <c r="B8" s="91">
        <f>'Canola Oil'!AB9-B24</f>
        <v>0.25689910321261777</v>
      </c>
      <c r="C8" s="91">
        <f>'Canola Oil'!AC9-C24</f>
        <v>0.45620331600753161</v>
      </c>
      <c r="D8" s="91">
        <f>'Canola Oil'!AD9-D24</f>
        <v>352.0480362855842</v>
      </c>
      <c r="E8" s="91">
        <f>'Canola Oil'!AE9-E24</f>
        <v>-30.038717210019058</v>
      </c>
      <c r="F8" s="91">
        <f>'Canola Oil'!AF9-F24</f>
        <v>1481.2688766419997</v>
      </c>
      <c r="G8" s="91">
        <f>'Canola Oil'!AG9-G24</f>
        <v>3219.1307146987992</v>
      </c>
      <c r="H8" s="91">
        <f>'Canola Oil'!AH9-H24</f>
        <v>2422.3292534451493</v>
      </c>
      <c r="I8" s="91">
        <f>'Canola Oil'!AI9-I24</f>
        <v>2557.9015152523612</v>
      </c>
      <c r="J8" s="91">
        <f>'Canola Oil'!AJ9-J24</f>
        <v>3541.4990556568519</v>
      </c>
      <c r="K8" s="91">
        <f>'Canola Oil'!AK9-K24</f>
        <v>3614.75779614152</v>
      </c>
      <c r="L8" s="91">
        <f>'Canola Oil'!AL9-L24</f>
        <v>4095.042299483579</v>
      </c>
      <c r="M8" s="91">
        <f>'Canola Oil'!AM9-M24</f>
        <v>4756.2851878386882</v>
      </c>
      <c r="N8" s="91">
        <f>'Canola Oil'!AN9-N24</f>
        <v>5362.3758977116831</v>
      </c>
      <c r="O8" s="91">
        <f>'Canola Oil'!AO9-O24</f>
        <v>6512.0739729804191</v>
      </c>
      <c r="P8" s="91">
        <f>'Canola Oil'!AP9-P24</f>
        <v>6427.7736490884899</v>
      </c>
    </row>
    <row r="9" spans="1:16" x14ac:dyDescent="0.2">
      <c r="A9" s="89" t="s">
        <v>192</v>
      </c>
      <c r="B9" s="91">
        <f>'Canola Oil'!AB10-B25</f>
        <v>0.25689910321261777</v>
      </c>
      <c r="C9" s="91">
        <f>'Canola Oil'!AC10-C25</f>
        <v>0.45620331600753161</v>
      </c>
      <c r="D9" s="91">
        <f>'Canola Oil'!AD10-D25</f>
        <v>352.0480362855842</v>
      </c>
      <c r="E9" s="91">
        <f>'Canola Oil'!AE10-E25</f>
        <v>-72.63791178725296</v>
      </c>
      <c r="F9" s="91">
        <f>'Canola Oil'!AF10-F25</f>
        <v>374.86960844599503</v>
      </c>
      <c r="G9" s="91">
        <f>'Canola Oil'!AG10-G25</f>
        <v>567.52888800000005</v>
      </c>
      <c r="H9" s="91">
        <f>'Canola Oil'!AH10-H25</f>
        <v>1264.9248955648723</v>
      </c>
      <c r="I9" s="91">
        <f>'Canola Oil'!AI10-I25</f>
        <v>1395.2334765183202</v>
      </c>
      <c r="J9" s="91">
        <f>'Canola Oil'!AJ10-J25</f>
        <v>1272.6439677452265</v>
      </c>
      <c r="K9" s="91">
        <f>'Canola Oil'!AK10-K25</f>
        <v>1008.9424879332039</v>
      </c>
      <c r="L9" s="91">
        <f>'Canola Oil'!AL10-L25</f>
        <v>1287.883154917105</v>
      </c>
      <c r="M9" s="91">
        <f>'Canola Oil'!AM10-M25</f>
        <v>1399.9055744707614</v>
      </c>
      <c r="N9" s="91">
        <f>'Canola Oil'!AN10-N25</f>
        <v>1377.1171094781316</v>
      </c>
      <c r="O9" s="91">
        <f>'Canola Oil'!AO10-O25</f>
        <v>1489.170568446124</v>
      </c>
      <c r="P9" s="91">
        <f>'Canola Oil'!AP10-P25</f>
        <v>1429.2844024399535</v>
      </c>
    </row>
    <row r="10" spans="1:16" x14ac:dyDescent="0.2">
      <c r="A10" s="89" t="s">
        <v>193</v>
      </c>
      <c r="B10" s="91">
        <f>'Canola Oil'!AB11-B26</f>
        <v>0</v>
      </c>
      <c r="C10" s="91">
        <f>'Canola Oil'!AC11-C26</f>
        <v>0</v>
      </c>
      <c r="D10" s="91">
        <f>'Canola Oil'!AD11-D26</f>
        <v>0</v>
      </c>
      <c r="E10" s="91">
        <f>'Canola Oil'!AE11-E26</f>
        <v>42.599194577234002</v>
      </c>
      <c r="F10" s="91">
        <f>'Canola Oil'!AF11-F26</f>
        <v>1105.3992681960049</v>
      </c>
      <c r="G10" s="91">
        <f>'Canola Oil'!AG11-G26</f>
        <v>2651.6018266987994</v>
      </c>
      <c r="H10" s="91">
        <f>'Canola Oil'!AH11-H26</f>
        <v>1157.4043578802771</v>
      </c>
      <c r="I10" s="91">
        <f>'Canola Oil'!AI11-I26</f>
        <v>1162.6680387340409</v>
      </c>
      <c r="J10" s="91">
        <f>'Canola Oil'!AJ11-J26</f>
        <v>2268.8550879116256</v>
      </c>
      <c r="K10" s="91">
        <f>'Canola Oil'!AK11-K26</f>
        <v>2605.8153082083163</v>
      </c>
      <c r="L10" s="91">
        <f>'Canola Oil'!AL11-L26</f>
        <v>2807.1591445664735</v>
      </c>
      <c r="M10" s="91">
        <f>'Canola Oil'!AM11-M26</f>
        <v>3356.379613367927</v>
      </c>
      <c r="N10" s="91">
        <f>'Canola Oil'!AN11-N26</f>
        <v>3985.258788233552</v>
      </c>
      <c r="O10" s="91">
        <f>'Canola Oil'!AO11-O26</f>
        <v>5023.9034045342951</v>
      </c>
      <c r="P10" s="91">
        <f>'Canola Oil'!AP11-P26</f>
        <v>4998.4892466485362</v>
      </c>
    </row>
    <row r="11" spans="1:16" x14ac:dyDescent="0.2">
      <c r="A11" s="89" t="s">
        <v>194</v>
      </c>
      <c r="B11" s="91" t="e">
        <f>'Canola Oil'!#REF!-B27</f>
        <v>#REF!</v>
      </c>
      <c r="C11" s="91" t="e">
        <f>'Canola Oil'!#REF!-C27</f>
        <v>#REF!</v>
      </c>
      <c r="D11" s="91" t="e">
        <f>'Canola Oil'!#REF!-D27</f>
        <v>#REF!</v>
      </c>
      <c r="E11" s="91" t="e">
        <f>'Canola Oil'!#REF!-E27</f>
        <v>#REF!</v>
      </c>
      <c r="F11" s="91" t="e">
        <f>'Canola Oil'!#REF!-F27</f>
        <v>#REF!</v>
      </c>
      <c r="G11" s="91" t="e">
        <f>'Canola Oil'!#REF!-G27</f>
        <v>#REF!</v>
      </c>
      <c r="H11" s="91" t="e">
        <f>'Canola Oil'!#REF!-H27</f>
        <v>#REF!</v>
      </c>
      <c r="I11" s="91" t="e">
        <f>'Canola Oil'!#REF!-I27</f>
        <v>#REF!</v>
      </c>
      <c r="J11" s="91" t="e">
        <f>'Canola Oil'!#REF!-J27</f>
        <v>#REF!</v>
      </c>
      <c r="K11" s="91" t="e">
        <f>'Canola Oil'!#REF!-K27</f>
        <v>#REF!</v>
      </c>
      <c r="L11" s="91" t="e">
        <f>'Canola Oil'!#REF!-L27</f>
        <v>#REF!</v>
      </c>
      <c r="M11" s="91" t="e">
        <f>'Canola Oil'!#REF!-M27</f>
        <v>#REF!</v>
      </c>
      <c r="N11" s="91" t="e">
        <f>'Canola Oil'!#REF!-N27</f>
        <v>#REF!</v>
      </c>
      <c r="O11" s="91" t="e">
        <f>'Canola Oil'!#REF!-O27</f>
        <v>#REF!</v>
      </c>
      <c r="P11" s="91" t="e">
        <f>'Canola Oil'!#REF!-P27</f>
        <v>#REF!</v>
      </c>
    </row>
    <row r="12" spans="1:16" x14ac:dyDescent="0.2">
      <c r="A12" s="89" t="s">
        <v>159</v>
      </c>
      <c r="B12" s="91">
        <f>'Canola Oil'!AB12-B28</f>
        <v>1190.419432896786</v>
      </c>
      <c r="C12" s="91">
        <f>'Canola Oil'!AC12-C28</f>
        <v>1422.4009296839922</v>
      </c>
      <c r="D12" s="91">
        <f>'Canola Oil'!AD12-D28</f>
        <v>907.9590441644159</v>
      </c>
      <c r="E12" s="91">
        <f>'Canola Oil'!AE12-E28</f>
        <v>1212.7806016060185</v>
      </c>
      <c r="F12" s="91">
        <f>'Canola Oil'!AF12-F28</f>
        <v>2232.4904272980002</v>
      </c>
      <c r="G12" s="91">
        <f>'Canola Oil'!AG12-G28</f>
        <v>1055.1270744560015</v>
      </c>
      <c r="H12" s="91">
        <f>'Canola Oil'!AH12-H28</f>
        <v>-189.15530866315112</v>
      </c>
      <c r="I12" s="91">
        <f>'Canola Oil'!AI12-I28</f>
        <v>-288.27766607171907</v>
      </c>
      <c r="J12" s="91">
        <f>'Canola Oil'!AJ12-J28</f>
        <v>-472.22203530215847</v>
      </c>
      <c r="K12" s="91">
        <f>'Canola Oil'!AK12-K28</f>
        <v>385.67177624514716</v>
      </c>
      <c r="L12" s="91">
        <f>'Canola Oil'!AL12-L28</f>
        <v>322.44470829093916</v>
      </c>
      <c r="M12" s="91">
        <f>'Canola Oil'!AM12-M28</f>
        <v>32.340753353342734</v>
      </c>
      <c r="N12" s="91">
        <f>'Canola Oil'!AN12-N28</f>
        <v>-392.10771993065282</v>
      </c>
      <c r="O12" s="91">
        <f>'Canola Oil'!AO12-O28</f>
        <v>-625.39994204360119</v>
      </c>
      <c r="P12" s="91">
        <f>'Canola Oil'!AP12-P28</f>
        <v>-410.17400045309205</v>
      </c>
    </row>
    <row r="13" spans="1:16" x14ac:dyDescent="0.2">
      <c r="A13" s="89" t="s">
        <v>79</v>
      </c>
      <c r="B13" s="91">
        <f>'Canola Oil'!AB13-B29</f>
        <v>189.19984199999993</v>
      </c>
      <c r="C13" s="91">
        <f>'Canola Oil'!AC13-C29</f>
        <v>227.45568500000002</v>
      </c>
      <c r="D13" s="91">
        <f>'Canola Oil'!AD13-D29</f>
        <v>316.66188245199987</v>
      </c>
      <c r="E13" s="91">
        <f>'Canola Oil'!AE13-E29</f>
        <v>214.848515142</v>
      </c>
      <c r="F13" s="91">
        <f>'Canola Oil'!AF13-F29</f>
        <v>125.80607213999997</v>
      </c>
      <c r="G13" s="91">
        <f>'Canola Oil'!AG13-G29</f>
        <v>36.854617166399976</v>
      </c>
      <c r="H13" s="91">
        <f>'Canola Oil'!AH13-H29</f>
        <v>78.629652739926485</v>
      </c>
      <c r="I13" s="91">
        <f>'Canola Oil'!AI13-I29</f>
        <v>102.07256405326501</v>
      </c>
      <c r="J13" s="91">
        <f>'Canola Oil'!AJ13-J29</f>
        <v>138.46768209844711</v>
      </c>
      <c r="K13" s="91">
        <f>'Canola Oil'!AK13-K29</f>
        <v>135.52141192017976</v>
      </c>
      <c r="L13" s="91">
        <f>'Canola Oil'!AL13-L29</f>
        <v>133.68203104901136</v>
      </c>
      <c r="M13" s="91">
        <f>'Canola Oil'!AM13-M29</f>
        <v>136.55252618492563</v>
      </c>
      <c r="N13" s="91">
        <f>'Canola Oil'!AN13-N29</f>
        <v>135.27466837216596</v>
      </c>
      <c r="O13" s="91">
        <f>'Canola Oil'!AO13-O29</f>
        <v>136.6592430611658</v>
      </c>
      <c r="P13" s="91">
        <f>'Canola Oil'!AP13-P29</f>
        <v>135.899663924946</v>
      </c>
    </row>
    <row r="14" spans="1:16" x14ac:dyDescent="0.2">
      <c r="A14" s="89" t="s">
        <v>85</v>
      </c>
      <c r="B14" s="91">
        <f>'Canola Oil'!AB14-B30</f>
        <v>1378.8761739999991</v>
      </c>
      <c r="C14" s="91">
        <f>'Canola Oil'!AC14-C30</f>
        <v>1649.3128179999994</v>
      </c>
      <c r="D14" s="91">
        <f>'Canola Oil'!AD14-D30</f>
        <v>1576.6689629020002</v>
      </c>
      <c r="E14" s="91">
        <f>'Canola Oil'!AE14-E30</f>
        <v>1397.5903995379995</v>
      </c>
      <c r="F14" s="91">
        <f>'Canola Oil'!AF14-F30</f>
        <v>3839.5653760799996</v>
      </c>
      <c r="G14" s="91">
        <f>'Canola Oil'!AG14-G30</f>
        <v>4310.112406321201</v>
      </c>
      <c r="H14" s="91">
        <f>'Canola Oil'!AH14-H30</f>
        <v>2312.8035975219245</v>
      </c>
      <c r="I14" s="91">
        <f>'Canola Oil'!AI14-I30</f>
        <v>2370.6964132339072</v>
      </c>
      <c r="J14" s="91">
        <f>'Canola Oil'!AJ14-J30</f>
        <v>3207.7447024531411</v>
      </c>
      <c r="K14" s="91">
        <f>'Canola Oil'!AK14-K30</f>
        <v>4136.9509843068463</v>
      </c>
      <c r="L14" s="91">
        <f>'Canola Oil'!AL14-L30</f>
        <v>4551.1690388235293</v>
      </c>
      <c r="M14" s="91">
        <f>'Canola Oil'!AM14-M30</f>
        <v>4925.1784673769562</v>
      </c>
      <c r="N14" s="91">
        <f>'Canola Oil'!AN14-N30</f>
        <v>5105.5428461531956</v>
      </c>
      <c r="O14" s="91">
        <f>'Canola Oil'!AO14-O30</f>
        <v>6024.3332739979833</v>
      </c>
      <c r="P14" s="91">
        <f>'Canola Oil'!AP14-P30</f>
        <v>6153.4993125603432</v>
      </c>
    </row>
    <row r="15" spans="1:16" x14ac:dyDescent="0.2">
      <c r="A15" s="89" t="s">
        <v>81</v>
      </c>
      <c r="B15" s="91">
        <f>'Canola Oil'!AB15-B31</f>
        <v>-0.25100000000000477</v>
      </c>
      <c r="C15" s="91">
        <f>'Canola Oil'!AC15-C31</f>
        <v>-0.39299999999997226</v>
      </c>
      <c r="D15" s="91">
        <f>'Canola Oil'!AD15-D31</f>
        <v>0.17099999999999227</v>
      </c>
      <c r="E15" s="91">
        <f>'Canola Oil'!AE15-E31</f>
        <v>-0.35700000000002774</v>
      </c>
      <c r="F15" s="91">
        <f>'Canola Oil'!AF15-F31</f>
        <v>36.72399999999999</v>
      </c>
      <c r="G15" s="91">
        <f>'Canola Oil'!AG15-G31</f>
        <v>-44.760999999999996</v>
      </c>
      <c r="H15" s="91">
        <f>'Canola Oil'!AH15-H31</f>
        <v>-52.2153535629825</v>
      </c>
      <c r="I15" s="91">
        <f>'Canola Oil'!AI15-I31</f>
        <v>-62.665916591207633</v>
      </c>
      <c r="J15" s="91">
        <f>'Canola Oil'!AJ15-J31</f>
        <v>-98.458761870077069</v>
      </c>
      <c r="K15" s="91">
        <f>'Canola Oil'!AK15-K31</f>
        <v>-99.720251891686758</v>
      </c>
      <c r="L15" s="91">
        <f>'Canola Oil'!AL15-L31</f>
        <v>-13.474344554804816</v>
      </c>
      <c r="M15" s="91">
        <f>'Canola Oil'!AM15-M31</f>
        <v>-42.510435101071153</v>
      </c>
      <c r="N15" s="91">
        <f>'Canola Oil'!AN15-N31</f>
        <v>-36.144072953705518</v>
      </c>
      <c r="O15" s="91">
        <f>'Canola Oil'!AO15-O31</f>
        <v>-86.380712659812502</v>
      </c>
      <c r="P15" s="91">
        <f>'Canola Oil'!AP15-P31</f>
        <v>-90.454318534379581</v>
      </c>
    </row>
    <row r="16" spans="1:16" x14ac:dyDescent="0.2">
      <c r="A16" s="89" t="s">
        <v>206</v>
      </c>
      <c r="B16" s="93">
        <f>'Canola Oil'!AB16-B32</f>
        <v>-4.2850000000001387E-2</v>
      </c>
      <c r="C16" s="93">
        <f>'Canola Oil'!AC16-C32</f>
        <v>1.8092499999999916</v>
      </c>
      <c r="D16" s="93">
        <f>'Canola Oil'!AD16-D32</f>
        <v>-0.490949999999998</v>
      </c>
      <c r="E16" s="93">
        <f>'Canola Oil'!AE16-E32</f>
        <v>-0.47579999999999245</v>
      </c>
      <c r="F16" s="93">
        <f>'Canola Oil'!AF16-F32</f>
        <v>-14.169750000000008</v>
      </c>
      <c r="G16" s="93">
        <f>'Canola Oil'!AG16-G32</f>
        <v>-29.804064954801831</v>
      </c>
      <c r="H16" s="93">
        <f>'Canola Oil'!AH16-H32</f>
        <v>-25.627526347105871</v>
      </c>
      <c r="I16" s="93">
        <f>'Canola Oil'!AI16-I32</f>
        <v>-23.585950688968069</v>
      </c>
      <c r="J16" s="93">
        <f>'Canola Oil'!AJ16-J32</f>
        <v>-15.228258513062343</v>
      </c>
      <c r="K16" s="93">
        <f>'Canola Oil'!AK16-K32</f>
        <v>-20.765155230754473</v>
      </c>
      <c r="L16" s="93">
        <f>'Canola Oil'!AL16-L32</f>
        <v>-29.16106512309571</v>
      </c>
      <c r="M16" s="93">
        <f>'Canola Oil'!AM16-M32</f>
        <v>-31.587280527490577</v>
      </c>
      <c r="N16" s="93">
        <f>'Canola Oil'!AN16-N32</f>
        <v>-32.09477636872171</v>
      </c>
      <c r="O16" s="93">
        <f>'Canola Oil'!AO16-O32</f>
        <v>-30.797080905032544</v>
      </c>
      <c r="P16" s="93">
        <f>'Canola Oil'!AP16-P32</f>
        <v>-17.43945011535034</v>
      </c>
    </row>
    <row r="17" spans="1:16" x14ac:dyDescent="0.2">
      <c r="A17" s="89"/>
    </row>
    <row r="18" spans="1:16" x14ac:dyDescent="0.2">
      <c r="A18" s="89"/>
    </row>
    <row r="19" spans="1:16" x14ac:dyDescent="0.2">
      <c r="A19" s="89" t="s">
        <v>70</v>
      </c>
      <c r="B19" s="91">
        <v>209</v>
      </c>
      <c r="C19" s="91">
        <v>131</v>
      </c>
      <c r="D19" s="91">
        <v>165</v>
      </c>
      <c r="E19" s="91">
        <v>139</v>
      </c>
      <c r="F19" s="91">
        <v>191</v>
      </c>
      <c r="G19" s="91">
        <v>153</v>
      </c>
      <c r="H19" s="91">
        <v>171</v>
      </c>
      <c r="I19" s="91">
        <v>173</v>
      </c>
      <c r="J19" s="91">
        <v>184</v>
      </c>
      <c r="K19" s="91">
        <v>207</v>
      </c>
      <c r="L19" s="91">
        <v>223</v>
      </c>
      <c r="M19" s="91">
        <v>154</v>
      </c>
      <c r="N19" s="91">
        <v>168</v>
      </c>
      <c r="O19" s="91">
        <v>184</v>
      </c>
      <c r="P19" s="91">
        <v>236</v>
      </c>
    </row>
    <row r="20" spans="1:16" x14ac:dyDescent="0.2">
      <c r="A20" s="89" t="s">
        <v>71</v>
      </c>
      <c r="B20" s="91">
        <v>1548</v>
      </c>
      <c r="C20" s="91">
        <v>1910</v>
      </c>
      <c r="D20" s="91">
        <v>1681</v>
      </c>
      <c r="E20" s="91">
        <v>1513</v>
      </c>
      <c r="F20" s="91">
        <v>1790</v>
      </c>
      <c r="G20" s="91">
        <v>1945</v>
      </c>
      <c r="H20" s="91">
        <v>2057</v>
      </c>
      <c r="I20" s="91">
        <v>2099</v>
      </c>
      <c r="J20" s="91">
        <v>2094</v>
      </c>
      <c r="K20" s="91">
        <v>2152</v>
      </c>
      <c r="L20" s="91">
        <v>2223</v>
      </c>
      <c r="M20" s="91">
        <v>2300</v>
      </c>
      <c r="N20" s="91">
        <v>2327</v>
      </c>
      <c r="O20" s="91">
        <v>2327</v>
      </c>
      <c r="P20" s="91">
        <v>2325</v>
      </c>
    </row>
    <row r="21" spans="1:16" x14ac:dyDescent="0.2">
      <c r="A21" s="89" t="s">
        <v>72</v>
      </c>
      <c r="B21" s="91">
        <v>4031</v>
      </c>
      <c r="C21" s="91">
        <v>3896</v>
      </c>
      <c r="D21" s="91">
        <v>4339</v>
      </c>
      <c r="E21" s="91">
        <v>4603</v>
      </c>
      <c r="F21" s="91">
        <v>4170</v>
      </c>
      <c r="G21" s="91">
        <v>4968</v>
      </c>
      <c r="H21" s="91">
        <v>5430</v>
      </c>
      <c r="I21" s="91">
        <v>5492</v>
      </c>
      <c r="J21" s="91">
        <v>5277</v>
      </c>
      <c r="K21" s="91">
        <v>4780</v>
      </c>
      <c r="L21" s="91">
        <v>4719</v>
      </c>
      <c r="M21" s="91">
        <v>4885</v>
      </c>
      <c r="N21" s="91">
        <v>4966</v>
      </c>
      <c r="O21" s="91">
        <v>5103</v>
      </c>
      <c r="P21" s="91">
        <v>5210</v>
      </c>
    </row>
    <row r="22" spans="1:16" x14ac:dyDescent="0.2">
      <c r="A22" s="89" t="s">
        <v>83</v>
      </c>
      <c r="B22" s="91">
        <v>5787</v>
      </c>
      <c r="C22" s="91">
        <v>5936</v>
      </c>
      <c r="D22" s="91">
        <v>6185</v>
      </c>
      <c r="E22" s="91">
        <v>6254</v>
      </c>
      <c r="F22" s="91">
        <v>6151</v>
      </c>
      <c r="G22" s="91">
        <v>7066</v>
      </c>
      <c r="H22" s="91">
        <v>7659</v>
      </c>
      <c r="I22" s="91">
        <v>7765</v>
      </c>
      <c r="J22" s="91">
        <v>7556</v>
      </c>
      <c r="K22" s="91">
        <v>7138</v>
      </c>
      <c r="L22" s="91">
        <v>7165</v>
      </c>
      <c r="M22" s="91">
        <v>7339</v>
      </c>
      <c r="N22" s="91">
        <v>7461</v>
      </c>
      <c r="O22" s="91">
        <v>7614</v>
      </c>
      <c r="P22" s="91">
        <v>7771</v>
      </c>
    </row>
    <row r="23" spans="1:16" x14ac:dyDescent="0.2">
      <c r="A23" s="89" t="s">
        <v>74</v>
      </c>
      <c r="O23" s="91"/>
      <c r="P23" s="91"/>
    </row>
    <row r="24" spans="1:16" x14ac:dyDescent="0.2">
      <c r="A24" s="89" t="s">
        <v>191</v>
      </c>
      <c r="B24" s="91">
        <v>1230</v>
      </c>
      <c r="C24" s="91">
        <v>1217</v>
      </c>
      <c r="D24" s="91">
        <v>1492</v>
      </c>
      <c r="E24" s="91">
        <v>1420</v>
      </c>
      <c r="F24" s="91">
        <v>1901</v>
      </c>
      <c r="G24" s="91">
        <v>1586</v>
      </c>
      <c r="H24" s="91">
        <v>1189</v>
      </c>
      <c r="I24" s="91">
        <v>1150</v>
      </c>
      <c r="J24" s="91">
        <v>1276</v>
      </c>
      <c r="K24" s="91">
        <v>1275</v>
      </c>
      <c r="L24" s="91">
        <v>1112</v>
      </c>
      <c r="M24" s="91">
        <v>1143</v>
      </c>
      <c r="N24" s="91">
        <v>1151</v>
      </c>
      <c r="O24" s="91">
        <v>1110</v>
      </c>
      <c r="P24" s="91">
        <v>1133</v>
      </c>
    </row>
    <row r="25" spans="1:16" x14ac:dyDescent="0.2">
      <c r="A25" s="89" t="s">
        <v>192</v>
      </c>
      <c r="B25" s="91">
        <v>1230</v>
      </c>
      <c r="C25" s="91">
        <v>1217</v>
      </c>
      <c r="D25" s="91">
        <v>1492</v>
      </c>
      <c r="E25" s="91">
        <v>1411</v>
      </c>
      <c r="F25" s="91">
        <v>1453</v>
      </c>
      <c r="G25" s="91">
        <v>1179</v>
      </c>
      <c r="H25" s="91">
        <v>608</v>
      </c>
      <c r="I25" s="91">
        <v>514</v>
      </c>
      <c r="J25" s="91">
        <v>496</v>
      </c>
      <c r="K25" s="91">
        <v>428</v>
      </c>
      <c r="L25" s="91">
        <v>372</v>
      </c>
      <c r="M25" s="91">
        <v>297</v>
      </c>
      <c r="N25" s="91">
        <v>265</v>
      </c>
      <c r="O25" s="91">
        <v>222</v>
      </c>
      <c r="P25" s="91">
        <v>177</v>
      </c>
    </row>
    <row r="26" spans="1:16" x14ac:dyDescent="0.2">
      <c r="A26" s="89" t="s">
        <v>193</v>
      </c>
      <c r="B26" s="91">
        <v>0</v>
      </c>
      <c r="C26" s="91">
        <v>0</v>
      </c>
      <c r="D26" s="91">
        <v>0</v>
      </c>
      <c r="E26" s="91">
        <v>9</v>
      </c>
      <c r="F26" s="91">
        <v>449</v>
      </c>
      <c r="G26" s="91">
        <v>407</v>
      </c>
      <c r="H26" s="91">
        <v>581</v>
      </c>
      <c r="I26" s="91">
        <v>636</v>
      </c>
      <c r="J26" s="91">
        <v>780</v>
      </c>
      <c r="K26" s="91">
        <v>847</v>
      </c>
      <c r="L26" s="91">
        <v>740</v>
      </c>
      <c r="M26" s="91">
        <v>846</v>
      </c>
      <c r="N26" s="91">
        <v>886</v>
      </c>
      <c r="O26" s="91">
        <v>887</v>
      </c>
      <c r="P26" s="91">
        <v>956</v>
      </c>
    </row>
    <row r="27" spans="1:16" x14ac:dyDescent="0.2">
      <c r="A27" s="89" t="s">
        <v>194</v>
      </c>
      <c r="B27" s="91">
        <v>0</v>
      </c>
      <c r="C27" s="91">
        <v>0</v>
      </c>
      <c r="D27" s="91">
        <v>0</v>
      </c>
      <c r="E27" s="91">
        <v>0</v>
      </c>
      <c r="F27" s="91">
        <v>0</v>
      </c>
      <c r="G27" s="91">
        <v>0</v>
      </c>
      <c r="H27" s="91">
        <v>0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</row>
    <row r="28" spans="1:16" x14ac:dyDescent="0.2">
      <c r="A28" s="89" t="s">
        <v>159</v>
      </c>
      <c r="B28" s="91">
        <v>4204</v>
      </c>
      <c r="C28" s="91">
        <v>4281</v>
      </c>
      <c r="D28" s="91">
        <v>4197</v>
      </c>
      <c r="E28" s="91">
        <v>4434</v>
      </c>
      <c r="F28" s="91">
        <v>3845</v>
      </c>
      <c r="G28" s="91">
        <v>5047</v>
      </c>
      <c r="H28" s="91">
        <v>6146</v>
      </c>
      <c r="I28" s="91">
        <v>6293</v>
      </c>
      <c r="J28" s="91">
        <v>5972</v>
      </c>
      <c r="K28" s="91">
        <v>5543</v>
      </c>
      <c r="L28" s="91">
        <v>5798</v>
      </c>
      <c r="M28" s="91">
        <v>5928</v>
      </c>
      <c r="N28" s="91">
        <v>6025</v>
      </c>
      <c r="O28" s="91">
        <v>6168</v>
      </c>
      <c r="P28" s="91">
        <v>6274</v>
      </c>
    </row>
    <row r="29" spans="1:16" x14ac:dyDescent="0.2">
      <c r="A29" s="89" t="s">
        <v>79</v>
      </c>
      <c r="B29" s="91">
        <v>222</v>
      </c>
      <c r="C29" s="91">
        <v>273</v>
      </c>
      <c r="D29" s="91">
        <v>357</v>
      </c>
      <c r="E29" s="91">
        <v>210</v>
      </c>
      <c r="F29" s="91">
        <v>252</v>
      </c>
      <c r="G29" s="91">
        <v>261</v>
      </c>
      <c r="H29" s="91">
        <v>151</v>
      </c>
      <c r="I29" s="91">
        <v>137</v>
      </c>
      <c r="J29" s="91">
        <v>101</v>
      </c>
      <c r="K29" s="91">
        <v>98</v>
      </c>
      <c r="L29" s="91">
        <v>101</v>
      </c>
      <c r="M29" s="91">
        <v>100</v>
      </c>
      <c r="N29" s="91">
        <v>100</v>
      </c>
      <c r="O29" s="91">
        <v>100</v>
      </c>
      <c r="P29" s="91">
        <v>100</v>
      </c>
    </row>
    <row r="30" spans="1:16" x14ac:dyDescent="0.2">
      <c r="A30" s="89" t="s">
        <v>85</v>
      </c>
      <c r="B30" s="91">
        <v>5657</v>
      </c>
      <c r="C30" s="91">
        <v>5772</v>
      </c>
      <c r="D30" s="91">
        <v>6046</v>
      </c>
      <c r="E30" s="91">
        <v>6064</v>
      </c>
      <c r="F30" s="91">
        <v>5998</v>
      </c>
      <c r="G30" s="91">
        <v>6895</v>
      </c>
      <c r="H30" s="91">
        <v>7485</v>
      </c>
      <c r="I30" s="91">
        <v>7581</v>
      </c>
      <c r="J30" s="91">
        <v>7349</v>
      </c>
      <c r="K30" s="91">
        <v>6915</v>
      </c>
      <c r="L30" s="91">
        <v>7011</v>
      </c>
      <c r="M30" s="91">
        <v>7171</v>
      </c>
      <c r="N30" s="91">
        <v>7276</v>
      </c>
      <c r="O30" s="91">
        <v>7377</v>
      </c>
      <c r="P30" s="91">
        <v>7507</v>
      </c>
    </row>
    <row r="31" spans="1:16" x14ac:dyDescent="0.2">
      <c r="A31" s="89" t="s">
        <v>81</v>
      </c>
      <c r="B31" s="91">
        <v>131</v>
      </c>
      <c r="C31" s="91">
        <v>165</v>
      </c>
      <c r="D31" s="91">
        <v>139</v>
      </c>
      <c r="E31" s="91">
        <v>191</v>
      </c>
      <c r="F31" s="91">
        <v>153</v>
      </c>
      <c r="G31" s="91">
        <v>171</v>
      </c>
      <c r="H31" s="91">
        <v>173</v>
      </c>
      <c r="I31" s="91">
        <v>184</v>
      </c>
      <c r="J31" s="91">
        <v>207</v>
      </c>
      <c r="K31" s="91">
        <v>223</v>
      </c>
      <c r="L31" s="91">
        <v>154</v>
      </c>
      <c r="M31" s="91">
        <v>168</v>
      </c>
      <c r="N31" s="91">
        <v>184</v>
      </c>
      <c r="O31" s="91">
        <v>236</v>
      </c>
      <c r="P31" s="91">
        <v>264</v>
      </c>
    </row>
    <row r="32" spans="1:16" x14ac:dyDescent="0.2">
      <c r="A32" s="89" t="s">
        <v>206</v>
      </c>
      <c r="B32" s="91">
        <v>39.700000000000003</v>
      </c>
      <c r="C32" s="91">
        <v>40.700000000000003</v>
      </c>
      <c r="D32" s="91">
        <v>88.14</v>
      </c>
      <c r="E32" s="91">
        <v>97.35</v>
      </c>
      <c r="F32" s="91">
        <v>87.8</v>
      </c>
      <c r="G32" s="91">
        <v>84.9</v>
      </c>
      <c r="H32" s="91">
        <v>81.8</v>
      </c>
      <c r="I32" s="91">
        <v>78.400000000000006</v>
      </c>
      <c r="J32" s="91">
        <v>68.2</v>
      </c>
      <c r="K32" s="91">
        <v>72.7</v>
      </c>
      <c r="L32" s="91">
        <v>82</v>
      </c>
      <c r="M32" s="91">
        <v>89</v>
      </c>
      <c r="N32" s="91">
        <v>82.4</v>
      </c>
      <c r="O32" s="91">
        <v>81.7</v>
      </c>
      <c r="P32" s="91">
        <v>82.9</v>
      </c>
    </row>
    <row r="33" spans="1:1" x14ac:dyDescent="0.2">
      <c r="A33" s="89"/>
    </row>
    <row r="34" spans="1:1" x14ac:dyDescent="0.2">
      <c r="A34" s="8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44D9-6049-4E9C-ACB5-E35C2C1DE71E}">
  <dimension ref="A1:P34"/>
  <sheetViews>
    <sheetView workbookViewId="0">
      <selection activeCell="M14" sqref="M14"/>
    </sheetView>
  </sheetViews>
  <sheetFormatPr defaultColWidth="9" defaultRowHeight="15" x14ac:dyDescent="0.2"/>
  <cols>
    <col min="1" max="1" width="58.6640625" bestFit="1" customWidth="1"/>
    <col min="2" max="3" width="10.33203125" style="91" hidden="1" customWidth="1"/>
    <col min="4" max="6" width="10.33203125" style="91" bestFit="1" customWidth="1"/>
    <col min="7" max="14" width="11.33203125" style="91" bestFit="1" customWidth="1"/>
    <col min="15" max="16" width="11.33203125" customWidth="1"/>
  </cols>
  <sheetData>
    <row r="1" spans="1:16" ht="18" x14ac:dyDescent="0.25">
      <c r="A1" s="88" t="s">
        <v>207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6" ht="15.75" x14ac:dyDescent="0.25">
      <c r="A2" s="89" t="s">
        <v>190</v>
      </c>
      <c r="B2" s="90">
        <f>'Veg Oils Comp'!B2</f>
        <v>2019</v>
      </c>
      <c r="C2" s="90">
        <f>'Veg Oils Comp'!C2</f>
        <v>2020</v>
      </c>
      <c r="D2" s="90">
        <f>'Veg Oils Comp'!D2</f>
        <v>2021</v>
      </c>
      <c r="E2" s="90">
        <f>'Veg Oils Comp'!E2</f>
        <v>2022</v>
      </c>
      <c r="F2" s="90">
        <f>'Veg Oils Comp'!F2</f>
        <v>2023</v>
      </c>
      <c r="G2" s="90">
        <f>'Veg Oils Comp'!G2</f>
        <v>2024</v>
      </c>
      <c r="H2" s="90">
        <f>'Veg Oils Comp'!H2</f>
        <v>2025</v>
      </c>
      <c r="I2" s="90">
        <f>'Veg Oils Comp'!I2</f>
        <v>2026</v>
      </c>
      <c r="J2" s="90">
        <f>'Veg Oils Comp'!J2</f>
        <v>2027</v>
      </c>
      <c r="K2" s="90">
        <f>'Veg Oils Comp'!K2</f>
        <v>2028</v>
      </c>
      <c r="L2" s="90">
        <f>'Veg Oils Comp'!L2</f>
        <v>2029</v>
      </c>
      <c r="M2" s="90">
        <f>'Veg Oils Comp'!M2</f>
        <v>2030</v>
      </c>
      <c r="N2" s="90">
        <f>'Veg Oils Comp'!N2</f>
        <v>2031</v>
      </c>
      <c r="O2" s="90">
        <f>'Veg Oils Comp'!O2</f>
        <v>2032</v>
      </c>
      <c r="P2" s="90">
        <f>'Veg Oils Comp'!P2</f>
        <v>2033</v>
      </c>
    </row>
    <row r="3" spans="1:16" x14ac:dyDescent="0.2">
      <c r="A3" s="89" t="s">
        <v>70</v>
      </c>
      <c r="B3" s="91">
        <f>CWG!AB4-B19</f>
        <v>-1.2620000000000005</v>
      </c>
      <c r="C3" s="91">
        <f>CWG!AC4-C19</f>
        <v>-0.42300000000000004</v>
      </c>
      <c r="D3" s="91">
        <f>CWG!AD4-D19</f>
        <v>-3.6849999999999996</v>
      </c>
      <c r="E3" s="91">
        <f>CWG!AE4-E19</f>
        <v>0.65399999999999991</v>
      </c>
      <c r="F3" s="91">
        <f>CWG!AF4-F19</f>
        <v>0.2759999999999998</v>
      </c>
      <c r="G3" s="91">
        <f>CWG!AG4-G19</f>
        <v>1.8399999999999999</v>
      </c>
      <c r="H3" s="91">
        <f>CWG!AH4-H19</f>
        <v>1.6080105754946032</v>
      </c>
      <c r="I3" s="91">
        <f>CWG!AI4-I19</f>
        <v>2.7279314346218371</v>
      </c>
      <c r="J3" s="91">
        <f>CWG!AJ4-J19</f>
        <v>0.51248755425439185</v>
      </c>
      <c r="K3" s="91">
        <f>CWG!AK4-K19</f>
        <v>0.22673020148678802</v>
      </c>
      <c r="L3" s="91">
        <f>CWG!AL4-L19</f>
        <v>0.58153088892819937</v>
      </c>
      <c r="M3" s="91">
        <f>CWG!AM4-M19</f>
        <v>3.6116114987945878</v>
      </c>
      <c r="N3" s="91">
        <f>CWG!AN4-N19</f>
        <v>1.3393628250155984</v>
      </c>
      <c r="O3" s="91">
        <f>CWG!AO4-O19</f>
        <v>2.7258167841045804</v>
      </c>
      <c r="P3" s="91">
        <f>CWG!AP4-P19</f>
        <v>2.8953583523812085</v>
      </c>
    </row>
    <row r="4" spans="1:16" x14ac:dyDescent="0.2">
      <c r="A4" s="89" t="s">
        <v>71</v>
      </c>
      <c r="B4" s="91">
        <f>CWG!AB5-B20</f>
        <v>-0.22699999999963438</v>
      </c>
      <c r="C4" s="91">
        <f>CWG!AC5-C20</f>
        <v>0.17399999999997817</v>
      </c>
      <c r="D4" s="91">
        <f>CWG!AD5-D20</f>
        <v>-0.48000000000001819</v>
      </c>
      <c r="E4" s="91">
        <f>CWG!AE5-E20</f>
        <v>17.057000000000016</v>
      </c>
      <c r="F4" s="91">
        <f>CWG!AF5-F20</f>
        <v>-25.119999999999891</v>
      </c>
      <c r="G4" s="91">
        <f>CWG!AG5-G20</f>
        <v>-165.31399999999985</v>
      </c>
      <c r="H4" s="91">
        <f>CWG!AH5-H20</f>
        <v>-28.348620387271922</v>
      </c>
      <c r="I4" s="91">
        <f>CWG!AI5-I20</f>
        <v>-13.14737069704347</v>
      </c>
      <c r="J4" s="91">
        <f>CWG!AJ5-J20</f>
        <v>-16.766785218908808</v>
      </c>
      <c r="K4" s="91">
        <f>CWG!AK5-K20</f>
        <v>-24.315948357649404</v>
      </c>
      <c r="L4" s="91">
        <f>CWG!AL5-L20</f>
        <v>-20.381412712310976</v>
      </c>
      <c r="M4" s="91">
        <f>CWG!AM5-M20</f>
        <v>-20.441905617698239</v>
      </c>
      <c r="N4" s="91">
        <f>CWG!AN5-N20</f>
        <v>-19.390232203577852</v>
      </c>
      <c r="O4" s="91">
        <f>CWG!AO5-O20</f>
        <v>-19.702309547296181</v>
      </c>
      <c r="P4" s="91">
        <f>CWG!AP5-P20</f>
        <v>-19.997712256581735</v>
      </c>
    </row>
    <row r="5" spans="1:16" x14ac:dyDescent="0.2">
      <c r="A5" s="89" t="s">
        <v>72</v>
      </c>
      <c r="B5" s="91">
        <f>CWG!AB6-B21</f>
        <v>0.14999399999999241</v>
      </c>
      <c r="C5" s="91">
        <f>CWG!AC6-C21</f>
        <v>0.28826185174000329</v>
      </c>
      <c r="D5" s="91">
        <f>CWG!AD6-D21</f>
        <v>-5.9692522479991794E-2</v>
      </c>
      <c r="E5" s="91">
        <f>CWG!AE6-E21</f>
        <v>-0.32057999999999254</v>
      </c>
      <c r="F5" s="91">
        <f>CWG!AF6-F21</f>
        <v>66.977388000000019</v>
      </c>
      <c r="G5" s="91">
        <f>CWG!AG6-G21</f>
        <v>107.27192291858</v>
      </c>
      <c r="H5" s="91">
        <f>CWG!AH6-H21</f>
        <v>112.52212645518668</v>
      </c>
      <c r="I5" s="91">
        <f>CWG!AI6-I21</f>
        <v>101.62017773579805</v>
      </c>
      <c r="J5" s="91">
        <f>CWG!AJ6-J21</f>
        <v>209.00824417344717</v>
      </c>
      <c r="K5" s="91">
        <f>CWG!AK6-K21</f>
        <v>230.63559438072207</v>
      </c>
      <c r="L5" s="91">
        <f>CWG!AL6-L21</f>
        <v>239.24883836960106</v>
      </c>
      <c r="M5" s="91">
        <f>CWG!AM6-M21</f>
        <v>425.17030080508772</v>
      </c>
      <c r="N5" s="91">
        <f>CWG!AN6-N21</f>
        <v>642.11135125411442</v>
      </c>
      <c r="O5" s="91">
        <f>CWG!AO6-O21</f>
        <v>774.40786176615984</v>
      </c>
      <c r="P5" s="91">
        <f>CWG!AP6-P21</f>
        <v>759.96612448695407</v>
      </c>
    </row>
    <row r="6" spans="1:16" x14ac:dyDescent="0.2">
      <c r="A6" s="89" t="s">
        <v>83</v>
      </c>
      <c r="B6" s="91">
        <f>CWG!AB7-B22</f>
        <v>-0.33900599999969927</v>
      </c>
      <c r="C6" s="91">
        <f>CWG!AC7-C22</f>
        <v>3.9261851739865961E-2</v>
      </c>
      <c r="D6" s="91">
        <f>CWG!AD7-D22</f>
        <v>-3.224692522479927</v>
      </c>
      <c r="E6" s="91">
        <f>CWG!AE7-E22</f>
        <v>17.390419999999949</v>
      </c>
      <c r="F6" s="91">
        <f>CWG!AF7-F22</f>
        <v>42.133388000000195</v>
      </c>
      <c r="G6" s="91">
        <f>CWG!AG7-G22</f>
        <v>-56.20207708141993</v>
      </c>
      <c r="H6" s="91">
        <f>CWG!AH7-H22</f>
        <v>86.781516643409304</v>
      </c>
      <c r="I6" s="91">
        <f>CWG!AI7-I22</f>
        <v>92.200738473376305</v>
      </c>
      <c r="J6" s="91">
        <f>CWG!AJ7-J22</f>
        <v>192.75394650879275</v>
      </c>
      <c r="K6" s="91">
        <f>CWG!AK7-K22</f>
        <v>206.54637622455948</v>
      </c>
      <c r="L6" s="91">
        <f>CWG!AL7-L22</f>
        <v>219.44895654621837</v>
      </c>
      <c r="M6" s="91">
        <f>CWG!AM7-M22</f>
        <v>408.3400066861841</v>
      </c>
      <c r="N6" s="91">
        <f>CWG!AN7-N22</f>
        <v>625.06048187555189</v>
      </c>
      <c r="O6" s="91">
        <f>CWG!AO7-O22</f>
        <v>757.43136900296849</v>
      </c>
      <c r="P6" s="91">
        <f>CWG!AP7-P22</f>
        <v>742.86377058275366</v>
      </c>
    </row>
    <row r="7" spans="1:16" x14ac:dyDescent="0.2">
      <c r="A7" s="89" t="s">
        <v>74</v>
      </c>
      <c r="O7" s="91"/>
      <c r="P7" s="91"/>
    </row>
    <row r="8" spans="1:16" x14ac:dyDescent="0.2">
      <c r="A8" s="89" t="s">
        <v>191</v>
      </c>
      <c r="B8" s="91">
        <f>CWG!AB9-B24</f>
        <v>-14.230991952773252</v>
      </c>
      <c r="C8" s="91">
        <f>CWG!AC9-C24</f>
        <v>0.66464976668953568</v>
      </c>
      <c r="D8" s="91">
        <f>CWG!AD9-D24</f>
        <v>-5.4000000000087311E-2</v>
      </c>
      <c r="E8" s="91">
        <f>CWG!AE9-E24</f>
        <v>-20.324000000000069</v>
      </c>
      <c r="F8" s="91">
        <f>CWG!AF9-F24</f>
        <v>-141.68530296199992</v>
      </c>
      <c r="G8" s="91">
        <f>CWG!AG9-G24</f>
        <v>-54.66424110780008</v>
      </c>
      <c r="H8" s="91">
        <f>CWG!AH9-H24</f>
        <v>-10.93786270600765</v>
      </c>
      <c r="I8" s="91">
        <f>CWG!AI9-I24</f>
        <v>35.870254856744054</v>
      </c>
      <c r="J8" s="91">
        <f>CWG!AJ9-J24</f>
        <v>69.401073598602352</v>
      </c>
      <c r="K8" s="91">
        <f>CWG!AK9-K24</f>
        <v>103.97884497151563</v>
      </c>
      <c r="L8" s="91">
        <f>CWG!AL9-L24</f>
        <v>204.03547681300734</v>
      </c>
      <c r="M8" s="91">
        <f>CWG!AM9-M24</f>
        <v>366.52730209419724</v>
      </c>
      <c r="N8" s="91">
        <f>CWG!AN9-N24</f>
        <v>444.00435591890846</v>
      </c>
      <c r="O8" s="91">
        <f>CWG!AO9-O24</f>
        <v>703.07764108680476</v>
      </c>
      <c r="P8" s="91">
        <f>CWG!AP9-P24</f>
        <v>692.47780087622641</v>
      </c>
    </row>
    <row r="9" spans="1:16" x14ac:dyDescent="0.2">
      <c r="A9" s="89" t="s">
        <v>192</v>
      </c>
      <c r="B9" s="91">
        <f>CWG!AB10-B25</f>
        <v>0.10000000000002274</v>
      </c>
      <c r="C9" s="91">
        <f>CWG!AC10-C25</f>
        <v>-0.12000000000000455</v>
      </c>
      <c r="D9" s="91">
        <f>CWG!AD10-D25</f>
        <v>90.999694187987984</v>
      </c>
      <c r="E9" s="91">
        <f>CWG!AE10-E25</f>
        <v>24.209231513900022</v>
      </c>
      <c r="F9" s="91">
        <f>CWG!AF10-F25</f>
        <v>98.437663145158922</v>
      </c>
      <c r="G9" s="91">
        <f>CWG!AG10-G25</f>
        <v>36.400507113020296</v>
      </c>
      <c r="H9" s="91">
        <f>CWG!AH10-H25</f>
        <v>242.55340622861377</v>
      </c>
      <c r="I9" s="91">
        <f>CWG!AI10-I25</f>
        <v>196.94405657186928</v>
      </c>
      <c r="J9" s="91">
        <f>CWG!AJ10-J25</f>
        <v>189.65596757903481</v>
      </c>
      <c r="K9" s="91">
        <f>CWG!AK10-K25</f>
        <v>154.66375970128726</v>
      </c>
      <c r="L9" s="91">
        <f>CWG!AL10-L25</f>
        <v>181.21177129657181</v>
      </c>
      <c r="M9" s="91">
        <f>CWG!AM10-M25</f>
        <v>201.60194882289045</v>
      </c>
      <c r="N9" s="91">
        <f>CWG!AN10-N25</f>
        <v>192.37271595261771</v>
      </c>
      <c r="O9" s="91">
        <f>CWG!AO10-O25</f>
        <v>204.9167538793329</v>
      </c>
      <c r="P9" s="91">
        <f>CWG!AP10-P25</f>
        <v>193.38772452836611</v>
      </c>
    </row>
    <row r="10" spans="1:16" x14ac:dyDescent="0.2">
      <c r="A10" s="89" t="s">
        <v>193</v>
      </c>
      <c r="B10" s="91">
        <f>CWG!AB11-B26</f>
        <v>-14.330991952773303</v>
      </c>
      <c r="C10" s="91">
        <f>CWG!AC11-C26</f>
        <v>0.78464976668948339</v>
      </c>
      <c r="D10" s="91">
        <f>CWG!AD11-D26</f>
        <v>-91.053694187988015</v>
      </c>
      <c r="E10" s="91">
        <f>CWG!AE11-E26</f>
        <v>-44.533231513900034</v>
      </c>
      <c r="F10" s="91">
        <f>CWG!AF11-F26</f>
        <v>-240.1229661071589</v>
      </c>
      <c r="G10" s="91">
        <f>CWG!AG11-G26</f>
        <v>-91.06474822082032</v>
      </c>
      <c r="H10" s="91">
        <f>CWG!AH11-H26</f>
        <v>-253.49126893462142</v>
      </c>
      <c r="I10" s="91">
        <f>CWG!AI11-I26</f>
        <v>-161.07380171512523</v>
      </c>
      <c r="J10" s="91">
        <f>CWG!AJ11-J26</f>
        <v>-120.25489398043248</v>
      </c>
      <c r="K10" s="91">
        <f>CWG!AK11-K26</f>
        <v>-50.684914729771663</v>
      </c>
      <c r="L10" s="91">
        <f>CWG!AL11-L26</f>
        <v>22.823705516435439</v>
      </c>
      <c r="M10" s="91">
        <f>CWG!AM11-M26</f>
        <v>165.92535327130668</v>
      </c>
      <c r="N10" s="91">
        <f>CWG!AN11-N26</f>
        <v>251.63163996629078</v>
      </c>
      <c r="O10" s="91">
        <f>CWG!AO11-O26</f>
        <v>498.16088720747189</v>
      </c>
      <c r="P10" s="91">
        <f>CWG!AP11-P26</f>
        <v>499.0900763478603</v>
      </c>
    </row>
    <row r="11" spans="1:16" x14ac:dyDescent="0.2">
      <c r="A11" s="89" t="s">
        <v>194</v>
      </c>
      <c r="B11" s="91" t="e">
        <f>CWG!#REF!-B27</f>
        <v>#REF!</v>
      </c>
      <c r="C11" s="91" t="e">
        <f>CWG!#REF!-C27</f>
        <v>#REF!</v>
      </c>
      <c r="D11" s="91" t="e">
        <f>CWG!#REF!-D27</f>
        <v>#REF!</v>
      </c>
      <c r="E11" s="91" t="e">
        <f>CWG!#REF!-E27</f>
        <v>#REF!</v>
      </c>
      <c r="F11" s="91" t="e">
        <f>CWG!#REF!-F27</f>
        <v>#REF!</v>
      </c>
      <c r="G11" s="91" t="e">
        <f>CWG!#REF!-G27</f>
        <v>#REF!</v>
      </c>
      <c r="H11" s="91" t="e">
        <f>CWG!#REF!-H27</f>
        <v>#REF!</v>
      </c>
      <c r="I11" s="91" t="e">
        <f>CWG!#REF!-I27</f>
        <v>#REF!</v>
      </c>
      <c r="J11" s="91" t="e">
        <f>CWG!#REF!-J27</f>
        <v>#REF!</v>
      </c>
      <c r="K11" s="91" t="e">
        <f>CWG!#REF!-K27</f>
        <v>#REF!</v>
      </c>
      <c r="L11" s="91" t="e">
        <f>CWG!#REF!-L27</f>
        <v>#REF!</v>
      </c>
      <c r="M11" s="91" t="e">
        <f>CWG!#REF!-M27</f>
        <v>#REF!</v>
      </c>
      <c r="N11" s="91" t="e">
        <f>CWG!#REF!-N27</f>
        <v>#REF!</v>
      </c>
      <c r="O11" s="91" t="e">
        <f>CWG!#REF!-O27</f>
        <v>#REF!</v>
      </c>
      <c r="P11" s="91" t="e">
        <f>CWG!#REF!-P27</f>
        <v>#REF!</v>
      </c>
    </row>
    <row r="12" spans="1:16" x14ac:dyDescent="0.2">
      <c r="A12" s="89" t="s">
        <v>159</v>
      </c>
      <c r="B12" s="91">
        <f>CWG!AB12-B28</f>
        <v>13.697257952773384</v>
      </c>
      <c r="C12" s="91">
        <f>CWG!AC12-C28</f>
        <v>-0.30862894370966387</v>
      </c>
      <c r="D12" s="91">
        <f>CWG!AD12-D28</f>
        <v>-2.783831689939916</v>
      </c>
      <c r="E12" s="91">
        <f>CWG!AE12-E28</f>
        <v>37.51869499999998</v>
      </c>
      <c r="F12" s="91">
        <f>CWG!AF12-F28</f>
        <v>184.30717496200009</v>
      </c>
      <c r="G12" s="91">
        <f>CWG!AG12-G28</f>
        <v>-3.918737271299733</v>
      </c>
      <c r="H12" s="91">
        <f>CWG!AH12-H28</f>
        <v>95.664499886760382</v>
      </c>
      <c r="I12" s="91">
        <f>CWG!AI12-I28</f>
        <v>60.532301156954986</v>
      </c>
      <c r="J12" s="91">
        <f>CWG!AJ12-J28</f>
        <v>122.80670450818116</v>
      </c>
      <c r="K12" s="91">
        <f>CWG!AK12-K28</f>
        <v>105.29072967379693</v>
      </c>
      <c r="L12" s="91">
        <f>CWG!AL12-L28</f>
        <v>14.788094840864915</v>
      </c>
      <c r="M12" s="91">
        <f>CWG!AM12-M28</f>
        <v>39.147484590202112</v>
      </c>
      <c r="N12" s="91">
        <f>CWG!AN12-N28</f>
        <v>181.66302020812145</v>
      </c>
      <c r="O12" s="91">
        <f>CWG!AO12-O28</f>
        <v>54.57761798066349</v>
      </c>
      <c r="P12" s="91">
        <f>CWG!AP12-P28</f>
        <v>48.443619823060089</v>
      </c>
    </row>
    <row r="13" spans="1:16" x14ac:dyDescent="0.2">
      <c r="A13" s="89" t="s">
        <v>79</v>
      </c>
      <c r="B13" s="91">
        <f>CWG!AB13-B29</f>
        <v>0.45672800000000002</v>
      </c>
      <c r="C13" s="91">
        <f>CWG!AC13-C29</f>
        <v>0.1062410287600013</v>
      </c>
      <c r="D13" s="91">
        <f>CWG!AD13-D29</f>
        <v>0.29813916746000002</v>
      </c>
      <c r="E13" s="91">
        <f>CWG!AE13-E29</f>
        <v>-0.45827499999999999</v>
      </c>
      <c r="F13" s="91">
        <f>CWG!AF13-F29</f>
        <v>0.235516</v>
      </c>
      <c r="G13" s="91">
        <f>CWG!AG13-G29</f>
        <v>0.54090129768000006</v>
      </c>
      <c r="H13" s="91">
        <f>CWG!AH13-H29</f>
        <v>0.44686888716208151</v>
      </c>
      <c r="I13" s="91">
        <f>CWG!AI13-I29</f>
        <v>-2.929748974944467</v>
      </c>
      <c r="J13" s="91">
        <f>CWG!AJ13-J29</f>
        <v>-0.96631915224528242</v>
      </c>
      <c r="K13" s="91">
        <f>CWG!AK13-K29</f>
        <v>-1.9499286222399164</v>
      </c>
      <c r="L13" s="91">
        <f>CWG!AL13-L29</f>
        <v>-1.9561459965821604</v>
      </c>
      <c r="M13" s="91">
        <f>CWG!AM13-M29</f>
        <v>-1.9463914970099381</v>
      </c>
      <c r="N13" s="91">
        <f>CWG!AN13-N29</f>
        <v>-1.9462570764933775</v>
      </c>
      <c r="O13" s="91">
        <f>CWG!AO13-O29</f>
        <v>-1.9497068486043527</v>
      </c>
      <c r="P13" s="91">
        <f>CWG!AP13-P29</f>
        <v>-1.9530084689141349</v>
      </c>
    </row>
    <row r="14" spans="1:16" x14ac:dyDescent="0.2">
      <c r="A14" s="89" t="s">
        <v>85</v>
      </c>
      <c r="B14" s="91">
        <f>CWG!AB14-B30</f>
        <v>-1.0770059999997557</v>
      </c>
      <c r="C14" s="91">
        <f>CWG!AC14-C30</f>
        <v>-0.53773814826013222</v>
      </c>
      <c r="D14" s="91">
        <f>CWG!AD14-D30</f>
        <v>-3.5396925224799816</v>
      </c>
      <c r="E14" s="91">
        <f>CWG!AE14-E30</f>
        <v>16.736419999999953</v>
      </c>
      <c r="F14" s="91">
        <f>CWG!AF14-F30</f>
        <v>42.857388000000128</v>
      </c>
      <c r="G14" s="91">
        <f>CWG!AG14-G30</f>
        <v>-58.042077081419848</v>
      </c>
      <c r="H14" s="91">
        <f>CWG!AH14-H30</f>
        <v>85.173506067914786</v>
      </c>
      <c r="I14" s="91">
        <f>CWG!AI14-I30</f>
        <v>92.472807038754581</v>
      </c>
      <c r="J14" s="91">
        <f>CWG!AJ14-J30</f>
        <v>191.2414589545383</v>
      </c>
      <c r="K14" s="91">
        <f>CWG!AK14-K30</f>
        <v>206.31964602307266</v>
      </c>
      <c r="L14" s="91">
        <f>CWG!AL14-L30</f>
        <v>216.86742565729014</v>
      </c>
      <c r="M14" s="91">
        <f>CWG!AM14-M30</f>
        <v>403.72839518738942</v>
      </c>
      <c r="N14" s="91">
        <f>CWG!AN14-N30</f>
        <v>623.72111905053634</v>
      </c>
      <c r="O14" s="91">
        <f>CWG!AO14-O30</f>
        <v>755.70555221886389</v>
      </c>
      <c r="P14" s="91">
        <f>CWG!AP14-P30</f>
        <v>738.96841223037245</v>
      </c>
    </row>
    <row r="15" spans="1:16" x14ac:dyDescent="0.2">
      <c r="A15" s="89" t="s">
        <v>81</v>
      </c>
      <c r="B15" s="91">
        <f>CWG!AB15-B31</f>
        <v>-0.26200000000000045</v>
      </c>
      <c r="C15" s="91">
        <f>CWG!AC15-C31</f>
        <v>-0.42300000000000004</v>
      </c>
      <c r="D15" s="91">
        <f>CWG!AD15-D31</f>
        <v>0.31500000000000039</v>
      </c>
      <c r="E15" s="91">
        <f>CWG!AE15-E31</f>
        <v>-0.34600000000000009</v>
      </c>
      <c r="F15" s="91">
        <f>CWG!AF15-F31</f>
        <v>-0.7240000000000002</v>
      </c>
      <c r="G15" s="91">
        <f>CWG!AG15-G31</f>
        <v>1.8399999999999999</v>
      </c>
      <c r="H15" s="91">
        <f>CWG!AH15-H31</f>
        <v>1.6080105754946032</v>
      </c>
      <c r="I15" s="91">
        <f>CWG!AI15-I31</f>
        <v>-1.2720685653781629</v>
      </c>
      <c r="J15" s="91">
        <f>CWG!AJ15-J31</f>
        <v>1.5124875542543919</v>
      </c>
      <c r="K15" s="91">
        <f>CWG!AK15-K31</f>
        <v>0.22673020148678802</v>
      </c>
      <c r="L15" s="91">
        <f>CWG!AL15-L31</f>
        <v>1.5815308889281994</v>
      </c>
      <c r="M15" s="91">
        <f>CWG!AM15-M31</f>
        <v>4.6116114987945878</v>
      </c>
      <c r="N15" s="91">
        <f>CWG!AN15-N31</f>
        <v>1.3393628250155984</v>
      </c>
      <c r="O15" s="91">
        <f>CWG!AO15-O31</f>
        <v>2.7258167841045804</v>
      </c>
      <c r="P15" s="91">
        <f>CWG!AP15-P31</f>
        <v>3.8953583523812085</v>
      </c>
    </row>
    <row r="16" spans="1:16" x14ac:dyDescent="0.2">
      <c r="A16" s="89" t="s">
        <v>183</v>
      </c>
      <c r="B16" s="91">
        <f>CWG!AB16-B32</f>
        <v>2.5700000000000003</v>
      </c>
      <c r="C16" s="91">
        <f>CWG!AC16-C32</f>
        <v>3.6899999999999267E-2</v>
      </c>
      <c r="D16" s="91">
        <f>CWG!AD16-D32</f>
        <v>3.0000000000285354E-4</v>
      </c>
      <c r="E16" s="91">
        <f>CWG!AE16-E32</f>
        <v>-1.904761904754082E-3</v>
      </c>
      <c r="F16" s="91">
        <f>CWG!AF16-F32</f>
        <v>-11.793073593073601</v>
      </c>
      <c r="G16" s="91">
        <f>CWG!AG16-G32</f>
        <v>-26.296103896103901</v>
      </c>
      <c r="H16" s="91">
        <f>CWG!AH16-H32</f>
        <v>-12.160805860805851</v>
      </c>
      <c r="I16" s="91">
        <f>CWG!AI16-I32</f>
        <v>-7.75</v>
      </c>
      <c r="J16" s="91">
        <f>CWG!AJ16-J32</f>
        <v>-8.9750000000000014</v>
      </c>
      <c r="K16" s="91">
        <f>CWG!AK16-K32</f>
        <v>-21.875</v>
      </c>
      <c r="L16" s="91">
        <f>CWG!AL16-L32</f>
        <v>-26.125</v>
      </c>
      <c r="M16" s="91">
        <f>CWG!AM16-M32</f>
        <v>-18.724999999999994</v>
      </c>
      <c r="N16" s="91">
        <f>CWG!AN16-N32</f>
        <v>-23.299999999999997</v>
      </c>
      <c r="O16" s="91">
        <f>CWG!AO16-O32</f>
        <v>-23.85</v>
      </c>
      <c r="P16" s="91">
        <f>CWG!AP16-P32</f>
        <v>-16.224999999999994</v>
      </c>
    </row>
    <row r="17" spans="1:16" x14ac:dyDescent="0.2">
      <c r="A17" s="89"/>
    </row>
    <row r="18" spans="1:16" x14ac:dyDescent="0.2">
      <c r="A18" s="89"/>
    </row>
    <row r="19" spans="1:16" x14ac:dyDescent="0.2">
      <c r="A19" s="89" t="s">
        <v>70</v>
      </c>
      <c r="B19" s="91">
        <v>11</v>
      </c>
      <c r="C19" s="91">
        <v>10</v>
      </c>
      <c r="D19" s="91">
        <v>10</v>
      </c>
      <c r="E19" s="91">
        <v>6</v>
      </c>
      <c r="F19" s="91">
        <v>7</v>
      </c>
      <c r="G19" s="91">
        <v>8</v>
      </c>
      <c r="H19" s="91">
        <v>8</v>
      </c>
      <c r="I19" s="91">
        <v>8</v>
      </c>
      <c r="J19" s="91">
        <v>12</v>
      </c>
      <c r="K19" s="91">
        <v>11</v>
      </c>
      <c r="L19" s="91">
        <v>11</v>
      </c>
      <c r="M19" s="91">
        <v>10</v>
      </c>
      <c r="N19" s="91">
        <v>9</v>
      </c>
      <c r="O19" s="91">
        <v>9</v>
      </c>
      <c r="P19" s="91">
        <v>9</v>
      </c>
    </row>
    <row r="20" spans="1:16" x14ac:dyDescent="0.2">
      <c r="A20" s="89" t="s">
        <v>71</v>
      </c>
      <c r="B20" s="91">
        <v>1347</v>
      </c>
      <c r="C20" s="91">
        <v>1315</v>
      </c>
      <c r="D20" s="91">
        <v>1248</v>
      </c>
      <c r="E20" s="91">
        <v>1344</v>
      </c>
      <c r="F20" s="91">
        <v>1362</v>
      </c>
      <c r="G20" s="91">
        <v>1399</v>
      </c>
      <c r="H20" s="91">
        <v>1363</v>
      </c>
      <c r="I20" s="91">
        <v>1399</v>
      </c>
      <c r="J20" s="91">
        <v>1429</v>
      </c>
      <c r="K20" s="91">
        <v>1451</v>
      </c>
      <c r="L20" s="91">
        <v>1470</v>
      </c>
      <c r="M20" s="91">
        <v>1492</v>
      </c>
      <c r="N20" s="91">
        <v>1512</v>
      </c>
      <c r="O20" s="91">
        <v>1530</v>
      </c>
      <c r="P20" s="91">
        <v>1541</v>
      </c>
    </row>
    <row r="21" spans="1:16" x14ac:dyDescent="0.2">
      <c r="A21" s="89" t="s">
        <v>72</v>
      </c>
      <c r="B21" s="91">
        <v>46</v>
      </c>
      <c r="C21" s="91">
        <v>39</v>
      </c>
      <c r="D21" s="91">
        <v>50</v>
      </c>
      <c r="E21" s="91">
        <v>78</v>
      </c>
      <c r="F21" s="91">
        <v>55</v>
      </c>
      <c r="G21" s="91">
        <v>62</v>
      </c>
      <c r="H21" s="91">
        <v>59</v>
      </c>
      <c r="I21" s="91">
        <v>60</v>
      </c>
      <c r="J21" s="91">
        <v>60</v>
      </c>
      <c r="K21" s="91">
        <v>61</v>
      </c>
      <c r="L21" s="91">
        <v>59</v>
      </c>
      <c r="M21" s="91">
        <v>60</v>
      </c>
      <c r="N21" s="91">
        <v>60</v>
      </c>
      <c r="O21" s="91">
        <v>60</v>
      </c>
      <c r="P21" s="91">
        <v>60</v>
      </c>
    </row>
    <row r="22" spans="1:16" x14ac:dyDescent="0.2">
      <c r="A22" s="89" t="s">
        <v>83</v>
      </c>
      <c r="B22" s="91">
        <v>1403</v>
      </c>
      <c r="C22" s="91">
        <v>1364</v>
      </c>
      <c r="D22" s="91">
        <v>1307</v>
      </c>
      <c r="E22" s="91">
        <v>1428</v>
      </c>
      <c r="F22" s="91">
        <v>1424</v>
      </c>
      <c r="G22" s="91">
        <v>1469</v>
      </c>
      <c r="H22" s="91">
        <v>1429</v>
      </c>
      <c r="I22" s="91">
        <v>1466</v>
      </c>
      <c r="J22" s="91">
        <v>1501</v>
      </c>
      <c r="K22" s="91">
        <v>1523</v>
      </c>
      <c r="L22" s="91">
        <v>1540</v>
      </c>
      <c r="M22" s="91">
        <v>1562</v>
      </c>
      <c r="N22" s="91">
        <v>1580</v>
      </c>
      <c r="O22" s="91">
        <v>1599</v>
      </c>
      <c r="P22" s="91">
        <v>1610</v>
      </c>
    </row>
    <row r="23" spans="1:16" x14ac:dyDescent="0.2">
      <c r="A23" s="89" t="s">
        <v>74</v>
      </c>
      <c r="O23" s="91"/>
      <c r="P23" s="91"/>
    </row>
    <row r="24" spans="1:16" x14ac:dyDescent="0.2">
      <c r="A24" s="89" t="s">
        <v>191</v>
      </c>
      <c r="B24" s="91">
        <v>799</v>
      </c>
      <c r="C24" s="91">
        <v>917</v>
      </c>
      <c r="D24" s="91">
        <v>694</v>
      </c>
      <c r="E24" s="91">
        <v>684</v>
      </c>
      <c r="F24" s="91">
        <v>737</v>
      </c>
      <c r="G24" s="91">
        <v>743</v>
      </c>
      <c r="H24" s="91">
        <v>732</v>
      </c>
      <c r="I24" s="91">
        <v>769</v>
      </c>
      <c r="J24" s="91">
        <v>827</v>
      </c>
      <c r="K24" s="91">
        <v>854</v>
      </c>
      <c r="L24" s="91">
        <v>879</v>
      </c>
      <c r="M24" s="91">
        <v>904</v>
      </c>
      <c r="N24" s="91">
        <v>913</v>
      </c>
      <c r="O24" s="91">
        <v>933</v>
      </c>
      <c r="P24" s="91">
        <v>962</v>
      </c>
    </row>
    <row r="25" spans="1:16" x14ac:dyDescent="0.2">
      <c r="A25" s="89" t="s">
        <v>192</v>
      </c>
      <c r="B25" s="91">
        <v>536</v>
      </c>
      <c r="C25" s="91">
        <v>612</v>
      </c>
      <c r="D25" s="91">
        <v>245</v>
      </c>
      <c r="E25" s="91">
        <v>208</v>
      </c>
      <c r="F25" s="91">
        <v>191</v>
      </c>
      <c r="G25" s="91">
        <v>133</v>
      </c>
      <c r="H25" s="91">
        <v>64</v>
      </c>
      <c r="I25" s="91">
        <v>40</v>
      </c>
      <c r="J25" s="91">
        <v>38</v>
      </c>
      <c r="K25" s="91">
        <v>29</v>
      </c>
      <c r="L25" s="91">
        <v>23</v>
      </c>
      <c r="M25" s="91">
        <v>16</v>
      </c>
      <c r="N25" s="91">
        <v>15</v>
      </c>
      <c r="O25" s="91">
        <v>12</v>
      </c>
      <c r="P25" s="91">
        <v>8</v>
      </c>
    </row>
    <row r="26" spans="1:16" x14ac:dyDescent="0.2">
      <c r="A26" s="89" t="s">
        <v>193</v>
      </c>
      <c r="B26" s="91">
        <v>263</v>
      </c>
      <c r="C26" s="91">
        <v>305</v>
      </c>
      <c r="D26" s="91">
        <v>449</v>
      </c>
      <c r="E26" s="91">
        <v>476</v>
      </c>
      <c r="F26" s="91">
        <v>546</v>
      </c>
      <c r="G26" s="91">
        <v>610</v>
      </c>
      <c r="H26" s="91">
        <v>668</v>
      </c>
      <c r="I26" s="91">
        <v>729</v>
      </c>
      <c r="J26" s="91">
        <v>789</v>
      </c>
      <c r="K26" s="91">
        <v>825</v>
      </c>
      <c r="L26" s="91">
        <v>856</v>
      </c>
      <c r="M26" s="91">
        <v>887</v>
      </c>
      <c r="N26" s="91">
        <v>898</v>
      </c>
      <c r="O26" s="91">
        <v>921</v>
      </c>
      <c r="P26" s="91">
        <v>954</v>
      </c>
    </row>
    <row r="27" spans="1:16" x14ac:dyDescent="0.2">
      <c r="A27" s="89" t="s">
        <v>194</v>
      </c>
      <c r="B27" s="91">
        <v>0</v>
      </c>
      <c r="C27" s="91">
        <v>0</v>
      </c>
      <c r="D27" s="91">
        <v>0</v>
      </c>
      <c r="E27" s="91">
        <v>0</v>
      </c>
      <c r="F27" s="91">
        <v>0</v>
      </c>
      <c r="G27" s="91">
        <v>0</v>
      </c>
      <c r="H27" s="91">
        <v>0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</row>
    <row r="28" spans="1:16" x14ac:dyDescent="0.2">
      <c r="A28" s="89" t="s">
        <v>159</v>
      </c>
      <c r="B28" s="91">
        <v>593</v>
      </c>
      <c r="C28" s="91">
        <v>424</v>
      </c>
      <c r="D28" s="91">
        <v>606</v>
      </c>
      <c r="E28" s="91">
        <v>737</v>
      </c>
      <c r="F28" s="91">
        <v>679</v>
      </c>
      <c r="G28" s="91">
        <v>718</v>
      </c>
      <c r="H28" s="91">
        <v>689</v>
      </c>
      <c r="I28" s="91">
        <v>682</v>
      </c>
      <c r="J28" s="91">
        <v>662</v>
      </c>
      <c r="K28" s="91">
        <v>655</v>
      </c>
      <c r="L28" s="91">
        <v>650</v>
      </c>
      <c r="M28" s="91">
        <v>647</v>
      </c>
      <c r="N28" s="91">
        <v>656</v>
      </c>
      <c r="O28" s="91">
        <v>654</v>
      </c>
      <c r="P28" s="91">
        <v>638</v>
      </c>
    </row>
    <row r="29" spans="1:16" x14ac:dyDescent="0.2">
      <c r="A29" s="89" t="s">
        <v>79</v>
      </c>
      <c r="B29" s="91">
        <v>1</v>
      </c>
      <c r="C29" s="91">
        <v>13</v>
      </c>
      <c r="D29" s="91">
        <v>0</v>
      </c>
      <c r="E29" s="91">
        <v>1</v>
      </c>
      <c r="F29" s="91">
        <v>0</v>
      </c>
      <c r="G29" s="91">
        <v>0</v>
      </c>
      <c r="H29" s="91">
        <v>0</v>
      </c>
      <c r="I29" s="91">
        <v>3</v>
      </c>
      <c r="J29" s="91">
        <v>1</v>
      </c>
      <c r="K29" s="91">
        <v>2</v>
      </c>
      <c r="L29" s="91">
        <v>2</v>
      </c>
      <c r="M29" s="91">
        <v>2</v>
      </c>
      <c r="N29" s="91">
        <v>2</v>
      </c>
      <c r="O29" s="91">
        <v>2</v>
      </c>
      <c r="P29" s="91">
        <v>2</v>
      </c>
    </row>
    <row r="30" spans="1:16" x14ac:dyDescent="0.2">
      <c r="A30" s="89" t="s">
        <v>85</v>
      </c>
      <c r="B30" s="91">
        <v>1394</v>
      </c>
      <c r="C30" s="91">
        <v>1355</v>
      </c>
      <c r="D30" s="91">
        <v>1301</v>
      </c>
      <c r="E30" s="91">
        <v>1422</v>
      </c>
      <c r="F30" s="91">
        <v>1416</v>
      </c>
      <c r="G30" s="91">
        <v>1461</v>
      </c>
      <c r="H30" s="91">
        <v>1421</v>
      </c>
      <c r="I30" s="91">
        <v>1455</v>
      </c>
      <c r="J30" s="91">
        <v>1490</v>
      </c>
      <c r="K30" s="91">
        <v>1512</v>
      </c>
      <c r="L30" s="91">
        <v>1531</v>
      </c>
      <c r="M30" s="91">
        <v>1553</v>
      </c>
      <c r="N30" s="91">
        <v>1571</v>
      </c>
      <c r="O30" s="91">
        <v>1589</v>
      </c>
      <c r="P30" s="91">
        <v>1602</v>
      </c>
    </row>
    <row r="31" spans="1:16" x14ac:dyDescent="0.2">
      <c r="A31" s="89" t="s">
        <v>81</v>
      </c>
      <c r="B31" s="91">
        <v>10</v>
      </c>
      <c r="C31" s="91">
        <v>10</v>
      </c>
      <c r="D31" s="91">
        <v>6</v>
      </c>
      <c r="E31" s="91">
        <v>7</v>
      </c>
      <c r="F31" s="91">
        <v>8</v>
      </c>
      <c r="G31" s="91">
        <v>8</v>
      </c>
      <c r="H31" s="91">
        <v>8</v>
      </c>
      <c r="I31" s="91">
        <v>12</v>
      </c>
      <c r="J31" s="91">
        <v>11</v>
      </c>
      <c r="K31" s="91">
        <v>11</v>
      </c>
      <c r="L31" s="91">
        <v>10</v>
      </c>
      <c r="M31" s="91">
        <v>9</v>
      </c>
      <c r="N31" s="91">
        <v>9</v>
      </c>
      <c r="O31" s="91">
        <v>9</v>
      </c>
      <c r="P31" s="91">
        <v>8</v>
      </c>
    </row>
    <row r="32" spans="1:16" x14ac:dyDescent="0.2">
      <c r="A32" s="89" t="s">
        <v>183</v>
      </c>
      <c r="B32" s="91">
        <v>22.43</v>
      </c>
      <c r="C32" s="91">
        <v>26.7</v>
      </c>
      <c r="D32" s="91">
        <v>53.79</v>
      </c>
      <c r="E32" s="91">
        <v>72.739999999999995</v>
      </c>
      <c r="F32" s="91">
        <v>67.7</v>
      </c>
      <c r="G32" s="91">
        <v>66.900000000000006</v>
      </c>
      <c r="H32" s="91">
        <v>60.3</v>
      </c>
      <c r="I32" s="91">
        <v>53.5</v>
      </c>
      <c r="J32" s="91">
        <v>52.6</v>
      </c>
      <c r="K32" s="91">
        <v>59</v>
      </c>
      <c r="L32" s="91">
        <v>67.5</v>
      </c>
      <c r="M32" s="91">
        <v>66.099999999999994</v>
      </c>
      <c r="N32" s="91">
        <v>62.3</v>
      </c>
      <c r="O32" s="91">
        <v>61.1</v>
      </c>
      <c r="P32" s="91">
        <v>67.099999999999994</v>
      </c>
    </row>
    <row r="33" spans="1:1" x14ac:dyDescent="0.2">
      <c r="A33" s="89"/>
    </row>
    <row r="34" spans="1:1" x14ac:dyDescent="0.2">
      <c r="A34" s="8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B70D-39D3-4E39-81F7-5047B432273F}">
  <dimension ref="A1:P36"/>
  <sheetViews>
    <sheetView topLeftCell="A8" workbookViewId="0">
      <selection activeCell="M14" sqref="M14"/>
    </sheetView>
  </sheetViews>
  <sheetFormatPr defaultColWidth="9" defaultRowHeight="15" x14ac:dyDescent="0.2"/>
  <cols>
    <col min="1" max="1" width="58.6640625" bestFit="1" customWidth="1"/>
    <col min="2" max="3" width="10.33203125" style="91" hidden="1" customWidth="1"/>
    <col min="4" max="6" width="10.33203125" style="91" bestFit="1" customWidth="1"/>
    <col min="7" max="14" width="11.33203125" style="91" bestFit="1" customWidth="1"/>
    <col min="15" max="16" width="11.33203125" customWidth="1"/>
  </cols>
  <sheetData>
    <row r="1" spans="1:16" ht="18" x14ac:dyDescent="0.25">
      <c r="A1" s="88" t="s">
        <v>208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6" ht="15.75" x14ac:dyDescent="0.25">
      <c r="A2" s="89" t="s">
        <v>190</v>
      </c>
      <c r="B2" s="90">
        <f>'Veg Oils Comp'!B2</f>
        <v>2019</v>
      </c>
      <c r="C2" s="90">
        <f>'Veg Oils Comp'!C2</f>
        <v>2020</v>
      </c>
      <c r="D2" s="90">
        <f>'Veg Oils Comp'!D2</f>
        <v>2021</v>
      </c>
      <c r="E2" s="90">
        <f>'Veg Oils Comp'!E2</f>
        <v>2022</v>
      </c>
      <c r="F2" s="90">
        <f>'Veg Oils Comp'!F2</f>
        <v>2023</v>
      </c>
      <c r="G2" s="90">
        <f>'Veg Oils Comp'!G2</f>
        <v>2024</v>
      </c>
      <c r="H2" s="90">
        <f>'Veg Oils Comp'!H2</f>
        <v>2025</v>
      </c>
      <c r="I2" s="90">
        <f>'Veg Oils Comp'!I2</f>
        <v>2026</v>
      </c>
      <c r="J2" s="90">
        <f>'Veg Oils Comp'!J2</f>
        <v>2027</v>
      </c>
      <c r="K2" s="90">
        <f>'Veg Oils Comp'!K2</f>
        <v>2028</v>
      </c>
      <c r="L2" s="90">
        <f>'Veg Oils Comp'!L2</f>
        <v>2029</v>
      </c>
      <c r="M2" s="90">
        <f>'Veg Oils Comp'!M2</f>
        <v>2030</v>
      </c>
      <c r="N2" s="90">
        <f>'Veg Oils Comp'!N2</f>
        <v>2031</v>
      </c>
      <c r="O2" s="90">
        <f>'Veg Oils Comp'!O2</f>
        <v>2032</v>
      </c>
      <c r="P2" s="90">
        <f>'Veg Oils Comp'!P2</f>
        <v>2033</v>
      </c>
    </row>
    <row r="3" spans="1:16" x14ac:dyDescent="0.2">
      <c r="A3" s="89" t="s">
        <v>70</v>
      </c>
      <c r="B3" s="91">
        <f>'UCO-YG'!AB4-B21</f>
        <v>0.367999999999995</v>
      </c>
      <c r="C3" s="91">
        <f>'UCO-YG'!AC4-C21</f>
        <v>-0.37999999999999545</v>
      </c>
      <c r="D3" s="91">
        <f>'UCO-YG'!AD4-D21</f>
        <v>3.3000000000015461E-2</v>
      </c>
      <c r="E3" s="91">
        <f>'UCO-YG'!AE4-E21</f>
        <v>-1.5000000000000568E-2</v>
      </c>
      <c r="F3" s="91">
        <f>'UCO-YG'!AF4-F21</f>
        <v>-2.2999999999996135E-2</v>
      </c>
      <c r="G3" s="91">
        <f>'UCO-YG'!AG4-G21</f>
        <v>-20.5</v>
      </c>
      <c r="H3" s="91">
        <f>'UCO-YG'!AH4-H21</f>
        <v>-103.39999999999999</v>
      </c>
      <c r="I3" s="91">
        <f>'UCO-YG'!AI4-I21</f>
        <v>498.24168233591308</v>
      </c>
      <c r="J3" s="91">
        <f>'UCO-YG'!AJ4-J21</f>
        <v>381.62578097746939</v>
      </c>
      <c r="K3" s="91">
        <f>'UCO-YG'!AK4-K21</f>
        <v>1802.8175703202153</v>
      </c>
      <c r="L3" s="91">
        <f>'UCO-YG'!AL4-L21</f>
        <v>4694.2296579655376</v>
      </c>
      <c r="M3" s="91">
        <f>'UCO-YG'!AM4-M21</f>
        <v>6679.1258458798548</v>
      </c>
      <c r="N3" s="91">
        <f>'UCO-YG'!AN4-N21</f>
        <v>8773.9910268496606</v>
      </c>
      <c r="O3" s="91">
        <f>'UCO-YG'!AO4-O21</f>
        <v>11200.321478245261</v>
      </c>
      <c r="P3" s="91">
        <f>'UCO-YG'!AP4-P21</f>
        <v>14233.261757112112</v>
      </c>
    </row>
    <row r="4" spans="1:16" x14ac:dyDescent="0.2">
      <c r="A4" s="89" t="s">
        <v>71</v>
      </c>
      <c r="B4" s="91">
        <f>'UCO-YG'!AB5-B22</f>
        <v>281.85109784235101</v>
      </c>
      <c r="C4" s="91">
        <f>'UCO-YG'!AC5-C22</f>
        <v>-544.7254966445953</v>
      </c>
      <c r="D4" s="91">
        <f>'UCO-YG'!AD5-D22</f>
        <v>-661.72606470588198</v>
      </c>
      <c r="E4" s="91">
        <f>'UCO-YG'!AE5-E22</f>
        <v>417.95457058823558</v>
      </c>
      <c r="F4" s="91">
        <f>'UCO-YG'!AF5-F22</f>
        <v>1370.5245588235284</v>
      </c>
      <c r="G4" s="91">
        <f>'UCO-YG'!AG5-G22</f>
        <v>1700.0174588235304</v>
      </c>
      <c r="H4" s="91">
        <f>'UCO-YG'!AH5-H22</f>
        <v>1588.4704987238965</v>
      </c>
      <c r="I4" s="91">
        <f>'UCO-YG'!AI5-I22</f>
        <v>1836.2708760689056</v>
      </c>
      <c r="J4" s="91">
        <f>'UCO-YG'!AJ5-J22</f>
        <v>2200.6873206277669</v>
      </c>
      <c r="K4" s="91">
        <f>'UCO-YG'!AK5-K22</f>
        <v>2354.3607662306531</v>
      </c>
      <c r="L4" s="91">
        <f>'UCO-YG'!AL5-L22</f>
        <v>2234.2771993803108</v>
      </c>
      <c r="M4" s="91">
        <f>'UCO-YG'!AM5-M22</f>
        <v>2971.7059698614485</v>
      </c>
      <c r="N4" s="91">
        <f>'UCO-YG'!AN5-N22</f>
        <v>3402.994605568887</v>
      </c>
      <c r="O4" s="91">
        <f>'UCO-YG'!AO5-O22</f>
        <v>4229.3359522695137</v>
      </c>
      <c r="P4" s="91">
        <f>'UCO-YG'!AP5-P22</f>
        <v>4491.8967773980658</v>
      </c>
    </row>
    <row r="5" spans="1:16" x14ac:dyDescent="0.2">
      <c r="A5" s="89" t="s">
        <v>72</v>
      </c>
      <c r="B5" s="91">
        <f>'UCO-YG'!AB6-B23</f>
        <v>6.4499999999725333E-3</v>
      </c>
      <c r="C5" s="91">
        <f>'UCO-YG'!AC6-C23</f>
        <v>-0.22972699999999691</v>
      </c>
      <c r="D5" s="91">
        <f>'UCO-YG'!AD6-D23</f>
        <v>30.50858599999998</v>
      </c>
      <c r="E5" s="91">
        <f>'UCO-YG'!AE6-E23</f>
        <v>393.9360180000001</v>
      </c>
      <c r="F5" s="91">
        <f>'UCO-YG'!AF6-F23</f>
        <v>2662.642902</v>
      </c>
      <c r="G5" s="91">
        <f>'UCO-YG'!AG6-G23</f>
        <v>5016.4669739999999</v>
      </c>
      <c r="H5" s="91">
        <f>'UCO-YG'!AH6-H23</f>
        <v>5316.3464266659912</v>
      </c>
      <c r="I5" s="91">
        <f>'UCO-YG'!AI6-I23</f>
        <v>6656.679546988953</v>
      </c>
      <c r="J5" s="91">
        <f>'UCO-YG'!AJ6-J23</f>
        <v>9616.9252139119799</v>
      </c>
      <c r="K5" s="91">
        <f>'UCO-YG'!AK6-K23</f>
        <v>12018.510921922878</v>
      </c>
      <c r="L5" s="91">
        <f>'UCO-YG'!AL6-L23</f>
        <v>14695.877675392243</v>
      </c>
      <c r="M5" s="91">
        <f>'UCO-YG'!AM6-M23</f>
        <v>18189.193250657456</v>
      </c>
      <c r="N5" s="91">
        <f>'UCO-YG'!AN6-N23</f>
        <v>21034.784675196559</v>
      </c>
      <c r="O5" s="91">
        <f>'UCO-YG'!AO6-O23</f>
        <v>24481.605395928942</v>
      </c>
      <c r="P5" s="91">
        <f>'UCO-YG'!AP6-P23</f>
        <v>27581.596955993678</v>
      </c>
    </row>
    <row r="6" spans="1:16" x14ac:dyDescent="0.2">
      <c r="A6" s="89" t="s">
        <v>83</v>
      </c>
      <c r="B6" s="91">
        <f>'UCO-YG'!AB7-B24</f>
        <v>281.22554784235081</v>
      </c>
      <c r="C6" s="91">
        <f>'UCO-YG'!AC7-C24</f>
        <v>-544.33522364459532</v>
      </c>
      <c r="D6" s="91">
        <f>'UCO-YG'!AD7-D24</f>
        <v>-631.18447870588261</v>
      </c>
      <c r="E6" s="91">
        <f>'UCO-YG'!AE7-E24</f>
        <v>811.87558858823559</v>
      </c>
      <c r="F6" s="91">
        <f>'UCO-YG'!AF7-F24</f>
        <v>4033.1444608235288</v>
      </c>
      <c r="G6" s="91">
        <f>'UCO-YG'!AG7-G24</f>
        <v>6695.9844328235304</v>
      </c>
      <c r="H6" s="91">
        <f>'UCO-YG'!AH7-H24</f>
        <v>6800.4169253898872</v>
      </c>
      <c r="I6" s="91">
        <f>'UCO-YG'!AI7-I24</f>
        <v>8991.1921053937731</v>
      </c>
      <c r="J6" s="91">
        <f>'UCO-YG'!AJ7-J24</f>
        <v>12198.238315517217</v>
      </c>
      <c r="K6" s="91">
        <f>'UCO-YG'!AK7-K24</f>
        <v>16175.689258473747</v>
      </c>
      <c r="L6" s="91">
        <f>'UCO-YG'!AL7-L24</f>
        <v>21625.384532738095</v>
      </c>
      <c r="M6" s="91">
        <f>'UCO-YG'!AM7-M24</f>
        <v>27840.025066398761</v>
      </c>
      <c r="N6" s="91">
        <f>'UCO-YG'!AN7-N24</f>
        <v>33210.770307615108</v>
      </c>
      <c r="O6" s="91">
        <f>'UCO-YG'!AO7-O24</f>
        <v>39911.262826443715</v>
      </c>
      <c r="P6" s="91">
        <f>'UCO-YG'!AP7-P24</f>
        <v>46306.755490503856</v>
      </c>
    </row>
    <row r="7" spans="1:16" x14ac:dyDescent="0.2">
      <c r="A7" s="89" t="s">
        <v>74</v>
      </c>
      <c r="O7" s="91"/>
      <c r="P7" s="91"/>
    </row>
    <row r="8" spans="1:16" x14ac:dyDescent="0.2">
      <c r="A8" s="89" t="s">
        <v>191</v>
      </c>
      <c r="B8" s="91">
        <f>'UCO-YG'!AB9-B26</f>
        <v>-20.660986822706491</v>
      </c>
      <c r="C8" s="91">
        <f>'UCO-YG'!AC9-C26</f>
        <v>5.6042401480071931</v>
      </c>
      <c r="D8" s="91">
        <f>'UCO-YG'!AD9-D26</f>
        <v>-217.70786926812707</v>
      </c>
      <c r="E8" s="91">
        <f>'UCO-YG'!AE9-E26</f>
        <v>4276.7683912725042</v>
      </c>
      <c r="F8" s="91">
        <f>'UCO-YG'!AF9-F26</f>
        <v>5967.0231738020684</v>
      </c>
      <c r="G8" s="91">
        <f>'UCO-YG'!AG9-G26</f>
        <v>6062.1199521250437</v>
      </c>
      <c r="H8" s="91">
        <f>'UCO-YG'!AH9-H26</f>
        <v>6134.5822866249564</v>
      </c>
      <c r="I8" s="91">
        <f>'UCO-YG'!AI9-I26</f>
        <v>7577.9178435073245</v>
      </c>
      <c r="J8" s="91">
        <f>'UCO-YG'!AJ9-J26</f>
        <v>10305.410050719613</v>
      </c>
      <c r="K8" s="91">
        <f>'UCO-YG'!AK9-K26</f>
        <v>11089.089535101637</v>
      </c>
      <c r="L8" s="91">
        <f>'UCO-YG'!AL9-L26</f>
        <v>14902.409411369164</v>
      </c>
      <c r="M8" s="91">
        <f>'UCO-YG'!AM9-M26</f>
        <v>18541.755599232449</v>
      </c>
      <c r="N8" s="91">
        <f>'UCO-YG'!AN9-N26</f>
        <v>21090.846467031508</v>
      </c>
      <c r="O8" s="91">
        <f>'UCO-YG'!AO9-O26</f>
        <v>27081.217716962157</v>
      </c>
      <c r="P8" s="91">
        <f>'UCO-YG'!AP9-P26</f>
        <v>25869.334710565876</v>
      </c>
    </row>
    <row r="9" spans="1:16" x14ac:dyDescent="0.2">
      <c r="A9" s="89" t="s">
        <v>192</v>
      </c>
      <c r="B9" s="91">
        <f>'UCO-YG'!AB10-B27</f>
        <v>0.48000000000001819</v>
      </c>
      <c r="C9" s="91">
        <f>'UCO-YG'!AC10-C27</f>
        <v>-0.5</v>
      </c>
      <c r="D9" s="91">
        <f>'UCO-YG'!AD10-D27</f>
        <v>15.485205990817349</v>
      </c>
      <c r="E9" s="91">
        <f>'UCO-YG'!AE10-E27</f>
        <v>97.834939295831191</v>
      </c>
      <c r="F9" s="91">
        <f>'UCO-YG'!AF10-F27</f>
        <v>121.45876077672983</v>
      </c>
      <c r="G9" s="91">
        <f>'UCO-YG'!AG10-G27</f>
        <v>913.99299465815443</v>
      </c>
      <c r="H9" s="91">
        <f>'UCO-YG'!AH10-H27</f>
        <v>1071.554450591389</v>
      </c>
      <c r="I9" s="91">
        <f>'UCO-YG'!AI10-I27</f>
        <v>1095.7704807636808</v>
      </c>
      <c r="J9" s="91">
        <f>'UCO-YG'!AJ10-J27</f>
        <v>1129.7471165900245</v>
      </c>
      <c r="K9" s="91">
        <f>'UCO-YG'!AK10-K27</f>
        <v>802.55931455866653</v>
      </c>
      <c r="L9" s="91">
        <f>'UCO-YG'!AL10-L27</f>
        <v>864.78424694419664</v>
      </c>
      <c r="M9" s="91">
        <f>'UCO-YG'!AM10-M27</f>
        <v>1004.3284939859848</v>
      </c>
      <c r="N9" s="91">
        <f>'UCO-YG'!AN10-N27</f>
        <v>1116.3436470842589</v>
      </c>
      <c r="O9" s="91">
        <f>'UCO-YG'!AO10-O27</f>
        <v>1327.015319787778</v>
      </c>
      <c r="P9" s="91">
        <f>'UCO-YG'!AP10-P27</f>
        <v>1366.1845056028419</v>
      </c>
    </row>
    <row r="10" spans="1:16" x14ac:dyDescent="0.2">
      <c r="A10" s="89" t="s">
        <v>193</v>
      </c>
      <c r="B10" s="91">
        <f>'UCO-YG'!AB11-B28</f>
        <v>-21.140986822706338</v>
      </c>
      <c r="C10" s="91">
        <f>'UCO-YG'!AC11-C28</f>
        <v>6.1042401480073067</v>
      </c>
      <c r="D10" s="91">
        <f>'UCO-YG'!AD11-D28</f>
        <v>-233.19307525894442</v>
      </c>
      <c r="E10" s="91">
        <f>'UCO-YG'!AE11-E28</f>
        <v>4178.9334519766726</v>
      </c>
      <c r="F10" s="91">
        <f>'UCO-YG'!AF11-F28</f>
        <v>5845.5644130253386</v>
      </c>
      <c r="G10" s="91">
        <f>'UCO-YG'!AG11-G28</f>
        <v>5148.1269574668895</v>
      </c>
      <c r="H10" s="91">
        <f>'UCO-YG'!AH11-H28</f>
        <v>5063.0278360335687</v>
      </c>
      <c r="I10" s="91">
        <f>'UCO-YG'!AI11-I28</f>
        <v>6482.1473627436426</v>
      </c>
      <c r="J10" s="91">
        <f>'UCO-YG'!AJ11-J28</f>
        <v>9176.6629341295884</v>
      </c>
      <c r="K10" s="91">
        <f>'UCO-YG'!AK11-K28</f>
        <v>10286.530220542969</v>
      </c>
      <c r="L10" s="91">
        <f>'UCO-YG'!AL11-L28</f>
        <v>14037.625164424968</v>
      </c>
      <c r="M10" s="91">
        <f>'UCO-YG'!AM11-M28</f>
        <v>17537.427105246465</v>
      </c>
      <c r="N10" s="91">
        <f>'UCO-YG'!AN11-N28</f>
        <v>19974.502819947251</v>
      </c>
      <c r="O10" s="91">
        <f>'UCO-YG'!AO11-O28</f>
        <v>25753.202397174377</v>
      </c>
      <c r="P10" s="91">
        <f>'UCO-YG'!AP11-P28</f>
        <v>24503.150204963029</v>
      </c>
    </row>
    <row r="11" spans="1:16" x14ac:dyDescent="0.2">
      <c r="A11" s="89" t="s">
        <v>194</v>
      </c>
      <c r="B11" s="91" t="e">
        <f>'UCO-YG'!#REF!-B29</f>
        <v>#REF!</v>
      </c>
      <c r="C11" s="91" t="e">
        <f>'UCO-YG'!#REF!-C29</f>
        <v>#REF!</v>
      </c>
      <c r="D11" s="91" t="e">
        <f>'UCO-YG'!#REF!-D29</f>
        <v>#REF!</v>
      </c>
      <c r="E11" s="91" t="e">
        <f>'UCO-YG'!#REF!-E29</f>
        <v>#REF!</v>
      </c>
      <c r="F11" s="91" t="e">
        <f>'UCO-YG'!#REF!-F29</f>
        <v>#REF!</v>
      </c>
      <c r="G11" s="91" t="e">
        <f>'UCO-YG'!#REF!-G29</f>
        <v>#REF!</v>
      </c>
      <c r="H11" s="91" t="e">
        <f>'UCO-YG'!#REF!-H29</f>
        <v>#REF!</v>
      </c>
      <c r="I11" s="91" t="e">
        <f>'UCO-YG'!#REF!-I29</f>
        <v>#REF!</v>
      </c>
      <c r="J11" s="91" t="e">
        <f>'UCO-YG'!#REF!-J29</f>
        <v>#REF!</v>
      </c>
      <c r="K11" s="91" t="e">
        <f>'UCO-YG'!#REF!-K29</f>
        <v>#REF!</v>
      </c>
      <c r="L11" s="91" t="e">
        <f>'UCO-YG'!#REF!-L29</f>
        <v>#REF!</v>
      </c>
      <c r="M11" s="91" t="e">
        <f>'UCO-YG'!#REF!-M29</f>
        <v>#REF!</v>
      </c>
      <c r="N11" s="91" t="e">
        <f>'UCO-YG'!#REF!-N29</f>
        <v>#REF!</v>
      </c>
      <c r="O11" s="91" t="e">
        <f>'UCO-YG'!#REF!-O29</f>
        <v>#REF!</v>
      </c>
      <c r="P11" s="91" t="e">
        <f>'UCO-YG'!#REF!-P29</f>
        <v>#REF!</v>
      </c>
    </row>
    <row r="12" spans="1:16" x14ac:dyDescent="0.2">
      <c r="A12" s="89" t="s">
        <v>159</v>
      </c>
      <c r="B12" s="91">
        <f>'UCO-YG'!AB12-B30</f>
        <v>769.03596266505747</v>
      </c>
      <c r="C12" s="91">
        <f>'UCO-YG'!AC12-C30</f>
        <v>255.18627120739757</v>
      </c>
      <c r="D12" s="91">
        <f>'UCO-YG'!AD12-D30</f>
        <v>45.001087562244493</v>
      </c>
      <c r="E12" s="91">
        <f>'UCO-YG'!AE12-E30</f>
        <v>-4108.5564536842676</v>
      </c>
      <c r="F12" s="91">
        <f>'UCO-YG'!AF12-F30</f>
        <v>-2283.8551789785397</v>
      </c>
      <c r="G12" s="91">
        <f>'UCO-YG'!AG12-G30</f>
        <v>423.12464226304292</v>
      </c>
      <c r="H12" s="91">
        <f>'UCO-YG'!AH12-H30</f>
        <v>2.6024488708653735</v>
      </c>
      <c r="I12" s="91">
        <f>'UCO-YG'!AI12-I30</f>
        <v>867.36737792231861</v>
      </c>
      <c r="J12" s="91">
        <f>'UCO-YG'!AJ12-J30</f>
        <v>-32.985229223809711</v>
      </c>
      <c r="K12" s="91">
        <f>'UCO-YG'!AK12-K30</f>
        <v>271.08347885198373</v>
      </c>
      <c r="L12" s="91">
        <f>'UCO-YG'!AL12-L30</f>
        <v>-44.08423970093645</v>
      </c>
      <c r="M12" s="91">
        <f>'UCO-YG'!AM12-M30</f>
        <v>450.71340558467955</v>
      </c>
      <c r="N12" s="91">
        <f>'UCO-YG'!AN12-N30</f>
        <v>852.03996301266989</v>
      </c>
      <c r="O12" s="91">
        <f>'UCO-YG'!AO12-O30</f>
        <v>-1470.5491934334032</v>
      </c>
      <c r="P12" s="91">
        <f>'UCO-YG'!AP12-P30</f>
        <v>1586.2374236215928</v>
      </c>
    </row>
    <row r="13" spans="1:16" x14ac:dyDescent="0.2">
      <c r="A13" s="89" t="s">
        <v>79</v>
      </c>
      <c r="B13" s="91">
        <f>'UCO-YG'!AB13-B31</f>
        <v>-466.76942800000006</v>
      </c>
      <c r="C13" s="91">
        <f>'UCO-YG'!AC13-C31</f>
        <v>-805.41743499999995</v>
      </c>
      <c r="D13" s="91">
        <f>'UCO-YG'!AD13-D31</f>
        <v>-459.426197</v>
      </c>
      <c r="E13" s="91">
        <f>'UCO-YG'!AE13-E31</f>
        <v>644.52235100000007</v>
      </c>
      <c r="F13" s="91">
        <f>'UCO-YG'!AF13-F31</f>
        <v>371.76446599999997</v>
      </c>
      <c r="G13" s="91">
        <f>'UCO-YG'!AG13-G31</f>
        <v>314.73783843544379</v>
      </c>
      <c r="H13" s="91">
        <f>'UCO-YG'!AH13-H31</f>
        <v>163.93125704272327</v>
      </c>
      <c r="I13" s="91">
        <f>'UCO-YG'!AI13-I31</f>
        <v>164.94522066967767</v>
      </c>
      <c r="J13" s="91">
        <f>'UCO-YG'!AJ13-J31</f>
        <v>123.51655816501105</v>
      </c>
      <c r="K13" s="91">
        <f>'UCO-YG'!AK13-K31</f>
        <v>123.82551415657031</v>
      </c>
      <c r="L13" s="91">
        <f>'UCO-YG'!AL13-L31</f>
        <v>87.534408425349113</v>
      </c>
      <c r="M13" s="91">
        <f>'UCO-YG'!AM13-M31</f>
        <v>71.82297032213512</v>
      </c>
      <c r="N13" s="91">
        <f>'UCO-YG'!AN13-N31</f>
        <v>68.901905956832209</v>
      </c>
      <c r="O13" s="91">
        <f>'UCO-YG'!AO13-O31</f>
        <v>69.778140601920882</v>
      </c>
      <c r="P13" s="91">
        <f>'UCO-YG'!AP13-P31</f>
        <v>68.759981583938327</v>
      </c>
    </row>
    <row r="14" spans="1:16" x14ac:dyDescent="0.2">
      <c r="A14" s="89" t="s">
        <v>85</v>
      </c>
      <c r="B14" s="91">
        <f>'UCO-YG'!AB14-B32</f>
        <v>281.60554784235092</v>
      </c>
      <c r="C14" s="91">
        <f>'UCO-YG'!AC14-C32</f>
        <v>-544.62692364459508</v>
      </c>
      <c r="D14" s="91">
        <f>'UCO-YG'!AD14-D32</f>
        <v>-631.13297870588212</v>
      </c>
      <c r="E14" s="91">
        <f>'UCO-YG'!AE14-E32</f>
        <v>812.73428858823536</v>
      </c>
      <c r="F14" s="91">
        <f>'UCO-YG'!AF14-F32</f>
        <v>4054.9324608235293</v>
      </c>
      <c r="G14" s="91">
        <f>'UCO-YG'!AG14-G32</f>
        <v>6799.98243282353</v>
      </c>
      <c r="H14" s="91">
        <f>'UCO-YG'!AH14-H32</f>
        <v>6301.1159925385455</v>
      </c>
      <c r="I14" s="91">
        <f>'UCO-YG'!AI14-I32</f>
        <v>8610.2304420993205</v>
      </c>
      <c r="J14" s="91">
        <f>'UCO-YG'!AJ14-J32</f>
        <v>10395.941379660813</v>
      </c>
      <c r="K14" s="91">
        <f>'UCO-YG'!AK14-K32</f>
        <v>11483.998528110191</v>
      </c>
      <c r="L14" s="91">
        <f>'UCO-YG'!AL14-L32</f>
        <v>14944.859580093576</v>
      </c>
      <c r="M14" s="91">
        <f>'UCO-YG'!AM14-M32</f>
        <v>19064.291975139266</v>
      </c>
      <c r="N14" s="91">
        <f>'UCO-YG'!AN14-N32</f>
        <v>22010.788336001009</v>
      </c>
      <c r="O14" s="91">
        <f>'UCO-YG'!AO14-O32</f>
        <v>25680.446664130679</v>
      </c>
      <c r="P14" s="91">
        <f>'UCO-YG'!AP14-P32</f>
        <v>27525.332115771409</v>
      </c>
    </row>
    <row r="15" spans="1:16" x14ac:dyDescent="0.2">
      <c r="A15" s="89" t="s">
        <v>81</v>
      </c>
      <c r="B15" s="91">
        <f>'UCO-YG'!AB15-B33</f>
        <v>-0.37999999999999545</v>
      </c>
      <c r="C15" s="91">
        <f>'UCO-YG'!AC15-C33</f>
        <v>0.29170000000000584</v>
      </c>
      <c r="D15" s="91">
        <f>'UCO-YG'!AD15-D33</f>
        <v>-5.150000000000432E-2</v>
      </c>
      <c r="E15" s="91">
        <f>'UCO-YG'!AE15-E33</f>
        <v>-0.85869999999999891</v>
      </c>
      <c r="F15" s="91">
        <f>'UCO-YG'!AF15-F33</f>
        <v>-21.787999999999997</v>
      </c>
      <c r="G15" s="91">
        <f>'UCO-YG'!AG15-G33</f>
        <v>-103.99799999999999</v>
      </c>
      <c r="H15" s="91">
        <f>'UCO-YG'!AH15-H33</f>
        <v>499.30093285134228</v>
      </c>
      <c r="I15" s="91">
        <f>'UCO-YG'!AI15-I33</f>
        <v>380.9616632944535</v>
      </c>
      <c r="J15" s="91">
        <f>'UCO-YG'!AJ15-J33</f>
        <v>1802.2969358564046</v>
      </c>
      <c r="K15" s="91">
        <f>'UCO-YG'!AK15-K33</f>
        <v>4691.6907303635571</v>
      </c>
      <c r="L15" s="91">
        <f>'UCO-YG'!AL15-L33</f>
        <v>6680.5249526445177</v>
      </c>
      <c r="M15" s="91">
        <f>'UCO-YG'!AM15-M33</f>
        <v>8775.7330912594916</v>
      </c>
      <c r="N15" s="91">
        <f>'UCO-YG'!AN15-N33</f>
        <v>11199.981971614097</v>
      </c>
      <c r="O15" s="91">
        <f>'UCO-YG'!AO15-O33</f>
        <v>14230.81616231304</v>
      </c>
      <c r="P15" s="91">
        <f>'UCO-YG'!AP15-P33</f>
        <v>18782.423374732451</v>
      </c>
    </row>
    <row r="16" spans="1:16" x14ac:dyDescent="0.2">
      <c r="A16" s="89" t="s">
        <v>174</v>
      </c>
      <c r="O16" s="91"/>
      <c r="P16" s="91"/>
    </row>
    <row r="17" spans="1:16" x14ac:dyDescent="0.2">
      <c r="A17" s="89" t="s">
        <v>209</v>
      </c>
      <c r="B17" s="91">
        <f>'UCO-YG'!AB17-B35</f>
        <v>1.1188499999999983</v>
      </c>
      <c r="C17" s="91">
        <f>'UCO-YG'!AC17-C35</f>
        <v>-3.9300000000000779E-2</v>
      </c>
      <c r="D17" s="91">
        <f>'UCO-YG'!AD17-D35</f>
        <v>2.5000000000048317E-3</v>
      </c>
      <c r="E17" s="91">
        <f>'UCO-YG'!AE17-E35</f>
        <v>0</v>
      </c>
      <c r="F17" s="91">
        <f>'UCO-YG'!AF17-F35</f>
        <v>-11.120450000000005</v>
      </c>
      <c r="G17" s="91">
        <f>'UCO-YG'!AG17-G35</f>
        <v>-19.600000000000001</v>
      </c>
      <c r="H17" s="91">
        <f>'UCO-YG'!AH17-H35</f>
        <v>-11.25</v>
      </c>
      <c r="I17" s="91">
        <f>'UCO-YG'!AI17-I35</f>
        <v>-11.5</v>
      </c>
      <c r="J17" s="91">
        <f>'UCO-YG'!AJ17-J35</f>
        <v>-8.5249999999999986</v>
      </c>
      <c r="K17" s="91">
        <f>'UCO-YG'!AK17-K35</f>
        <v>-16.700000000000003</v>
      </c>
      <c r="L17" s="91">
        <f>'UCO-YG'!AL17-L35</f>
        <v>-21.549999999999997</v>
      </c>
      <c r="M17" s="91">
        <f>'UCO-YG'!AM17-M35</f>
        <v>-17.024999999999999</v>
      </c>
      <c r="N17" s="91">
        <f>'UCO-YG'!AN17-N35</f>
        <v>-18.100000000000001</v>
      </c>
      <c r="O17" s="91">
        <f>'UCO-YG'!AO17-O35</f>
        <v>-17.325000000000003</v>
      </c>
      <c r="P17" s="91">
        <f>'UCO-YG'!AP17-P35</f>
        <v>-15.950000000000003</v>
      </c>
    </row>
    <row r="18" spans="1:16" x14ac:dyDescent="0.2">
      <c r="A18" s="89" t="s">
        <v>210</v>
      </c>
      <c r="B18" s="91">
        <f>'UCO-YG'!AB18-B36</f>
        <v>0</v>
      </c>
      <c r="C18" s="91">
        <f>'UCO-YG'!AC18-C36</f>
        <v>0</v>
      </c>
      <c r="D18" s="91">
        <f>'UCO-YG'!AD18-D36</f>
        <v>3.0499999999946681E-3</v>
      </c>
      <c r="E18" s="91">
        <f>'UCO-YG'!AE18-E36</f>
        <v>2.2619047618945842E-3</v>
      </c>
      <c r="F18" s="91">
        <f>'UCO-YG'!AF18-F36</f>
        <v>-13.84751082251082</v>
      </c>
      <c r="G18" s="91">
        <f>'UCO-YG'!AG18-G36</f>
        <v>-27.313043478260873</v>
      </c>
      <c r="H18" s="91">
        <f>'UCO-YG'!AH18-H36</f>
        <v>-20.75</v>
      </c>
      <c r="I18" s="91">
        <f>'UCO-YG'!AI18-I36</f>
        <v>-13.350000000000001</v>
      </c>
      <c r="J18" s="91">
        <f>'UCO-YG'!AJ18-J36</f>
        <v>-11.424999999999997</v>
      </c>
      <c r="K18" s="91">
        <f>'UCO-YG'!AK18-K36</f>
        <v>-16.950000000000003</v>
      </c>
      <c r="L18" s="91">
        <f>'UCO-YG'!AL18-L36</f>
        <v>-24.450000000000003</v>
      </c>
      <c r="M18" s="91">
        <f>'UCO-YG'!AM18-M36</f>
        <v>-19.575000000000003</v>
      </c>
      <c r="N18" s="91">
        <f>'UCO-YG'!AN18-N36</f>
        <v>-20.325000000000003</v>
      </c>
      <c r="O18" s="91">
        <f>'UCO-YG'!AO18-O36</f>
        <v>-25.575000000000003</v>
      </c>
      <c r="P18" s="91">
        <f>'UCO-YG'!AP18-P36</f>
        <v>-18.724999999999994</v>
      </c>
    </row>
    <row r="19" spans="1:16" x14ac:dyDescent="0.2">
      <c r="A19" s="89"/>
    </row>
    <row r="20" spans="1:16" x14ac:dyDescent="0.2">
      <c r="A20" s="89"/>
    </row>
    <row r="21" spans="1:16" x14ac:dyDescent="0.2">
      <c r="A21" s="89" t="s">
        <v>70</v>
      </c>
      <c r="B21" s="91">
        <v>93</v>
      </c>
      <c r="C21" s="91">
        <v>91</v>
      </c>
      <c r="D21" s="91">
        <v>88</v>
      </c>
      <c r="E21" s="91">
        <v>91</v>
      </c>
      <c r="F21" s="91">
        <v>99</v>
      </c>
      <c r="G21" s="91">
        <v>124</v>
      </c>
      <c r="H21" s="91">
        <v>200</v>
      </c>
      <c r="I21" s="91">
        <v>228</v>
      </c>
      <c r="J21" s="91">
        <v>267</v>
      </c>
      <c r="K21" s="91">
        <v>201</v>
      </c>
      <c r="L21" s="91">
        <v>211</v>
      </c>
      <c r="M21" s="91">
        <v>182</v>
      </c>
      <c r="N21" s="91">
        <v>184</v>
      </c>
      <c r="O21" s="91">
        <v>201</v>
      </c>
      <c r="P21" s="91">
        <v>228</v>
      </c>
    </row>
    <row r="22" spans="1:16" x14ac:dyDescent="0.2">
      <c r="A22" s="89" t="s">
        <v>71</v>
      </c>
      <c r="B22" s="91">
        <v>3438</v>
      </c>
      <c r="C22" s="91">
        <v>3869</v>
      </c>
      <c r="D22" s="91">
        <v>4645</v>
      </c>
      <c r="E22" s="91">
        <v>4995</v>
      </c>
      <c r="F22" s="91">
        <v>5203</v>
      </c>
      <c r="G22" s="91">
        <v>5363</v>
      </c>
      <c r="H22" s="91">
        <v>5615</v>
      </c>
      <c r="I22" s="91">
        <v>5832</v>
      </c>
      <c r="J22" s="91">
        <v>6106</v>
      </c>
      <c r="K22" s="91">
        <v>6398</v>
      </c>
      <c r="L22" s="91">
        <v>6707</v>
      </c>
      <c r="M22" s="91">
        <v>7016</v>
      </c>
      <c r="N22" s="91">
        <v>7380</v>
      </c>
      <c r="O22" s="91">
        <v>7758</v>
      </c>
      <c r="P22" s="91">
        <v>8137</v>
      </c>
    </row>
    <row r="23" spans="1:16" x14ac:dyDescent="0.2">
      <c r="A23" s="89" t="s">
        <v>72</v>
      </c>
      <c r="B23" s="91">
        <v>192</v>
      </c>
      <c r="C23" s="91">
        <v>182</v>
      </c>
      <c r="D23" s="91">
        <v>262</v>
      </c>
      <c r="E23" s="91">
        <v>332</v>
      </c>
      <c r="F23" s="91">
        <v>357</v>
      </c>
      <c r="G23" s="91">
        <v>380</v>
      </c>
      <c r="H23" s="91">
        <v>403</v>
      </c>
      <c r="I23" s="91">
        <v>433</v>
      </c>
      <c r="J23" s="91">
        <v>456</v>
      </c>
      <c r="K23" s="91">
        <v>481</v>
      </c>
      <c r="L23" s="91">
        <v>506</v>
      </c>
      <c r="M23" s="91">
        <v>531</v>
      </c>
      <c r="N23" s="91">
        <v>556</v>
      </c>
      <c r="O23" s="91">
        <v>581</v>
      </c>
      <c r="P23" s="91">
        <v>606</v>
      </c>
    </row>
    <row r="24" spans="1:16" x14ac:dyDescent="0.2">
      <c r="A24" s="89" t="s">
        <v>83</v>
      </c>
      <c r="B24" s="91">
        <v>3724</v>
      </c>
      <c r="C24" s="91">
        <v>4141</v>
      </c>
      <c r="D24" s="91">
        <v>4995</v>
      </c>
      <c r="E24" s="91">
        <v>5418</v>
      </c>
      <c r="F24" s="91">
        <v>5659</v>
      </c>
      <c r="G24" s="91">
        <v>5867</v>
      </c>
      <c r="H24" s="91">
        <v>6219</v>
      </c>
      <c r="I24" s="91">
        <v>6493</v>
      </c>
      <c r="J24" s="91">
        <v>6830</v>
      </c>
      <c r="K24" s="91">
        <v>7080</v>
      </c>
      <c r="L24" s="91">
        <v>7423</v>
      </c>
      <c r="M24" s="91">
        <v>7729</v>
      </c>
      <c r="N24" s="91">
        <v>8121</v>
      </c>
      <c r="O24" s="91">
        <v>8540</v>
      </c>
      <c r="P24" s="91">
        <v>8971</v>
      </c>
    </row>
    <row r="25" spans="1:16" x14ac:dyDescent="0.2">
      <c r="A25" s="89" t="s">
        <v>74</v>
      </c>
      <c r="O25" s="91"/>
      <c r="P25" s="91"/>
    </row>
    <row r="26" spans="1:16" x14ac:dyDescent="0.2">
      <c r="A26" s="89" t="s">
        <v>191</v>
      </c>
      <c r="B26" s="91">
        <v>1917</v>
      </c>
      <c r="C26" s="91">
        <v>1429</v>
      </c>
      <c r="D26" s="91">
        <v>3393</v>
      </c>
      <c r="E26" s="91">
        <v>4993</v>
      </c>
      <c r="F26" s="91">
        <v>5135</v>
      </c>
      <c r="G26" s="91">
        <v>5597</v>
      </c>
      <c r="H26" s="91">
        <v>5712</v>
      </c>
      <c r="I26" s="91">
        <v>6073</v>
      </c>
      <c r="J26" s="91">
        <v>6391</v>
      </c>
      <c r="K26" s="91">
        <v>6662</v>
      </c>
      <c r="L26" s="91">
        <v>6950</v>
      </c>
      <c r="M26" s="91">
        <v>7339</v>
      </c>
      <c r="N26" s="91">
        <v>7801</v>
      </c>
      <c r="O26" s="91">
        <v>8214</v>
      </c>
      <c r="P26" s="91">
        <v>8562</v>
      </c>
    </row>
    <row r="27" spans="1:16" x14ac:dyDescent="0.2">
      <c r="A27" s="89" t="s">
        <v>192</v>
      </c>
      <c r="B27" s="91">
        <v>1445</v>
      </c>
      <c r="C27" s="91">
        <v>1054</v>
      </c>
      <c r="D27" s="91">
        <v>1351</v>
      </c>
      <c r="E27" s="91">
        <v>1371</v>
      </c>
      <c r="F27" s="91">
        <v>1315</v>
      </c>
      <c r="G27" s="91">
        <v>824</v>
      </c>
      <c r="H27" s="91">
        <v>464</v>
      </c>
      <c r="I27" s="91">
        <v>425</v>
      </c>
      <c r="J27" s="91">
        <v>475</v>
      </c>
      <c r="K27" s="91">
        <v>426</v>
      </c>
      <c r="L27" s="91">
        <v>380</v>
      </c>
      <c r="M27" s="91">
        <v>308</v>
      </c>
      <c r="N27" s="91">
        <v>269</v>
      </c>
      <c r="O27" s="91">
        <v>213</v>
      </c>
      <c r="P27" s="91">
        <v>154</v>
      </c>
    </row>
    <row r="28" spans="1:16" x14ac:dyDescent="0.2">
      <c r="A28" s="89" t="s">
        <v>193</v>
      </c>
      <c r="B28" s="91">
        <v>472</v>
      </c>
      <c r="C28" s="91">
        <v>375</v>
      </c>
      <c r="D28" s="91">
        <v>2042</v>
      </c>
      <c r="E28" s="91">
        <v>3622</v>
      </c>
      <c r="F28" s="91">
        <v>3820</v>
      </c>
      <c r="G28" s="91">
        <v>4773</v>
      </c>
      <c r="H28" s="91">
        <v>5248</v>
      </c>
      <c r="I28" s="91">
        <v>5648</v>
      </c>
      <c r="J28" s="91">
        <v>5915</v>
      </c>
      <c r="K28" s="91">
        <v>6236</v>
      </c>
      <c r="L28" s="91">
        <v>6570</v>
      </c>
      <c r="M28" s="91">
        <v>7031</v>
      </c>
      <c r="N28" s="91">
        <v>7532</v>
      </c>
      <c r="O28" s="91">
        <v>8002</v>
      </c>
      <c r="P28" s="91">
        <v>8408</v>
      </c>
    </row>
    <row r="29" spans="1:16" x14ac:dyDescent="0.2">
      <c r="A29" s="89" t="s">
        <v>194</v>
      </c>
      <c r="B29" s="91">
        <v>0</v>
      </c>
      <c r="C29" s="91">
        <v>0</v>
      </c>
      <c r="D29" s="91">
        <v>0</v>
      </c>
      <c r="E29" s="91">
        <v>0</v>
      </c>
      <c r="F29" s="91">
        <v>0</v>
      </c>
      <c r="G29" s="91">
        <v>0</v>
      </c>
      <c r="H29" s="91">
        <v>0</v>
      </c>
      <c r="I29" s="91">
        <v>0</v>
      </c>
      <c r="J29" s="91">
        <v>0</v>
      </c>
      <c r="K29" s="91">
        <v>0</v>
      </c>
      <c r="L29" s="91">
        <v>0</v>
      </c>
      <c r="M29" s="91">
        <v>0</v>
      </c>
      <c r="N29" s="91">
        <v>0</v>
      </c>
      <c r="O29" s="91">
        <v>0</v>
      </c>
      <c r="P29" s="91">
        <v>0</v>
      </c>
    </row>
    <row r="30" spans="1:16" x14ac:dyDescent="0.2">
      <c r="A30" s="89" t="s">
        <v>159</v>
      </c>
      <c r="B30" s="91">
        <v>692</v>
      </c>
      <c r="C30" s="91">
        <v>927</v>
      </c>
      <c r="D30" s="91">
        <v>767</v>
      </c>
      <c r="E30" s="91">
        <v>131</v>
      </c>
      <c r="F30" s="91">
        <v>363</v>
      </c>
      <c r="G30" s="91">
        <v>40</v>
      </c>
      <c r="H30" s="91">
        <v>249</v>
      </c>
      <c r="I30" s="91">
        <v>120</v>
      </c>
      <c r="J30" s="91">
        <v>207</v>
      </c>
      <c r="K30" s="91">
        <v>182</v>
      </c>
      <c r="L30" s="91">
        <v>258</v>
      </c>
      <c r="M30" s="91">
        <v>176</v>
      </c>
      <c r="N30" s="91">
        <v>88</v>
      </c>
      <c r="O30" s="91">
        <v>68</v>
      </c>
      <c r="P30" s="91">
        <v>89</v>
      </c>
    </row>
    <row r="31" spans="1:16" x14ac:dyDescent="0.2">
      <c r="A31" s="89" t="s">
        <v>79</v>
      </c>
      <c r="B31" s="91">
        <v>1024</v>
      </c>
      <c r="C31" s="91">
        <v>1697</v>
      </c>
      <c r="D31" s="91">
        <v>745</v>
      </c>
      <c r="E31" s="91">
        <v>195</v>
      </c>
      <c r="F31" s="91">
        <v>37</v>
      </c>
      <c r="G31" s="91">
        <v>30</v>
      </c>
      <c r="H31" s="91">
        <v>30</v>
      </c>
      <c r="I31" s="91">
        <v>33</v>
      </c>
      <c r="J31" s="91">
        <v>31</v>
      </c>
      <c r="K31" s="91">
        <v>25</v>
      </c>
      <c r="L31" s="91">
        <v>32</v>
      </c>
      <c r="M31" s="91">
        <v>30</v>
      </c>
      <c r="N31" s="91">
        <v>30</v>
      </c>
      <c r="O31" s="91">
        <v>30</v>
      </c>
      <c r="P31" s="91">
        <v>30</v>
      </c>
    </row>
    <row r="32" spans="1:16" x14ac:dyDescent="0.2">
      <c r="A32" s="89" t="s">
        <v>85</v>
      </c>
      <c r="B32" s="91">
        <v>3633</v>
      </c>
      <c r="C32" s="91">
        <v>4053</v>
      </c>
      <c r="D32" s="91">
        <v>4904</v>
      </c>
      <c r="E32" s="91">
        <v>5319</v>
      </c>
      <c r="F32" s="91">
        <v>5535</v>
      </c>
      <c r="G32" s="91">
        <v>5667</v>
      </c>
      <c r="H32" s="91">
        <v>5991</v>
      </c>
      <c r="I32" s="91">
        <v>6226</v>
      </c>
      <c r="J32" s="91">
        <v>6629</v>
      </c>
      <c r="K32" s="91">
        <v>6869</v>
      </c>
      <c r="L32" s="91">
        <v>7241</v>
      </c>
      <c r="M32" s="91">
        <v>7545</v>
      </c>
      <c r="N32" s="91">
        <v>7920</v>
      </c>
      <c r="O32" s="91">
        <v>8312</v>
      </c>
      <c r="P32" s="91">
        <v>8680</v>
      </c>
    </row>
    <row r="33" spans="1:16" x14ac:dyDescent="0.2">
      <c r="A33" s="89" t="s">
        <v>81</v>
      </c>
      <c r="B33" s="91">
        <v>91</v>
      </c>
      <c r="C33" s="91">
        <v>88</v>
      </c>
      <c r="D33" s="91">
        <v>91</v>
      </c>
      <c r="E33" s="91">
        <v>99</v>
      </c>
      <c r="F33" s="91">
        <v>124</v>
      </c>
      <c r="G33" s="91">
        <v>200</v>
      </c>
      <c r="H33" s="91">
        <v>228</v>
      </c>
      <c r="I33" s="91">
        <v>267</v>
      </c>
      <c r="J33" s="91">
        <v>201</v>
      </c>
      <c r="K33" s="91">
        <v>211</v>
      </c>
      <c r="L33" s="91">
        <v>182</v>
      </c>
      <c r="M33" s="91">
        <v>184</v>
      </c>
      <c r="N33" s="91">
        <v>201</v>
      </c>
      <c r="O33" s="91">
        <v>228</v>
      </c>
      <c r="P33" s="91">
        <v>290</v>
      </c>
    </row>
    <row r="34" spans="1:16" x14ac:dyDescent="0.2">
      <c r="A34" s="89" t="s">
        <v>174</v>
      </c>
      <c r="O34" s="91"/>
      <c r="P34" s="91"/>
    </row>
    <row r="35" spans="1:16" x14ac:dyDescent="0.2">
      <c r="A35" t="s">
        <v>209</v>
      </c>
      <c r="B35" s="91">
        <v>20.16</v>
      </c>
      <c r="C35" s="91">
        <v>22.2</v>
      </c>
      <c r="D35" s="91">
        <v>42.76</v>
      </c>
      <c r="E35" s="91">
        <v>60.5</v>
      </c>
      <c r="F35" s="91">
        <v>58.2</v>
      </c>
      <c r="G35" s="91">
        <v>54.6</v>
      </c>
      <c r="H35" s="91">
        <v>49.5</v>
      </c>
      <c r="I35" s="91">
        <v>44.5</v>
      </c>
      <c r="J35" s="91">
        <v>42.9</v>
      </c>
      <c r="K35" s="91">
        <v>48.7</v>
      </c>
      <c r="L35" s="91">
        <v>55.3</v>
      </c>
      <c r="M35" s="91">
        <v>54.9</v>
      </c>
      <c r="N35" s="91">
        <v>50.6</v>
      </c>
      <c r="O35" s="91">
        <v>49.7</v>
      </c>
      <c r="P35" s="91">
        <v>56.7</v>
      </c>
    </row>
    <row r="36" spans="1:16" x14ac:dyDescent="0.2">
      <c r="A36" t="s">
        <v>210</v>
      </c>
      <c r="B36" s="91">
        <v>24.5</v>
      </c>
      <c r="C36" s="91">
        <v>26</v>
      </c>
      <c r="D36" s="91">
        <v>51.59</v>
      </c>
      <c r="E36" s="91">
        <v>65.59</v>
      </c>
      <c r="F36" s="91">
        <v>62.9</v>
      </c>
      <c r="G36" s="91">
        <v>63.9</v>
      </c>
      <c r="H36" s="91">
        <v>61.5</v>
      </c>
      <c r="I36" s="91">
        <v>54.1</v>
      </c>
      <c r="J36" s="91">
        <v>49.8</v>
      </c>
      <c r="K36" s="91">
        <v>54.7</v>
      </c>
      <c r="L36" s="91">
        <v>63.2</v>
      </c>
      <c r="M36" s="91">
        <v>62.7</v>
      </c>
      <c r="N36" s="91">
        <v>56.7</v>
      </c>
      <c r="O36" s="91">
        <v>61.7</v>
      </c>
      <c r="P36" s="91">
        <v>68.599999999999994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B8C7-12DC-457A-B0F6-FEF35FF13B52}">
  <dimension ref="A1:O34"/>
  <sheetViews>
    <sheetView topLeftCell="A4" workbookViewId="0">
      <selection activeCell="M14" sqref="M14"/>
    </sheetView>
  </sheetViews>
  <sheetFormatPr defaultColWidth="9" defaultRowHeight="15" x14ac:dyDescent="0.2"/>
  <cols>
    <col min="1" max="1" width="58.6640625" bestFit="1" customWidth="1"/>
    <col min="2" max="2" width="10.33203125" style="91" hidden="1" customWidth="1"/>
    <col min="3" max="6" width="10.33203125" style="91" bestFit="1" customWidth="1"/>
    <col min="7" max="14" width="11.33203125" style="91" bestFit="1" customWidth="1"/>
    <col min="15" max="15" width="11.33203125" customWidth="1"/>
  </cols>
  <sheetData>
    <row r="1" spans="1:15" ht="18" x14ac:dyDescent="0.25">
      <c r="A1" s="88" t="s">
        <v>211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5" ht="15.75" x14ac:dyDescent="0.25">
      <c r="A2" s="89" t="s">
        <v>190</v>
      </c>
      <c r="B2" s="90">
        <f>'Veg Oils Comp'!B2</f>
        <v>2019</v>
      </c>
      <c r="C2" s="90">
        <f>'Veg Oils Comp'!C2</f>
        <v>2020</v>
      </c>
      <c r="D2" s="90">
        <f>'Veg Oils Comp'!D2</f>
        <v>2021</v>
      </c>
      <c r="E2" s="90">
        <f>'Veg Oils Comp'!E2</f>
        <v>2022</v>
      </c>
      <c r="F2" s="90">
        <f>'Veg Oils Comp'!F2</f>
        <v>2023</v>
      </c>
      <c r="G2" s="90">
        <f>'Veg Oils Comp'!G2</f>
        <v>2024</v>
      </c>
      <c r="H2" s="90">
        <f>'Veg Oils Comp'!H2</f>
        <v>2025</v>
      </c>
      <c r="I2" s="90">
        <f>'Veg Oils Comp'!I2</f>
        <v>2026</v>
      </c>
      <c r="J2" s="90">
        <f>'Veg Oils Comp'!J2</f>
        <v>2027</v>
      </c>
      <c r="K2" s="90">
        <f>'Veg Oils Comp'!K2</f>
        <v>2028</v>
      </c>
      <c r="L2" s="90">
        <f>'Veg Oils Comp'!L2</f>
        <v>2029</v>
      </c>
      <c r="M2" s="90">
        <f>'Veg Oils Comp'!M2</f>
        <v>2030</v>
      </c>
      <c r="N2" s="90">
        <f>'Veg Oils Comp'!N2</f>
        <v>2031</v>
      </c>
      <c r="O2" s="90">
        <f>'Veg Oils Comp'!O2</f>
        <v>2032</v>
      </c>
    </row>
    <row r="3" spans="1:15" x14ac:dyDescent="0.2">
      <c r="A3" s="89" t="s">
        <v>70</v>
      </c>
      <c r="B3" s="91">
        <f>UCO!AB4-B19</f>
        <v>3.119999999999834E-2</v>
      </c>
      <c r="C3" s="91">
        <f>UCO!AC4-C19</f>
        <v>2.5580000000000069</v>
      </c>
      <c r="D3" s="91">
        <f>UCO!AD4-D19</f>
        <v>-2.7702999999999918</v>
      </c>
      <c r="E3" s="91">
        <f>UCO!AE4-E19</f>
        <v>-7.1135000000000019</v>
      </c>
      <c r="F3" s="91">
        <f>UCO!AF4-F19</f>
        <v>-1.9206999999999965</v>
      </c>
      <c r="G3" s="91">
        <f>UCO!AG4-G19</f>
        <v>-16.849999999999994</v>
      </c>
      <c r="H3" s="91">
        <f>UCO!AH4-H19</f>
        <v>-27.059999999999988</v>
      </c>
      <c r="I3" s="91">
        <f>UCO!AI4-I19</f>
        <v>611.23893285134227</v>
      </c>
      <c r="J3" s="91">
        <f>UCO!AJ4-J19</f>
        <v>557.89966329445349</v>
      </c>
      <c r="K3" s="91">
        <f>UCO!AK4-K19</f>
        <v>1915.2349358564047</v>
      </c>
      <c r="L3" s="91">
        <f>UCO!AL4-L19</f>
        <v>4828.6287303635572</v>
      </c>
      <c r="M3" s="91">
        <f>UCO!AM4-M19</f>
        <v>6787.4629526445178</v>
      </c>
      <c r="N3" s="91">
        <f>UCO!AN4-N19</f>
        <v>8871.6710912594917</v>
      </c>
      <c r="O3" s="91">
        <f>UCO!AO4-O19</f>
        <v>11290.919971614097</v>
      </c>
    </row>
    <row r="4" spans="1:15" x14ac:dyDescent="0.2">
      <c r="A4" s="89" t="s">
        <v>71</v>
      </c>
      <c r="B4" s="91">
        <f>UCO!AB5-B20</f>
        <v>-258.3406521576494</v>
      </c>
      <c r="C4" s="91">
        <f>UCO!AC5-C20</f>
        <v>-1233.0092466445951</v>
      </c>
      <c r="D4" s="91">
        <f>UCO!AD5-D20</f>
        <v>-1045.8610647058822</v>
      </c>
      <c r="E4" s="91">
        <f>UCO!AE5-E20</f>
        <v>290.42032058823543</v>
      </c>
      <c r="F4" s="91">
        <f>UCO!AF5-F20</f>
        <v>990.94055882352859</v>
      </c>
      <c r="G4" s="91">
        <f>UCO!AG5-G20</f>
        <v>852.94245882352971</v>
      </c>
      <c r="H4" s="91">
        <f>UCO!AH5-H20</f>
        <v>778.12074504983957</v>
      </c>
      <c r="I4" s="91">
        <f>UCO!AI5-I20</f>
        <v>868.59180955250577</v>
      </c>
      <c r="J4" s="91">
        <f>UCO!AJ5-J20</f>
        <v>937.64595056592407</v>
      </c>
      <c r="K4" s="91">
        <f>UCO!AK5-K20</f>
        <v>1043.4792914281707</v>
      </c>
      <c r="L4" s="91">
        <f>UCO!AL5-L20</f>
        <v>1099.0711586302377</v>
      </c>
      <c r="M4" s="91">
        <f>UCO!AM5-M20</f>
        <v>1361.286311724054</v>
      </c>
      <c r="N4" s="91">
        <f>UCO!AN5-N20</f>
        <v>1425.3442043201621</v>
      </c>
      <c r="O4" s="91">
        <f>UCO!AO5-O20</f>
        <v>1740.2205470299014</v>
      </c>
    </row>
    <row r="5" spans="1:15" x14ac:dyDescent="0.2">
      <c r="A5" s="89" t="s">
        <v>72</v>
      </c>
      <c r="B5" s="91">
        <f>UCO!AB6-B21</f>
        <v>-15.238151000000016</v>
      </c>
      <c r="C5" s="91">
        <f>UCO!AC6-C21</f>
        <v>-80.229726999999997</v>
      </c>
      <c r="D5" s="91">
        <f>UCO!AD6-D21</f>
        <v>-39.49141400000002</v>
      </c>
      <c r="E5" s="91">
        <f>UCO!AE6-E21</f>
        <v>368.9360180000001</v>
      </c>
      <c r="F5" s="91">
        <f>UCO!AF6-F21</f>
        <v>2639.642902</v>
      </c>
      <c r="G5" s="91">
        <f>UCO!AG6-G21</f>
        <v>4993.4669739999999</v>
      </c>
      <c r="H5" s="91">
        <f>UCO!AH6-H21</f>
        <v>5286.3464266659912</v>
      </c>
      <c r="I5" s="91">
        <f>UCO!AI6-I21</f>
        <v>6633.679546988953</v>
      </c>
      <c r="J5" s="91">
        <f>UCO!AJ6-J21</f>
        <v>9591.9252139119799</v>
      </c>
      <c r="K5" s="91">
        <f>UCO!AK6-K21</f>
        <v>11993.510921922878</v>
      </c>
      <c r="L5" s="91">
        <f>UCO!AL6-L21</f>
        <v>14670.877675392243</v>
      </c>
      <c r="M5" s="91">
        <f>UCO!AM6-M21</f>
        <v>18164.193250657456</v>
      </c>
      <c r="N5" s="91">
        <f>UCO!AN6-N21</f>
        <v>21009.784675196559</v>
      </c>
      <c r="O5" s="91">
        <f>UCO!AO6-O21</f>
        <v>24456.605395928942</v>
      </c>
    </row>
    <row r="6" spans="1:15" x14ac:dyDescent="0.2">
      <c r="A6" s="89" t="s">
        <v>83</v>
      </c>
      <c r="B6" s="91">
        <f>UCO!AB7-B22</f>
        <v>-273.54760315764952</v>
      </c>
      <c r="C6" s="91">
        <f>UCO!AC7-C22</f>
        <v>-1310.680973644595</v>
      </c>
      <c r="D6" s="91">
        <f>UCO!AD7-D22</f>
        <v>-1088.1227787058824</v>
      </c>
      <c r="E6" s="91">
        <f>UCO!AE7-E22</f>
        <v>652.24283858823583</v>
      </c>
      <c r="F6" s="91">
        <f>UCO!AF7-F22</f>
        <v>3628.6627608235285</v>
      </c>
      <c r="G6" s="91">
        <f>UCO!AG7-G22</f>
        <v>5829.5594328235293</v>
      </c>
      <c r="H6" s="91">
        <f>UCO!AH7-H22</f>
        <v>6036.4071717158295</v>
      </c>
      <c r="I6" s="91">
        <f>UCO!AI7-I22</f>
        <v>8113.5102893928015</v>
      </c>
      <c r="J6" s="91">
        <f>UCO!AJ7-J22</f>
        <v>11087.470827772358</v>
      </c>
      <c r="K6" s="91">
        <f>UCO!AK7-K22</f>
        <v>14953.225149207454</v>
      </c>
      <c r="L6" s="91">
        <f>UCO!AL7-L22</f>
        <v>20598.57756438604</v>
      </c>
      <c r="M6" s="91">
        <f>UCO!AM7-M22</f>
        <v>26312.942515026029</v>
      </c>
      <c r="N6" s="91">
        <f>UCO!AN7-N22</f>
        <v>31306.799970776214</v>
      </c>
      <c r="O6" s="91">
        <f>UCO!AO7-O22</f>
        <v>37487.745914572937</v>
      </c>
    </row>
    <row r="7" spans="1:15" x14ac:dyDescent="0.2">
      <c r="A7" s="89" t="s">
        <v>74</v>
      </c>
      <c r="O7" s="91"/>
    </row>
    <row r="8" spans="1:15" x14ac:dyDescent="0.2">
      <c r="A8" s="89" t="s">
        <v>191</v>
      </c>
      <c r="B8" s="91">
        <f>UCO!AB9-B24</f>
        <v>21.402061498893772</v>
      </c>
      <c r="C8" s="91">
        <f>UCO!AC9-C24</f>
        <v>-1648.9110173776248</v>
      </c>
      <c r="D8" s="91">
        <f>UCO!AD9-D24</f>
        <v>-1325.4713692681271</v>
      </c>
      <c r="E8" s="91">
        <f>UCO!AE9-E24</f>
        <v>4383.9492912725036</v>
      </c>
      <c r="F8" s="91">
        <f>UCO!AF9-F24</f>
        <v>5194.8661463398385</v>
      </c>
      <c r="G8" s="91">
        <f>UCO!AG9-G24</f>
        <v>5505.2935227577836</v>
      </c>
      <c r="H8" s="91">
        <f>UCO!AH9-H24</f>
        <v>5486.0129644469489</v>
      </c>
      <c r="I8" s="91">
        <f>UCO!AI9-I24</f>
        <v>6692.3651118614907</v>
      </c>
      <c r="J8" s="91">
        <f>UCO!AJ9-J24</f>
        <v>8981.8778558319773</v>
      </c>
      <c r="K8" s="91">
        <f>UCO!AK9-K24</f>
        <v>9823.862271519256</v>
      </c>
      <c r="L8" s="91">
        <f>UCO!AL9-L24</f>
        <v>13652.838173347434</v>
      </c>
      <c r="M8" s="91">
        <f>UCO!AM9-M24</f>
        <v>16796.187197600808</v>
      </c>
      <c r="N8" s="91">
        <f>UCO!AN9-N24</f>
        <v>19134.774802805729</v>
      </c>
      <c r="O8" s="91">
        <f>UCO!AO9-O24</f>
        <v>24454.202873564675</v>
      </c>
    </row>
    <row r="9" spans="1:15" x14ac:dyDescent="0.2">
      <c r="A9" s="89" t="s">
        <v>192</v>
      </c>
      <c r="B9" s="91">
        <f>UCO!AB10-B25</f>
        <v>-0.47299999999995634</v>
      </c>
      <c r="C9" s="91">
        <f>UCO!AC10-C25</f>
        <v>-154.13300000000004</v>
      </c>
      <c r="D9" s="91">
        <f>UCO!AD10-D25</f>
        <v>-31.912246625100124</v>
      </c>
      <c r="E9" s="91">
        <f>UCO!AE10-E25</f>
        <v>9.1200000000001182</v>
      </c>
      <c r="F9" s="91">
        <f>UCO!AF10-F25</f>
        <v>147.97210000000018</v>
      </c>
      <c r="G9" s="91">
        <f>UCO!AG10-G25</f>
        <v>549</v>
      </c>
      <c r="H9" s="91">
        <f>UCO!AH10-H25</f>
        <v>472.54714105570599</v>
      </c>
      <c r="I9" s="91">
        <f>UCO!AI10-I25</f>
        <v>542.52366738150715</v>
      </c>
      <c r="J9" s="91">
        <f>UCO!AJ10-J25</f>
        <v>629.84481917361359</v>
      </c>
      <c r="K9" s="91">
        <f>UCO!AK10-K25</f>
        <v>506.07302031672532</v>
      </c>
      <c r="L9" s="91">
        <f>UCO!AL10-L25</f>
        <v>710.39957255907893</v>
      </c>
      <c r="M9" s="91">
        <f>UCO!AM10-M25</f>
        <v>819.43458642537257</v>
      </c>
      <c r="N9" s="91">
        <f>UCO!AN10-N25</f>
        <v>934.92497434351458</v>
      </c>
      <c r="O9" s="91">
        <f>UCO!AO10-O25</f>
        <v>1103.0093673235865</v>
      </c>
    </row>
    <row r="10" spans="1:15" x14ac:dyDescent="0.2">
      <c r="A10" s="89" t="s">
        <v>193</v>
      </c>
      <c r="B10" s="91">
        <f>UCO!AB11-B26</f>
        <v>21.875061498893814</v>
      </c>
      <c r="C10" s="91">
        <f>UCO!AC11-C26</f>
        <v>-1494.778017377625</v>
      </c>
      <c r="D10" s="91">
        <f>UCO!AD11-D26</f>
        <v>-1292.559122643027</v>
      </c>
      <c r="E10" s="91">
        <f>UCO!AE11-E26</f>
        <v>4374.8292912725037</v>
      </c>
      <c r="F10" s="91">
        <f>UCO!AF11-F26</f>
        <v>5046.8940463398376</v>
      </c>
      <c r="G10" s="91">
        <f>UCO!AG11-G26</f>
        <v>4955.2935227577836</v>
      </c>
      <c r="H10" s="91">
        <f>UCO!AH11-H26</f>
        <v>5014.4658233912432</v>
      </c>
      <c r="I10" s="91">
        <f>UCO!AI11-I26</f>
        <v>6150.8414444799837</v>
      </c>
      <c r="J10" s="91">
        <f>UCO!AJ11-J26</f>
        <v>8352.0330366583639</v>
      </c>
      <c r="K10" s="91">
        <f>UCO!AK11-K26</f>
        <v>9317.7892512025301</v>
      </c>
      <c r="L10" s="91">
        <f>UCO!AL11-L26</f>
        <v>12942.438600788355</v>
      </c>
      <c r="M10" s="91">
        <f>UCO!AM11-M26</f>
        <v>15976.752611175434</v>
      </c>
      <c r="N10" s="91">
        <f>UCO!AN11-N26</f>
        <v>18198.849828462215</v>
      </c>
      <c r="O10" s="91">
        <f>UCO!AO11-O26</f>
        <v>23351.193506241088</v>
      </c>
    </row>
    <row r="11" spans="1:15" x14ac:dyDescent="0.2">
      <c r="A11" s="89" t="s">
        <v>194</v>
      </c>
      <c r="B11" s="91" t="e">
        <f>UCO!#REF!-B27</f>
        <v>#REF!</v>
      </c>
      <c r="C11" s="91" t="e">
        <f>UCO!#REF!-C27</f>
        <v>#REF!</v>
      </c>
      <c r="D11" s="91" t="e">
        <f>UCO!#REF!-D27</f>
        <v>#REF!</v>
      </c>
      <c r="E11" s="91" t="e">
        <f>UCO!#REF!-E27</f>
        <v>#REF!</v>
      </c>
      <c r="F11" s="91" t="e">
        <f>UCO!#REF!-F27</f>
        <v>#REF!</v>
      </c>
      <c r="G11" s="91" t="e">
        <f>UCO!#REF!-G27</f>
        <v>#REF!</v>
      </c>
      <c r="H11" s="91" t="e">
        <f>UCO!#REF!-H27</f>
        <v>#REF!</v>
      </c>
      <c r="I11" s="91" t="e">
        <f>UCO!#REF!-I27</f>
        <v>#REF!</v>
      </c>
      <c r="J11" s="91" t="e">
        <f>UCO!#REF!-J27</f>
        <v>#REF!</v>
      </c>
      <c r="K11" s="91" t="e">
        <f>UCO!#REF!-K27</f>
        <v>#REF!</v>
      </c>
      <c r="L11" s="91" t="e">
        <f>UCO!#REF!-L27</f>
        <v>#REF!</v>
      </c>
      <c r="M11" s="91" t="e">
        <f>UCO!#REF!-M27</f>
        <v>#REF!</v>
      </c>
      <c r="N11" s="91" t="e">
        <f>UCO!#REF!-N27</f>
        <v>#REF!</v>
      </c>
      <c r="O11" s="91" t="e">
        <f>UCO!#REF!-O27</f>
        <v>#REF!</v>
      </c>
    </row>
    <row r="12" spans="1:15" x14ac:dyDescent="0.2">
      <c r="A12" s="89" t="s">
        <v>159</v>
      </c>
      <c r="B12" s="91">
        <f>UCO!AB12-B28</f>
        <v>-8.2934966565433115</v>
      </c>
      <c r="C12" s="91">
        <f>UCO!AC12-C28</f>
        <v>197.18781573302988</v>
      </c>
      <c r="D12" s="91">
        <f>UCO!AD12-D28</f>
        <v>154.96951956224439</v>
      </c>
      <c r="E12" s="91">
        <f>UCO!AE12-E28</f>
        <v>-4538.2769356842682</v>
      </c>
      <c r="F12" s="91">
        <f>UCO!AF12-F28</f>
        <v>-1932.1174905163098</v>
      </c>
      <c r="G12" s="91">
        <f>UCO!AG12-G28</f>
        <v>32.588083630302208</v>
      </c>
      <c r="H12" s="91">
        <f>UCO!AH12-H28</f>
        <v>-226.77598262518404</v>
      </c>
      <c r="I12" s="91">
        <f>UCO!AI12-I28</f>
        <v>691.30029356718114</v>
      </c>
      <c r="J12" s="91">
        <f>UCO!AJ12-J28</f>
        <v>55.84147791896612</v>
      </c>
      <c r="K12" s="91">
        <f>UCO!AK12-K28</f>
        <v>178.90863316807008</v>
      </c>
      <c r="L12" s="91">
        <f>UCO!AL12-L28</f>
        <v>62.742029968740098</v>
      </c>
      <c r="M12" s="91">
        <f>UCO!AM12-M28</f>
        <v>568.26125584359033</v>
      </c>
      <c r="N12" s="91">
        <f>UCO!AN12-N28</f>
        <v>808.20329039955686</v>
      </c>
      <c r="O12" s="91">
        <f>UCO!AO12-O28</f>
        <v>-1414.9892619066959</v>
      </c>
    </row>
    <row r="13" spans="1:15" x14ac:dyDescent="0.2">
      <c r="A13" s="89" t="s">
        <v>79</v>
      </c>
      <c r="B13" s="91">
        <f>UCO!AB13-B29</f>
        <v>-286.21416800000009</v>
      </c>
      <c r="C13" s="91">
        <f>UCO!AC13-C29</f>
        <v>143.81252800000004</v>
      </c>
      <c r="D13" s="91">
        <f>UCO!AD13-D29</f>
        <v>90.492570999999998</v>
      </c>
      <c r="E13" s="91">
        <f>UCO!AE13-E29</f>
        <v>808.49118300000009</v>
      </c>
      <c r="F13" s="91">
        <f>UCO!AF13-F29</f>
        <v>383.76410499999997</v>
      </c>
      <c r="G13" s="91">
        <f>UCO!AG13-G29</f>
        <v>319.73782643544376</v>
      </c>
      <c r="H13" s="91">
        <f>UCO!AH13-H29</f>
        <v>165.93125704272327</v>
      </c>
      <c r="I13" s="91">
        <f>UCO!AI13-I29</f>
        <v>171.94522066967767</v>
      </c>
      <c r="J13" s="91">
        <f>UCO!AJ13-J29</f>
        <v>134.51655816501105</v>
      </c>
      <c r="K13" s="91">
        <f>UCO!AK13-K29</f>
        <v>121.82551415657031</v>
      </c>
      <c r="L13" s="91">
        <f>UCO!AL13-L29</f>
        <v>94.534408425349113</v>
      </c>
      <c r="M13" s="91">
        <f>UCO!AM13-M29</f>
        <v>76.82297032213512</v>
      </c>
      <c r="N13" s="91">
        <f>UCO!AN13-N29</f>
        <v>73.901905956832209</v>
      </c>
      <c r="O13" s="91">
        <f>UCO!AO13-O29</f>
        <v>74.778140601920882</v>
      </c>
    </row>
    <row r="14" spans="1:15" x14ac:dyDescent="0.2">
      <c r="A14" s="89" t="s">
        <v>85</v>
      </c>
      <c r="B14" s="91">
        <f>UCO!AB14-B30</f>
        <v>-274.10560315764951</v>
      </c>
      <c r="C14" s="91">
        <f>UCO!AC14-C30</f>
        <v>-1307.9106736445951</v>
      </c>
      <c r="D14" s="91">
        <f>UCO!AD14-D30</f>
        <v>-1081.0092787058825</v>
      </c>
      <c r="E14" s="91">
        <f>UCO!AE14-E30</f>
        <v>654.1635385882355</v>
      </c>
      <c r="F14" s="91">
        <f>UCO!AF14-F30</f>
        <v>3645.5127608235289</v>
      </c>
      <c r="G14" s="91">
        <f>UCO!AG14-G30</f>
        <v>5856.6194328235288</v>
      </c>
      <c r="H14" s="91">
        <f>UCO!AH14-H30</f>
        <v>5425.1682388644876</v>
      </c>
      <c r="I14" s="91">
        <f>UCO!AI14-I30</f>
        <v>7555.6106260983488</v>
      </c>
      <c r="J14" s="91">
        <f>UCO!AJ14-J30</f>
        <v>9172.2358919159542</v>
      </c>
      <c r="K14" s="91">
        <f>UCO!AK14-K30</f>
        <v>10124.596418843896</v>
      </c>
      <c r="L14" s="91">
        <f>UCO!AL14-L30</f>
        <v>13811.114611741523</v>
      </c>
      <c r="M14" s="91">
        <f>UCO!AM14-M30</f>
        <v>17441.271423766535</v>
      </c>
      <c r="N14" s="91">
        <f>UCO!AN14-N30</f>
        <v>20016.879999162116</v>
      </c>
      <c r="O14" s="91">
        <f>UCO!AO14-O30</f>
        <v>23113.991752259899</v>
      </c>
    </row>
    <row r="15" spans="1:15" x14ac:dyDescent="0.2">
      <c r="A15" s="89" t="s">
        <v>81</v>
      </c>
      <c r="B15" s="91">
        <f>UCO!AB15-B31</f>
        <v>-0.44199999999999307</v>
      </c>
      <c r="C15" s="91">
        <f>UCO!AC15-C31</f>
        <v>-2.7702999999999918</v>
      </c>
      <c r="D15" s="91">
        <f>UCO!AD15-D31</f>
        <v>-7.1135000000000019</v>
      </c>
      <c r="E15" s="91">
        <f>UCO!AE15-E31</f>
        <v>-1.9206999999999965</v>
      </c>
      <c r="F15" s="91">
        <f>UCO!AF15-F31</f>
        <v>-16.849999999999994</v>
      </c>
      <c r="G15" s="91">
        <f>UCO!AG15-G31</f>
        <v>-27.059999999999988</v>
      </c>
      <c r="H15" s="91">
        <f>UCO!AH15-H31</f>
        <v>611.23893285134227</v>
      </c>
      <c r="I15" s="91">
        <f>UCO!AI15-I31</f>
        <v>557.89966329445349</v>
      </c>
      <c r="J15" s="91">
        <f>UCO!AJ15-J31</f>
        <v>1915.2349358564047</v>
      </c>
      <c r="K15" s="91">
        <f>UCO!AK15-K31</f>
        <v>4828.6287303635572</v>
      </c>
      <c r="L15" s="91">
        <f>UCO!AL15-L31</f>
        <v>6787.4629526445178</v>
      </c>
      <c r="M15" s="91">
        <f>UCO!AM15-M31</f>
        <v>8871.6710912594917</v>
      </c>
      <c r="N15" s="91">
        <f>UCO!AN15-N31</f>
        <v>11290.919971614097</v>
      </c>
      <c r="O15" s="91">
        <f>UCO!AO15-O31</f>
        <v>14373.75416231304</v>
      </c>
    </row>
    <row r="16" spans="1:15" x14ac:dyDescent="0.2">
      <c r="A16" s="89" t="s">
        <v>179</v>
      </c>
      <c r="B16" s="91">
        <f>UCO!AB16-B32</f>
        <v>24.5</v>
      </c>
      <c r="C16" s="91">
        <f>UCO!AC16-C32</f>
        <v>-25.590000000000003</v>
      </c>
      <c r="D16" s="91">
        <f>UCO!AD16-D32</f>
        <v>-13.996950000000005</v>
      </c>
      <c r="E16" s="91">
        <f>UCO!AE16-E32</f>
        <v>2.6922619047618994</v>
      </c>
      <c r="F16" s="91">
        <f>UCO!AF16-F32</f>
        <v>-14.84751082251082</v>
      </c>
      <c r="G16" s="91">
        <f>UCO!AG16-G32</f>
        <v>-24.913043478260875</v>
      </c>
      <c r="H16" s="91">
        <f>UCO!AH16-H32</f>
        <v>-13.350000000000001</v>
      </c>
      <c r="I16" s="91">
        <f>UCO!AI16-I32</f>
        <v>-9.0499999999999972</v>
      </c>
      <c r="J16" s="91">
        <f>UCO!AJ16-J32</f>
        <v>-16.325000000000003</v>
      </c>
      <c r="K16" s="91">
        <f>UCO!AK16-K32</f>
        <v>-25.450000000000003</v>
      </c>
      <c r="L16" s="91">
        <f>UCO!AL16-L32</f>
        <v>-23.950000000000003</v>
      </c>
      <c r="M16" s="91">
        <f>UCO!AM16-M32</f>
        <v>-13.575000000000003</v>
      </c>
      <c r="N16" s="91">
        <f>UCO!AN16-N32</f>
        <v>-25.325000000000003</v>
      </c>
      <c r="O16" s="91">
        <f>UCO!AO16-O32</f>
        <v>-32.474999999999994</v>
      </c>
    </row>
    <row r="17" spans="1:15" x14ac:dyDescent="0.2">
      <c r="A17" s="89"/>
    </row>
    <row r="18" spans="1:15" x14ac:dyDescent="0.2">
      <c r="A18" s="89"/>
    </row>
    <row r="19" spans="1:15" x14ac:dyDescent="0.2">
      <c r="A19" s="89" t="s">
        <v>70</v>
      </c>
      <c r="B19" s="91">
        <v>84</v>
      </c>
      <c r="C19" s="91">
        <v>79</v>
      </c>
      <c r="D19" s="91">
        <v>82</v>
      </c>
      <c r="E19" s="91">
        <v>89</v>
      </c>
      <c r="F19" s="91">
        <v>91</v>
      </c>
      <c r="G19" s="91">
        <v>110</v>
      </c>
      <c r="H19" s="91">
        <v>114</v>
      </c>
      <c r="I19" s="91">
        <v>107</v>
      </c>
      <c r="J19" s="91">
        <v>81</v>
      </c>
      <c r="K19" s="91">
        <v>79</v>
      </c>
      <c r="L19" s="91">
        <v>65</v>
      </c>
      <c r="M19" s="91">
        <v>66</v>
      </c>
      <c r="N19" s="91">
        <v>79</v>
      </c>
      <c r="O19" s="91">
        <v>101</v>
      </c>
    </row>
    <row r="20" spans="1:15" x14ac:dyDescent="0.2">
      <c r="A20" s="89" t="s">
        <v>71</v>
      </c>
      <c r="B20" s="91">
        <v>2312</v>
      </c>
      <c r="C20" s="91">
        <v>2992</v>
      </c>
      <c r="D20" s="91">
        <v>3376</v>
      </c>
      <c r="E20" s="91">
        <v>3413</v>
      </c>
      <c r="F20" s="91">
        <v>3559</v>
      </c>
      <c r="G20" s="91">
        <v>3783</v>
      </c>
      <c r="H20" s="91">
        <v>3979</v>
      </c>
      <c r="I20" s="91">
        <v>4219</v>
      </c>
      <c r="J20" s="91">
        <v>4465</v>
      </c>
      <c r="K20" s="91">
        <v>4715</v>
      </c>
      <c r="L20" s="91">
        <v>4980</v>
      </c>
      <c r="M20" s="91">
        <v>5293</v>
      </c>
      <c r="N20" s="91">
        <v>5628</v>
      </c>
      <c r="O20" s="91">
        <v>5975</v>
      </c>
    </row>
    <row r="21" spans="1:15" x14ac:dyDescent="0.2">
      <c r="A21" s="89" t="s">
        <v>72</v>
      </c>
      <c r="B21" s="91">
        <v>207</v>
      </c>
      <c r="C21" s="91">
        <v>262</v>
      </c>
      <c r="D21" s="91">
        <v>332</v>
      </c>
      <c r="E21" s="91">
        <v>357</v>
      </c>
      <c r="F21" s="91">
        <v>380</v>
      </c>
      <c r="G21" s="91">
        <v>403</v>
      </c>
      <c r="H21" s="91">
        <v>433</v>
      </c>
      <c r="I21" s="91">
        <v>456</v>
      </c>
      <c r="J21" s="91">
        <v>481</v>
      </c>
      <c r="K21" s="91">
        <v>506</v>
      </c>
      <c r="L21" s="91">
        <v>531</v>
      </c>
      <c r="M21" s="91">
        <v>556</v>
      </c>
      <c r="N21" s="91">
        <v>581</v>
      </c>
      <c r="O21" s="91">
        <v>606</v>
      </c>
    </row>
    <row r="22" spans="1:15" x14ac:dyDescent="0.2">
      <c r="A22" s="89" t="s">
        <v>83</v>
      </c>
      <c r="B22" s="91">
        <v>2603</v>
      </c>
      <c r="C22" s="91">
        <v>3333</v>
      </c>
      <c r="D22" s="91">
        <v>3790</v>
      </c>
      <c r="E22" s="91">
        <v>3859</v>
      </c>
      <c r="F22" s="91">
        <v>4030</v>
      </c>
      <c r="G22" s="91">
        <v>4296</v>
      </c>
      <c r="H22" s="91">
        <v>4527</v>
      </c>
      <c r="I22" s="91">
        <v>4782</v>
      </c>
      <c r="J22" s="91">
        <v>5027</v>
      </c>
      <c r="K22" s="91">
        <v>5299</v>
      </c>
      <c r="L22" s="91">
        <v>5576</v>
      </c>
      <c r="M22" s="91">
        <v>5915</v>
      </c>
      <c r="N22" s="91">
        <v>6288</v>
      </c>
      <c r="O22" s="91">
        <v>6682</v>
      </c>
    </row>
    <row r="23" spans="1:15" x14ac:dyDescent="0.2">
      <c r="A23" s="89" t="s">
        <v>74</v>
      </c>
      <c r="O23" s="91"/>
    </row>
    <row r="24" spans="1:15" x14ac:dyDescent="0.2">
      <c r="A24" s="89" t="s">
        <v>191</v>
      </c>
      <c r="B24" s="91">
        <v>1108</v>
      </c>
      <c r="C24" s="91">
        <v>2375</v>
      </c>
      <c r="D24" s="91">
        <v>3483</v>
      </c>
      <c r="E24" s="91">
        <v>3383</v>
      </c>
      <c r="F24" s="91">
        <v>3852</v>
      </c>
      <c r="G24" s="91">
        <v>3937</v>
      </c>
      <c r="H24" s="91">
        <v>4250</v>
      </c>
      <c r="I24" s="91">
        <v>4530</v>
      </c>
      <c r="J24" s="91">
        <v>4762</v>
      </c>
      <c r="K24" s="91">
        <v>4998</v>
      </c>
      <c r="L24" s="91">
        <v>5334</v>
      </c>
      <c r="M24" s="91">
        <v>5755</v>
      </c>
      <c r="N24" s="91">
        <v>6114</v>
      </c>
      <c r="O24" s="91">
        <v>6449</v>
      </c>
    </row>
    <row r="25" spans="1:15" x14ac:dyDescent="0.2">
      <c r="A25" s="89" t="s">
        <v>192</v>
      </c>
      <c r="B25" s="91">
        <v>906</v>
      </c>
      <c r="C25" s="91">
        <v>751</v>
      </c>
      <c r="D25" s="91">
        <v>783</v>
      </c>
      <c r="E25" s="91">
        <v>786</v>
      </c>
      <c r="F25" s="91">
        <v>514</v>
      </c>
      <c r="G25" s="91">
        <v>286</v>
      </c>
      <c r="H25" s="91">
        <v>275</v>
      </c>
      <c r="I25" s="91">
        <v>302</v>
      </c>
      <c r="J25" s="91">
        <v>266</v>
      </c>
      <c r="K25" s="91">
        <v>241</v>
      </c>
      <c r="L25" s="91">
        <v>197</v>
      </c>
      <c r="M25" s="91">
        <v>168</v>
      </c>
      <c r="N25" s="91">
        <v>131</v>
      </c>
      <c r="O25" s="91">
        <v>98</v>
      </c>
    </row>
    <row r="26" spans="1:15" x14ac:dyDescent="0.2">
      <c r="A26" s="89" t="s">
        <v>193</v>
      </c>
      <c r="B26" s="91">
        <v>202</v>
      </c>
      <c r="C26" s="91">
        <v>1624</v>
      </c>
      <c r="D26" s="91">
        <v>2699</v>
      </c>
      <c r="E26" s="91">
        <v>2597</v>
      </c>
      <c r="F26" s="91">
        <v>3338</v>
      </c>
      <c r="G26" s="91">
        <v>3652</v>
      </c>
      <c r="H26" s="91">
        <v>3974</v>
      </c>
      <c r="I26" s="91">
        <v>4227</v>
      </c>
      <c r="J26" s="91">
        <v>4496</v>
      </c>
      <c r="K26" s="91">
        <v>4757</v>
      </c>
      <c r="L26" s="91">
        <v>5137</v>
      </c>
      <c r="M26" s="91">
        <v>5587</v>
      </c>
      <c r="N26" s="91">
        <v>5984</v>
      </c>
      <c r="O26" s="91">
        <v>6351</v>
      </c>
    </row>
    <row r="27" spans="1:15" x14ac:dyDescent="0.2">
      <c r="A27" s="89" t="s">
        <v>194</v>
      </c>
      <c r="B27" s="91">
        <v>0</v>
      </c>
      <c r="C27" s="91">
        <v>0</v>
      </c>
      <c r="D27" s="91">
        <v>0</v>
      </c>
      <c r="E27" s="91">
        <v>0</v>
      </c>
      <c r="F27" s="91">
        <v>0</v>
      </c>
      <c r="G27" s="91">
        <v>0</v>
      </c>
      <c r="H27" s="91">
        <v>0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</row>
    <row r="28" spans="1:15" x14ac:dyDescent="0.2">
      <c r="A28" s="89" t="s">
        <v>159</v>
      </c>
      <c r="B28" s="91">
        <v>574</v>
      </c>
      <c r="C28" s="91">
        <v>133</v>
      </c>
      <c r="D28" s="91">
        <v>23</v>
      </c>
      <c r="E28" s="91">
        <v>354</v>
      </c>
      <c r="F28" s="91">
        <v>42</v>
      </c>
      <c r="G28" s="91">
        <v>219</v>
      </c>
      <c r="H28" s="91">
        <v>142</v>
      </c>
      <c r="I28" s="91">
        <v>145</v>
      </c>
      <c r="J28" s="91">
        <v>166</v>
      </c>
      <c r="K28" s="91">
        <v>209</v>
      </c>
      <c r="L28" s="91">
        <v>152</v>
      </c>
      <c r="M28" s="91">
        <v>56</v>
      </c>
      <c r="N28" s="91">
        <v>47</v>
      </c>
      <c r="O28" s="91">
        <v>132</v>
      </c>
    </row>
    <row r="29" spans="1:15" x14ac:dyDescent="0.2">
      <c r="A29" s="89" t="s">
        <v>79</v>
      </c>
      <c r="B29" s="91">
        <v>839</v>
      </c>
      <c r="C29" s="91">
        <v>743</v>
      </c>
      <c r="D29" s="91">
        <v>194</v>
      </c>
      <c r="E29" s="91">
        <v>31</v>
      </c>
      <c r="F29" s="91">
        <v>25</v>
      </c>
      <c r="G29" s="91">
        <v>25</v>
      </c>
      <c r="H29" s="91">
        <v>28</v>
      </c>
      <c r="I29" s="91">
        <v>26</v>
      </c>
      <c r="J29" s="91">
        <v>20</v>
      </c>
      <c r="K29" s="91">
        <v>27</v>
      </c>
      <c r="L29" s="91">
        <v>25</v>
      </c>
      <c r="M29" s="91">
        <v>25</v>
      </c>
      <c r="N29" s="91">
        <v>25</v>
      </c>
      <c r="O29" s="91">
        <v>25</v>
      </c>
    </row>
    <row r="30" spans="1:15" x14ac:dyDescent="0.2">
      <c r="A30" s="89" t="s">
        <v>85</v>
      </c>
      <c r="B30" s="91">
        <v>2522</v>
      </c>
      <c r="C30" s="91">
        <v>3251</v>
      </c>
      <c r="D30" s="91">
        <v>3701</v>
      </c>
      <c r="E30" s="91">
        <v>3768</v>
      </c>
      <c r="F30" s="91">
        <v>3920</v>
      </c>
      <c r="G30" s="91">
        <v>4182</v>
      </c>
      <c r="H30" s="91">
        <v>4420</v>
      </c>
      <c r="I30" s="91">
        <v>4701</v>
      </c>
      <c r="J30" s="91">
        <v>4948</v>
      </c>
      <c r="K30" s="91">
        <v>5234</v>
      </c>
      <c r="L30" s="91">
        <v>5510</v>
      </c>
      <c r="M30" s="91">
        <v>5836</v>
      </c>
      <c r="N30" s="91">
        <v>6186</v>
      </c>
      <c r="O30" s="91">
        <v>6606</v>
      </c>
    </row>
    <row r="31" spans="1:15" x14ac:dyDescent="0.2">
      <c r="A31" s="89" t="s">
        <v>81</v>
      </c>
      <c r="B31" s="91">
        <v>82</v>
      </c>
      <c r="C31" s="91">
        <v>82</v>
      </c>
      <c r="D31" s="91">
        <v>89</v>
      </c>
      <c r="E31" s="91">
        <v>91</v>
      </c>
      <c r="F31" s="91">
        <v>110</v>
      </c>
      <c r="G31" s="91">
        <v>114</v>
      </c>
      <c r="H31" s="91">
        <v>107</v>
      </c>
      <c r="I31" s="91">
        <v>81</v>
      </c>
      <c r="J31" s="91">
        <v>79</v>
      </c>
      <c r="K31" s="91">
        <v>65</v>
      </c>
      <c r="L31" s="91">
        <v>66</v>
      </c>
      <c r="M31" s="91">
        <v>79</v>
      </c>
      <c r="N31" s="91">
        <v>101</v>
      </c>
      <c r="O31" s="91">
        <v>76</v>
      </c>
    </row>
    <row r="32" spans="1:15" x14ac:dyDescent="0.2">
      <c r="A32" s="89" t="s">
        <v>179</v>
      </c>
      <c r="C32" s="91">
        <v>51.59</v>
      </c>
      <c r="D32" s="91">
        <v>65.59</v>
      </c>
      <c r="E32" s="91">
        <v>62.9</v>
      </c>
      <c r="F32" s="91">
        <v>63.9</v>
      </c>
      <c r="G32" s="91">
        <v>61.5</v>
      </c>
      <c r="H32" s="91">
        <v>54.1</v>
      </c>
      <c r="I32" s="91">
        <v>49.8</v>
      </c>
      <c r="J32" s="91">
        <v>54.7</v>
      </c>
      <c r="K32" s="91">
        <v>63.2</v>
      </c>
      <c r="L32" s="91">
        <v>62.7</v>
      </c>
      <c r="M32" s="91">
        <v>56.7</v>
      </c>
      <c r="N32" s="91">
        <v>61.7</v>
      </c>
      <c r="O32" s="91">
        <v>68.599999999999994</v>
      </c>
    </row>
    <row r="33" spans="1:1" x14ac:dyDescent="0.2">
      <c r="A33" s="89"/>
    </row>
    <row r="34" spans="1:1" x14ac:dyDescent="0.2">
      <c r="A34" s="89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A915-058A-470F-A03A-F2D5D3E9EF2E}">
  <dimension ref="A1:O34"/>
  <sheetViews>
    <sheetView workbookViewId="0">
      <selection activeCell="M14" sqref="M14"/>
    </sheetView>
  </sheetViews>
  <sheetFormatPr defaultColWidth="9" defaultRowHeight="15" x14ac:dyDescent="0.2"/>
  <cols>
    <col min="1" max="1" width="58.6640625" bestFit="1" customWidth="1"/>
    <col min="2" max="2" width="10.33203125" style="91" hidden="1" customWidth="1"/>
    <col min="3" max="6" width="10.33203125" style="91" bestFit="1" customWidth="1"/>
    <col min="7" max="14" width="11.33203125" style="91" bestFit="1" customWidth="1"/>
    <col min="15" max="15" width="11.33203125" customWidth="1"/>
  </cols>
  <sheetData>
    <row r="1" spans="1:15" ht="18" x14ac:dyDescent="0.25">
      <c r="A1" s="88" t="s">
        <v>212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5" ht="15.75" x14ac:dyDescent="0.25">
      <c r="A2" s="89" t="s">
        <v>190</v>
      </c>
      <c r="B2" s="90">
        <f>'Veg Oils Comp'!B2</f>
        <v>2019</v>
      </c>
      <c r="C2" s="90">
        <f>'Veg Oils Comp'!C2</f>
        <v>2020</v>
      </c>
      <c r="D2" s="90">
        <f>'Veg Oils Comp'!D2</f>
        <v>2021</v>
      </c>
      <c r="E2" s="90">
        <f>'Veg Oils Comp'!E2</f>
        <v>2022</v>
      </c>
      <c r="F2" s="90">
        <f>'Veg Oils Comp'!F2</f>
        <v>2023</v>
      </c>
      <c r="G2" s="90">
        <f>'Veg Oils Comp'!G2</f>
        <v>2024</v>
      </c>
      <c r="H2" s="90">
        <f>'Veg Oils Comp'!H2</f>
        <v>2025</v>
      </c>
      <c r="I2" s="90">
        <f>'Veg Oils Comp'!I2</f>
        <v>2026</v>
      </c>
      <c r="J2" s="90">
        <f>'Veg Oils Comp'!J2</f>
        <v>2027</v>
      </c>
      <c r="K2" s="90">
        <f>'Veg Oils Comp'!K2</f>
        <v>2028</v>
      </c>
      <c r="L2" s="90">
        <f>'Veg Oils Comp'!L2</f>
        <v>2029</v>
      </c>
      <c r="M2" s="90">
        <f>'Veg Oils Comp'!M2</f>
        <v>2030</v>
      </c>
      <c r="N2" s="90">
        <f>'Veg Oils Comp'!N2</f>
        <v>2031</v>
      </c>
      <c r="O2" s="90">
        <f>'Veg Oils Comp'!O2</f>
        <v>2032</v>
      </c>
    </row>
    <row r="3" spans="1:15" x14ac:dyDescent="0.2">
      <c r="A3" s="89" t="s">
        <v>70</v>
      </c>
      <c r="B3" s="91">
        <f>'Yellow Grease'!AB4-B19</f>
        <v>0.33680000000000021</v>
      </c>
      <c r="C3" s="91">
        <f>'Yellow Grease'!AC4-C19</f>
        <v>6.2000000000001165E-2</v>
      </c>
      <c r="D3" s="91">
        <f>'Yellow Grease'!AD4-D19</f>
        <v>-0.19669999999999987</v>
      </c>
      <c r="E3" s="91">
        <f>'Yellow Grease'!AE4-E19</f>
        <v>-0.90150000000000041</v>
      </c>
      <c r="F3" s="91">
        <f>'Yellow Grease'!AF4-F19</f>
        <v>-23.1023</v>
      </c>
      <c r="G3" s="91">
        <f>'Yellow Grease'!AG4-G19</f>
        <v>-79.650000000000006</v>
      </c>
      <c r="H3" s="91">
        <f>'Yellow Grease'!AH4-H19</f>
        <v>-104.34</v>
      </c>
      <c r="I3" s="91">
        <f>'Yellow Grease'!AI4-I19</f>
        <v>-151.99725051542913</v>
      </c>
      <c r="J3" s="91">
        <f>'Yellow Grease'!AJ4-J19</f>
        <v>-110.27388231698407</v>
      </c>
      <c r="K3" s="91">
        <f>'Yellow Grease'!AK4-K19</f>
        <v>-122.41736553618946</v>
      </c>
      <c r="L3" s="91">
        <f>'Yellow Grease'!AL4-L19</f>
        <v>-106.39907239801914</v>
      </c>
      <c r="M3" s="91">
        <f>'Yellow Grease'!AM4-M19</f>
        <v>-110.33710676466291</v>
      </c>
      <c r="N3" s="91">
        <f>'Yellow Grease'!AN4-N19</f>
        <v>-114.68006440983058</v>
      </c>
      <c r="O3" s="91">
        <f>'Yellow Grease'!AO4-O19</f>
        <v>-117.59849336883593</v>
      </c>
    </row>
    <row r="4" spans="1:15" x14ac:dyDescent="0.2">
      <c r="A4" s="89" t="s">
        <v>71</v>
      </c>
      <c r="B4" s="91">
        <f>'Yellow Grease'!AB5-B20</f>
        <v>555.19175000000018</v>
      </c>
      <c r="C4" s="91">
        <f>'Yellow Grease'!AC5-C20</f>
        <v>-87.716250000000173</v>
      </c>
      <c r="D4" s="91">
        <f>'Yellow Grease'!AD5-D20</f>
        <v>34.134999999999991</v>
      </c>
      <c r="E4" s="91">
        <f>'Yellow Grease'!AE5-E20</f>
        <v>-80.465750000000071</v>
      </c>
      <c r="F4" s="91">
        <f>'Yellow Grease'!AF5-F20</f>
        <v>219.58399999999983</v>
      </c>
      <c r="G4" s="91">
        <f>'Yellow Grease'!AG5-G20</f>
        <v>595.07500000000073</v>
      </c>
      <c r="H4" s="91">
        <f>'Yellow Grease'!AH5-H20</f>
        <v>593.34975367405741</v>
      </c>
      <c r="I4" s="91">
        <f>'Yellow Grease'!AI5-I20</f>
        <v>692.67906651639987</v>
      </c>
      <c r="J4" s="91">
        <f>'Yellow Grease'!AJ5-J20</f>
        <v>970.04137006184283</v>
      </c>
      <c r="K4" s="91">
        <f>'Yellow Grease'!AK5-K20</f>
        <v>1001.8814748024829</v>
      </c>
      <c r="L4" s="91">
        <f>'Yellow Grease'!AL5-L20</f>
        <v>827.20604075007395</v>
      </c>
      <c r="M4" s="91">
        <f>'Yellow Grease'!AM5-M20</f>
        <v>1246.4196581373944</v>
      </c>
      <c r="N4" s="91">
        <f>'Yellow Grease'!AN5-N20</f>
        <v>1599.6504012487248</v>
      </c>
      <c r="O4" s="91">
        <f>'Yellow Grease'!AO5-O20</f>
        <v>2110.1154052396123</v>
      </c>
    </row>
    <row r="5" spans="1:15" x14ac:dyDescent="0.2">
      <c r="A5" s="89" t="s">
        <v>72</v>
      </c>
      <c r="B5" s="91">
        <f>'Yellow Grease'!AB6-B21</f>
        <v>0.24460100000000001</v>
      </c>
      <c r="C5" s="91">
        <f>'Yellow Grease'!AC6-C21</f>
        <v>0</v>
      </c>
      <c r="D5" s="91">
        <f>'Yellow Grease'!AD6-D21</f>
        <v>0</v>
      </c>
      <c r="E5" s="91">
        <f>'Yellow Grease'!AE6-E21</f>
        <v>0</v>
      </c>
      <c r="F5" s="91">
        <f>'Yellow Grease'!AF6-F21</f>
        <v>0</v>
      </c>
      <c r="G5" s="91">
        <f>'Yellow Grease'!AG6-G21</f>
        <v>0</v>
      </c>
      <c r="H5" s="91">
        <f>'Yellow Grease'!AH6-H21</f>
        <v>0</v>
      </c>
      <c r="I5" s="91">
        <f>'Yellow Grease'!AI6-I21</f>
        <v>0</v>
      </c>
      <c r="J5" s="91">
        <f>'Yellow Grease'!AJ6-J21</f>
        <v>0</v>
      </c>
      <c r="K5" s="91">
        <f>'Yellow Grease'!AK6-K21</f>
        <v>0</v>
      </c>
      <c r="L5" s="91">
        <f>'Yellow Grease'!AL6-L21</f>
        <v>0</v>
      </c>
      <c r="M5" s="91">
        <f>'Yellow Grease'!AM6-M21</f>
        <v>0</v>
      </c>
      <c r="N5" s="91">
        <f>'Yellow Grease'!AN6-N21</f>
        <v>0</v>
      </c>
      <c r="O5" s="91">
        <f>'Yellow Grease'!AO6-O21</f>
        <v>0</v>
      </c>
    </row>
    <row r="6" spans="1:15" x14ac:dyDescent="0.2">
      <c r="A6" s="89" t="s">
        <v>83</v>
      </c>
      <c r="B6" s="91">
        <f>'Yellow Grease'!AB7-B22</f>
        <v>555.77315100000033</v>
      </c>
      <c r="C6" s="91">
        <f>'Yellow Grease'!AC7-C22</f>
        <v>-87.654250000000275</v>
      </c>
      <c r="D6" s="91">
        <f>'Yellow Grease'!AD7-D22</f>
        <v>33.938300000000027</v>
      </c>
      <c r="E6" s="91">
        <f>'Yellow Grease'!AE7-E22</f>
        <v>-81.367250000000013</v>
      </c>
      <c r="F6" s="91">
        <f>'Yellow Grease'!AF7-F22</f>
        <v>196.48169999999982</v>
      </c>
      <c r="G6" s="91">
        <f>'Yellow Grease'!AG7-G22</f>
        <v>514.42500000000064</v>
      </c>
      <c r="H6" s="91">
        <f>'Yellow Grease'!AH7-H22</f>
        <v>490.00975367405727</v>
      </c>
      <c r="I6" s="91">
        <f>'Yellow Grease'!AI7-I22</f>
        <v>540.68181600097068</v>
      </c>
      <c r="J6" s="91">
        <f>'Yellow Grease'!AJ7-J22</f>
        <v>860.76748774485895</v>
      </c>
      <c r="K6" s="91">
        <f>'Yellow Grease'!AK7-K22</f>
        <v>879.46410926629324</v>
      </c>
      <c r="L6" s="91">
        <f>'Yellow Grease'!AL7-L22</f>
        <v>720.80696835205481</v>
      </c>
      <c r="M6" s="91">
        <f>'Yellow Grease'!AM7-M22</f>
        <v>1136.0825513727314</v>
      </c>
      <c r="N6" s="91">
        <f>'Yellow Grease'!AN7-N22</f>
        <v>1484.9703368388941</v>
      </c>
      <c r="O6" s="91">
        <f>'Yellow Grease'!AO7-O22</f>
        <v>1992.5169118707763</v>
      </c>
    </row>
    <row r="7" spans="1:15" x14ac:dyDescent="0.2">
      <c r="A7" s="89" t="s">
        <v>74</v>
      </c>
      <c r="O7" s="91"/>
    </row>
    <row r="8" spans="1:15" x14ac:dyDescent="0.2">
      <c r="A8" s="89" t="s">
        <v>191</v>
      </c>
      <c r="B8" s="91">
        <f>'Yellow Grease'!AB9-B24</f>
        <v>9.9369516783998506</v>
      </c>
      <c r="C8" s="91">
        <f>'Yellow Grease'!AC9-C24</f>
        <v>-309.48474247436775</v>
      </c>
      <c r="D8" s="91">
        <f>'Yellow Grease'!AD9-D24</f>
        <v>-492.23649999999998</v>
      </c>
      <c r="E8" s="91">
        <f>'Yellow Grease'!AE9-E24</f>
        <v>-249.18090000000029</v>
      </c>
      <c r="F8" s="91">
        <f>'Yellow Grease'!AF9-F24</f>
        <v>310.15702746222996</v>
      </c>
      <c r="G8" s="91">
        <f>'Yellow Grease'!AG9-G24</f>
        <v>441.82642936726006</v>
      </c>
      <c r="H8" s="91">
        <f>'Yellow Grease'!AH9-H24</f>
        <v>286.56932217800795</v>
      </c>
      <c r="I8" s="91">
        <f>'Yellow Grease'!AI9-I24</f>
        <v>567.55273164583332</v>
      </c>
      <c r="J8" s="91">
        <f>'Yellow Grease'!AJ9-J24</f>
        <v>1052.5321948876349</v>
      </c>
      <c r="K8" s="91">
        <f>'Yellow Grease'!AK9-K24</f>
        <v>976.22726358237969</v>
      </c>
      <c r="L8" s="91">
        <f>'Yellow Grease'!AL9-L24</f>
        <v>859.57123802173146</v>
      </c>
      <c r="M8" s="91">
        <f>'Yellow Grease'!AM9-M24</f>
        <v>1282.5684016316422</v>
      </c>
      <c r="N8" s="91">
        <f>'Yellow Grease'!AN9-N24</f>
        <v>1543.0716642257812</v>
      </c>
      <c r="O8" s="91">
        <f>'Yellow Grease'!AO9-O24</f>
        <v>2279.0148433974837</v>
      </c>
    </row>
    <row r="9" spans="1:15" x14ac:dyDescent="0.2">
      <c r="A9" s="89" t="s">
        <v>192</v>
      </c>
      <c r="B9" s="91">
        <f>'Yellow Grease'!AB10-B25</f>
        <v>-4.7000000000025466E-2</v>
      </c>
      <c r="C9" s="91">
        <f>'Yellow Grease'!AC10-C25</f>
        <v>-143.36699999999996</v>
      </c>
      <c r="D9" s="91">
        <f>'Yellow Grease'!AD10-D25</f>
        <v>27.397452615917473</v>
      </c>
      <c r="E9" s="91">
        <f>'Yellow Grease'!AE10-E25</f>
        <v>144.71493929583096</v>
      </c>
      <c r="F9" s="91">
        <f>'Yellow Grease'!AF10-F25</f>
        <v>465.48666077672965</v>
      </c>
      <c r="G9" s="91">
        <f>'Yellow Grease'!AG10-G25</f>
        <v>724.99299465815443</v>
      </c>
      <c r="H9" s="91">
        <f>'Yellow Grease'!AH10-H25</f>
        <v>639.00730953568291</v>
      </c>
      <c r="I9" s="91">
        <f>'Yellow Grease'!AI10-I25</f>
        <v>503.24681338217363</v>
      </c>
      <c r="J9" s="91">
        <f>'Yellow Grease'!AJ10-J25</f>
        <v>548.90229741641087</v>
      </c>
      <c r="K9" s="91">
        <f>'Yellow Grease'!AK10-K25</f>
        <v>342.48629424194115</v>
      </c>
      <c r="L9" s="91">
        <f>'Yellow Grease'!AL10-L25</f>
        <v>226.38467438511782</v>
      </c>
      <c r="M9" s="91">
        <f>'Yellow Grease'!AM10-M25</f>
        <v>223.89390756061226</v>
      </c>
      <c r="N9" s="91">
        <f>'Yellow Grease'!AN10-N25</f>
        <v>237.41867274074434</v>
      </c>
      <c r="O9" s="91">
        <f>'Yellow Grease'!AO10-O25</f>
        <v>282.00595246419164</v>
      </c>
    </row>
    <row r="10" spans="1:15" x14ac:dyDescent="0.2">
      <c r="A10" s="89" t="s">
        <v>193</v>
      </c>
      <c r="B10" s="91">
        <f>'Yellow Grease'!AB11-B26</f>
        <v>9.9839516783998477</v>
      </c>
      <c r="C10" s="91">
        <f>'Yellow Grease'!AC11-C26</f>
        <v>-166.11774247436776</v>
      </c>
      <c r="D10" s="91">
        <f>'Yellow Grease'!AD11-D26</f>
        <v>-519.63395261591745</v>
      </c>
      <c r="E10" s="91">
        <f>'Yellow Grease'!AE11-E26</f>
        <v>-393.89583929583114</v>
      </c>
      <c r="F10" s="91">
        <f>'Yellow Grease'!AF11-F26</f>
        <v>-154.32963331449992</v>
      </c>
      <c r="G10" s="91">
        <f>'Yellow Grease'!AG11-G26</f>
        <v>-282.16656529089437</v>
      </c>
      <c r="H10" s="91">
        <f>'Yellow Grease'!AH11-H26</f>
        <v>-351.43798735767496</v>
      </c>
      <c r="I10" s="91">
        <f>'Yellow Grease'!AI11-I26</f>
        <v>64.305918263659578</v>
      </c>
      <c r="J10" s="91">
        <f>'Yellow Grease'!AJ11-J26</f>
        <v>503.62989747122401</v>
      </c>
      <c r="K10" s="91">
        <f>'Yellow Grease'!AK11-K26</f>
        <v>633.74096934043837</v>
      </c>
      <c r="L10" s="91">
        <f>'Yellow Grease'!AL11-L26</f>
        <v>633.18656363661376</v>
      </c>
      <c r="M10" s="91">
        <f>'Yellow Grease'!AM11-M26</f>
        <v>1058.67449407103</v>
      </c>
      <c r="N10" s="91">
        <f>'Yellow Grease'!AN11-N26</f>
        <v>1305.6529914850371</v>
      </c>
      <c r="O10" s="91">
        <f>'Yellow Grease'!AO11-O26</f>
        <v>1996.0088909332917</v>
      </c>
    </row>
    <row r="11" spans="1:15" x14ac:dyDescent="0.2">
      <c r="A11" s="89" t="s">
        <v>194</v>
      </c>
      <c r="B11" s="91" t="e">
        <f>'Yellow Grease'!#REF!-B27</f>
        <v>#REF!</v>
      </c>
      <c r="C11" s="91" t="e">
        <f>'Yellow Grease'!#REF!-C27</f>
        <v>#REF!</v>
      </c>
      <c r="D11" s="91" t="e">
        <f>'Yellow Grease'!#REF!-D27</f>
        <v>#REF!</v>
      </c>
      <c r="E11" s="91" t="e">
        <f>'Yellow Grease'!#REF!-E27</f>
        <v>#REF!</v>
      </c>
      <c r="F11" s="91" t="e">
        <f>'Yellow Grease'!#REF!-F27</f>
        <v>#REF!</v>
      </c>
      <c r="G11" s="91" t="e">
        <f>'Yellow Grease'!#REF!-G27</f>
        <v>#REF!</v>
      </c>
      <c r="H11" s="91" t="e">
        <f>'Yellow Grease'!#REF!-H27</f>
        <v>#REF!</v>
      </c>
      <c r="I11" s="91" t="e">
        <f>'Yellow Grease'!#REF!-I27</f>
        <v>#REF!</v>
      </c>
      <c r="J11" s="91" t="e">
        <f>'Yellow Grease'!#REF!-J27</f>
        <v>#REF!</v>
      </c>
      <c r="K11" s="91" t="e">
        <f>'Yellow Grease'!#REF!-K27</f>
        <v>#REF!</v>
      </c>
      <c r="L11" s="91" t="e">
        <f>'Yellow Grease'!#REF!-L27</f>
        <v>#REF!</v>
      </c>
      <c r="M11" s="91" t="e">
        <f>'Yellow Grease'!#REF!-M27</f>
        <v>#REF!</v>
      </c>
      <c r="N11" s="91" t="e">
        <f>'Yellow Grease'!#REF!-N27</f>
        <v>#REF!</v>
      </c>
      <c r="O11" s="91" t="e">
        <f>'Yellow Grease'!#REF!-O27</f>
        <v>#REF!</v>
      </c>
    </row>
    <row r="12" spans="1:15" x14ac:dyDescent="0.2">
      <c r="A12" s="89" t="s">
        <v>159</v>
      </c>
      <c r="B12" s="91">
        <f>'Yellow Grease'!AB12-B28</f>
        <v>726.32945932160067</v>
      </c>
      <c r="C12" s="91">
        <f>'Yellow Grease'!AC12-C28</f>
        <v>217.99845547436757</v>
      </c>
      <c r="D12" s="91">
        <f>'Yellow Grease'!AD12-D28</f>
        <v>527.03156800000011</v>
      </c>
      <c r="E12" s="91">
        <f>'Yellow Grease'!AE12-E28</f>
        <v>197.7204820000004</v>
      </c>
      <c r="F12" s="91">
        <f>'Yellow Grease'!AF12-F28</f>
        <v>-27.737688462230153</v>
      </c>
      <c r="G12" s="91">
        <f>'Yellow Grease'!AG12-G28</f>
        <v>181.53655863274071</v>
      </c>
      <c r="H12" s="91">
        <f>'Yellow Grease'!AH12-H28</f>
        <v>359.37843149604942</v>
      </c>
      <c r="I12" s="91">
        <f>'Yellow Grease'!AI12-I28</f>
        <v>89.067084355137467</v>
      </c>
      <c r="J12" s="91">
        <f>'Yellow Grease'!AJ12-J28</f>
        <v>-63.826707142775831</v>
      </c>
      <c r="K12" s="91">
        <f>'Yellow Grease'!AK12-K28</f>
        <v>16.174845683913645</v>
      </c>
      <c r="L12" s="91">
        <f>'Yellow Grease'!AL12-L28</f>
        <v>-24.826269669676549</v>
      </c>
      <c r="M12" s="91">
        <f>'Yellow Grease'!AM12-M28</f>
        <v>-29.547850258910785</v>
      </c>
      <c r="N12" s="91">
        <f>'Yellow Grease'!AN12-N28</f>
        <v>63.836672613113024</v>
      </c>
      <c r="O12" s="91">
        <f>'Yellow Grease'!AO12-O28</f>
        <v>-76.55993152670726</v>
      </c>
    </row>
    <row r="13" spans="1:15" x14ac:dyDescent="0.2">
      <c r="A13" s="89" t="s">
        <v>79</v>
      </c>
      <c r="B13" s="91">
        <f>'Yellow Grease'!AB13-B29</f>
        <v>-180.55525999999998</v>
      </c>
      <c r="C13" s="91">
        <f>'Yellow Grease'!AC13-C29</f>
        <v>3.7700370000000403</v>
      </c>
      <c r="D13" s="91">
        <f>'Yellow Grease'!AD13-D29</f>
        <v>1.0812320000000009</v>
      </c>
      <c r="E13" s="91">
        <f>'Yellow Grease'!AE13-E29</f>
        <v>-5.9688319999999999</v>
      </c>
      <c r="F13" s="91">
        <f>'Yellow Grease'!AF13-F29</f>
        <v>-4.9996390000000002</v>
      </c>
      <c r="G13" s="91">
        <f>'Yellow Grease'!AG13-G29</f>
        <v>-4.9999880000000001</v>
      </c>
      <c r="H13" s="91">
        <f>'Yellow Grease'!AH13-H29</f>
        <v>-5</v>
      </c>
      <c r="I13" s="91">
        <f>'Yellow Grease'!AI13-I29</f>
        <v>-5</v>
      </c>
      <c r="J13" s="91">
        <f>'Yellow Grease'!AJ13-J29</f>
        <v>-5</v>
      </c>
      <c r="K13" s="91">
        <f>'Yellow Grease'!AK13-K29</f>
        <v>-5</v>
      </c>
      <c r="L13" s="91">
        <f>'Yellow Grease'!AL13-L29</f>
        <v>-5</v>
      </c>
      <c r="M13" s="91">
        <f>'Yellow Grease'!AM13-M29</f>
        <v>-5</v>
      </c>
      <c r="N13" s="91">
        <f>'Yellow Grease'!AN13-N29</f>
        <v>-5</v>
      </c>
      <c r="O13" s="91">
        <f>'Yellow Grease'!AO13-O29</f>
        <v>-5</v>
      </c>
    </row>
    <row r="14" spans="1:15" x14ac:dyDescent="0.2">
      <c r="A14" s="89" t="s">
        <v>85</v>
      </c>
      <c r="B14" s="91">
        <f>'Yellow Grease'!AB14-B30</f>
        <v>555.71115100000043</v>
      </c>
      <c r="C14" s="91">
        <f>'Yellow Grease'!AC14-C30</f>
        <v>-87.716250000000173</v>
      </c>
      <c r="D14" s="91">
        <f>'Yellow Grease'!AD14-D30</f>
        <v>34.876300000000128</v>
      </c>
      <c r="E14" s="91">
        <f>'Yellow Grease'!AE14-E30</f>
        <v>-57.429249999999911</v>
      </c>
      <c r="F14" s="91">
        <f>'Yellow Grease'!AF14-F30</f>
        <v>277.41969999999992</v>
      </c>
      <c r="G14" s="91">
        <f>'Yellow Grease'!AG14-G30</f>
        <v>619.36300000000074</v>
      </c>
      <c r="H14" s="91">
        <f>'Yellow Grease'!AH14-H30</f>
        <v>640.94775367405737</v>
      </c>
      <c r="I14" s="91">
        <f>'Yellow Grease'!AI14-I30</f>
        <v>651.61981600097079</v>
      </c>
      <c r="J14" s="91">
        <f>'Yellow Grease'!AJ14-J30</f>
        <v>983.70548774485906</v>
      </c>
      <c r="K14" s="91">
        <f>'Yellow Grease'!AK14-K30</f>
        <v>987.40210926629334</v>
      </c>
      <c r="L14" s="91">
        <f>'Yellow Grease'!AL14-L30</f>
        <v>829.74496835205491</v>
      </c>
      <c r="M14" s="91">
        <f>'Yellow Grease'!AM14-M30</f>
        <v>1249.0205513727315</v>
      </c>
      <c r="N14" s="91">
        <f>'Yellow Grease'!AN14-N30</f>
        <v>1601.9083368388942</v>
      </c>
      <c r="O14" s="91">
        <f>'Yellow Grease'!AO14-O30</f>
        <v>2197.4549118707764</v>
      </c>
    </row>
    <row r="15" spans="1:15" x14ac:dyDescent="0.2">
      <c r="A15" s="89" t="s">
        <v>81</v>
      </c>
      <c r="B15" s="91">
        <f>'Yellow Grease'!AB15-B31</f>
        <v>6.2000000000001165E-2</v>
      </c>
      <c r="C15" s="91">
        <f>'Yellow Grease'!AC15-C31</f>
        <v>6.2000000000001165E-2</v>
      </c>
      <c r="D15" s="91">
        <f>'Yellow Grease'!AD15-D31</f>
        <v>-0.93799999999999883</v>
      </c>
      <c r="E15" s="91">
        <f>'Yellow Grease'!AE15-E31</f>
        <v>-23.937999999999999</v>
      </c>
      <c r="F15" s="91">
        <f>'Yellow Grease'!AF15-F31</f>
        <v>-80.938000000000002</v>
      </c>
      <c r="G15" s="91">
        <f>'Yellow Grease'!AG15-G31</f>
        <v>-104.938</v>
      </c>
      <c r="H15" s="91">
        <f>'Yellow Grease'!AH15-H31</f>
        <v>-150.93799999999999</v>
      </c>
      <c r="I15" s="91">
        <f>'Yellow Grease'!AI15-I31</f>
        <v>-110.938</v>
      </c>
      <c r="J15" s="91">
        <f>'Yellow Grease'!AJ15-J31</f>
        <v>-122.938</v>
      </c>
      <c r="K15" s="91">
        <f>'Yellow Grease'!AK15-K31</f>
        <v>-108.938</v>
      </c>
      <c r="L15" s="91">
        <f>'Yellow Grease'!AL15-L31</f>
        <v>-108.938</v>
      </c>
      <c r="M15" s="91">
        <f>'Yellow Grease'!AM15-M31</f>
        <v>-112.938</v>
      </c>
      <c r="N15" s="91">
        <f>'Yellow Grease'!AN15-N31</f>
        <v>-117.938</v>
      </c>
      <c r="O15" s="91">
        <f>'Yellow Grease'!AO15-O31</f>
        <v>-204.93799999999999</v>
      </c>
    </row>
    <row r="16" spans="1:15" x14ac:dyDescent="0.2">
      <c r="A16" s="89" t="s">
        <v>183</v>
      </c>
      <c r="B16" s="91">
        <f>'Yellow Grease'!AB16-B32</f>
        <v>21.278849999999998</v>
      </c>
      <c r="C16" s="91">
        <f>'Yellow Grease'!AC16-C32</f>
        <v>-20.599299999999999</v>
      </c>
      <c r="D16" s="91">
        <f>'Yellow Grease'!AD16-D32</f>
        <v>-17.737499999999997</v>
      </c>
      <c r="E16" s="91">
        <f>'Yellow Grease'!AE16-E32</f>
        <v>2.2999999999999972</v>
      </c>
      <c r="F16" s="91">
        <f>'Yellow Grease'!AF16-F32</f>
        <v>-7.5204500000000039</v>
      </c>
      <c r="G16" s="91">
        <f>'Yellow Grease'!AG16-G32</f>
        <v>-14.5</v>
      </c>
      <c r="H16" s="91">
        <f>'Yellow Grease'!AH16-H32</f>
        <v>-6.25</v>
      </c>
      <c r="I16" s="91">
        <f>'Yellow Grease'!AI16-I32</f>
        <v>-9.8999999999999986</v>
      </c>
      <c r="J16" s="91">
        <f>'Yellow Grease'!AJ16-J32</f>
        <v>-14.325000000000003</v>
      </c>
      <c r="K16" s="91">
        <f>'Yellow Grease'!AK16-K32</f>
        <v>-23.299999999999997</v>
      </c>
      <c r="L16" s="91">
        <f>'Yellow Grease'!AL16-L32</f>
        <v>-21.15</v>
      </c>
      <c r="M16" s="91">
        <f>'Yellow Grease'!AM16-M32</f>
        <v>-12.725000000000001</v>
      </c>
      <c r="N16" s="91">
        <f>'Yellow Grease'!AN16-N32</f>
        <v>-17.200000000000003</v>
      </c>
      <c r="O16" s="91">
        <f>'Yellow Grease'!AO16-O32</f>
        <v>-24.325000000000003</v>
      </c>
    </row>
    <row r="17" spans="1:15" x14ac:dyDescent="0.2">
      <c r="A17" s="89"/>
    </row>
    <row r="18" spans="1:15" x14ac:dyDescent="0.2">
      <c r="A18" s="89"/>
    </row>
    <row r="19" spans="1:15" x14ac:dyDescent="0.2">
      <c r="A19" s="89" t="s">
        <v>70</v>
      </c>
      <c r="B19" s="91">
        <v>9</v>
      </c>
      <c r="C19" s="91">
        <v>9</v>
      </c>
      <c r="D19" s="91">
        <v>9</v>
      </c>
      <c r="E19" s="91">
        <v>10</v>
      </c>
      <c r="F19" s="91">
        <v>33</v>
      </c>
      <c r="G19" s="91">
        <v>90</v>
      </c>
      <c r="H19" s="91">
        <v>114</v>
      </c>
      <c r="I19" s="91">
        <v>160</v>
      </c>
      <c r="J19" s="91">
        <v>120</v>
      </c>
      <c r="K19" s="91">
        <v>132</v>
      </c>
      <c r="L19" s="91">
        <v>118</v>
      </c>
      <c r="M19" s="91">
        <v>118</v>
      </c>
      <c r="N19" s="91">
        <v>122</v>
      </c>
      <c r="O19" s="91">
        <v>127</v>
      </c>
    </row>
    <row r="20" spans="1:15" x14ac:dyDescent="0.2">
      <c r="A20" s="89" t="s">
        <v>71</v>
      </c>
      <c r="B20" s="91">
        <v>1111</v>
      </c>
      <c r="C20" s="91">
        <v>1653</v>
      </c>
      <c r="D20" s="91">
        <v>1619</v>
      </c>
      <c r="E20" s="91">
        <v>1790</v>
      </c>
      <c r="F20" s="91">
        <v>1804</v>
      </c>
      <c r="G20" s="91">
        <v>1832</v>
      </c>
      <c r="H20" s="91">
        <v>1853</v>
      </c>
      <c r="I20" s="91">
        <v>1888</v>
      </c>
      <c r="J20" s="91">
        <v>1934</v>
      </c>
      <c r="K20" s="91">
        <v>1992</v>
      </c>
      <c r="L20" s="91">
        <v>2035</v>
      </c>
      <c r="M20" s="91">
        <v>2087</v>
      </c>
      <c r="N20" s="91">
        <v>2130</v>
      </c>
      <c r="O20" s="91">
        <v>2162</v>
      </c>
    </row>
    <row r="21" spans="1:15" x14ac:dyDescent="0.2">
      <c r="A21" s="89" t="s">
        <v>72</v>
      </c>
      <c r="B21" s="91">
        <v>0</v>
      </c>
      <c r="C21" s="91">
        <v>0</v>
      </c>
      <c r="D21" s="91">
        <v>0</v>
      </c>
      <c r="E21" s="91">
        <v>0</v>
      </c>
      <c r="F21" s="91">
        <v>0</v>
      </c>
      <c r="G21" s="91">
        <v>0</v>
      </c>
      <c r="H21" s="91">
        <v>0</v>
      </c>
      <c r="I21" s="91">
        <v>0</v>
      </c>
      <c r="J21" s="91">
        <v>0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</row>
    <row r="22" spans="1:15" x14ac:dyDescent="0.2">
      <c r="A22" s="89" t="s">
        <v>83</v>
      </c>
      <c r="B22" s="91">
        <v>1120</v>
      </c>
      <c r="C22" s="91">
        <v>1662</v>
      </c>
      <c r="D22" s="91">
        <v>1628</v>
      </c>
      <c r="E22" s="91">
        <v>1800</v>
      </c>
      <c r="F22" s="91">
        <v>1837</v>
      </c>
      <c r="G22" s="91">
        <v>1923</v>
      </c>
      <c r="H22" s="91">
        <v>1966</v>
      </c>
      <c r="I22" s="91">
        <v>2048</v>
      </c>
      <c r="J22" s="91">
        <v>2053</v>
      </c>
      <c r="K22" s="91">
        <v>2124</v>
      </c>
      <c r="L22" s="91">
        <v>2153</v>
      </c>
      <c r="M22" s="91">
        <v>2205</v>
      </c>
      <c r="N22" s="91">
        <v>2252</v>
      </c>
      <c r="O22" s="91">
        <v>2289</v>
      </c>
    </row>
    <row r="23" spans="1:15" x14ac:dyDescent="0.2">
      <c r="A23" s="89" t="s">
        <v>74</v>
      </c>
      <c r="O23" s="91"/>
    </row>
    <row r="24" spans="1:15" x14ac:dyDescent="0.2">
      <c r="A24" s="89" t="s">
        <v>191</v>
      </c>
      <c r="B24" s="91">
        <v>757</v>
      </c>
      <c r="C24" s="91">
        <v>1018</v>
      </c>
      <c r="D24" s="91">
        <v>1510</v>
      </c>
      <c r="E24" s="91">
        <v>1752</v>
      </c>
      <c r="F24" s="91">
        <v>1745</v>
      </c>
      <c r="G24" s="91">
        <v>1775</v>
      </c>
      <c r="H24" s="91">
        <v>1824</v>
      </c>
      <c r="I24" s="91">
        <v>1861</v>
      </c>
      <c r="J24" s="91">
        <v>1900</v>
      </c>
      <c r="K24" s="91">
        <v>1953</v>
      </c>
      <c r="L24" s="91">
        <v>2006</v>
      </c>
      <c r="M24" s="91">
        <v>2047</v>
      </c>
      <c r="N24" s="91">
        <v>2100</v>
      </c>
      <c r="O24" s="91">
        <v>2113</v>
      </c>
    </row>
    <row r="25" spans="1:15" x14ac:dyDescent="0.2">
      <c r="A25" s="89" t="s">
        <v>192</v>
      </c>
      <c r="B25" s="91">
        <v>540</v>
      </c>
      <c r="C25" s="91">
        <v>600</v>
      </c>
      <c r="D25" s="91">
        <v>588</v>
      </c>
      <c r="E25" s="91">
        <v>529</v>
      </c>
      <c r="F25" s="91">
        <v>309</v>
      </c>
      <c r="G25" s="91">
        <v>178</v>
      </c>
      <c r="H25" s="91">
        <v>149</v>
      </c>
      <c r="I25" s="91">
        <v>173</v>
      </c>
      <c r="J25" s="91">
        <v>160</v>
      </c>
      <c r="K25" s="91">
        <v>139</v>
      </c>
      <c r="L25" s="91">
        <v>111</v>
      </c>
      <c r="M25" s="91">
        <v>101</v>
      </c>
      <c r="N25" s="91">
        <v>82</v>
      </c>
      <c r="O25" s="91">
        <v>57</v>
      </c>
    </row>
    <row r="26" spans="1:15" x14ac:dyDescent="0.2">
      <c r="A26" s="89" t="s">
        <v>193</v>
      </c>
      <c r="B26" s="91">
        <v>217</v>
      </c>
      <c r="C26" s="91">
        <v>418</v>
      </c>
      <c r="D26" s="91">
        <v>922</v>
      </c>
      <c r="E26" s="91">
        <v>1223</v>
      </c>
      <c r="F26" s="91">
        <v>1435</v>
      </c>
      <c r="G26" s="91">
        <v>1596</v>
      </c>
      <c r="H26" s="91">
        <v>1674</v>
      </c>
      <c r="I26" s="91">
        <v>1688</v>
      </c>
      <c r="J26" s="91">
        <v>1740</v>
      </c>
      <c r="K26" s="91">
        <v>1814</v>
      </c>
      <c r="L26" s="91">
        <v>1895</v>
      </c>
      <c r="M26" s="91">
        <v>1946</v>
      </c>
      <c r="N26" s="91">
        <v>2018</v>
      </c>
      <c r="O26" s="91">
        <v>2057</v>
      </c>
    </row>
    <row r="27" spans="1:15" x14ac:dyDescent="0.2">
      <c r="A27" s="89" t="s">
        <v>194</v>
      </c>
      <c r="B27" s="91">
        <v>0</v>
      </c>
      <c r="C27" s="91">
        <v>0</v>
      </c>
      <c r="D27" s="91">
        <v>0</v>
      </c>
      <c r="E27" s="91">
        <v>0</v>
      </c>
      <c r="F27" s="91">
        <v>0</v>
      </c>
      <c r="G27" s="91">
        <v>0</v>
      </c>
      <c r="H27" s="91">
        <v>0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</row>
    <row r="28" spans="1:15" x14ac:dyDescent="0.2">
      <c r="A28" s="89" t="s">
        <v>159</v>
      </c>
      <c r="B28" s="91">
        <v>169</v>
      </c>
      <c r="C28" s="91">
        <v>634</v>
      </c>
      <c r="D28" s="91">
        <v>107</v>
      </c>
      <c r="E28" s="91">
        <v>9</v>
      </c>
      <c r="F28" s="91">
        <v>-3</v>
      </c>
      <c r="G28" s="91">
        <v>30</v>
      </c>
      <c r="H28" s="91">
        <v>-23</v>
      </c>
      <c r="I28" s="91">
        <v>62</v>
      </c>
      <c r="J28" s="91">
        <v>16</v>
      </c>
      <c r="K28" s="91">
        <v>49</v>
      </c>
      <c r="L28" s="91">
        <v>24</v>
      </c>
      <c r="M28" s="91">
        <v>32</v>
      </c>
      <c r="N28" s="91">
        <v>21</v>
      </c>
      <c r="O28" s="91">
        <v>-43</v>
      </c>
    </row>
    <row r="29" spans="1:15" x14ac:dyDescent="0.2">
      <c r="A29" s="89" t="s">
        <v>79</v>
      </c>
      <c r="B29" s="91">
        <v>185</v>
      </c>
      <c r="C29" s="91">
        <v>1</v>
      </c>
      <c r="D29" s="91">
        <v>0</v>
      </c>
      <c r="E29" s="91">
        <v>6</v>
      </c>
      <c r="F29" s="91">
        <v>5</v>
      </c>
      <c r="G29" s="91">
        <v>5</v>
      </c>
      <c r="H29" s="91">
        <v>5</v>
      </c>
      <c r="I29" s="91">
        <v>5</v>
      </c>
      <c r="J29" s="91">
        <v>5</v>
      </c>
      <c r="K29" s="91">
        <v>5</v>
      </c>
      <c r="L29" s="91">
        <v>5</v>
      </c>
      <c r="M29" s="91">
        <v>5</v>
      </c>
      <c r="N29" s="91">
        <v>5</v>
      </c>
      <c r="O29" s="91">
        <v>5</v>
      </c>
    </row>
    <row r="30" spans="1:15" x14ac:dyDescent="0.2">
      <c r="A30" s="89" t="s">
        <v>85</v>
      </c>
      <c r="B30" s="91">
        <v>1111</v>
      </c>
      <c r="C30" s="91">
        <v>1653</v>
      </c>
      <c r="D30" s="91">
        <v>1618</v>
      </c>
      <c r="E30" s="91">
        <v>1767</v>
      </c>
      <c r="F30" s="91">
        <v>1747</v>
      </c>
      <c r="G30" s="91">
        <v>1809</v>
      </c>
      <c r="H30" s="91">
        <v>1806</v>
      </c>
      <c r="I30" s="91">
        <v>1928</v>
      </c>
      <c r="J30" s="91">
        <v>1921</v>
      </c>
      <c r="K30" s="91">
        <v>2007</v>
      </c>
      <c r="L30" s="91">
        <v>2035</v>
      </c>
      <c r="M30" s="91">
        <v>2083</v>
      </c>
      <c r="N30" s="91">
        <v>2126</v>
      </c>
      <c r="O30" s="91">
        <v>2075</v>
      </c>
    </row>
    <row r="31" spans="1:15" x14ac:dyDescent="0.2">
      <c r="A31" s="89" t="s">
        <v>81</v>
      </c>
      <c r="B31" s="91">
        <v>9</v>
      </c>
      <c r="C31" s="91">
        <v>9</v>
      </c>
      <c r="D31" s="91">
        <v>10</v>
      </c>
      <c r="E31" s="91">
        <v>33</v>
      </c>
      <c r="F31" s="91">
        <v>90</v>
      </c>
      <c r="G31" s="91">
        <v>114</v>
      </c>
      <c r="H31" s="91">
        <v>160</v>
      </c>
      <c r="I31" s="91">
        <v>120</v>
      </c>
      <c r="J31" s="91">
        <v>132</v>
      </c>
      <c r="K31" s="91">
        <v>118</v>
      </c>
      <c r="L31" s="91">
        <v>118</v>
      </c>
      <c r="M31" s="91">
        <v>122</v>
      </c>
      <c r="N31" s="91">
        <v>127</v>
      </c>
      <c r="O31" s="91">
        <v>214</v>
      </c>
    </row>
    <row r="32" spans="1:15" x14ac:dyDescent="0.2">
      <c r="A32" s="89" t="s">
        <v>183</v>
      </c>
      <c r="C32" s="91">
        <v>42.76</v>
      </c>
      <c r="D32" s="91">
        <v>60.5</v>
      </c>
      <c r="E32" s="91">
        <v>58.2</v>
      </c>
      <c r="F32" s="91">
        <v>54.6</v>
      </c>
      <c r="G32" s="91">
        <v>49.5</v>
      </c>
      <c r="H32" s="91">
        <v>44.5</v>
      </c>
      <c r="I32" s="91">
        <v>42.9</v>
      </c>
      <c r="J32" s="91">
        <v>48.7</v>
      </c>
      <c r="K32" s="91">
        <v>55.3</v>
      </c>
      <c r="L32" s="91">
        <v>54.9</v>
      </c>
      <c r="M32" s="91">
        <v>50.6</v>
      </c>
      <c r="N32" s="91">
        <v>49.7</v>
      </c>
      <c r="O32" s="91">
        <v>56.7</v>
      </c>
    </row>
    <row r="33" spans="1:1" x14ac:dyDescent="0.2">
      <c r="A33" s="89"/>
    </row>
    <row r="34" spans="1:1" x14ac:dyDescent="0.2">
      <c r="A34" s="89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E593-48A3-46FD-AE9E-3804B610DEFC}">
  <dimension ref="A1:P34"/>
  <sheetViews>
    <sheetView workbookViewId="0">
      <selection activeCell="M14" sqref="M14"/>
    </sheetView>
  </sheetViews>
  <sheetFormatPr defaultColWidth="9" defaultRowHeight="15" x14ac:dyDescent="0.2"/>
  <cols>
    <col min="1" max="1" width="58.6640625" bestFit="1" customWidth="1"/>
    <col min="2" max="2" width="10.33203125" style="91" hidden="1" customWidth="1"/>
    <col min="3" max="6" width="10.33203125" style="91" bestFit="1" customWidth="1"/>
    <col min="7" max="14" width="11.33203125" style="91" bestFit="1" customWidth="1"/>
    <col min="15" max="16" width="11.33203125" customWidth="1"/>
  </cols>
  <sheetData>
    <row r="1" spans="1:16" ht="18" x14ac:dyDescent="0.25">
      <c r="A1" s="88" t="s">
        <v>213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6" ht="15.75" x14ac:dyDescent="0.25">
      <c r="A2" s="89" t="s">
        <v>190</v>
      </c>
      <c r="B2" s="90">
        <f>'Veg Oils Comp'!B2</f>
        <v>2019</v>
      </c>
      <c r="C2" s="90">
        <f>'Veg Oils Comp'!C2</f>
        <v>2020</v>
      </c>
      <c r="D2" s="90">
        <f>'Veg Oils Comp'!D2</f>
        <v>2021</v>
      </c>
      <c r="E2" s="90">
        <f>'Veg Oils Comp'!E2</f>
        <v>2022</v>
      </c>
      <c r="F2" s="90">
        <f>'Veg Oils Comp'!F2</f>
        <v>2023</v>
      </c>
      <c r="G2" s="90">
        <f>'Veg Oils Comp'!G2</f>
        <v>2024</v>
      </c>
      <c r="H2" s="90">
        <f>'Veg Oils Comp'!H2</f>
        <v>2025</v>
      </c>
      <c r="I2" s="90">
        <f>'Veg Oils Comp'!I2</f>
        <v>2026</v>
      </c>
      <c r="J2" s="90">
        <f>'Veg Oils Comp'!J2</f>
        <v>2027</v>
      </c>
      <c r="K2" s="90">
        <f>'Veg Oils Comp'!K2</f>
        <v>2028</v>
      </c>
      <c r="L2" s="90">
        <f>'Veg Oils Comp'!L2</f>
        <v>2029</v>
      </c>
      <c r="M2" s="90">
        <f>'Veg Oils Comp'!M2</f>
        <v>2030</v>
      </c>
      <c r="N2" s="90">
        <f>'Veg Oils Comp'!N2</f>
        <v>2031</v>
      </c>
      <c r="O2" s="90">
        <f>'Veg Oils Comp'!O2</f>
        <v>2032</v>
      </c>
      <c r="P2" s="90">
        <f>'Veg Oils Comp'!P2</f>
        <v>2033</v>
      </c>
    </row>
    <row r="3" spans="1:16" x14ac:dyDescent="0.2">
      <c r="A3" s="89" t="s">
        <v>70</v>
      </c>
      <c r="B3" s="91">
        <f>'Inedible Tallow'!AB4-B19</f>
        <v>0.21399999999999864</v>
      </c>
      <c r="C3" s="91">
        <f>'Inedible Tallow'!AC4-C19</f>
        <v>9.7819999999999965</v>
      </c>
      <c r="D3" s="91">
        <f>'Inedible Tallow'!AD4-D19</f>
        <v>-2.1530000000000058</v>
      </c>
      <c r="E3" s="91">
        <f>'Inedible Tallow'!AE4-E19</f>
        <v>-27</v>
      </c>
      <c r="F3" s="91">
        <f>'Inedible Tallow'!AF4-F19</f>
        <v>17.997</v>
      </c>
      <c r="G3" s="91">
        <f>'Inedible Tallow'!AG4-G19</f>
        <v>-19.293999999999997</v>
      </c>
      <c r="H3" s="91">
        <f>'Inedible Tallow'!AH4-H19</f>
        <v>-36.561999999999998</v>
      </c>
      <c r="I3" s="91">
        <f>'Inedible Tallow'!AI4-I19</f>
        <v>215.30876476377648</v>
      </c>
      <c r="J3" s="91">
        <f>'Inedible Tallow'!AJ4-J19</f>
        <v>1039.5848194295436</v>
      </c>
      <c r="K3" s="91">
        <f>'Inedible Tallow'!AK4-K19</f>
        <v>1403.5153628843632</v>
      </c>
      <c r="L3" s="91">
        <f>'Inedible Tallow'!AL4-L19</f>
        <v>1851.4838145320998</v>
      </c>
      <c r="M3" s="91">
        <f>'Inedible Tallow'!AM4-M19</f>
        <v>2434.2011296632963</v>
      </c>
      <c r="N3" s="91">
        <f>'Inedible Tallow'!AN4-N19</f>
        <v>3147.4879001720374</v>
      </c>
      <c r="O3" s="91">
        <f>'Inedible Tallow'!AO4-O19</f>
        <v>3770.4219795480635</v>
      </c>
      <c r="P3" s="91">
        <f>'Inedible Tallow'!AP4-P19</f>
        <v>4569.4029742220491</v>
      </c>
    </row>
    <row r="4" spans="1:16" x14ac:dyDescent="0.2">
      <c r="A4" s="89" t="s">
        <v>71</v>
      </c>
      <c r="B4" s="91">
        <f>'Inedible Tallow'!AB5-B20</f>
        <v>7.0000000000163709E-2</v>
      </c>
      <c r="C4" s="91">
        <f>'Inedible Tallow'!AC5-C20</f>
        <v>-408.0920000000001</v>
      </c>
      <c r="D4" s="91">
        <f>'Inedible Tallow'!AD5-D20</f>
        <v>28.582000000000335</v>
      </c>
      <c r="E4" s="91">
        <f>'Inedible Tallow'!AE5-E20</f>
        <v>191.1569999999997</v>
      </c>
      <c r="F4" s="91">
        <f>'Inedible Tallow'!AF5-F20</f>
        <v>53.441000000000258</v>
      </c>
      <c r="G4" s="91">
        <f>'Inedible Tallow'!AG5-G20</f>
        <v>157.16899999999941</v>
      </c>
      <c r="H4" s="91">
        <f>'Inedible Tallow'!AH5-H20</f>
        <v>-17.78976369482325</v>
      </c>
      <c r="I4" s="91">
        <f>'Inedible Tallow'!AI5-I20</f>
        <v>93.205905483351671</v>
      </c>
      <c r="J4" s="91">
        <f>'Inedible Tallow'!AJ5-J20</f>
        <v>97.781285175676203</v>
      </c>
      <c r="K4" s="91">
        <f>'Inedible Tallow'!AK5-K20</f>
        <v>152.6536210441036</v>
      </c>
      <c r="L4" s="91">
        <f>'Inedible Tallow'!AL5-L20</f>
        <v>141.12099593811217</v>
      </c>
      <c r="M4" s="91">
        <f>'Inedible Tallow'!AM5-M20</f>
        <v>118.32193907412875</v>
      </c>
      <c r="N4" s="91">
        <f>'Inedible Tallow'!AN5-N20</f>
        <v>60.380911968387863</v>
      </c>
      <c r="O4" s="91">
        <f>'Inedible Tallow'!AO5-O20</f>
        <v>145.74277273571352</v>
      </c>
      <c r="P4" s="91">
        <f>'Inedible Tallow'!AP5-P20</f>
        <v>170.5107414748245</v>
      </c>
    </row>
    <row r="5" spans="1:16" x14ac:dyDescent="0.2">
      <c r="A5" s="89" t="s">
        <v>72</v>
      </c>
      <c r="B5" s="91">
        <f>'Inedible Tallow'!AB6-B21</f>
        <v>-7.3368853600754846E-3</v>
      </c>
      <c r="C5" s="91">
        <f>'Inedible Tallow'!AC6-C21</f>
        <v>-190.29414399624</v>
      </c>
      <c r="D5" s="91">
        <f>'Inedible Tallow'!AD6-D21</f>
        <v>-446.55827803084003</v>
      </c>
      <c r="E5" s="91">
        <f>'Inedible Tallow'!AE6-E21</f>
        <v>64.683604000000059</v>
      </c>
      <c r="F5" s="91">
        <f>'Inedible Tallow'!AF6-F21</f>
        <v>567.35783300000003</v>
      </c>
      <c r="G5" s="91">
        <f>'Inedible Tallow'!AG6-G21</f>
        <v>690.9493247109599</v>
      </c>
      <c r="H5" s="91">
        <f>'Inedible Tallow'!AH6-H21</f>
        <v>2269.2979857098135</v>
      </c>
      <c r="I5" s="91">
        <f>'Inedible Tallow'!AI6-I21</f>
        <v>3273.2430471739744</v>
      </c>
      <c r="J5" s="91">
        <f>'Inedible Tallow'!AJ6-J21</f>
        <v>4375.9012498631428</v>
      </c>
      <c r="K5" s="91">
        <f>'Inedible Tallow'!AK6-K21</f>
        <v>4367.7186405129196</v>
      </c>
      <c r="L5" s="91">
        <f>'Inedible Tallow'!AL6-L21</f>
        <v>4589.5915029787848</v>
      </c>
      <c r="M5" s="91">
        <f>'Inedible Tallow'!AM6-M21</f>
        <v>5214.5278812644992</v>
      </c>
      <c r="N5" s="91">
        <f>'Inedible Tallow'!AN6-N21</f>
        <v>5801.7962362707904</v>
      </c>
      <c r="O5" s="91">
        <f>'Inedible Tallow'!AO6-O21</f>
        <v>7017.6375310044969</v>
      </c>
      <c r="P5" s="91">
        <f>'Inedible Tallow'!AP6-P21</f>
        <v>9092.9556486067067</v>
      </c>
    </row>
    <row r="6" spans="1:16" x14ac:dyDescent="0.2">
      <c r="A6" s="89" t="s">
        <v>83</v>
      </c>
      <c r="B6" s="91">
        <f>'Inedible Tallow'!AB7-B22</f>
        <v>0.27666311463963211</v>
      </c>
      <c r="C6" s="91">
        <f>'Inedible Tallow'!AC7-C22</f>
        <v>-588.60414399624005</v>
      </c>
      <c r="D6" s="91">
        <f>'Inedible Tallow'!AD7-D22</f>
        <v>-420.12927803083949</v>
      </c>
      <c r="E6" s="91">
        <f>'Inedible Tallow'!AE7-E22</f>
        <v>228.84060399999998</v>
      </c>
      <c r="F6" s="91">
        <f>'Inedible Tallow'!AF7-F22</f>
        <v>638.79583300000013</v>
      </c>
      <c r="G6" s="91">
        <f>'Inedible Tallow'!AG7-G22</f>
        <v>828.82432471095944</v>
      </c>
      <c r="H6" s="91">
        <f>'Inedible Tallow'!AH7-H22</f>
        <v>2214.9462220149908</v>
      </c>
      <c r="I6" s="91">
        <f>'Inedible Tallow'!AI7-I22</f>
        <v>3581.7577174211037</v>
      </c>
      <c r="J6" s="91">
        <f>'Inedible Tallow'!AJ7-J22</f>
        <v>5513.2673544683639</v>
      </c>
      <c r="K6" s="91">
        <f>'Inedible Tallow'!AK7-K22</f>
        <v>5923.8876244413859</v>
      </c>
      <c r="L6" s="91">
        <f>'Inedible Tallow'!AL7-L22</f>
        <v>6582.1963134489961</v>
      </c>
      <c r="M6" s="91">
        <f>'Inedible Tallow'!AM7-M22</f>
        <v>7767.0509500019252</v>
      </c>
      <c r="N6" s="91">
        <f>'Inedible Tallow'!AN7-N22</f>
        <v>9009.6650484112142</v>
      </c>
      <c r="O6" s="91">
        <f>'Inedible Tallow'!AO7-O22</f>
        <v>10933.802283288274</v>
      </c>
      <c r="P6" s="91">
        <f>'Inedible Tallow'!AP7-P22</f>
        <v>13832.869364303582</v>
      </c>
    </row>
    <row r="7" spans="1:16" x14ac:dyDescent="0.2">
      <c r="A7" s="89" t="s">
        <v>74</v>
      </c>
      <c r="O7" s="91"/>
      <c r="P7" s="91"/>
    </row>
    <row r="8" spans="1:16" x14ac:dyDescent="0.2">
      <c r="A8" s="89" t="s">
        <v>191</v>
      </c>
      <c r="B8" s="91">
        <f>'Inedible Tallow'!AB9-B24</f>
        <v>95.449827142763979</v>
      </c>
      <c r="C8" s="91">
        <f>'Inedible Tallow'!AC9-C24</f>
        <v>370.42364683543474</v>
      </c>
      <c r="D8" s="91">
        <f>'Inedible Tallow'!AD9-D24</f>
        <v>-140.62299999999959</v>
      </c>
      <c r="E8" s="91">
        <f>'Inedible Tallow'!AE9-E24</f>
        <v>6.5650000000000546</v>
      </c>
      <c r="F8" s="91">
        <f>'Inedible Tallow'!AF9-F24</f>
        <v>2226.9790000000003</v>
      </c>
      <c r="G8" s="91">
        <f>'Inedible Tallow'!AG9-G24</f>
        <v>4977.8866087262013</v>
      </c>
      <c r="H8" s="91">
        <f>'Inedible Tallow'!AH9-H24</f>
        <v>2755.9640728546601</v>
      </c>
      <c r="I8" s="91">
        <f>'Inedible Tallow'!AI9-I24</f>
        <v>2470.9712364079414</v>
      </c>
      <c r="J8" s="91">
        <f>'Inedible Tallow'!AJ9-J24</f>
        <v>4200.892758644829</v>
      </c>
      <c r="K8" s="91">
        <f>'Inedible Tallow'!AK9-K24</f>
        <v>3746.2943077905129</v>
      </c>
      <c r="L8" s="91">
        <f>'Inedible Tallow'!AL9-L24</f>
        <v>3810.9360902277876</v>
      </c>
      <c r="M8" s="91">
        <f>'Inedible Tallow'!AM9-M24</f>
        <v>4334.7119010524402</v>
      </c>
      <c r="N8" s="91">
        <f>'Inedible Tallow'!AN9-N24</f>
        <v>4961.8483990432287</v>
      </c>
      <c r="O8" s="91">
        <f>'Inedible Tallow'!AO9-O24</f>
        <v>6665.7783257524025</v>
      </c>
      <c r="P8" s="91">
        <f>'Inedible Tallow'!AP9-P24</f>
        <v>6890.2603974412268</v>
      </c>
    </row>
    <row r="9" spans="1:16" x14ac:dyDescent="0.2">
      <c r="A9" s="89" t="s">
        <v>192</v>
      </c>
      <c r="B9" s="91">
        <f>'Inedible Tallow'!AB10-B25</f>
        <v>0.41000000000002501</v>
      </c>
      <c r="C9" s="91">
        <f>'Inedible Tallow'!AC10-C25</f>
        <v>63.503282471415332</v>
      </c>
      <c r="D9" s="91">
        <f>'Inedible Tallow'!AD10-D25</f>
        <v>0.75896674871438563</v>
      </c>
      <c r="E9" s="91">
        <f>'Inedible Tallow'!AE10-E25</f>
        <v>227.52920966108729</v>
      </c>
      <c r="F9" s="91">
        <f>'Inedible Tallow'!AF10-F25</f>
        <v>719.19771795737722</v>
      </c>
      <c r="G9" s="91">
        <f>'Inedible Tallow'!AG10-G25</f>
        <v>691.5803740555076</v>
      </c>
      <c r="H9" s="91">
        <f>'Inedible Tallow'!AH10-H25</f>
        <v>518.21198076938902</v>
      </c>
      <c r="I9" s="91">
        <f>'Inedible Tallow'!AI10-I25</f>
        <v>452.11127873729151</v>
      </c>
      <c r="J9" s="91">
        <f>'Inedible Tallow'!AJ10-J25</f>
        <v>532.33888567488486</v>
      </c>
      <c r="K9" s="91">
        <f>'Inedible Tallow'!AK10-K25</f>
        <v>427.35077483098962</v>
      </c>
      <c r="L9" s="91">
        <f>'Inedible Tallow'!AL10-L25</f>
        <v>490.73923999732767</v>
      </c>
      <c r="M9" s="91">
        <f>'Inedible Tallow'!AM10-M25</f>
        <v>487.68828032031536</v>
      </c>
      <c r="N9" s="91">
        <f>'Inedible Tallow'!AN10-N25</f>
        <v>499.51583272477114</v>
      </c>
      <c r="O9" s="91">
        <f>'Inedible Tallow'!AO10-O25</f>
        <v>556.22919595712324</v>
      </c>
      <c r="P9" s="91">
        <f>'Inedible Tallow'!AP10-P25</f>
        <v>365.50354029774149</v>
      </c>
    </row>
    <row r="10" spans="1:16" x14ac:dyDescent="0.2">
      <c r="A10" s="89" t="s">
        <v>193</v>
      </c>
      <c r="B10" s="91">
        <f>'Inedible Tallow'!AB11-B26</f>
        <v>350.0398271427639</v>
      </c>
      <c r="C10" s="91">
        <f>'Inedible Tallow'!AC11-C26</f>
        <v>508.92036436401941</v>
      </c>
      <c r="D10" s="91">
        <f>'Inedible Tallow'!AD11-D26</f>
        <v>-14.381966748713921</v>
      </c>
      <c r="E10" s="91">
        <f>'Inedible Tallow'!AE11-E26</f>
        <v>-101.96420966108735</v>
      </c>
      <c r="F10" s="91">
        <f>'Inedible Tallow'!AF11-F26</f>
        <v>1638.7812820426229</v>
      </c>
      <c r="G10" s="91">
        <f>'Inedible Tallow'!AG11-G26</f>
        <v>4428.3062346706938</v>
      </c>
      <c r="H10" s="91">
        <f>'Inedible Tallow'!AH11-H26</f>
        <v>2393.7520920852712</v>
      </c>
      <c r="I10" s="91">
        <f>'Inedible Tallow'!AI11-I26</f>
        <v>2133.8599576706501</v>
      </c>
      <c r="J10" s="91">
        <f>'Inedible Tallow'!AJ11-J26</f>
        <v>3783.5538729699438</v>
      </c>
      <c r="K10" s="91">
        <f>'Inedible Tallow'!AK11-K26</f>
        <v>3433.9435329595235</v>
      </c>
      <c r="L10" s="91">
        <f>'Inedible Tallow'!AL11-L26</f>
        <v>3435.1968502304599</v>
      </c>
      <c r="M10" s="91">
        <f>'Inedible Tallow'!AM11-M26</f>
        <v>3961.023620732125</v>
      </c>
      <c r="N10" s="91">
        <f>'Inedible Tallow'!AN11-N26</f>
        <v>4574.3325663184578</v>
      </c>
      <c r="O10" s="91">
        <f>'Inedible Tallow'!AO11-O26</f>
        <v>6222.5491297952794</v>
      </c>
      <c r="P10" s="91">
        <f>'Inedible Tallow'!AP11-P26</f>
        <v>6895.5542845903874</v>
      </c>
    </row>
    <row r="11" spans="1:16" x14ac:dyDescent="0.2">
      <c r="A11" s="89" t="s">
        <v>194</v>
      </c>
      <c r="B11" s="91" t="e">
        <f>'Inedible Tallow'!#REF!-B27</f>
        <v>#REF!</v>
      </c>
      <c r="C11" s="91" t="e">
        <f>'Inedible Tallow'!#REF!-C27</f>
        <v>#REF!</v>
      </c>
      <c r="D11" s="91" t="e">
        <f>'Inedible Tallow'!#REF!-D27</f>
        <v>#REF!</v>
      </c>
      <c r="E11" s="91" t="e">
        <f>'Inedible Tallow'!#REF!-E27</f>
        <v>#REF!</v>
      </c>
      <c r="F11" s="91" t="e">
        <f>'Inedible Tallow'!#REF!-F27</f>
        <v>#REF!</v>
      </c>
      <c r="G11" s="91" t="e">
        <f>'Inedible Tallow'!#REF!-G27</f>
        <v>#REF!</v>
      </c>
      <c r="H11" s="91" t="e">
        <f>'Inedible Tallow'!#REF!-H27</f>
        <v>#REF!</v>
      </c>
      <c r="I11" s="91" t="e">
        <f>'Inedible Tallow'!#REF!-I27</f>
        <v>#REF!</v>
      </c>
      <c r="J11" s="91" t="e">
        <f>'Inedible Tallow'!#REF!-J27</f>
        <v>#REF!</v>
      </c>
      <c r="K11" s="91" t="e">
        <f>'Inedible Tallow'!#REF!-K27</f>
        <v>#REF!</v>
      </c>
      <c r="L11" s="91" t="e">
        <f>'Inedible Tallow'!#REF!-L27</f>
        <v>#REF!</v>
      </c>
      <c r="M11" s="91" t="e">
        <f>'Inedible Tallow'!#REF!-M27</f>
        <v>#REF!</v>
      </c>
      <c r="N11" s="91" t="e">
        <f>'Inedible Tallow'!#REF!-N27</f>
        <v>#REF!</v>
      </c>
      <c r="O11" s="91" t="e">
        <f>'Inedible Tallow'!#REF!-O27</f>
        <v>#REF!</v>
      </c>
      <c r="P11" s="91" t="e">
        <f>'Inedible Tallow'!#REF!-P27</f>
        <v>#REF!</v>
      </c>
    </row>
    <row r="12" spans="1:16" x14ac:dyDescent="0.2">
      <c r="A12" s="89" t="s">
        <v>159</v>
      </c>
      <c r="B12" s="91">
        <f>'Inedible Tallow'!AB12-B28</f>
        <v>-95.542986365344404</v>
      </c>
      <c r="C12" s="91">
        <f>'Inedible Tallow'!AC12-C28</f>
        <v>-1202.5679426996549</v>
      </c>
      <c r="D12" s="91">
        <f>'Inedible Tallow'!AD12-D28</f>
        <v>-261.79979672191985</v>
      </c>
      <c r="E12" s="91">
        <f>'Inedible Tallow'!AE12-E28</f>
        <v>-38.039315999999872</v>
      </c>
      <c r="F12" s="91">
        <f>'Inedible Tallow'!AF12-F28</f>
        <v>-1455.6577450000004</v>
      </c>
      <c r="G12" s="91">
        <f>'Inedible Tallow'!AG12-G28</f>
        <v>-4054.2574596459017</v>
      </c>
      <c r="H12" s="91">
        <f>'Inedible Tallow'!AH12-H28</f>
        <v>-646.89790290977999</v>
      </c>
      <c r="I12" s="91">
        <f>'Inedible Tallow'!AI12-I28</f>
        <v>161.1182183543915</v>
      </c>
      <c r="J12" s="91">
        <f>'Inedible Tallow'!AJ12-J28</f>
        <v>-11.179400669793722</v>
      </c>
      <c r="K12" s="91">
        <f>'Inedible Tallow'!AK12-K28</f>
        <v>380.21866647621391</v>
      </c>
      <c r="L12" s="91">
        <f>'Inedible Tallow'!AL12-L28</f>
        <v>369.26373580011568</v>
      </c>
      <c r="M12" s="91">
        <f>'Inedible Tallow'!AM12-M28</f>
        <v>306.30652997971993</v>
      </c>
      <c r="N12" s="91">
        <f>'Inedible Tallow'!AN12-N28</f>
        <v>301.8502457252489</v>
      </c>
      <c r="O12" s="91">
        <f>'Inedible Tallow'!AO12-O28</f>
        <v>-276.60530753621242</v>
      </c>
      <c r="P12" s="91">
        <f>'Inedible Tallow'!AP12-P28</f>
        <v>1497.46534683856</v>
      </c>
    </row>
    <row r="13" spans="1:16" x14ac:dyDescent="0.2">
      <c r="A13" s="89" t="s">
        <v>79</v>
      </c>
      <c r="B13" s="91">
        <f>'Inedible Tallow'!AB13-B29</f>
        <v>-0.41217766278009549</v>
      </c>
      <c r="C13" s="91">
        <f>'Inedible Tallow'!AC13-C29</f>
        <v>245.69315186798008</v>
      </c>
      <c r="D13" s="91">
        <f>'Inedible Tallow'!AD13-D29</f>
        <v>9.2935186910800667</v>
      </c>
      <c r="E13" s="91">
        <f>'Inedible Tallow'!AE13-E29</f>
        <v>242.31791999999996</v>
      </c>
      <c r="F13" s="91">
        <f>'Inedible Tallow'!AF13-F29</f>
        <v>-113.23142199999998</v>
      </c>
      <c r="G13" s="91">
        <f>'Inedible Tallow'!AG13-G29</f>
        <v>-57.242824369339985</v>
      </c>
      <c r="H13" s="91">
        <f>'Inedible Tallow'!AH13-H29</f>
        <v>-108.42871269366634</v>
      </c>
      <c r="I13" s="91">
        <f>'Inedible Tallow'!AI13-I29</f>
        <v>-90.916556770772445</v>
      </c>
      <c r="J13" s="91">
        <f>'Inedible Tallow'!AJ13-J29</f>
        <v>-79.961366391035597</v>
      </c>
      <c r="K13" s="91">
        <f>'Inedible Tallow'!AK13-K29</f>
        <v>-53.109164357440193</v>
      </c>
      <c r="L13" s="91">
        <f>'Inedible Tallow'!AL13-L29</f>
        <v>-33.204642242203363</v>
      </c>
      <c r="M13" s="91">
        <f>'Inedible Tallow'!AM13-M29</f>
        <v>-20.455381202270857</v>
      </c>
      <c r="N13" s="91">
        <f>'Inedible Tallow'!AN13-N29</f>
        <v>-24.45557590532718</v>
      </c>
      <c r="O13" s="91">
        <f>'Inedible Tallow'!AO13-O29</f>
        <v>-25.232627181650869</v>
      </c>
      <c r="P13" s="91">
        <f>'Inedible Tallow'!AP13-P29</f>
        <v>-0.11003670146547506</v>
      </c>
    </row>
    <row r="14" spans="1:16" x14ac:dyDescent="0.2">
      <c r="A14" s="89" t="s">
        <v>85</v>
      </c>
      <c r="B14" s="91">
        <f>'Inedible Tallow'!AB14-B30</f>
        <v>0.49466311463947932</v>
      </c>
      <c r="C14" s="91">
        <f>'Inedible Tallow'!AC14-C30</f>
        <v>-586.45114399624026</v>
      </c>
      <c r="D14" s="91">
        <f>'Inedible Tallow'!AD14-D30</f>
        <v>-393.12927803083949</v>
      </c>
      <c r="E14" s="91">
        <f>'Inedible Tallow'!AE14-E30</f>
        <v>210.84360399999969</v>
      </c>
      <c r="F14" s="91">
        <f>'Inedible Tallow'!AF14-F30</f>
        <v>658.089833</v>
      </c>
      <c r="G14" s="91">
        <f>'Inedible Tallow'!AG14-G30</f>
        <v>865.38632471095934</v>
      </c>
      <c r="H14" s="91">
        <f>'Inedible Tallow'!AH14-H30</f>
        <v>2000.6374572512141</v>
      </c>
      <c r="I14" s="91">
        <f>'Inedible Tallow'!AI14-I30</f>
        <v>2541.1728979915606</v>
      </c>
      <c r="J14" s="91">
        <f>'Inedible Tallow'!AJ14-J30</f>
        <v>4110.7519915840003</v>
      </c>
      <c r="K14" s="91">
        <f>'Inedible Tallow'!AK14-K30</f>
        <v>4072.4038099092868</v>
      </c>
      <c r="L14" s="91">
        <f>'Inedible Tallow'!AL14-L30</f>
        <v>4146.9951837857006</v>
      </c>
      <c r="M14" s="91">
        <f>'Inedible Tallow'!AM14-M30</f>
        <v>4619.5630498298888</v>
      </c>
      <c r="N14" s="91">
        <f>'Inedible Tallow'!AN14-N30</f>
        <v>5239.2430688631503</v>
      </c>
      <c r="O14" s="91">
        <f>'Inedible Tallow'!AO14-O30</f>
        <v>6363.9403910345391</v>
      </c>
      <c r="P14" s="91">
        <f>'Inedible Tallow'!AP14-P30</f>
        <v>8387.6157075783194</v>
      </c>
    </row>
    <row r="15" spans="1:16" x14ac:dyDescent="0.2">
      <c r="A15" s="89" t="s">
        <v>81</v>
      </c>
      <c r="B15" s="91">
        <f>'Inedible Tallow'!AB15-B31</f>
        <v>-0.21800000000000352</v>
      </c>
      <c r="C15" s="91">
        <f>'Inedible Tallow'!AC15-C31</f>
        <v>-2.1530000000000058</v>
      </c>
      <c r="D15" s="91">
        <f>'Inedible Tallow'!AD15-D31</f>
        <v>-27</v>
      </c>
      <c r="E15" s="91">
        <f>'Inedible Tallow'!AE15-E31</f>
        <v>17.997</v>
      </c>
      <c r="F15" s="91">
        <f>'Inedible Tallow'!AF15-F31</f>
        <v>-19.293999999999997</v>
      </c>
      <c r="G15" s="91">
        <f>'Inedible Tallow'!AG15-G31</f>
        <v>-36.561999999999998</v>
      </c>
      <c r="H15" s="91">
        <f>'Inedible Tallow'!AH15-H31</f>
        <v>215.30876476377648</v>
      </c>
      <c r="I15" s="91">
        <f>'Inedible Tallow'!AI15-I31</f>
        <v>1039.5848194295436</v>
      </c>
      <c r="J15" s="91">
        <f>'Inedible Tallow'!AJ15-J31</f>
        <v>1403.5153628843632</v>
      </c>
      <c r="K15" s="91">
        <f>'Inedible Tallow'!AK15-K31</f>
        <v>1851.4838145320998</v>
      </c>
      <c r="L15" s="91">
        <f>'Inedible Tallow'!AL15-L31</f>
        <v>2434.2011296632963</v>
      </c>
      <c r="M15" s="91">
        <f>'Inedible Tallow'!AM15-M31</f>
        <v>3147.4879001720374</v>
      </c>
      <c r="N15" s="91">
        <f>'Inedible Tallow'!AN15-N31</f>
        <v>3770.4219795480635</v>
      </c>
      <c r="O15" s="91">
        <f>'Inedible Tallow'!AO15-O31</f>
        <v>4569.8618922537353</v>
      </c>
      <c r="P15" s="91">
        <f>'Inedible Tallow'!AP15-P31</f>
        <v>5445.253656725261</v>
      </c>
    </row>
    <row r="16" spans="1:16" x14ac:dyDescent="0.2">
      <c r="A16" s="89" t="s">
        <v>172</v>
      </c>
      <c r="B16" s="91">
        <f>'Inedible Tallow'!AB16-B32</f>
        <v>-2.8500000000022396E-3</v>
      </c>
      <c r="C16" s="91">
        <f>'Inedible Tallow'!AC16-C32</f>
        <v>-25.964849999999998</v>
      </c>
      <c r="D16" s="91">
        <f>'Inedible Tallow'!AD16-D32</f>
        <v>-17.181640476190466</v>
      </c>
      <c r="E16" s="91">
        <f>'Inedible Tallow'!AE16-E32</f>
        <v>5.75</v>
      </c>
      <c r="F16" s="91">
        <f>'Inedible Tallow'!AF16-F32</f>
        <v>-4.8999999999999915</v>
      </c>
      <c r="G16" s="91">
        <f>'Inedible Tallow'!AG16-G32</f>
        <v>-22.334090909090918</v>
      </c>
      <c r="H16" s="91">
        <f>'Inedible Tallow'!AH16-H32</f>
        <v>-13.076739926739926</v>
      </c>
      <c r="I16" s="91">
        <f>'Inedible Tallow'!AI16-I32</f>
        <v>-9.2000000000000028</v>
      </c>
      <c r="J16" s="91">
        <f>'Inedible Tallow'!AJ16-J32</f>
        <v>-15.400000000000006</v>
      </c>
      <c r="K16" s="91">
        <f>'Inedible Tallow'!AK16-K32</f>
        <v>-28.424999999999997</v>
      </c>
      <c r="L16" s="91">
        <f>'Inedible Tallow'!AL16-L32</f>
        <v>-26.799999999999997</v>
      </c>
      <c r="M16" s="91">
        <f>'Inedible Tallow'!AM16-M32</f>
        <v>-15.75</v>
      </c>
      <c r="N16" s="91">
        <f>'Inedible Tallow'!AN16-N32</f>
        <v>-21.625</v>
      </c>
      <c r="O16" s="91">
        <f>'Inedible Tallow'!AO16-O32</f>
        <v>-30.674999999999997</v>
      </c>
      <c r="P16" s="91">
        <f>'Inedible Tallow'!AP16-P32</f>
        <v>-10.5</v>
      </c>
    </row>
    <row r="17" spans="1:16" x14ac:dyDescent="0.2">
      <c r="A17" s="89"/>
    </row>
    <row r="18" spans="1:16" x14ac:dyDescent="0.2">
      <c r="A18" s="89"/>
    </row>
    <row r="19" spans="1:16" x14ac:dyDescent="0.2">
      <c r="A19" s="89" t="s">
        <v>70</v>
      </c>
      <c r="B19" s="91">
        <v>106</v>
      </c>
      <c r="C19" s="91">
        <v>91</v>
      </c>
      <c r="D19" s="91">
        <v>93</v>
      </c>
      <c r="E19" s="91">
        <v>120</v>
      </c>
      <c r="F19" s="91">
        <v>102</v>
      </c>
      <c r="G19" s="91">
        <v>102</v>
      </c>
      <c r="H19" s="91">
        <v>102</v>
      </c>
      <c r="I19" s="91">
        <v>103</v>
      </c>
      <c r="J19" s="91">
        <v>98</v>
      </c>
      <c r="K19" s="91">
        <v>106</v>
      </c>
      <c r="L19" s="91">
        <v>106</v>
      </c>
      <c r="M19" s="91">
        <v>105</v>
      </c>
      <c r="N19" s="91">
        <v>103</v>
      </c>
      <c r="O19" s="91">
        <v>103</v>
      </c>
      <c r="P19" s="91">
        <v>102.45891803168621</v>
      </c>
    </row>
    <row r="20" spans="1:16" x14ac:dyDescent="0.2">
      <c r="A20" s="89" t="s">
        <v>71</v>
      </c>
      <c r="B20" s="91">
        <v>3849</v>
      </c>
      <c r="C20" s="91">
        <v>3942</v>
      </c>
      <c r="D20" s="91">
        <v>3913</v>
      </c>
      <c r="E20" s="91">
        <v>3765</v>
      </c>
      <c r="F20" s="91">
        <v>3781</v>
      </c>
      <c r="G20" s="91">
        <v>3711</v>
      </c>
      <c r="H20" s="91">
        <v>3690</v>
      </c>
      <c r="I20" s="91">
        <v>3707</v>
      </c>
      <c r="J20" s="91">
        <v>3719</v>
      </c>
      <c r="K20" s="91">
        <v>3690</v>
      </c>
      <c r="L20" s="91">
        <v>3673</v>
      </c>
      <c r="M20" s="91">
        <v>3674</v>
      </c>
      <c r="N20" s="91">
        <v>3740</v>
      </c>
      <c r="O20" s="91">
        <v>3719</v>
      </c>
      <c r="P20" s="91">
        <v>3670.6066746921729</v>
      </c>
    </row>
    <row r="21" spans="1:16" x14ac:dyDescent="0.2">
      <c r="A21" s="89" t="s">
        <v>72</v>
      </c>
      <c r="B21" s="91">
        <v>409</v>
      </c>
      <c r="C21" s="91">
        <v>702</v>
      </c>
      <c r="D21" s="91">
        <v>1149</v>
      </c>
      <c r="E21" s="91">
        <v>1084</v>
      </c>
      <c r="F21" s="91">
        <v>1131</v>
      </c>
      <c r="G21" s="91">
        <v>1226</v>
      </c>
      <c r="H21" s="91">
        <v>1351</v>
      </c>
      <c r="I21" s="91">
        <v>1428</v>
      </c>
      <c r="J21" s="91">
        <v>1521</v>
      </c>
      <c r="K21" s="91">
        <v>1619</v>
      </c>
      <c r="L21" s="91">
        <v>1714</v>
      </c>
      <c r="M21" s="91">
        <v>1799</v>
      </c>
      <c r="N21" s="91">
        <v>1895</v>
      </c>
      <c r="O21" s="91">
        <v>1982</v>
      </c>
      <c r="P21" s="91">
        <v>1137.7297770830714</v>
      </c>
    </row>
    <row r="22" spans="1:16" x14ac:dyDescent="0.2">
      <c r="A22" s="89" t="s">
        <v>83</v>
      </c>
      <c r="B22" s="91">
        <v>4364</v>
      </c>
      <c r="C22" s="91">
        <v>4735</v>
      </c>
      <c r="D22" s="91">
        <v>5155</v>
      </c>
      <c r="E22" s="91">
        <v>4969</v>
      </c>
      <c r="F22" s="91">
        <v>5014</v>
      </c>
      <c r="G22" s="91">
        <v>5039</v>
      </c>
      <c r="H22" s="91">
        <v>5143</v>
      </c>
      <c r="I22" s="91">
        <v>5238</v>
      </c>
      <c r="J22" s="91">
        <v>5338</v>
      </c>
      <c r="K22" s="91">
        <v>5415</v>
      </c>
      <c r="L22" s="91">
        <v>5493</v>
      </c>
      <c r="M22" s="91">
        <v>5578</v>
      </c>
      <c r="N22" s="91">
        <v>5738</v>
      </c>
      <c r="O22" s="91">
        <v>5804</v>
      </c>
      <c r="P22" s="91">
        <v>4910.7953698069305</v>
      </c>
    </row>
    <row r="23" spans="1:16" x14ac:dyDescent="0.2">
      <c r="A23" s="89" t="s">
        <v>74</v>
      </c>
      <c r="O23" s="91"/>
      <c r="P23" s="91"/>
    </row>
    <row r="24" spans="1:16" x14ac:dyDescent="0.2">
      <c r="A24" s="89" t="s">
        <v>191</v>
      </c>
      <c r="B24" s="91">
        <v>1337</v>
      </c>
      <c r="C24" s="91">
        <v>1333</v>
      </c>
      <c r="D24" s="91">
        <v>1762</v>
      </c>
      <c r="E24" s="91">
        <v>1975</v>
      </c>
      <c r="F24" s="91">
        <v>1971</v>
      </c>
      <c r="G24" s="91">
        <v>2187</v>
      </c>
      <c r="H24" s="91">
        <v>2503</v>
      </c>
      <c r="I24" s="91">
        <v>2798</v>
      </c>
      <c r="J24" s="91">
        <v>3131</v>
      </c>
      <c r="K24" s="91">
        <v>3214</v>
      </c>
      <c r="L24" s="91">
        <v>3377</v>
      </c>
      <c r="M24" s="91">
        <v>3488</v>
      </c>
      <c r="N24" s="91">
        <v>3724</v>
      </c>
      <c r="O24" s="91">
        <v>3762</v>
      </c>
      <c r="P24" s="91">
        <v>3845.4171876618716</v>
      </c>
    </row>
    <row r="25" spans="1:16" x14ac:dyDescent="0.2">
      <c r="A25" s="89" t="s">
        <v>192</v>
      </c>
      <c r="B25" s="91">
        <v>292</v>
      </c>
      <c r="C25" s="91">
        <v>304</v>
      </c>
      <c r="D25" s="91">
        <v>351</v>
      </c>
      <c r="E25" s="91">
        <v>335</v>
      </c>
      <c r="F25" s="91">
        <v>218</v>
      </c>
      <c r="G25" s="91">
        <v>154</v>
      </c>
      <c r="H25" s="91">
        <v>129</v>
      </c>
      <c r="I25" s="91">
        <v>146</v>
      </c>
      <c r="J25" s="91">
        <v>130</v>
      </c>
      <c r="K25" s="91">
        <v>122</v>
      </c>
      <c r="L25" s="91">
        <v>107</v>
      </c>
      <c r="M25" s="91">
        <v>94</v>
      </c>
      <c r="N25" s="91">
        <v>82</v>
      </c>
      <c r="O25" s="91">
        <v>64</v>
      </c>
      <c r="P25" s="91">
        <v>215.45056977504629</v>
      </c>
    </row>
    <row r="26" spans="1:16" x14ac:dyDescent="0.2">
      <c r="A26" s="89" t="s">
        <v>193</v>
      </c>
      <c r="B26" s="91">
        <v>790</v>
      </c>
      <c r="C26" s="91">
        <v>827</v>
      </c>
      <c r="D26" s="91">
        <v>1284</v>
      </c>
      <c r="E26" s="91">
        <v>1521</v>
      </c>
      <c r="F26" s="91">
        <v>1622</v>
      </c>
      <c r="G26" s="91">
        <v>1891</v>
      </c>
      <c r="H26" s="91">
        <v>2218</v>
      </c>
      <c r="I26" s="91">
        <v>2537</v>
      </c>
      <c r="J26" s="91">
        <v>2886</v>
      </c>
      <c r="K26" s="91">
        <v>2977</v>
      </c>
      <c r="L26" s="91">
        <v>3155</v>
      </c>
      <c r="M26" s="91">
        <v>3280</v>
      </c>
      <c r="N26" s="91">
        <v>3530</v>
      </c>
      <c r="O26" s="91">
        <v>3585</v>
      </c>
      <c r="P26" s="91">
        <v>3259.1691904399231</v>
      </c>
    </row>
    <row r="27" spans="1:16" x14ac:dyDescent="0.2">
      <c r="A27" s="89" t="s">
        <v>194</v>
      </c>
      <c r="B27" s="91">
        <v>255</v>
      </c>
      <c r="C27" s="91">
        <v>201</v>
      </c>
      <c r="D27" s="91">
        <v>127</v>
      </c>
      <c r="E27" s="91">
        <v>119</v>
      </c>
      <c r="F27" s="91">
        <v>131</v>
      </c>
      <c r="G27" s="91">
        <v>142</v>
      </c>
      <c r="H27" s="91">
        <v>155</v>
      </c>
      <c r="I27" s="91">
        <v>115</v>
      </c>
      <c r="J27" s="91">
        <v>115</v>
      </c>
      <c r="K27" s="91">
        <v>115</v>
      </c>
      <c r="L27" s="91">
        <v>114</v>
      </c>
      <c r="M27" s="91">
        <v>114</v>
      </c>
      <c r="N27" s="91">
        <v>113</v>
      </c>
      <c r="O27" s="91">
        <v>112</v>
      </c>
      <c r="P27" s="91">
        <v>370.79742744690208</v>
      </c>
    </row>
    <row r="28" spans="1:16" x14ac:dyDescent="0.2">
      <c r="A28" s="89" t="s">
        <v>159</v>
      </c>
      <c r="B28" s="91">
        <v>2263</v>
      </c>
      <c r="C28" s="91">
        <v>2894</v>
      </c>
      <c r="D28" s="91">
        <v>2797</v>
      </c>
      <c r="E28" s="91">
        <v>2523</v>
      </c>
      <c r="F28" s="91">
        <v>2586</v>
      </c>
      <c r="G28" s="91">
        <v>2422</v>
      </c>
      <c r="H28" s="91">
        <v>2268</v>
      </c>
      <c r="I28" s="91">
        <v>2102</v>
      </c>
      <c r="J28" s="91">
        <v>1872</v>
      </c>
      <c r="K28" s="91">
        <v>1896</v>
      </c>
      <c r="L28" s="91">
        <v>1861</v>
      </c>
      <c r="M28" s="91">
        <v>1844</v>
      </c>
      <c r="N28" s="91">
        <v>1786</v>
      </c>
      <c r="O28" s="91">
        <v>1815</v>
      </c>
      <c r="P28" s="91">
        <v>859.59252385538673</v>
      </c>
    </row>
    <row r="29" spans="1:16" x14ac:dyDescent="0.2">
      <c r="A29" s="89" t="s">
        <v>79</v>
      </c>
      <c r="B29" s="91">
        <v>664</v>
      </c>
      <c r="C29" s="91">
        <v>415</v>
      </c>
      <c r="D29" s="91">
        <v>476</v>
      </c>
      <c r="E29" s="91">
        <v>369</v>
      </c>
      <c r="F29" s="91">
        <v>355</v>
      </c>
      <c r="G29" s="91">
        <v>327</v>
      </c>
      <c r="H29" s="91">
        <v>268</v>
      </c>
      <c r="I29" s="91">
        <v>241</v>
      </c>
      <c r="J29" s="91">
        <v>229</v>
      </c>
      <c r="K29" s="91">
        <v>198</v>
      </c>
      <c r="L29" s="91">
        <v>151</v>
      </c>
      <c r="M29" s="91">
        <v>142</v>
      </c>
      <c r="N29" s="91">
        <v>125</v>
      </c>
      <c r="O29" s="91">
        <v>125</v>
      </c>
      <c r="P29" s="91">
        <v>99.915468467113698</v>
      </c>
    </row>
    <row r="30" spans="1:16" x14ac:dyDescent="0.2">
      <c r="A30" s="89" t="s">
        <v>85</v>
      </c>
      <c r="B30" s="91">
        <v>4263</v>
      </c>
      <c r="C30" s="91">
        <v>4642</v>
      </c>
      <c r="D30" s="91">
        <v>5035</v>
      </c>
      <c r="E30" s="91">
        <v>4867</v>
      </c>
      <c r="F30" s="91">
        <v>4912</v>
      </c>
      <c r="G30" s="91">
        <v>4937</v>
      </c>
      <c r="H30" s="91">
        <v>5039</v>
      </c>
      <c r="I30" s="91">
        <v>5141</v>
      </c>
      <c r="J30" s="91">
        <v>5231</v>
      </c>
      <c r="K30" s="91">
        <v>5309</v>
      </c>
      <c r="L30" s="91">
        <v>5389</v>
      </c>
      <c r="M30" s="91">
        <v>5475</v>
      </c>
      <c r="N30" s="91">
        <v>5635</v>
      </c>
      <c r="O30" s="91">
        <v>5702</v>
      </c>
      <c r="P30" s="91">
        <v>4804.9251799843723</v>
      </c>
    </row>
    <row r="31" spans="1:16" x14ac:dyDescent="0.2">
      <c r="A31" s="89" t="s">
        <v>81</v>
      </c>
      <c r="B31" s="91">
        <v>101</v>
      </c>
      <c r="C31" s="91">
        <v>93</v>
      </c>
      <c r="D31" s="91">
        <v>120</v>
      </c>
      <c r="E31" s="91">
        <v>102</v>
      </c>
      <c r="F31" s="91">
        <v>102</v>
      </c>
      <c r="G31" s="91">
        <v>102</v>
      </c>
      <c r="H31" s="91">
        <v>103</v>
      </c>
      <c r="I31" s="91">
        <v>98</v>
      </c>
      <c r="J31" s="91">
        <v>106</v>
      </c>
      <c r="K31" s="91">
        <v>106</v>
      </c>
      <c r="L31" s="91">
        <v>105</v>
      </c>
      <c r="M31" s="91">
        <v>103</v>
      </c>
      <c r="N31" s="91">
        <v>103</v>
      </c>
      <c r="O31" s="91">
        <v>102</v>
      </c>
      <c r="P31" s="91">
        <v>105.8701898225579</v>
      </c>
    </row>
    <row r="32" spans="1:16" x14ac:dyDescent="0.2">
      <c r="A32" s="89" t="s">
        <v>172</v>
      </c>
      <c r="B32" s="91">
        <v>26.86</v>
      </c>
      <c r="C32" s="91">
        <v>56.98</v>
      </c>
      <c r="D32" s="91">
        <v>74.16</v>
      </c>
      <c r="E32" s="91">
        <v>72.7</v>
      </c>
      <c r="F32" s="91">
        <v>71.2</v>
      </c>
      <c r="G32" s="91">
        <v>68.2</v>
      </c>
      <c r="H32" s="91">
        <v>59.4</v>
      </c>
      <c r="I32" s="91">
        <v>57.2</v>
      </c>
      <c r="J32" s="91">
        <v>64.900000000000006</v>
      </c>
      <c r="K32" s="91">
        <v>74.3</v>
      </c>
      <c r="L32" s="91">
        <v>72.8</v>
      </c>
      <c r="M32" s="91">
        <v>68</v>
      </c>
      <c r="N32" s="91">
        <v>66.5</v>
      </c>
      <c r="O32" s="91">
        <v>73.8</v>
      </c>
      <c r="P32" s="91">
        <v>73</v>
      </c>
    </row>
    <row r="33" spans="1:1" x14ac:dyDescent="0.2">
      <c r="A33" s="89"/>
    </row>
    <row r="34" spans="1:1" x14ac:dyDescent="0.2">
      <c r="A34" s="89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2726-385E-42FF-8C5A-07D764286BD4}">
  <dimension ref="A1:P34"/>
  <sheetViews>
    <sheetView workbookViewId="0">
      <selection activeCell="M14" sqref="M14"/>
    </sheetView>
  </sheetViews>
  <sheetFormatPr defaultColWidth="9" defaultRowHeight="15" x14ac:dyDescent="0.2"/>
  <cols>
    <col min="1" max="1" width="58.6640625" bestFit="1" customWidth="1"/>
    <col min="2" max="3" width="10.33203125" style="91" hidden="1" customWidth="1"/>
    <col min="4" max="6" width="10.33203125" style="91" bestFit="1" customWidth="1"/>
    <col min="7" max="14" width="11.33203125" style="91" bestFit="1" customWidth="1"/>
    <col min="15" max="16" width="11.33203125" customWidth="1"/>
  </cols>
  <sheetData>
    <row r="1" spans="1:16" ht="18" x14ac:dyDescent="0.25">
      <c r="A1" s="88" t="s">
        <v>214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6" ht="15.75" x14ac:dyDescent="0.25">
      <c r="A2" s="89" t="s">
        <v>190</v>
      </c>
      <c r="B2" s="90">
        <f>'Veg Oils Comp'!B2</f>
        <v>2019</v>
      </c>
      <c r="C2" s="90">
        <f>'Veg Oils Comp'!C2</f>
        <v>2020</v>
      </c>
      <c r="D2" s="90">
        <f>'Veg Oils Comp'!D2</f>
        <v>2021</v>
      </c>
      <c r="E2" s="90">
        <f>'Veg Oils Comp'!E2</f>
        <v>2022</v>
      </c>
      <c r="F2" s="90">
        <f>'Veg Oils Comp'!F2</f>
        <v>2023</v>
      </c>
      <c r="G2" s="90">
        <f>'Veg Oils Comp'!G2</f>
        <v>2024</v>
      </c>
      <c r="H2" s="90">
        <f>'Veg Oils Comp'!H2</f>
        <v>2025</v>
      </c>
      <c r="I2" s="90">
        <f>'Veg Oils Comp'!I2</f>
        <v>2026</v>
      </c>
      <c r="J2" s="90">
        <f>'Veg Oils Comp'!J2</f>
        <v>2027</v>
      </c>
      <c r="K2" s="90">
        <f>'Veg Oils Comp'!K2</f>
        <v>2028</v>
      </c>
      <c r="L2" s="90">
        <f>'Veg Oils Comp'!L2</f>
        <v>2029</v>
      </c>
      <c r="M2" s="90">
        <f>'Veg Oils Comp'!M2</f>
        <v>2030</v>
      </c>
      <c r="N2" s="90">
        <f>'Veg Oils Comp'!N2</f>
        <v>2031</v>
      </c>
      <c r="O2" s="90">
        <f>'Veg Oils Comp'!O2</f>
        <v>2032</v>
      </c>
      <c r="P2" s="90">
        <f>'Veg Oils Comp'!P2</f>
        <v>2033</v>
      </c>
    </row>
    <row r="3" spans="1:16" x14ac:dyDescent="0.2">
      <c r="A3" s="89" t="s">
        <v>70</v>
      </c>
      <c r="B3" s="91">
        <f>'Poultry Fat'!AB4-B19</f>
        <v>0.35099999999999909</v>
      </c>
      <c r="C3" s="91">
        <f>'Poultry Fat'!AC4-C19</f>
        <v>0.49899999999999878</v>
      </c>
      <c r="D3" s="91">
        <f>'Poultry Fat'!AD4-D19</f>
        <v>-0.39500000000000313</v>
      </c>
      <c r="E3" s="91">
        <f>'Poultry Fat'!AE4-E19</f>
        <v>-0.31099999999999994</v>
      </c>
      <c r="F3" s="91">
        <f>'Poultry Fat'!AF4-F19</f>
        <v>1.8999999999999986</v>
      </c>
      <c r="G3" s="91">
        <f>'Poultry Fat'!AG4-G19</f>
        <v>6.5910000000000011</v>
      </c>
      <c r="H3" s="91">
        <f>'Poultry Fat'!AH4-H19</f>
        <v>-6.2959999999999994</v>
      </c>
      <c r="I3" s="91">
        <f>'Poultry Fat'!AI4-I19</f>
        <v>8.2960515024857671</v>
      </c>
      <c r="J3" s="91">
        <f>'Poultry Fat'!AJ4-J19</f>
        <v>29.151475190734629</v>
      </c>
      <c r="K3" s="91">
        <f>'Poultry Fat'!AK4-K19</f>
        <v>12.510603148958836</v>
      </c>
      <c r="L3" s="91">
        <f>'Poultry Fat'!AL4-L19</f>
        <v>11.878862538840622</v>
      </c>
      <c r="M3" s="91">
        <f>'Poultry Fat'!AM4-M19</f>
        <v>9.8006803801827687</v>
      </c>
      <c r="N3" s="91">
        <f>'Poultry Fat'!AN4-N19</f>
        <v>17.839016346039699</v>
      </c>
      <c r="O3" s="91">
        <f>'Poultry Fat'!AO4-O19</f>
        <v>9.34949559519427</v>
      </c>
      <c r="P3" s="91">
        <f>'Poultry Fat'!AP4-P19</f>
        <v>13.148148420582572</v>
      </c>
    </row>
    <row r="4" spans="1:16" x14ac:dyDescent="0.2">
      <c r="A4" s="89" t="s">
        <v>71</v>
      </c>
      <c r="B4" s="91">
        <f>'Poultry Fat'!AB5-B20</f>
        <v>-0.21699999999964348</v>
      </c>
      <c r="C4" s="91">
        <f>'Poultry Fat'!AC5-C20</f>
        <v>-0.36000000000058208</v>
      </c>
      <c r="D4" s="91">
        <f>'Poultry Fat'!AD5-D20</f>
        <v>5.8000000000447471E-2</v>
      </c>
      <c r="E4" s="91">
        <f>'Poultry Fat'!AE5-E20</f>
        <v>-5.2630000000001473</v>
      </c>
      <c r="F4" s="91">
        <f>'Poultry Fat'!AF5-F20</f>
        <v>122.92900000000009</v>
      </c>
      <c r="G4" s="91">
        <f>'Poultry Fat'!AG5-G20</f>
        <v>54.451000000000022</v>
      </c>
      <c r="H4" s="91">
        <f>'Poultry Fat'!AH5-H20</f>
        <v>46.886939820521548</v>
      </c>
      <c r="I4" s="91">
        <f>'Poultry Fat'!AI5-I20</f>
        <v>55.647525287209191</v>
      </c>
      <c r="J4" s="91">
        <f>'Poultry Fat'!AJ5-J20</f>
        <v>64.027129109238558</v>
      </c>
      <c r="K4" s="91">
        <f>'Poultry Fat'!AK5-K20</f>
        <v>72.151451054799963</v>
      </c>
      <c r="L4" s="91">
        <f>'Poultry Fat'!AL5-L20</f>
        <v>81.322382955517241</v>
      </c>
      <c r="M4" s="91">
        <f>'Poultry Fat'!AM5-M20</f>
        <v>92.212156973550918</v>
      </c>
      <c r="N4" s="91">
        <f>'Poultry Fat'!AN5-N20</f>
        <v>104.27599942331562</v>
      </c>
      <c r="O4" s="91">
        <f>'Poultry Fat'!AO5-O20</f>
        <v>115.92476021415951</v>
      </c>
      <c r="P4" s="91">
        <f>'Poultry Fat'!AP5-P20</f>
        <v>128.93517147858529</v>
      </c>
    </row>
    <row r="5" spans="1:16" x14ac:dyDescent="0.2">
      <c r="A5" s="89" t="s">
        <v>72</v>
      </c>
      <c r="B5" s="91">
        <f>'Poultry Fat'!AB6-B21</f>
        <v>0.10942158856000006</v>
      </c>
      <c r="C5" s="91">
        <f>'Poultry Fat'!AC6-C21</f>
        <v>-8.4116428339999771E-2</v>
      </c>
      <c r="D5" s="91">
        <f>'Poultry Fat'!AD6-D21</f>
        <v>5.4683581139999937E-2</v>
      </c>
      <c r="E5" s="91">
        <f>'Poultry Fat'!AE6-E21</f>
        <v>-0.40301600000000004</v>
      </c>
      <c r="F5" s="91">
        <f>'Poultry Fat'!AF6-F21</f>
        <v>1.1612010000000001</v>
      </c>
      <c r="G5" s="91">
        <f>'Poultry Fat'!AG6-G21</f>
        <v>-3.3950715767999999</v>
      </c>
      <c r="H5" s="91">
        <f>'Poultry Fat'!AH6-H21</f>
        <v>1.1117562250102395</v>
      </c>
      <c r="I5" s="91">
        <f>'Poultry Fat'!AI6-I21</f>
        <v>-0.28193270483196819</v>
      </c>
      <c r="J5" s="91">
        <f>'Poultry Fat'!AJ6-J21</f>
        <v>9.3291094555277176E-2</v>
      </c>
      <c r="K5" s="91">
        <f>'Poultry Fat'!AK6-K21</f>
        <v>6.9062309633432406E-2</v>
      </c>
      <c r="L5" s="91">
        <f>'Poultry Fat'!AL6-L21</f>
        <v>-0.12440013471662592</v>
      </c>
      <c r="M5" s="91">
        <f>'Poultry Fat'!AM6-M21</f>
        <v>-9.6402532792547291E-2</v>
      </c>
      <c r="N5" s="91">
        <f>'Poultry Fat'!AN6-N21</f>
        <v>0.17355535793007171</v>
      </c>
      <c r="O5" s="91">
        <f>'Poultry Fat'!AO6-O21</f>
        <v>-6.807639363048601E-2</v>
      </c>
      <c r="P5" s="91">
        <f>'Poultry Fat'!AP6-P21</f>
        <v>2.3021218921922326E-2</v>
      </c>
    </row>
    <row r="6" spans="1:16" x14ac:dyDescent="0.2">
      <c r="A6" s="89" t="s">
        <v>83</v>
      </c>
      <c r="B6" s="91">
        <f>'Poultry Fat'!AB7-B22</f>
        <v>0.24342158856052265</v>
      </c>
      <c r="C6" s="91">
        <f>'Poultry Fat'!AC7-C22</f>
        <v>5.4883571659047448E-2</v>
      </c>
      <c r="D6" s="91">
        <f>'Poultry Fat'!AD7-D22</f>
        <v>-0.28231641885940917</v>
      </c>
      <c r="E6" s="91">
        <f>'Poultry Fat'!AE7-E22</f>
        <v>-4.9770160000002761</v>
      </c>
      <c r="F6" s="91">
        <f>'Poultry Fat'!AF7-F22</f>
        <v>125.99020100000007</v>
      </c>
      <c r="G6" s="91">
        <f>'Poultry Fat'!AG7-G22</f>
        <v>56.646928423199824</v>
      </c>
      <c r="H6" s="91">
        <f>'Poultry Fat'!AH7-H22</f>
        <v>41.702696045531866</v>
      </c>
      <c r="I6" s="91">
        <f>'Poultry Fat'!AI7-I22</f>
        <v>63.661644084862928</v>
      </c>
      <c r="J6" s="91">
        <f>'Poultry Fat'!AJ7-J22</f>
        <v>93.271895394528656</v>
      </c>
      <c r="K6" s="91">
        <f>'Poultry Fat'!AK7-K22</f>
        <v>84.731116513392408</v>
      </c>
      <c r="L6" s="91">
        <f>'Poultry Fat'!AL7-L22</f>
        <v>94.076845359641084</v>
      </c>
      <c r="M6" s="91">
        <f>'Poultry Fat'!AM7-M22</f>
        <v>101.91643482094105</v>
      </c>
      <c r="N6" s="91">
        <f>'Poultry Fat'!AN7-N22</f>
        <v>122.28857112728565</v>
      </c>
      <c r="O6" s="91">
        <f>'Poultry Fat'!AO7-O22</f>
        <v>125.206179415723</v>
      </c>
      <c r="P6" s="91">
        <f>'Poultry Fat'!AP7-P22</f>
        <v>142.1063411180894</v>
      </c>
    </row>
    <row r="7" spans="1:16" x14ac:dyDescent="0.2">
      <c r="A7" s="89" t="s">
        <v>74</v>
      </c>
      <c r="O7" s="91"/>
      <c r="P7" s="91"/>
    </row>
    <row r="8" spans="1:16" x14ac:dyDescent="0.2">
      <c r="A8" s="89" t="s">
        <v>191</v>
      </c>
      <c r="B8" s="91">
        <f>'Poultry Fat'!AB9-B24</f>
        <v>1.6666666666935726E-3</v>
      </c>
      <c r="C8" s="91">
        <f>'Poultry Fat'!AC9-C24</f>
        <v>-5.5971703707257348E-2</v>
      </c>
      <c r="D8" s="91">
        <f>'Poultry Fat'!AD9-D24</f>
        <v>0.34500000000002728</v>
      </c>
      <c r="E8" s="91">
        <f>'Poultry Fat'!AE9-E24</f>
        <v>-2.4279999999999973</v>
      </c>
      <c r="F8" s="91">
        <f>'Poultry Fat'!AF9-F24</f>
        <v>-149.22200000000001</v>
      </c>
      <c r="G8" s="91">
        <f>'Poultry Fat'!AG9-G24</f>
        <v>31.403470908984559</v>
      </c>
      <c r="H8" s="91">
        <f>'Poultry Fat'!AH9-H24</f>
        <v>-4.0342245942665613</v>
      </c>
      <c r="I8" s="91">
        <f>'Poultry Fat'!AI9-I24</f>
        <v>19.035524477632379</v>
      </c>
      <c r="J8" s="91">
        <f>'Poultry Fat'!AJ9-J24</f>
        <v>-28.070443628517069</v>
      </c>
      <c r="K8" s="91">
        <f>'Poultry Fat'!AK9-K24</f>
        <v>-73.678369745038282</v>
      </c>
      <c r="L8" s="91">
        <f>'Poultry Fat'!AL9-L24</f>
        <v>-56.628050399567286</v>
      </c>
      <c r="M8" s="91">
        <f>'Poultry Fat'!AM9-M24</f>
        <v>11.440256203600541</v>
      </c>
      <c r="N8" s="91">
        <f>'Poultry Fat'!AN9-N24</f>
        <v>7.4645753066404268</v>
      </c>
      <c r="O8" s="91">
        <f>'Poultry Fat'!AO9-O24</f>
        <v>23.265570119976559</v>
      </c>
      <c r="P8" s="91">
        <f>'Poultry Fat'!AP9-P24</f>
        <v>42.378360756285389</v>
      </c>
    </row>
    <row r="9" spans="1:16" x14ac:dyDescent="0.2">
      <c r="A9" s="89" t="s">
        <v>192</v>
      </c>
      <c r="B9" s="91">
        <f>'Poultry Fat'!AB10-B25</f>
        <v>1.6666666666935726E-3</v>
      </c>
      <c r="C9" s="91">
        <f>'Poultry Fat'!AC10-C25</f>
        <v>-5.5971703707257348E-2</v>
      </c>
      <c r="D9" s="91">
        <f>'Poultry Fat'!AD10-D25</f>
        <v>0.16090229811106838</v>
      </c>
      <c r="E9" s="91">
        <f>'Poultry Fat'!AE10-E25</f>
        <v>-4.3071859157721804</v>
      </c>
      <c r="F9" s="91">
        <f>'Poultry Fat'!AF10-F25</f>
        <v>-158.12766025916451</v>
      </c>
      <c r="G9" s="91">
        <f>'Poultry Fat'!AG10-G25</f>
        <v>25.575637514325052</v>
      </c>
      <c r="H9" s="91">
        <f>'Poultry Fat'!AH10-H25</f>
        <v>-5.0809136617403965</v>
      </c>
      <c r="I9" s="91">
        <f>'Poultry Fat'!AI10-I25</f>
        <v>16.860770868188609</v>
      </c>
      <c r="J9" s="91">
        <f>'Poultry Fat'!AJ10-J25</f>
        <v>-33.676308942074627</v>
      </c>
      <c r="K9" s="91">
        <f>'Poultry Fat'!AK10-K25</f>
        <v>-76.382593569439734</v>
      </c>
      <c r="L9" s="91">
        <f>'Poultry Fat'!AL10-L25</f>
        <v>-63.081841650814766</v>
      </c>
      <c r="M9" s="91">
        <f>'Poultry Fat'!AM10-M25</f>
        <v>-0.41423334149797597</v>
      </c>
      <c r="N9" s="91">
        <f>'Poultry Fat'!AN10-N25</f>
        <v>-9.5509986168473802</v>
      </c>
      <c r="O9" s="91">
        <f>'Poultry Fat'!AO10-O25</f>
        <v>-8.4033144085801155</v>
      </c>
      <c r="P9" s="91">
        <f>'Poultry Fat'!AP10-P25</f>
        <v>11.538379506449047</v>
      </c>
    </row>
    <row r="10" spans="1:16" x14ac:dyDescent="0.2">
      <c r="A10" s="89" t="s">
        <v>193</v>
      </c>
      <c r="B10" s="91">
        <f>'Poultry Fat'!AB11-B26</f>
        <v>0</v>
      </c>
      <c r="C10" s="91">
        <f>'Poultry Fat'!AC11-C26</f>
        <v>0</v>
      </c>
      <c r="D10" s="91">
        <f>'Poultry Fat'!AD11-D26</f>
        <v>0.18409770188894292</v>
      </c>
      <c r="E10" s="91">
        <f>'Poultry Fat'!AE11-E26</f>
        <v>1.879185915772192</v>
      </c>
      <c r="F10" s="91">
        <f>'Poultry Fat'!AF11-F26</f>
        <v>9.9056602591645131</v>
      </c>
      <c r="G10" s="91">
        <f>'Poultry Fat'!AG11-G26</f>
        <v>5.827833394659514</v>
      </c>
      <c r="H10" s="91">
        <f>'Poultry Fat'!AH11-H26</f>
        <v>1.0466890674738245</v>
      </c>
      <c r="I10" s="91">
        <f>'Poultry Fat'!AI11-I26</f>
        <v>2.1747536094437585</v>
      </c>
      <c r="J10" s="91">
        <f>'Poultry Fat'!AJ11-J26</f>
        <v>6.6058653135575653</v>
      </c>
      <c r="K10" s="91">
        <f>'Poultry Fat'!AK11-K26</f>
        <v>2.7042238244014598</v>
      </c>
      <c r="L10" s="91">
        <f>'Poultry Fat'!AL11-L26</f>
        <v>6.4537912512474733</v>
      </c>
      <c r="M10" s="91">
        <f>'Poultry Fat'!AM11-M26</f>
        <v>11.854489545098524</v>
      </c>
      <c r="N10" s="91">
        <f>'Poultry Fat'!AN11-N26</f>
        <v>17.015573923487821</v>
      </c>
      <c r="O10" s="91">
        <f>'Poultry Fat'!AO11-O26</f>
        <v>31.668884528556674</v>
      </c>
      <c r="P10" s="91">
        <f>'Poultry Fat'!AP11-P26</f>
        <v>31.839981249836342</v>
      </c>
    </row>
    <row r="11" spans="1:16" x14ac:dyDescent="0.2">
      <c r="A11" s="89" t="s">
        <v>194</v>
      </c>
      <c r="B11" s="91" t="e">
        <f>'Poultry Fat'!#REF!-B27</f>
        <v>#REF!</v>
      </c>
      <c r="C11" s="91" t="e">
        <f>'Poultry Fat'!#REF!-C27</f>
        <v>#REF!</v>
      </c>
      <c r="D11" s="91" t="e">
        <f>'Poultry Fat'!#REF!-D27</f>
        <v>#REF!</v>
      </c>
      <c r="E11" s="91" t="e">
        <f>'Poultry Fat'!#REF!-E27</f>
        <v>#REF!</v>
      </c>
      <c r="F11" s="91" t="e">
        <f>'Poultry Fat'!#REF!-F27</f>
        <v>#REF!</v>
      </c>
      <c r="G11" s="91" t="e">
        <f>'Poultry Fat'!#REF!-G27</f>
        <v>#REF!</v>
      </c>
      <c r="H11" s="91" t="e">
        <f>'Poultry Fat'!#REF!-H27</f>
        <v>#REF!</v>
      </c>
      <c r="I11" s="91" t="e">
        <f>'Poultry Fat'!#REF!-I27</f>
        <v>#REF!</v>
      </c>
      <c r="J11" s="91" t="e">
        <f>'Poultry Fat'!#REF!-J27</f>
        <v>#REF!</v>
      </c>
      <c r="K11" s="91" t="e">
        <f>'Poultry Fat'!#REF!-K27</f>
        <v>#REF!</v>
      </c>
      <c r="L11" s="91" t="e">
        <f>'Poultry Fat'!#REF!-L27</f>
        <v>#REF!</v>
      </c>
      <c r="M11" s="91" t="e">
        <f>'Poultry Fat'!#REF!-M27</f>
        <v>#REF!</v>
      </c>
      <c r="N11" s="91" t="e">
        <f>'Poultry Fat'!#REF!-N27</f>
        <v>#REF!</v>
      </c>
      <c r="O11" s="91" t="e">
        <f>'Poultry Fat'!#REF!-O27</f>
        <v>#REF!</v>
      </c>
      <c r="P11" s="91" t="e">
        <f>'Poultry Fat'!#REF!-P27</f>
        <v>#REF!</v>
      </c>
    </row>
    <row r="12" spans="1:16" x14ac:dyDescent="0.2">
      <c r="A12" s="89" t="s">
        <v>159</v>
      </c>
      <c r="B12" s="91">
        <f>'Poultry Fat'!AB12-B28</f>
        <v>0.37518314751423532</v>
      </c>
      <c r="C12" s="91">
        <f>'Poultry Fat'!AC12-C28</f>
        <v>-0.38376565151384057</v>
      </c>
      <c r="D12" s="91">
        <f>'Poultry Fat'!AD12-D28</f>
        <v>0.10051465574065332</v>
      </c>
      <c r="E12" s="91">
        <f>'Poultry Fat'!AE12-E28</f>
        <v>-5.0261600000003455</v>
      </c>
      <c r="F12" s="91">
        <f>'Poultry Fat'!AF12-F28</f>
        <v>267.2662691415203</v>
      </c>
      <c r="G12" s="91">
        <f>'Poultry Fat'!AG12-G28</f>
        <v>19.034833864714983</v>
      </c>
      <c r="H12" s="91">
        <f>'Poultry Fat'!AH12-H28</f>
        <v>28.876345287084405</v>
      </c>
      <c r="I12" s="91">
        <f>'Poultry Fat'!AI12-I28</f>
        <v>5.9805241603221475</v>
      </c>
      <c r="J12" s="91">
        <f>'Poultry Fat'!AJ12-J28</f>
        <v>98.160842211948875</v>
      </c>
      <c r="K12" s="91">
        <f>'Poultry Fat'!AK12-K28</f>
        <v>136.40280072998848</v>
      </c>
      <c r="L12" s="91">
        <f>'Poultry Fat'!AL12-L28</f>
        <v>130.93954064410627</v>
      </c>
      <c r="M12" s="91">
        <f>'Poultry Fat'!AM12-M28</f>
        <v>62.417184467698917</v>
      </c>
      <c r="N12" s="91">
        <f>'Poultry Fat'!AN12-N28</f>
        <v>95.710093126838728</v>
      </c>
      <c r="O12" s="91">
        <f>'Poultry Fat'!AO12-O28</f>
        <v>77.696962985877235</v>
      </c>
      <c r="P12" s="91">
        <f>'Poultry Fat'!AP12-P28</f>
        <v>84.754640128338451</v>
      </c>
    </row>
    <row r="13" spans="1:16" x14ac:dyDescent="0.2">
      <c r="A13" s="89" t="s">
        <v>79</v>
      </c>
      <c r="B13" s="91">
        <f>'Poultry Fat'!AB13-B29</f>
        <v>0.36757177438000355</v>
      </c>
      <c r="C13" s="91">
        <f>'Poultry Fat'!AC13-C29</f>
        <v>-0.11037907312000783</v>
      </c>
      <c r="D13" s="91">
        <f>'Poultry Fat'!AD13-D29</f>
        <v>-0.41683107459999746</v>
      </c>
      <c r="E13" s="91">
        <f>'Poultry Fat'!AE13-E29</f>
        <v>-0.4228559999999959</v>
      </c>
      <c r="F13" s="91">
        <f>'Poultry Fat'!AF13-F29</f>
        <v>1.3549318584800076</v>
      </c>
      <c r="G13" s="91">
        <f>'Poultry Fat'!AG13-G29</f>
        <v>13.504623649500004</v>
      </c>
      <c r="H13" s="91">
        <f>'Poultry Fat'!AH13-H29</f>
        <v>8.5645238502282481</v>
      </c>
      <c r="I13" s="91">
        <f>'Poultry Fat'!AI13-I29</f>
        <v>10.494120256173389</v>
      </c>
      <c r="J13" s="91">
        <f>'Poultry Fat'!AJ13-J29</f>
        <v>9.6708936621381341</v>
      </c>
      <c r="K13" s="91">
        <f>'Poultry Fat'!AK13-K29</f>
        <v>10.127822989601619</v>
      </c>
      <c r="L13" s="91">
        <f>'Poultry Fat'!AL13-L29</f>
        <v>9.9646747349193916</v>
      </c>
      <c r="M13" s="91">
        <f>'Poultry Fat'!AM13-M29</f>
        <v>10.219977803601424</v>
      </c>
      <c r="N13" s="91">
        <f>'Poultry Fat'!AN13-N29</f>
        <v>9.7644070986121676</v>
      </c>
      <c r="O13" s="91">
        <f>'Poultry Fat'!AO13-O29</f>
        <v>10.095497889286783</v>
      </c>
      <c r="P13" s="91">
        <f>'Poultry Fat'!AP13-P29</f>
        <v>9.9495552577745414</v>
      </c>
    </row>
    <row r="14" spans="1:16" x14ac:dyDescent="0.2">
      <c r="A14" s="89" t="s">
        <v>85</v>
      </c>
      <c r="B14" s="91">
        <f>'Poultry Fat'!AB14-B30</f>
        <v>-0.25557841143927362</v>
      </c>
      <c r="C14" s="91">
        <f>'Poultry Fat'!AC14-C30</f>
        <v>0.44988357165902926</v>
      </c>
      <c r="D14" s="91">
        <f>'Poultry Fat'!AD14-D30</f>
        <v>2.8683581140739989E-2</v>
      </c>
      <c r="E14" s="91">
        <f>'Poultry Fat'!AE14-E30</f>
        <v>-6.8770160000003671</v>
      </c>
      <c r="F14" s="91">
        <f>'Poultry Fat'!AF14-F30</f>
        <v>119.39920100000018</v>
      </c>
      <c r="G14" s="91">
        <f>'Poultry Fat'!AG14-G30</f>
        <v>63.942928423199646</v>
      </c>
      <c r="H14" s="91">
        <f>'Poultry Fat'!AH14-H30</f>
        <v>33.406644543046241</v>
      </c>
      <c r="I14" s="91">
        <f>'Poultry Fat'!AI14-I30</f>
        <v>35.510168894128128</v>
      </c>
      <c r="J14" s="91">
        <f>'Poultry Fat'!AJ14-J30</f>
        <v>80.761292245569621</v>
      </c>
      <c r="K14" s="91">
        <f>'Poultry Fat'!AK14-K30</f>
        <v>72.852253974551786</v>
      </c>
      <c r="L14" s="91">
        <f>'Poultry Fat'!AL14-L30</f>
        <v>84.276164979458372</v>
      </c>
      <c r="M14" s="91">
        <f>'Poultry Fat'!AM14-M30</f>
        <v>84.077418474901151</v>
      </c>
      <c r="N14" s="91">
        <f>'Poultry Fat'!AN14-N30</f>
        <v>112.93907553209146</v>
      </c>
      <c r="O14" s="91">
        <f>'Poultry Fat'!AO14-O30</f>
        <v>112.0580309951406</v>
      </c>
      <c r="P14" s="91">
        <f>'Poultry Fat'!AP14-P30</f>
        <v>138.08255614239852</v>
      </c>
    </row>
    <row r="15" spans="1:16" x14ac:dyDescent="0.2">
      <c r="A15" s="89" t="s">
        <v>81</v>
      </c>
      <c r="B15" s="91">
        <f>'Poultry Fat'!AB15-B31</f>
        <v>0.49899999999999878</v>
      </c>
      <c r="C15" s="91">
        <f>'Poultry Fat'!AC15-C31</f>
        <v>-0.39500000000000313</v>
      </c>
      <c r="D15" s="91">
        <f>'Poultry Fat'!AD15-D31</f>
        <v>-0.31099999999999994</v>
      </c>
      <c r="E15" s="91">
        <f>'Poultry Fat'!AE15-E31</f>
        <v>1.8999999999999986</v>
      </c>
      <c r="F15" s="91">
        <f>'Poultry Fat'!AF15-F31</f>
        <v>6.5910000000000011</v>
      </c>
      <c r="G15" s="91">
        <f>'Poultry Fat'!AG15-G31</f>
        <v>-6.2959999999999994</v>
      </c>
      <c r="H15" s="91">
        <f>'Poultry Fat'!AH15-H31</f>
        <v>8.2960515024857671</v>
      </c>
      <c r="I15" s="91">
        <f>'Poultry Fat'!AI15-I31</f>
        <v>29.151475190734629</v>
      </c>
      <c r="J15" s="91">
        <f>'Poultry Fat'!AJ15-J31</f>
        <v>12.510603148958836</v>
      </c>
      <c r="K15" s="91">
        <f>'Poultry Fat'!AK15-K31</f>
        <v>11.878862538840622</v>
      </c>
      <c r="L15" s="91">
        <f>'Poultry Fat'!AL15-L31</f>
        <v>9.8006803801827687</v>
      </c>
      <c r="M15" s="91">
        <f>'Poultry Fat'!AM15-M31</f>
        <v>17.839016346039699</v>
      </c>
      <c r="N15" s="91">
        <f>'Poultry Fat'!AN15-N31</f>
        <v>9.34949559519427</v>
      </c>
      <c r="O15" s="91">
        <f>'Poultry Fat'!AO15-O31</f>
        <v>13.148148420582572</v>
      </c>
      <c r="P15" s="91">
        <f>'Poultry Fat'!AP15-P31</f>
        <v>4.0237849756910578</v>
      </c>
    </row>
    <row r="16" spans="1:16" x14ac:dyDescent="0.2">
      <c r="A16" s="89" t="s">
        <v>188</v>
      </c>
      <c r="B16" s="91">
        <f>'Poultry Fat'!AB16-B32</f>
        <v>-1.2469999999999999</v>
      </c>
      <c r="C16" s="91">
        <f>'Poultry Fat'!AC16-C32</f>
        <v>6.1310000000000002</v>
      </c>
      <c r="D16" s="91">
        <f>'Poultry Fat'!AD16-D32</f>
        <v>-17.873999999999999</v>
      </c>
      <c r="E16" s="91">
        <f>'Poultry Fat'!AE16-E32</f>
        <v>-31.32</v>
      </c>
      <c r="F16" s="91">
        <f>'Poultry Fat'!AF16-F32</f>
        <v>-33.642000000000003</v>
      </c>
      <c r="G16" s="91">
        <f>'Poultry Fat'!AG16-G32</f>
        <v>-28.597999999999999</v>
      </c>
      <c r="H16" s="91">
        <f>'Poultry Fat'!AH16-H32</f>
        <v>-24.140922563325205</v>
      </c>
      <c r="I16" s="91">
        <f>'Poultry Fat'!AI16-I32</f>
        <v>-11.695503055082511</v>
      </c>
      <c r="J16" s="91">
        <f>'Poultry Fat'!AJ16-J32</f>
        <v>9.6813076565997989</v>
      </c>
      <c r="K16" s="91">
        <f>'Poultry Fat'!AK16-K32</f>
        <v>-11.912292527521679</v>
      </c>
      <c r="L16" s="91">
        <f>'Poultry Fat'!AL16-L32</f>
        <v>-22.376664580378581</v>
      </c>
      <c r="M16" s="91">
        <f>'Poultry Fat'!AM16-M32</f>
        <v>-18.352068978623734</v>
      </c>
      <c r="N16" s="91">
        <f>'Poultry Fat'!AN16-N32</f>
        <v>-4.7148590534139601</v>
      </c>
      <c r="O16" s="91">
        <f>'Poultry Fat'!AO16-O32</f>
        <v>6.0443949699682662</v>
      </c>
      <c r="P16" s="91">
        <f>'Poultry Fat'!AP16-P32</f>
        <v>-4.2068804123109089</v>
      </c>
    </row>
    <row r="17" spans="1:16" x14ac:dyDescent="0.2">
      <c r="A17" s="89"/>
    </row>
    <row r="18" spans="1:16" x14ac:dyDescent="0.2">
      <c r="A18" s="89"/>
    </row>
    <row r="19" spans="1:16" x14ac:dyDescent="0.2">
      <c r="A19" s="89" t="s">
        <v>70</v>
      </c>
      <c r="B19" s="91">
        <v>23</v>
      </c>
      <c r="C19" s="91">
        <v>31</v>
      </c>
      <c r="D19" s="91">
        <v>33</v>
      </c>
      <c r="E19" s="91">
        <v>30</v>
      </c>
      <c r="F19" s="91">
        <v>30</v>
      </c>
      <c r="G19" s="91">
        <v>29</v>
      </c>
      <c r="H19" s="91">
        <v>36</v>
      </c>
      <c r="I19" s="91">
        <v>38</v>
      </c>
      <c r="J19" s="91">
        <v>39</v>
      </c>
      <c r="K19" s="91">
        <v>37</v>
      </c>
      <c r="L19" s="91">
        <v>32</v>
      </c>
      <c r="M19" s="91">
        <v>22</v>
      </c>
      <c r="N19" s="91">
        <v>20</v>
      </c>
      <c r="O19" s="91">
        <v>30</v>
      </c>
      <c r="P19" s="91">
        <v>26</v>
      </c>
    </row>
    <row r="20" spans="1:16" x14ac:dyDescent="0.2">
      <c r="A20" s="89" t="s">
        <v>71</v>
      </c>
      <c r="B20" s="91">
        <v>2500</v>
      </c>
      <c r="C20" s="91">
        <v>2528</v>
      </c>
      <c r="D20" s="91">
        <v>2110</v>
      </c>
      <c r="E20" s="91">
        <v>2029</v>
      </c>
      <c r="F20" s="91">
        <v>2174</v>
      </c>
      <c r="G20" s="91">
        <v>2173</v>
      </c>
      <c r="H20" s="91">
        <v>2227</v>
      </c>
      <c r="I20" s="91">
        <v>2264</v>
      </c>
      <c r="J20" s="91">
        <v>2301</v>
      </c>
      <c r="K20" s="91">
        <v>2360</v>
      </c>
      <c r="L20" s="91">
        <v>2368</v>
      </c>
      <c r="M20" s="91">
        <v>2410</v>
      </c>
      <c r="N20" s="91">
        <v>2465</v>
      </c>
      <c r="O20" s="91">
        <v>2521</v>
      </c>
      <c r="P20" s="91">
        <v>2543</v>
      </c>
    </row>
    <row r="21" spans="1:16" x14ac:dyDescent="0.2">
      <c r="A21" s="89" t="s">
        <v>72</v>
      </c>
      <c r="B21" s="91">
        <v>8</v>
      </c>
      <c r="C21" s="91">
        <v>5</v>
      </c>
      <c r="D21" s="91">
        <v>3</v>
      </c>
      <c r="E21" s="91">
        <v>7</v>
      </c>
      <c r="F21" s="91">
        <v>4</v>
      </c>
      <c r="G21" s="91">
        <v>5</v>
      </c>
      <c r="H21" s="91">
        <v>5</v>
      </c>
      <c r="I21" s="91">
        <v>5</v>
      </c>
      <c r="J21" s="91">
        <v>5</v>
      </c>
      <c r="K21" s="91">
        <v>5</v>
      </c>
      <c r="L21" s="91">
        <v>5</v>
      </c>
      <c r="M21" s="91">
        <v>5</v>
      </c>
      <c r="N21" s="91">
        <v>5</v>
      </c>
      <c r="O21" s="91">
        <v>5</v>
      </c>
      <c r="P21" s="91">
        <v>5</v>
      </c>
    </row>
    <row r="22" spans="1:16" x14ac:dyDescent="0.2">
      <c r="A22" s="89" t="s">
        <v>83</v>
      </c>
      <c r="B22" s="91">
        <v>2531</v>
      </c>
      <c r="C22" s="91">
        <v>2564</v>
      </c>
      <c r="D22" s="91">
        <v>2146</v>
      </c>
      <c r="E22" s="91">
        <v>2065</v>
      </c>
      <c r="F22" s="91">
        <v>2208</v>
      </c>
      <c r="G22" s="91">
        <v>2208</v>
      </c>
      <c r="H22" s="91">
        <v>2268</v>
      </c>
      <c r="I22" s="91">
        <v>2307</v>
      </c>
      <c r="J22" s="91">
        <v>2345</v>
      </c>
      <c r="K22" s="91">
        <v>2402</v>
      </c>
      <c r="L22" s="91">
        <v>2404</v>
      </c>
      <c r="M22" s="91">
        <v>2437</v>
      </c>
      <c r="N22" s="91">
        <v>2490</v>
      </c>
      <c r="O22" s="91">
        <v>2556</v>
      </c>
      <c r="P22" s="91">
        <v>2574</v>
      </c>
    </row>
    <row r="23" spans="1:16" x14ac:dyDescent="0.2">
      <c r="A23" s="89" t="s">
        <v>74</v>
      </c>
      <c r="O23" s="91"/>
      <c r="P23" s="91"/>
    </row>
    <row r="24" spans="1:16" x14ac:dyDescent="0.2">
      <c r="A24" s="89" t="s">
        <v>191</v>
      </c>
      <c r="B24" s="91">
        <v>163</v>
      </c>
      <c r="C24" s="91">
        <v>168</v>
      </c>
      <c r="D24" s="91">
        <v>307</v>
      </c>
      <c r="E24" s="91">
        <v>164</v>
      </c>
      <c r="F24" s="91">
        <v>308</v>
      </c>
      <c r="G24" s="91">
        <v>221</v>
      </c>
      <c r="H24" s="91">
        <v>212</v>
      </c>
      <c r="I24" s="91">
        <v>190</v>
      </c>
      <c r="J24" s="91">
        <v>228</v>
      </c>
      <c r="K24" s="91">
        <v>247</v>
      </c>
      <c r="L24" s="91">
        <v>261</v>
      </c>
      <c r="M24" s="91">
        <v>196</v>
      </c>
      <c r="N24" s="91">
        <v>205</v>
      </c>
      <c r="O24" s="91">
        <v>212</v>
      </c>
      <c r="P24" s="91">
        <v>187</v>
      </c>
    </row>
    <row r="25" spans="1:16" x14ac:dyDescent="0.2">
      <c r="A25" s="89" t="s">
        <v>192</v>
      </c>
      <c r="B25" s="91">
        <v>163</v>
      </c>
      <c r="C25" s="91">
        <v>168</v>
      </c>
      <c r="D25" s="91">
        <v>303</v>
      </c>
      <c r="E25" s="91">
        <v>150</v>
      </c>
      <c r="F25" s="91">
        <v>290</v>
      </c>
      <c r="G25" s="91">
        <v>200</v>
      </c>
      <c r="H25" s="91">
        <v>190</v>
      </c>
      <c r="I25" s="91">
        <v>163</v>
      </c>
      <c r="J25" s="91">
        <v>196</v>
      </c>
      <c r="K25" s="91">
        <v>210</v>
      </c>
      <c r="L25" s="91">
        <v>223</v>
      </c>
      <c r="M25" s="91">
        <v>156</v>
      </c>
      <c r="N25" s="91">
        <v>163</v>
      </c>
      <c r="O25" s="91">
        <v>168</v>
      </c>
      <c r="P25" s="91">
        <v>140</v>
      </c>
    </row>
    <row r="26" spans="1:16" x14ac:dyDescent="0.2">
      <c r="A26" s="89" t="s">
        <v>193</v>
      </c>
      <c r="B26" s="91">
        <v>0</v>
      </c>
      <c r="C26" s="91">
        <v>0</v>
      </c>
      <c r="D26" s="91">
        <v>4</v>
      </c>
      <c r="E26" s="91">
        <v>14</v>
      </c>
      <c r="F26" s="91">
        <v>17</v>
      </c>
      <c r="G26" s="91">
        <v>21</v>
      </c>
      <c r="H26" s="91">
        <v>22</v>
      </c>
      <c r="I26" s="91">
        <v>27</v>
      </c>
      <c r="J26" s="91">
        <v>31</v>
      </c>
      <c r="K26" s="91">
        <v>37</v>
      </c>
      <c r="L26" s="91">
        <v>38</v>
      </c>
      <c r="M26" s="91">
        <v>40</v>
      </c>
      <c r="N26" s="91">
        <v>42</v>
      </c>
      <c r="O26" s="91">
        <v>44</v>
      </c>
      <c r="P26" s="91">
        <v>46</v>
      </c>
    </row>
    <row r="27" spans="1:16" x14ac:dyDescent="0.2">
      <c r="A27" s="89" t="s">
        <v>194</v>
      </c>
      <c r="B27" s="91">
        <v>0</v>
      </c>
      <c r="C27" s="91">
        <v>0</v>
      </c>
      <c r="D27" s="91">
        <v>0</v>
      </c>
      <c r="E27" s="91">
        <v>0</v>
      </c>
      <c r="F27" s="91">
        <v>0</v>
      </c>
      <c r="G27" s="91">
        <v>0</v>
      </c>
      <c r="H27" s="91">
        <v>0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</row>
    <row r="28" spans="1:16" x14ac:dyDescent="0.2">
      <c r="A28" s="89" t="s">
        <v>159</v>
      </c>
      <c r="B28" s="91">
        <v>2308</v>
      </c>
      <c r="C28" s="91">
        <v>2322</v>
      </c>
      <c r="D28" s="91">
        <v>1771</v>
      </c>
      <c r="E28" s="91">
        <v>1834</v>
      </c>
      <c r="F28" s="91">
        <v>1830</v>
      </c>
      <c r="G28" s="91">
        <v>1911</v>
      </c>
      <c r="H28" s="91">
        <v>1978</v>
      </c>
      <c r="I28" s="91">
        <v>2037</v>
      </c>
      <c r="J28" s="91">
        <v>2041</v>
      </c>
      <c r="K28" s="91">
        <v>2083</v>
      </c>
      <c r="L28" s="91">
        <v>2081</v>
      </c>
      <c r="M28" s="91">
        <v>2181</v>
      </c>
      <c r="N28" s="91">
        <v>2215</v>
      </c>
      <c r="O28" s="91">
        <v>2279</v>
      </c>
      <c r="P28" s="91">
        <v>2313</v>
      </c>
    </row>
    <row r="29" spans="1:16" x14ac:dyDescent="0.2">
      <c r="A29" s="89" t="s">
        <v>79</v>
      </c>
      <c r="B29" s="91">
        <v>28</v>
      </c>
      <c r="C29" s="91">
        <v>42</v>
      </c>
      <c r="D29" s="91">
        <v>38</v>
      </c>
      <c r="E29" s="91">
        <v>38</v>
      </c>
      <c r="F29" s="91">
        <v>41</v>
      </c>
      <c r="G29" s="91">
        <v>39</v>
      </c>
      <c r="H29" s="91">
        <v>40</v>
      </c>
      <c r="I29" s="91">
        <v>40</v>
      </c>
      <c r="J29" s="91">
        <v>40</v>
      </c>
      <c r="K29" s="91">
        <v>40</v>
      </c>
      <c r="L29" s="91">
        <v>40</v>
      </c>
      <c r="M29" s="91">
        <v>40</v>
      </c>
      <c r="N29" s="91">
        <v>40</v>
      </c>
      <c r="O29" s="91">
        <v>40</v>
      </c>
      <c r="P29" s="91">
        <v>40</v>
      </c>
    </row>
    <row r="30" spans="1:16" x14ac:dyDescent="0.2">
      <c r="A30" s="89" t="s">
        <v>85</v>
      </c>
      <c r="B30" s="91">
        <v>2500</v>
      </c>
      <c r="C30" s="91">
        <v>2531</v>
      </c>
      <c r="D30" s="91">
        <v>2116</v>
      </c>
      <c r="E30" s="91">
        <v>2035</v>
      </c>
      <c r="F30" s="91">
        <v>2179</v>
      </c>
      <c r="G30" s="91">
        <v>2171</v>
      </c>
      <c r="H30" s="91">
        <v>2230</v>
      </c>
      <c r="I30" s="91">
        <v>2267</v>
      </c>
      <c r="J30" s="91">
        <v>2308</v>
      </c>
      <c r="K30" s="91">
        <v>2370</v>
      </c>
      <c r="L30" s="91">
        <v>2382</v>
      </c>
      <c r="M30" s="91">
        <v>2417</v>
      </c>
      <c r="N30" s="91">
        <v>2460</v>
      </c>
      <c r="O30" s="91">
        <v>2530</v>
      </c>
      <c r="P30" s="91">
        <v>2539</v>
      </c>
    </row>
    <row r="31" spans="1:16" x14ac:dyDescent="0.2">
      <c r="A31" s="89" t="s">
        <v>81</v>
      </c>
      <c r="B31" s="91">
        <v>31</v>
      </c>
      <c r="C31" s="91">
        <v>33</v>
      </c>
      <c r="D31" s="91">
        <v>30</v>
      </c>
      <c r="E31" s="91">
        <v>30</v>
      </c>
      <c r="F31" s="91">
        <v>29</v>
      </c>
      <c r="G31" s="91">
        <v>36</v>
      </c>
      <c r="H31" s="91">
        <v>38</v>
      </c>
      <c r="I31" s="91">
        <v>39</v>
      </c>
      <c r="J31" s="91">
        <v>37</v>
      </c>
      <c r="K31" s="91">
        <v>32</v>
      </c>
      <c r="L31" s="91">
        <v>22</v>
      </c>
      <c r="M31" s="91">
        <v>20</v>
      </c>
      <c r="N31" s="91">
        <v>30</v>
      </c>
      <c r="O31" s="91">
        <v>26</v>
      </c>
      <c r="P31" s="91">
        <v>35</v>
      </c>
    </row>
    <row r="32" spans="1:16" x14ac:dyDescent="0.2">
      <c r="A32" s="89" t="s">
        <v>188</v>
      </c>
      <c r="B32" s="91">
        <v>25.71</v>
      </c>
      <c r="C32" s="91">
        <v>25.1</v>
      </c>
      <c r="D32" s="91">
        <v>49.76</v>
      </c>
      <c r="E32" s="91">
        <v>62.04</v>
      </c>
      <c r="F32" s="91">
        <v>60.6</v>
      </c>
      <c r="G32" s="91">
        <v>61.9</v>
      </c>
      <c r="H32" s="91">
        <v>55.5</v>
      </c>
      <c r="I32" s="91">
        <v>49.8</v>
      </c>
      <c r="J32" s="91">
        <v>47.8</v>
      </c>
      <c r="K32" s="91">
        <v>53.4</v>
      </c>
      <c r="L32" s="91">
        <v>60.9</v>
      </c>
      <c r="M32" s="91">
        <v>61.3</v>
      </c>
      <c r="N32" s="91">
        <v>56.5</v>
      </c>
      <c r="O32" s="91">
        <v>55.5</v>
      </c>
      <c r="P32" s="91">
        <v>61.5</v>
      </c>
    </row>
    <row r="33" spans="1:1" x14ac:dyDescent="0.2">
      <c r="A33" s="89"/>
    </row>
    <row r="34" spans="1:1" x14ac:dyDescent="0.2">
      <c r="A34" s="8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79CE-F137-42BC-ABBF-377760330C37}">
  <dimension ref="A1:P34"/>
  <sheetViews>
    <sheetView workbookViewId="0">
      <selection activeCell="M14" sqref="M14"/>
    </sheetView>
  </sheetViews>
  <sheetFormatPr defaultColWidth="9" defaultRowHeight="15" x14ac:dyDescent="0.2"/>
  <cols>
    <col min="1" max="1" width="58.6640625" bestFit="1" customWidth="1"/>
    <col min="2" max="3" width="10.33203125" style="91" hidden="1" customWidth="1"/>
    <col min="4" max="6" width="10.33203125" style="91" bestFit="1" customWidth="1"/>
    <col min="7" max="14" width="11.33203125" style="91" bestFit="1" customWidth="1"/>
    <col min="15" max="16" width="11.33203125" customWidth="1"/>
  </cols>
  <sheetData>
    <row r="1" spans="1:16" ht="18" x14ac:dyDescent="0.25">
      <c r="A1" s="88" t="s">
        <v>215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6" ht="15.75" x14ac:dyDescent="0.25">
      <c r="A2" s="89" t="s">
        <v>190</v>
      </c>
      <c r="B2" s="90">
        <f>'Veg Oils Comp'!B2</f>
        <v>2019</v>
      </c>
      <c r="C2" s="90">
        <f>'Veg Oils Comp'!C2</f>
        <v>2020</v>
      </c>
      <c r="D2" s="90">
        <f>'Veg Oils Comp'!D2</f>
        <v>2021</v>
      </c>
      <c r="E2" s="90">
        <f>'Veg Oils Comp'!E2</f>
        <v>2022</v>
      </c>
      <c r="F2" s="90">
        <f>'Veg Oils Comp'!F2</f>
        <v>2023</v>
      </c>
      <c r="G2" s="90">
        <f>'Veg Oils Comp'!G2</f>
        <v>2024</v>
      </c>
      <c r="H2" s="90">
        <f>'Veg Oils Comp'!H2</f>
        <v>2025</v>
      </c>
      <c r="I2" s="90">
        <f>'Veg Oils Comp'!I2</f>
        <v>2026</v>
      </c>
      <c r="J2" s="90">
        <f>'Veg Oils Comp'!J2</f>
        <v>2027</v>
      </c>
      <c r="K2" s="90">
        <f>'Veg Oils Comp'!K2</f>
        <v>2028</v>
      </c>
      <c r="L2" s="90">
        <f>'Veg Oils Comp'!L2</f>
        <v>2029</v>
      </c>
      <c r="M2" s="90">
        <f>'Veg Oils Comp'!M2</f>
        <v>2030</v>
      </c>
      <c r="N2" s="90">
        <f>'Veg Oils Comp'!N2</f>
        <v>2031</v>
      </c>
      <c r="O2" s="90">
        <f>'Veg Oils Comp'!O2</f>
        <v>2032</v>
      </c>
      <c r="P2" s="90">
        <f>'Veg Oils Comp'!P2</f>
        <v>2033</v>
      </c>
    </row>
    <row r="3" spans="1:16" x14ac:dyDescent="0.2">
      <c r="A3" s="89" t="s">
        <v>70</v>
      </c>
      <c r="B3" s="91">
        <f>DCO!AB4-B19</f>
        <v>12.346372994382747</v>
      </c>
      <c r="C3" s="91">
        <f>DCO!AC4-C19</f>
        <v>15.894552161415731</v>
      </c>
      <c r="D3" s="91">
        <f>DCO!AD4-D19</f>
        <v>18.655905195734306</v>
      </c>
      <c r="E3" s="91">
        <f>DCO!AE4-E19</f>
        <v>12.216135219145002</v>
      </c>
      <c r="F3" s="91">
        <f>DCO!AF4-F19</f>
        <v>21.282657003386774</v>
      </c>
      <c r="G3" s="91">
        <f>DCO!AG4-G19</f>
        <v>-20.177173386669509</v>
      </c>
      <c r="H3" s="91">
        <f>DCO!AH4-H19</f>
        <v>-41.034910063709972</v>
      </c>
      <c r="I3" s="91">
        <f>DCO!AI4-I19</f>
        <v>60.145678935034141</v>
      </c>
      <c r="J3" s="91">
        <f>DCO!AJ4-J19</f>
        <v>208.60361186861326</v>
      </c>
      <c r="K3" s="91">
        <f>DCO!AK4-K19</f>
        <v>256.59749525434893</v>
      </c>
      <c r="L3" s="91">
        <f>DCO!AL4-L19</f>
        <v>333.66114338959528</v>
      </c>
      <c r="M3" s="91">
        <f>DCO!AM4-M19</f>
        <v>442.52777068103592</v>
      </c>
      <c r="N3" s="91">
        <f>DCO!AN4-N19</f>
        <v>554.9293322437893</v>
      </c>
      <c r="O3" s="91">
        <f>DCO!AO4-O19</f>
        <v>648.36132868364325</v>
      </c>
      <c r="P3" s="91">
        <f>DCO!AP4-P19</f>
        <v>759.51405572498618</v>
      </c>
    </row>
    <row r="4" spans="1:16" x14ac:dyDescent="0.2">
      <c r="A4" s="89" t="s">
        <v>71</v>
      </c>
      <c r="B4" s="91">
        <f>DCO!AB5-B20</f>
        <v>470.96572700702018</v>
      </c>
      <c r="C4" s="91">
        <f>DCO!AC5-C20</f>
        <v>566.51074534887812</v>
      </c>
      <c r="D4" s="91">
        <f>DCO!AD5-D20</f>
        <v>435.02773758944841</v>
      </c>
      <c r="E4" s="91">
        <f>DCO!AE5-E20</f>
        <v>416.72518947719982</v>
      </c>
      <c r="F4" s="91">
        <f>DCO!AF5-F20</f>
        <v>580.60904806170129</v>
      </c>
      <c r="G4" s="91">
        <f>DCO!AG5-G20</f>
        <v>705.25429778152102</v>
      </c>
      <c r="H4" s="91">
        <f>DCO!AH5-H20</f>
        <v>601.23643906647339</v>
      </c>
      <c r="I4" s="91">
        <f>DCO!AI5-I20</f>
        <v>503.28358324577039</v>
      </c>
      <c r="J4" s="91">
        <f>DCO!AJ5-J20</f>
        <v>449.03580283085466</v>
      </c>
      <c r="K4" s="91">
        <f>DCO!AK5-K20</f>
        <v>459.67338133425164</v>
      </c>
      <c r="L4" s="91">
        <f>DCO!AL5-L20</f>
        <v>447.5276885615358</v>
      </c>
      <c r="M4" s="91">
        <f>DCO!AM5-M20</f>
        <v>551.21677143062971</v>
      </c>
      <c r="N4" s="91">
        <f>DCO!AN5-N20</f>
        <v>344.28110190843381</v>
      </c>
      <c r="O4" s="91">
        <f>DCO!AO5-O20</f>
        <v>301.79167569709807</v>
      </c>
      <c r="P4" s="91">
        <f>DCO!AP5-P20</f>
        <v>358.93854758344241</v>
      </c>
    </row>
    <row r="5" spans="1:16" x14ac:dyDescent="0.2">
      <c r="A5" s="89" t="s">
        <v>72</v>
      </c>
      <c r="B5" s="91">
        <f>DCO!AB6-B21</f>
        <v>0</v>
      </c>
      <c r="C5" s="91">
        <f>DCO!AC6-C21</f>
        <v>0</v>
      </c>
      <c r="D5" s="91">
        <f>DCO!AD6-D21</f>
        <v>0</v>
      </c>
      <c r="E5" s="91">
        <f>DCO!AE6-E21</f>
        <v>0</v>
      </c>
      <c r="F5" s="91">
        <f>DCO!AF6-F21</f>
        <v>0</v>
      </c>
      <c r="G5" s="91">
        <f>DCO!AG6-G21</f>
        <v>0</v>
      </c>
      <c r="H5" s="91">
        <f>DCO!AH6-H21</f>
        <v>0</v>
      </c>
      <c r="I5" s="91">
        <f>DCO!AI6-I21</f>
        <v>0</v>
      </c>
      <c r="J5" s="91">
        <f>DCO!AJ6-J21</f>
        <v>0</v>
      </c>
      <c r="K5" s="91">
        <f>DCO!AK6-K21</f>
        <v>0</v>
      </c>
      <c r="L5" s="91">
        <f>DCO!AL6-L21</f>
        <v>0</v>
      </c>
      <c r="M5" s="91">
        <f>DCO!AM6-M21</f>
        <v>0</v>
      </c>
      <c r="N5" s="91">
        <f>DCO!AN6-N21</f>
        <v>0</v>
      </c>
      <c r="O5" s="91">
        <f>DCO!AO6-O21</f>
        <v>0</v>
      </c>
      <c r="P5" s="91">
        <f>DCO!AP6-P21</f>
        <v>0</v>
      </c>
    </row>
    <row r="6" spans="1:16" x14ac:dyDescent="0.2">
      <c r="A6" s="89" t="s">
        <v>83</v>
      </c>
      <c r="B6" s="91">
        <f>DCO!AB7-B22</f>
        <v>483.31210000140254</v>
      </c>
      <c r="C6" s="91">
        <f>DCO!AC7-C22</f>
        <v>582.40529751029408</v>
      </c>
      <c r="D6" s="91">
        <f>DCO!AD7-D22</f>
        <v>453.68364278518311</v>
      </c>
      <c r="E6" s="91">
        <f>DCO!AE7-E22</f>
        <v>428.94132469634496</v>
      </c>
      <c r="F6" s="91">
        <f>DCO!AF7-F22</f>
        <v>601.89170506508799</v>
      </c>
      <c r="G6" s="91">
        <f>DCO!AG7-G22</f>
        <v>685.07712439485113</v>
      </c>
      <c r="H6" s="91">
        <f>DCO!AH7-H22</f>
        <v>560.20152900276298</v>
      </c>
      <c r="I6" s="91">
        <f>DCO!AI7-I22</f>
        <v>563.42926218080447</v>
      </c>
      <c r="J6" s="91">
        <f>DCO!AJ7-J22</f>
        <v>657.63941469946803</v>
      </c>
      <c r="K6" s="91">
        <f>DCO!AK7-K22</f>
        <v>716.27087658860091</v>
      </c>
      <c r="L6" s="91">
        <f>DCO!AL7-L22</f>
        <v>781.18883195113085</v>
      </c>
      <c r="M6" s="91">
        <f>DCO!AM7-M22</f>
        <v>993.7445421116654</v>
      </c>
      <c r="N6" s="91">
        <f>DCO!AN7-N22</f>
        <v>899.21043415222266</v>
      </c>
      <c r="O6" s="91">
        <f>DCO!AO7-O22</f>
        <v>950.15300438074155</v>
      </c>
      <c r="P6" s="91">
        <f>DCO!AP7-P22</f>
        <v>1118.4526033084285</v>
      </c>
    </row>
    <row r="7" spans="1:16" x14ac:dyDescent="0.2">
      <c r="A7" s="89" t="s">
        <v>74</v>
      </c>
      <c r="O7" s="91"/>
      <c r="P7" s="91"/>
    </row>
    <row r="8" spans="1:16" x14ac:dyDescent="0.2">
      <c r="A8" s="89" t="s">
        <v>191</v>
      </c>
      <c r="B8" s="91">
        <f>DCO!AB9-B24</f>
        <v>243.95319020209627</v>
      </c>
      <c r="C8" s="91">
        <f>DCO!AC9-C24</f>
        <v>217.18056554467785</v>
      </c>
      <c r="D8" s="91">
        <f>DCO!AD9-D24</f>
        <v>207.27427987653255</v>
      </c>
      <c r="E8" s="91">
        <f>DCO!AE9-E24</f>
        <v>742.39981692582933</v>
      </c>
      <c r="F8" s="91">
        <f>DCO!AF9-F24</f>
        <v>1251.4125594907118</v>
      </c>
      <c r="G8" s="91">
        <f>DCO!AG9-G24</f>
        <v>990.61897045015303</v>
      </c>
      <c r="H8" s="91">
        <f>DCO!AH9-H24</f>
        <v>841.72622910267455</v>
      </c>
      <c r="I8" s="91">
        <f>DCO!AI9-I24</f>
        <v>443.60615798401159</v>
      </c>
      <c r="J8" s="91">
        <f>DCO!AJ9-J24</f>
        <v>475.70297569337163</v>
      </c>
      <c r="K8" s="91">
        <f>DCO!AK9-K24</f>
        <v>242.26387230115961</v>
      </c>
      <c r="L8" s="91">
        <f>DCO!AL9-L24</f>
        <v>350.36553154712055</v>
      </c>
      <c r="M8" s="91">
        <f>DCO!AM9-M24</f>
        <v>164.99568828607426</v>
      </c>
      <c r="N8" s="91">
        <f>DCO!AN9-N24</f>
        <v>-245.99778736499684</v>
      </c>
      <c r="O8" s="91">
        <f>DCO!AO9-O24</f>
        <v>-50.458306971091588</v>
      </c>
      <c r="P8" s="91">
        <f>DCO!AP9-P24</f>
        <v>-344.1903048469203</v>
      </c>
    </row>
    <row r="9" spans="1:16" x14ac:dyDescent="0.2">
      <c r="A9" s="89" t="s">
        <v>192</v>
      </c>
      <c r="B9" s="91">
        <f>DCO!AB10-B25</f>
        <v>-0.28000000000020009</v>
      </c>
      <c r="C9" s="91">
        <f>DCO!AC10-C25</f>
        <v>-0.32000000000016371</v>
      </c>
      <c r="D9" s="91">
        <f>DCO!AD10-D25</f>
        <v>148.64124105603514</v>
      </c>
      <c r="E9" s="91">
        <f>DCO!AE10-E25</f>
        <v>329.41428063755552</v>
      </c>
      <c r="F9" s="91">
        <f>DCO!AF10-F25</f>
        <v>-94.767000000000053</v>
      </c>
      <c r="G9" s="91">
        <f>DCO!AG10-G25</f>
        <v>255.94060899294038</v>
      </c>
      <c r="H9" s="91">
        <f>DCO!AH10-H25</f>
        <v>510.13422151055306</v>
      </c>
      <c r="I9" s="91">
        <f>DCO!AI10-I25</f>
        <v>417.31391696834044</v>
      </c>
      <c r="J9" s="91">
        <f>DCO!AJ10-J25</f>
        <v>441.52380512241461</v>
      </c>
      <c r="K9" s="91">
        <f>DCO!AK10-K25</f>
        <v>235.53407930220851</v>
      </c>
      <c r="L9" s="91">
        <f>DCO!AL10-L25</f>
        <v>332.14392978040075</v>
      </c>
      <c r="M9" s="91">
        <f>DCO!AM10-M25</f>
        <v>361.79728727606835</v>
      </c>
      <c r="N9" s="91">
        <f>DCO!AN10-N25</f>
        <v>342.38287944836827</v>
      </c>
      <c r="O9" s="91">
        <f>DCO!AO10-O25</f>
        <v>388.7672267151994</v>
      </c>
      <c r="P9" s="91">
        <f>DCO!AP10-P25</f>
        <v>392.42546648913844</v>
      </c>
    </row>
    <row r="10" spans="1:16" x14ac:dyDescent="0.2">
      <c r="A10" s="89" t="s">
        <v>193</v>
      </c>
      <c r="B10" s="91">
        <f>DCO!AB11-B26</f>
        <v>244.23319020209669</v>
      </c>
      <c r="C10" s="91">
        <f>DCO!AC11-C26</f>
        <v>217.50056554467801</v>
      </c>
      <c r="D10" s="91">
        <f>DCO!AD11-D26</f>
        <v>58.633038820497404</v>
      </c>
      <c r="E10" s="91">
        <f>DCO!AE11-E26</f>
        <v>412.98553628827381</v>
      </c>
      <c r="F10" s="91">
        <f>DCO!AF11-F26</f>
        <v>1346.1795594907117</v>
      </c>
      <c r="G10" s="91">
        <f>DCO!AG11-G26</f>
        <v>734.67836145721276</v>
      </c>
      <c r="H10" s="91">
        <f>DCO!AH11-H26</f>
        <v>331.59200759212126</v>
      </c>
      <c r="I10" s="91">
        <f>DCO!AI11-I26</f>
        <v>25.292241015671152</v>
      </c>
      <c r="J10" s="91">
        <f>DCO!AJ11-J26</f>
        <v>34.179170570956558</v>
      </c>
      <c r="K10" s="91">
        <f>DCO!AK11-K26</f>
        <v>6.729792998951325</v>
      </c>
      <c r="L10" s="91">
        <f>DCO!AL11-L26</f>
        <v>19.221601766719687</v>
      </c>
      <c r="M10" s="91">
        <f>DCO!AM11-M26</f>
        <v>-196.80159898999409</v>
      </c>
      <c r="N10" s="91">
        <f>DCO!AN11-N26</f>
        <v>-588.38066681336522</v>
      </c>
      <c r="O10" s="91">
        <f>DCO!AO11-O26</f>
        <v>-439.22553368629087</v>
      </c>
      <c r="P10" s="91">
        <f>DCO!AP11-P26</f>
        <v>-736.61577133605897</v>
      </c>
    </row>
    <row r="11" spans="1:16" x14ac:dyDescent="0.2">
      <c r="A11" s="89" t="s">
        <v>194</v>
      </c>
      <c r="B11" s="91" t="e">
        <f>DCO!#REF!-B27</f>
        <v>#REF!</v>
      </c>
      <c r="C11" s="91" t="e">
        <f>DCO!#REF!-C27</f>
        <v>#REF!</v>
      </c>
      <c r="D11" s="91" t="e">
        <f>DCO!#REF!-D27</f>
        <v>#REF!</v>
      </c>
      <c r="E11" s="91" t="e">
        <f>DCO!#REF!-E27</f>
        <v>#REF!</v>
      </c>
      <c r="F11" s="91" t="e">
        <f>DCO!#REF!-F27</f>
        <v>#REF!</v>
      </c>
      <c r="G11" s="91" t="e">
        <f>DCO!#REF!-G27</f>
        <v>#REF!</v>
      </c>
      <c r="H11" s="91" t="e">
        <f>DCO!#REF!-H27</f>
        <v>#REF!</v>
      </c>
      <c r="I11" s="91" t="e">
        <f>DCO!#REF!-I27</f>
        <v>#REF!</v>
      </c>
      <c r="J11" s="91" t="e">
        <f>DCO!#REF!-J27</f>
        <v>#REF!</v>
      </c>
      <c r="K11" s="91" t="e">
        <f>DCO!#REF!-K27</f>
        <v>#REF!</v>
      </c>
      <c r="L11" s="91" t="e">
        <f>DCO!#REF!-L27</f>
        <v>#REF!</v>
      </c>
      <c r="M11" s="91" t="e">
        <f>DCO!#REF!-M27</f>
        <v>#REF!</v>
      </c>
      <c r="N11" s="91" t="e">
        <f>DCO!#REF!-N27</f>
        <v>#REF!</v>
      </c>
      <c r="O11" s="91" t="e">
        <f>DCO!#REF!-O27</f>
        <v>#REF!</v>
      </c>
      <c r="P11" s="91" t="e">
        <f>DCO!#REF!-P27</f>
        <v>#REF!</v>
      </c>
    </row>
    <row r="12" spans="1:16" x14ac:dyDescent="0.2">
      <c r="A12" s="89" t="s">
        <v>159</v>
      </c>
      <c r="B12" s="91">
        <f>DCO!AB12-B28</f>
        <v>222.72702846757011</v>
      </c>
      <c r="C12" s="91">
        <f>DCO!AC12-C28</f>
        <v>334.4666527914419</v>
      </c>
      <c r="D12" s="91">
        <f>DCO!AD12-D28</f>
        <v>174.67745368890519</v>
      </c>
      <c r="E12" s="91">
        <f>DCO!AE12-E28</f>
        <v>-398.01421423287093</v>
      </c>
      <c r="F12" s="91">
        <f>DCO!AF12-F28</f>
        <v>-637.12243203895378</v>
      </c>
      <c r="G12" s="91">
        <f>DCO!AG12-G28</f>
        <v>-222.84578365361176</v>
      </c>
      <c r="H12" s="91">
        <f>DCO!AH12-H28</f>
        <v>-299.48092443812584</v>
      </c>
      <c r="I12" s="91">
        <f>DCO!AI12-I28</f>
        <v>-23.090593368177906</v>
      </c>
      <c r="J12" s="91">
        <f>DCO!AJ12-J28</f>
        <v>-9.7493680181978561</v>
      </c>
      <c r="K12" s="91">
        <f>DCO!AK12-K28</f>
        <v>205.34586089784625</v>
      </c>
      <c r="L12" s="91">
        <f>DCO!AL12-L28</f>
        <v>51.295529722974607</v>
      </c>
      <c r="M12" s="91">
        <f>DCO!AM12-M28</f>
        <v>339.81952158180229</v>
      </c>
      <c r="N12" s="91">
        <f>DCO!AN12-N28</f>
        <v>562.84689283357602</v>
      </c>
      <c r="O12" s="91">
        <f>DCO!AO12-O28</f>
        <v>306.09725562684707</v>
      </c>
      <c r="P12" s="91">
        <f>DCO!AP12-P28</f>
        <v>662.56081508809984</v>
      </c>
    </row>
    <row r="13" spans="1:16" x14ac:dyDescent="0.2">
      <c r="A13" s="89" t="s">
        <v>79</v>
      </c>
      <c r="B13" s="91">
        <f>DCO!AB13-B29</f>
        <v>0.73732917032000955</v>
      </c>
      <c r="C13" s="91">
        <f>DCO!AC13-C29</f>
        <v>11.102173978440021</v>
      </c>
      <c r="D13" s="91">
        <f>DCO!AD13-D29</f>
        <v>58.515774000600032</v>
      </c>
      <c r="E13" s="91">
        <f>DCO!AE13-E29</f>
        <v>63.273065000000003</v>
      </c>
      <c r="F13" s="91">
        <f>DCO!AF13-F29</f>
        <v>8.7787509999999997</v>
      </c>
      <c r="G13" s="91">
        <f>DCO!AG13-G29</f>
        <v>-41.661152337979999</v>
      </c>
      <c r="H13" s="91">
        <f>DCO!AH13-H29</f>
        <v>-42.189454596819395</v>
      </c>
      <c r="I13" s="91">
        <f>DCO!AI13-I29</f>
        <v>-65.68991430364224</v>
      </c>
      <c r="J13" s="91">
        <f>DCO!AJ13-J29</f>
        <v>-64.911688230055262</v>
      </c>
      <c r="K13" s="91">
        <f>DCO!AK13-K29</f>
        <v>-65</v>
      </c>
      <c r="L13" s="91">
        <f>DCO!AL13-L29</f>
        <v>-64</v>
      </c>
      <c r="M13" s="91">
        <f>DCO!AM13-M29</f>
        <v>-66</v>
      </c>
      <c r="N13" s="91">
        <f>DCO!AN13-N29</f>
        <v>-66</v>
      </c>
      <c r="O13" s="91">
        <f>DCO!AO13-O29</f>
        <v>-65</v>
      </c>
      <c r="P13" s="91">
        <f>DCO!AP13-P29</f>
        <v>-65</v>
      </c>
    </row>
    <row r="14" spans="1:16" x14ac:dyDescent="0.2">
      <c r="A14" s="89" t="s">
        <v>85</v>
      </c>
      <c r="B14" s="91">
        <f>DCO!AB14-B30</f>
        <v>467.41754783998658</v>
      </c>
      <c r="C14" s="91">
        <f>DCO!AC14-C30</f>
        <v>563.74939231455983</v>
      </c>
      <c r="D14" s="91">
        <f>DCO!AD14-D30</f>
        <v>441.46750756603797</v>
      </c>
      <c r="E14" s="91">
        <f>DCO!AE14-E30</f>
        <v>407.65866769295826</v>
      </c>
      <c r="F14" s="91">
        <f>DCO!AF14-F30</f>
        <v>622.06887845175788</v>
      </c>
      <c r="G14" s="91">
        <f>DCO!AG14-G30</f>
        <v>726.11203445856154</v>
      </c>
      <c r="H14" s="91">
        <f>DCO!AH14-H30</f>
        <v>500.0558500677289</v>
      </c>
      <c r="I14" s="91">
        <f>DCO!AI14-I30</f>
        <v>354.8256503121911</v>
      </c>
      <c r="J14" s="91">
        <f>DCO!AJ14-J30</f>
        <v>401.04191944511876</v>
      </c>
      <c r="K14" s="91">
        <f>DCO!AK14-K30</f>
        <v>382.60973319900586</v>
      </c>
      <c r="L14" s="91">
        <f>DCO!AL14-L30</f>
        <v>338.66106127009516</v>
      </c>
      <c r="M14" s="91">
        <f>DCO!AM14-M30</f>
        <v>439.81520986787655</v>
      </c>
      <c r="N14" s="91">
        <f>DCO!AN14-N30</f>
        <v>250.84910546857918</v>
      </c>
      <c r="O14" s="91">
        <f>DCO!AO14-O30</f>
        <v>190.63894865575548</v>
      </c>
      <c r="P14" s="91">
        <f>DCO!AP14-P30</f>
        <v>254.37051024117955</v>
      </c>
    </row>
    <row r="15" spans="1:16" x14ac:dyDescent="0.2">
      <c r="A15" s="89" t="s">
        <v>81</v>
      </c>
      <c r="B15" s="91">
        <f>DCO!AB15-B31</f>
        <v>15.894552161415731</v>
      </c>
      <c r="C15" s="91">
        <f>DCO!AC15-C31</f>
        <v>18.655905195734306</v>
      </c>
      <c r="D15" s="91">
        <f>DCO!AD15-D31</f>
        <v>12.216135219145002</v>
      </c>
      <c r="E15" s="91">
        <f>DCO!AE15-E31</f>
        <v>21.282657003386774</v>
      </c>
      <c r="F15" s="91">
        <f>DCO!AF15-F31</f>
        <v>-20.177173386669509</v>
      </c>
      <c r="G15" s="91">
        <f>DCO!AG15-G31</f>
        <v>-41.034910063709972</v>
      </c>
      <c r="H15" s="91">
        <f>DCO!AH15-H31</f>
        <v>60.145678935034141</v>
      </c>
      <c r="I15" s="91">
        <f>DCO!AI15-I31</f>
        <v>208.60361186861326</v>
      </c>
      <c r="J15" s="91">
        <f>DCO!AJ15-J31</f>
        <v>256.59749525434893</v>
      </c>
      <c r="K15" s="91">
        <f>DCO!AK15-K31</f>
        <v>333.66114338959528</v>
      </c>
      <c r="L15" s="91">
        <f>DCO!AL15-L31</f>
        <v>442.52777068103592</v>
      </c>
      <c r="M15" s="91">
        <f>DCO!AM15-M31</f>
        <v>554.9293322437893</v>
      </c>
      <c r="N15" s="91">
        <f>DCO!AN15-N31</f>
        <v>648.36132868364325</v>
      </c>
      <c r="O15" s="91">
        <f>DCO!AO15-O31</f>
        <v>759.51405572498618</v>
      </c>
      <c r="P15" s="91">
        <f>DCO!AP15-P31</f>
        <v>864.08209306724871</v>
      </c>
    </row>
    <row r="16" spans="1:16" x14ac:dyDescent="0.2">
      <c r="A16" s="89" t="s">
        <v>166</v>
      </c>
      <c r="B16" s="91">
        <f>DCO!AB16-B32</f>
        <v>1.6040100250584999E-3</v>
      </c>
      <c r="C16" s="91">
        <f>DCO!AC16-C32</f>
        <v>-2.7990430622008233E-2</v>
      </c>
      <c r="D16" s="91">
        <f>DCO!AD16-D32</f>
        <v>3.5714285714334437E-3</v>
      </c>
      <c r="E16" s="91">
        <f>DCO!AE16-E32</f>
        <v>3.0075187969913486E-3</v>
      </c>
      <c r="F16" s="91">
        <f>DCO!AF16-F32</f>
        <v>-13.969090909090909</v>
      </c>
      <c r="G16" s="91">
        <f>DCO!AG16-G32</f>
        <v>-24.495494071146254</v>
      </c>
      <c r="H16" s="91">
        <f>DCO!AH16-H32</f>
        <v>-15.882756892230574</v>
      </c>
      <c r="I16" s="91">
        <f>DCO!AI16-I32</f>
        <v>-16.375</v>
      </c>
      <c r="J16" s="91">
        <f>DCO!AJ16-J32</f>
        <v>-10.700000000000003</v>
      </c>
      <c r="K16" s="91">
        <f>DCO!AK16-K32</f>
        <v>-23.25</v>
      </c>
      <c r="L16" s="91">
        <f>DCO!AL16-L32</f>
        <v>-30.674999999999997</v>
      </c>
      <c r="M16" s="91">
        <f>DCO!AM16-M32</f>
        <v>-23.775000000000006</v>
      </c>
      <c r="N16" s="91">
        <f>DCO!AN16-N32</f>
        <v>-26.450000000000003</v>
      </c>
      <c r="O16" s="91">
        <f>DCO!AO16-O32</f>
        <v>-26.799999999999997</v>
      </c>
      <c r="P16" s="91">
        <f>DCO!AP16-P32</f>
        <v>-19.049999999999997</v>
      </c>
    </row>
    <row r="17" spans="1:16" x14ac:dyDescent="0.2">
      <c r="A17" s="89"/>
    </row>
    <row r="18" spans="1:16" x14ac:dyDescent="0.2">
      <c r="A18" s="89"/>
    </row>
    <row r="19" spans="1:16" x14ac:dyDescent="0.2">
      <c r="A19" s="89" t="s">
        <v>70</v>
      </c>
      <c r="B19" s="91">
        <v>99</v>
      </c>
      <c r="C19" s="91">
        <v>104</v>
      </c>
      <c r="D19" s="91">
        <v>101</v>
      </c>
      <c r="E19" s="91">
        <v>109</v>
      </c>
      <c r="F19" s="91">
        <v>101</v>
      </c>
      <c r="G19" s="91">
        <v>113</v>
      </c>
      <c r="H19" s="91">
        <v>129</v>
      </c>
      <c r="I19" s="91">
        <v>120</v>
      </c>
      <c r="J19" s="91">
        <v>116</v>
      </c>
      <c r="K19" s="91">
        <v>116</v>
      </c>
      <c r="L19" s="91">
        <v>117</v>
      </c>
      <c r="M19" s="91">
        <v>108</v>
      </c>
      <c r="N19" s="91">
        <v>101</v>
      </c>
      <c r="O19" s="91">
        <v>104</v>
      </c>
      <c r="P19" s="91">
        <v>100</v>
      </c>
    </row>
    <row r="20" spans="1:16" x14ac:dyDescent="0.2">
      <c r="A20" s="89" t="s">
        <v>71</v>
      </c>
      <c r="B20" s="91">
        <v>3654</v>
      </c>
      <c r="C20" s="91">
        <v>3243</v>
      </c>
      <c r="D20" s="91">
        <v>3662</v>
      </c>
      <c r="E20" s="91">
        <v>3687</v>
      </c>
      <c r="F20" s="91">
        <v>3668</v>
      </c>
      <c r="G20" s="91">
        <v>3751</v>
      </c>
      <c r="H20" s="91">
        <v>3877</v>
      </c>
      <c r="I20" s="91">
        <v>3996</v>
      </c>
      <c r="J20" s="91">
        <v>4115</v>
      </c>
      <c r="K20" s="91">
        <v>4226</v>
      </c>
      <c r="L20" s="91">
        <v>4331</v>
      </c>
      <c r="M20" s="91">
        <v>4553</v>
      </c>
      <c r="N20" s="91">
        <v>4879</v>
      </c>
      <c r="O20" s="91">
        <v>4928</v>
      </c>
      <c r="P20" s="91">
        <v>4997</v>
      </c>
    </row>
    <row r="21" spans="1:16" x14ac:dyDescent="0.2">
      <c r="A21" s="89" t="s">
        <v>72</v>
      </c>
      <c r="B21" s="91">
        <v>0</v>
      </c>
      <c r="C21" s="91">
        <v>0</v>
      </c>
      <c r="D21" s="91">
        <v>0</v>
      </c>
      <c r="E21" s="91">
        <v>0</v>
      </c>
      <c r="F21" s="91">
        <v>0</v>
      </c>
      <c r="G21" s="91">
        <v>0</v>
      </c>
      <c r="H21" s="91">
        <v>0</v>
      </c>
      <c r="I21" s="91">
        <v>0</v>
      </c>
      <c r="J21" s="91">
        <v>0</v>
      </c>
      <c r="K21" s="91">
        <v>0</v>
      </c>
      <c r="L21" s="91">
        <v>0</v>
      </c>
      <c r="M21" s="91">
        <v>0</v>
      </c>
      <c r="N21" s="91">
        <v>0</v>
      </c>
      <c r="O21" s="91">
        <v>0</v>
      </c>
      <c r="P21" s="91">
        <v>0</v>
      </c>
    </row>
    <row r="22" spans="1:16" x14ac:dyDescent="0.2">
      <c r="A22" s="89" t="s">
        <v>83</v>
      </c>
      <c r="B22" s="91">
        <v>3753</v>
      </c>
      <c r="C22" s="91">
        <v>3347</v>
      </c>
      <c r="D22" s="91">
        <v>3763</v>
      </c>
      <c r="E22" s="91">
        <v>3796</v>
      </c>
      <c r="F22" s="91">
        <v>3769</v>
      </c>
      <c r="G22" s="91">
        <v>3864</v>
      </c>
      <c r="H22" s="91">
        <v>4006</v>
      </c>
      <c r="I22" s="91">
        <v>4116</v>
      </c>
      <c r="J22" s="91">
        <v>4231</v>
      </c>
      <c r="K22" s="91">
        <v>4342</v>
      </c>
      <c r="L22" s="91">
        <v>4448</v>
      </c>
      <c r="M22" s="91">
        <v>4661</v>
      </c>
      <c r="N22" s="91">
        <v>4980</v>
      </c>
      <c r="O22" s="91">
        <v>5032</v>
      </c>
      <c r="P22" s="91">
        <v>5097</v>
      </c>
    </row>
    <row r="23" spans="1:16" x14ac:dyDescent="0.2">
      <c r="A23" s="89" t="s">
        <v>74</v>
      </c>
      <c r="O23" s="91"/>
      <c r="P23" s="91"/>
    </row>
    <row r="24" spans="1:16" x14ac:dyDescent="0.2">
      <c r="A24" s="89" t="s">
        <v>191</v>
      </c>
      <c r="B24" s="91">
        <v>2900</v>
      </c>
      <c r="C24" s="91">
        <v>2700</v>
      </c>
      <c r="D24" s="91">
        <v>2637</v>
      </c>
      <c r="E24" s="91">
        <v>2955</v>
      </c>
      <c r="F24" s="91">
        <v>2997</v>
      </c>
      <c r="G24" s="91">
        <v>3409</v>
      </c>
      <c r="H24" s="91">
        <v>3327</v>
      </c>
      <c r="I24" s="91">
        <v>3580</v>
      </c>
      <c r="J24" s="91">
        <v>3689</v>
      </c>
      <c r="K24" s="91">
        <v>3805</v>
      </c>
      <c r="L24" s="91">
        <v>3876</v>
      </c>
      <c r="M24" s="91">
        <v>4064</v>
      </c>
      <c r="N24" s="91">
        <v>4450</v>
      </c>
      <c r="O24" s="91">
        <v>4477</v>
      </c>
      <c r="P24" s="91">
        <v>4523</v>
      </c>
    </row>
    <row r="25" spans="1:16" x14ac:dyDescent="0.2">
      <c r="A25" s="89" t="s">
        <v>192</v>
      </c>
      <c r="B25" s="91">
        <v>1760</v>
      </c>
      <c r="C25" s="91">
        <v>1517</v>
      </c>
      <c r="D25" s="91">
        <v>1230</v>
      </c>
      <c r="E25" s="91">
        <v>1377</v>
      </c>
      <c r="F25" s="91">
        <v>1142</v>
      </c>
      <c r="G25" s="91">
        <v>669</v>
      </c>
      <c r="H25" s="91">
        <v>518</v>
      </c>
      <c r="I25" s="91">
        <v>436</v>
      </c>
      <c r="J25" s="91">
        <v>476</v>
      </c>
      <c r="K25" s="91">
        <v>407</v>
      </c>
      <c r="L25" s="91">
        <v>376</v>
      </c>
      <c r="M25" s="91">
        <v>341</v>
      </c>
      <c r="N25" s="91">
        <v>323</v>
      </c>
      <c r="O25" s="91">
        <v>291</v>
      </c>
      <c r="P25" s="91">
        <v>215</v>
      </c>
    </row>
    <row r="26" spans="1:16" x14ac:dyDescent="0.2">
      <c r="A26" s="89" t="s">
        <v>193</v>
      </c>
      <c r="B26" s="91">
        <v>1140</v>
      </c>
      <c r="C26" s="91">
        <v>1183</v>
      </c>
      <c r="D26" s="91">
        <v>1407</v>
      </c>
      <c r="E26" s="91">
        <v>1578</v>
      </c>
      <c r="F26" s="91">
        <v>1855</v>
      </c>
      <c r="G26" s="91">
        <v>2740</v>
      </c>
      <c r="H26" s="91">
        <v>2809</v>
      </c>
      <c r="I26" s="91">
        <v>3145</v>
      </c>
      <c r="J26" s="91">
        <v>3213</v>
      </c>
      <c r="K26" s="91">
        <v>3398</v>
      </c>
      <c r="L26" s="91">
        <v>3499</v>
      </c>
      <c r="M26" s="91">
        <v>3723</v>
      </c>
      <c r="N26" s="91">
        <v>4127</v>
      </c>
      <c r="O26" s="91">
        <v>4186</v>
      </c>
      <c r="P26" s="91">
        <v>4308</v>
      </c>
    </row>
    <row r="27" spans="1:16" x14ac:dyDescent="0.2">
      <c r="A27" s="89" t="s">
        <v>194</v>
      </c>
      <c r="B27" s="91">
        <v>0</v>
      </c>
      <c r="C27" s="91">
        <v>0</v>
      </c>
      <c r="D27" s="91">
        <v>0</v>
      </c>
      <c r="E27" s="91">
        <v>0</v>
      </c>
      <c r="F27" s="91">
        <v>0</v>
      </c>
      <c r="G27" s="91">
        <v>0</v>
      </c>
      <c r="H27" s="91">
        <v>0</v>
      </c>
      <c r="I27" s="91">
        <v>0</v>
      </c>
      <c r="J27" s="91">
        <v>0</v>
      </c>
      <c r="K27" s="91">
        <v>0</v>
      </c>
      <c r="L27" s="91">
        <v>0</v>
      </c>
      <c r="M27" s="91">
        <v>0</v>
      </c>
      <c r="N27" s="91">
        <v>0</v>
      </c>
      <c r="O27" s="91">
        <v>0</v>
      </c>
      <c r="P27" s="91">
        <v>0</v>
      </c>
    </row>
    <row r="28" spans="1:16" x14ac:dyDescent="0.2">
      <c r="A28" s="89" t="s">
        <v>159</v>
      </c>
      <c r="B28" s="91">
        <v>518</v>
      </c>
      <c r="C28" s="91">
        <v>377</v>
      </c>
      <c r="D28" s="91">
        <v>878</v>
      </c>
      <c r="E28" s="91">
        <v>661</v>
      </c>
      <c r="F28" s="91">
        <v>594</v>
      </c>
      <c r="G28" s="91">
        <v>251</v>
      </c>
      <c r="H28" s="91">
        <v>480</v>
      </c>
      <c r="I28" s="91">
        <v>344</v>
      </c>
      <c r="J28" s="91">
        <v>352</v>
      </c>
      <c r="K28" s="91">
        <v>345</v>
      </c>
      <c r="L28" s="91">
        <v>391</v>
      </c>
      <c r="M28" s="91">
        <v>420</v>
      </c>
      <c r="N28" s="91">
        <v>350</v>
      </c>
      <c r="O28" s="91">
        <v>380</v>
      </c>
      <c r="P28" s="91">
        <v>400</v>
      </c>
    </row>
    <row r="29" spans="1:16" x14ac:dyDescent="0.2">
      <c r="A29" s="89" t="s">
        <v>79</v>
      </c>
      <c r="B29" s="91">
        <v>231</v>
      </c>
      <c r="C29" s="91">
        <v>170</v>
      </c>
      <c r="D29" s="91">
        <v>140</v>
      </c>
      <c r="E29" s="91">
        <v>79</v>
      </c>
      <c r="F29" s="91">
        <v>64</v>
      </c>
      <c r="G29" s="91">
        <v>75</v>
      </c>
      <c r="H29" s="91">
        <v>79</v>
      </c>
      <c r="I29" s="91">
        <v>76</v>
      </c>
      <c r="J29" s="91">
        <v>74</v>
      </c>
      <c r="K29" s="91">
        <v>75</v>
      </c>
      <c r="L29" s="91">
        <v>74</v>
      </c>
      <c r="M29" s="91">
        <v>76</v>
      </c>
      <c r="N29" s="91">
        <v>76</v>
      </c>
      <c r="O29" s="91">
        <v>75</v>
      </c>
      <c r="P29" s="91">
        <v>75</v>
      </c>
    </row>
    <row r="30" spans="1:16" x14ac:dyDescent="0.2">
      <c r="A30" s="89" t="s">
        <v>85</v>
      </c>
      <c r="B30" s="91">
        <v>3649</v>
      </c>
      <c r="C30" s="91">
        <v>3246</v>
      </c>
      <c r="D30" s="91">
        <v>3654</v>
      </c>
      <c r="E30" s="91">
        <v>3695</v>
      </c>
      <c r="F30" s="91">
        <v>3656</v>
      </c>
      <c r="G30" s="91">
        <v>3735</v>
      </c>
      <c r="H30" s="91">
        <v>3886</v>
      </c>
      <c r="I30" s="91">
        <v>4000</v>
      </c>
      <c r="J30" s="91">
        <v>4115</v>
      </c>
      <c r="K30" s="91">
        <v>4225</v>
      </c>
      <c r="L30" s="91">
        <v>4340</v>
      </c>
      <c r="M30" s="91">
        <v>4559</v>
      </c>
      <c r="N30" s="91">
        <v>4876</v>
      </c>
      <c r="O30" s="91">
        <v>4932</v>
      </c>
      <c r="P30" s="91">
        <v>4997</v>
      </c>
    </row>
    <row r="31" spans="1:16" x14ac:dyDescent="0.2">
      <c r="A31" s="89" t="s">
        <v>81</v>
      </c>
      <c r="B31" s="91">
        <v>104</v>
      </c>
      <c r="C31" s="91">
        <v>101</v>
      </c>
      <c r="D31" s="91">
        <v>109</v>
      </c>
      <c r="E31" s="91">
        <v>101</v>
      </c>
      <c r="F31" s="91">
        <v>113</v>
      </c>
      <c r="G31" s="91">
        <v>129</v>
      </c>
      <c r="H31" s="91">
        <v>120</v>
      </c>
      <c r="I31" s="91">
        <v>116</v>
      </c>
      <c r="J31" s="91">
        <v>116</v>
      </c>
      <c r="K31" s="91">
        <v>117</v>
      </c>
      <c r="L31" s="91">
        <v>108</v>
      </c>
      <c r="M31" s="91">
        <v>101</v>
      </c>
      <c r="N31" s="91">
        <v>104</v>
      </c>
      <c r="O31" s="91">
        <v>100</v>
      </c>
      <c r="P31" s="91">
        <v>100</v>
      </c>
    </row>
    <row r="32" spans="1:16" x14ac:dyDescent="0.2">
      <c r="A32" s="89" t="s">
        <v>166</v>
      </c>
      <c r="B32" s="91">
        <v>24.6</v>
      </c>
      <c r="C32" s="91">
        <v>27.9</v>
      </c>
      <c r="D32" s="91">
        <v>53.8</v>
      </c>
      <c r="E32" s="91">
        <v>73.95</v>
      </c>
      <c r="F32" s="91">
        <v>71.599999999999994</v>
      </c>
      <c r="G32" s="91">
        <v>67.7</v>
      </c>
      <c r="H32" s="91">
        <v>64.8</v>
      </c>
      <c r="I32" s="91">
        <v>57.5</v>
      </c>
      <c r="J32" s="91">
        <v>54.2</v>
      </c>
      <c r="K32" s="91">
        <v>61</v>
      </c>
      <c r="L32" s="91">
        <v>70.3</v>
      </c>
      <c r="M32" s="91">
        <v>70.400000000000006</v>
      </c>
      <c r="N32" s="91">
        <v>64.7</v>
      </c>
      <c r="O32" s="91">
        <v>63.3</v>
      </c>
      <c r="P32" s="91">
        <v>71.8</v>
      </c>
    </row>
    <row r="33" spans="1:1" x14ac:dyDescent="0.2">
      <c r="A33" s="89"/>
    </row>
    <row r="34" spans="1:1" x14ac:dyDescent="0.2">
      <c r="A34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Charts</vt:lpstr>
      </vt:variant>
      <vt:variant>
        <vt:i4>6</vt:i4>
      </vt:variant>
    </vt:vector>
  </HeadingPairs>
  <TitlesOfParts>
    <vt:vector size="35" baseType="lpstr">
      <vt:lpstr>Mandates</vt:lpstr>
      <vt:lpstr>Biofuel Volumes</vt:lpstr>
      <vt:lpstr>Processing Tech Breakdown</vt:lpstr>
      <vt:lpstr>Credit Prices</vt:lpstr>
      <vt:lpstr>Price Spread Comp</vt:lpstr>
      <vt:lpstr>Total Feedstocks</vt:lpstr>
      <vt:lpstr>Veg Oils</vt:lpstr>
      <vt:lpstr>Fats and Grease</vt:lpstr>
      <vt:lpstr>SBO</vt:lpstr>
      <vt:lpstr>Canola Oil</vt:lpstr>
      <vt:lpstr>DCO</vt:lpstr>
      <vt:lpstr>Inedible Tallow</vt:lpstr>
      <vt:lpstr>UCO-YG</vt:lpstr>
      <vt:lpstr>UCO</vt:lpstr>
      <vt:lpstr>Yellow Grease</vt:lpstr>
      <vt:lpstr>CWG</vt:lpstr>
      <vt:lpstr>Poultry Fat</vt:lpstr>
      <vt:lpstr>Feedstocks Comp</vt:lpstr>
      <vt:lpstr>Veg Oils Comp</vt:lpstr>
      <vt:lpstr>Fat and Grease Comp</vt:lpstr>
      <vt:lpstr>SBO Comp</vt:lpstr>
      <vt:lpstr>Canola Oil Comp</vt:lpstr>
      <vt:lpstr>CWG Comp</vt:lpstr>
      <vt:lpstr>UCO-YG Comp</vt:lpstr>
      <vt:lpstr>UCO Comp</vt:lpstr>
      <vt:lpstr>YG Comp</vt:lpstr>
      <vt:lpstr>Tallow Comp</vt:lpstr>
      <vt:lpstr>Poultry Fat Comp</vt:lpstr>
      <vt:lpstr>DCO Comp</vt:lpstr>
      <vt:lpstr>chart_FnGImports</vt:lpstr>
      <vt:lpstr>chart_FnGProd</vt:lpstr>
      <vt:lpstr>chart_FnGSND</vt:lpstr>
      <vt:lpstr>Chart1</vt:lpstr>
      <vt:lpstr>chart_SBO</vt:lpstr>
      <vt:lpstr>chart_VOuseanddemand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2025-07-17T09:37:42Z</dcterms:created>
  <dcterms:modified xsi:type="dcterms:W3CDTF">2025-07-17T09:38:15Z</dcterms:modified>
</cp:coreProperties>
</file>