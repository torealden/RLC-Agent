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odels\Oilseeds\"/>
    </mc:Choice>
  </mc:AlternateContent>
  <xr:revisionPtr revIDLastSave="0" documentId="13_ncr:1_{F9ABF90C-73C3-4E6F-B3DD-9C0AFC6FDCE5}" xr6:coauthVersionLast="47" xr6:coauthVersionMax="47" xr10:uidLastSave="{00000000-0000-0000-0000-000000000000}"/>
  <bookViews>
    <workbookView xWindow="4935" yWindow="375" windowWidth="18825" windowHeight="15540" firstSheet="3" activeTab="7" xr2:uid="{8AD5D7E5-9AB1-4600-8C0F-9BF1FF077762}"/>
  </bookViews>
  <sheets>
    <sheet name="Balance Sheet Data" sheetId="1" r:id="rId1"/>
    <sheet name="Cash Prices" sheetId="2" r:id="rId2"/>
    <sheet name="Futures Averages" sheetId="3" r:id="rId3"/>
    <sheet name="Spreads Averages" sheetId="4" r:id="rId4"/>
    <sheet name="SU in Aug" sheetId="5" r:id="rId5"/>
    <sheet name="SX in Sep" sheetId="6" r:id="rId6"/>
    <sheet name="SX in Oct" sheetId="7" r:id="rId7"/>
    <sheet name="SF in Nov" sheetId="8" r:id="rId8"/>
    <sheet name="SF in Dec" sheetId="9" r:id="rId9"/>
    <sheet name="SH in Jan" sheetId="10" r:id="rId10"/>
    <sheet name="SH in Feb" sheetId="11" r:id="rId11"/>
    <sheet name="SK in Mar" sheetId="12" r:id="rId12"/>
    <sheet name="SK in Apr" sheetId="13" r:id="rId13"/>
    <sheet name="SN in May" sheetId="14" r:id="rId14"/>
    <sheet name="SN in Jun" sheetId="15" r:id="rId15"/>
    <sheet name="SQ in Jul" sheetId="16" r:id="rId16"/>
    <sheet name="SN-SX in May" sheetId="17" r:id="rId17"/>
    <sheet name="SN-SX in Jun" sheetId="18" r:id="rId18"/>
  </sheets>
  <externalReferences>
    <externalReference r:id="rId19"/>
    <externalReference r:id="rId20"/>
    <externalReference r:id="rId2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46" i="1" l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M54" i="2"/>
  <c r="L54" i="2"/>
  <c r="K54" i="2"/>
  <c r="J54" i="2"/>
  <c r="I54" i="2"/>
  <c r="H54" i="2"/>
  <c r="G54" i="2"/>
  <c r="F54" i="2"/>
  <c r="E54" i="2"/>
  <c r="D54" i="2"/>
  <c r="C54" i="2"/>
  <c r="B54" i="2"/>
  <c r="M53" i="2"/>
  <c r="L53" i="2"/>
  <c r="K53" i="2"/>
  <c r="J53" i="2"/>
  <c r="I53" i="2"/>
  <c r="H53" i="2"/>
  <c r="G53" i="2"/>
  <c r="F53" i="2"/>
  <c r="E53" i="2"/>
  <c r="D53" i="2"/>
  <c r="C53" i="2"/>
  <c r="B53" i="2"/>
  <c r="M52" i="2"/>
  <c r="L52" i="2"/>
  <c r="K52" i="2"/>
  <c r="J52" i="2"/>
  <c r="I52" i="2"/>
  <c r="H52" i="2"/>
  <c r="G52" i="2"/>
  <c r="F52" i="2"/>
  <c r="E52" i="2"/>
  <c r="D52" i="2"/>
  <c r="C52" i="2"/>
  <c r="B52" i="2"/>
  <c r="M51" i="2"/>
  <c r="L51" i="2"/>
  <c r="K51" i="2"/>
  <c r="J51" i="2"/>
  <c r="I51" i="2"/>
  <c r="H51" i="2"/>
  <c r="G51" i="2"/>
  <c r="F51" i="2"/>
  <c r="E51" i="2"/>
  <c r="D51" i="2"/>
  <c r="C51" i="2"/>
  <c r="B51" i="2"/>
  <c r="M50" i="2"/>
  <c r="L50" i="2"/>
  <c r="K50" i="2"/>
  <c r="J50" i="2"/>
  <c r="I50" i="2"/>
  <c r="H50" i="2"/>
  <c r="G50" i="2"/>
  <c r="F50" i="2"/>
  <c r="E50" i="2"/>
  <c r="D50" i="2"/>
  <c r="C50" i="2"/>
  <c r="B50" i="2"/>
  <c r="B49" i="2"/>
  <c r="N49" i="2" s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H251" i="1"/>
  <c r="G251" i="1"/>
  <c r="F251" i="1"/>
  <c r="E251" i="1"/>
  <c r="D251" i="1"/>
  <c r="C251" i="1"/>
  <c r="U250" i="1"/>
  <c r="T250" i="1"/>
  <c r="S250" i="1"/>
  <c r="R250" i="1"/>
  <c r="Q250" i="1"/>
  <c r="P250" i="1"/>
  <c r="O250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G303" i="1" s="1"/>
  <c r="F196" i="1"/>
  <c r="E196" i="1"/>
  <c r="D196" i="1"/>
  <c r="C196" i="1"/>
  <c r="T195" i="1"/>
  <c r="S195" i="1"/>
  <c r="R195" i="1"/>
  <c r="Q195" i="1"/>
  <c r="P195" i="1"/>
  <c r="O195" i="1"/>
  <c r="BB145" i="1"/>
  <c r="BA145" i="1"/>
  <c r="AZ145" i="1"/>
  <c r="AY145" i="1"/>
  <c r="AX145" i="1"/>
  <c r="AW145" i="1"/>
  <c r="AV145" i="1"/>
  <c r="AU145" i="1"/>
  <c r="AT145" i="1"/>
  <c r="AS145" i="1"/>
  <c r="AR145" i="1"/>
  <c r="AQ145" i="1"/>
  <c r="AP145" i="1"/>
  <c r="AO145" i="1"/>
  <c r="BB144" i="1"/>
  <c r="BA144" i="1"/>
  <c r="AZ144" i="1"/>
  <c r="AY144" i="1"/>
  <c r="AX144" i="1"/>
  <c r="AW144" i="1"/>
  <c r="AV144" i="1"/>
  <c r="AU144" i="1"/>
  <c r="AT144" i="1"/>
  <c r="AS144" i="1"/>
  <c r="AR144" i="1"/>
  <c r="AQ144" i="1"/>
  <c r="AP144" i="1"/>
  <c r="AO144" i="1"/>
  <c r="BB143" i="1"/>
  <c r="BA143" i="1"/>
  <c r="AZ143" i="1"/>
  <c r="AY143" i="1"/>
  <c r="AX143" i="1"/>
  <c r="AW143" i="1"/>
  <c r="AV143" i="1"/>
  <c r="AU143" i="1"/>
  <c r="AT143" i="1"/>
  <c r="AS143" i="1"/>
  <c r="AR143" i="1"/>
  <c r="AQ143" i="1"/>
  <c r="AP143" i="1"/>
  <c r="AO143" i="1"/>
  <c r="BB137" i="1"/>
  <c r="BA137" i="1"/>
  <c r="BB77" i="1" s="1"/>
  <c r="AZ137" i="1"/>
  <c r="BA77" i="1" s="1"/>
  <c r="AY137" i="1"/>
  <c r="U248" i="1" s="1"/>
  <c r="AX137" i="1"/>
  <c r="U247" i="1" s="1"/>
  <c r="AW137" i="1"/>
  <c r="U246" i="1" s="1"/>
  <c r="AV137" i="1"/>
  <c r="AW77" i="1" s="1"/>
  <c r="AU137" i="1"/>
  <c r="AV77" i="1" s="1"/>
  <c r="AT137" i="1"/>
  <c r="AU77" i="1" s="1"/>
  <c r="AS137" i="1"/>
  <c r="AT77" i="1" s="1"/>
  <c r="AR137" i="1"/>
  <c r="AS77" i="1" s="1"/>
  <c r="AQ137" i="1"/>
  <c r="AR77" i="1" s="1"/>
  <c r="AP137" i="1"/>
  <c r="AQ77" i="1" s="1"/>
  <c r="AO137" i="1"/>
  <c r="AP77" i="1" s="1"/>
  <c r="BB134" i="1"/>
  <c r="BA134" i="1"/>
  <c r="AZ134" i="1"/>
  <c r="AY134" i="1"/>
  <c r="AX134" i="1"/>
  <c r="AW134" i="1"/>
  <c r="AV134" i="1"/>
  <c r="AU134" i="1"/>
  <c r="AT134" i="1"/>
  <c r="AS134" i="1"/>
  <c r="AR134" i="1"/>
  <c r="AQ134" i="1"/>
  <c r="AP134" i="1"/>
  <c r="AO134" i="1"/>
  <c r="BB133" i="1"/>
  <c r="BA133" i="1"/>
  <c r="AZ133" i="1"/>
  <c r="AY133" i="1"/>
  <c r="AX133" i="1"/>
  <c r="AW133" i="1"/>
  <c r="AV133" i="1"/>
  <c r="AU133" i="1"/>
  <c r="AT133" i="1"/>
  <c r="AS133" i="1"/>
  <c r="AR133" i="1"/>
  <c r="AQ133" i="1"/>
  <c r="AP133" i="1"/>
  <c r="AO133" i="1"/>
  <c r="BB132" i="1"/>
  <c r="BA132" i="1"/>
  <c r="AZ132" i="1"/>
  <c r="AY132" i="1"/>
  <c r="AX132" i="1"/>
  <c r="AW132" i="1"/>
  <c r="AV132" i="1"/>
  <c r="AU132" i="1"/>
  <c r="AT132" i="1"/>
  <c r="AS132" i="1"/>
  <c r="AR132" i="1"/>
  <c r="AQ132" i="1"/>
  <c r="AP132" i="1"/>
  <c r="AO132" i="1"/>
  <c r="BB130" i="1"/>
  <c r="BA130" i="1"/>
  <c r="AZ130" i="1"/>
  <c r="AY130" i="1"/>
  <c r="AX130" i="1"/>
  <c r="AW130" i="1"/>
  <c r="AV130" i="1"/>
  <c r="AU130" i="1"/>
  <c r="AT130" i="1"/>
  <c r="AS130" i="1"/>
  <c r="AR130" i="1"/>
  <c r="AQ130" i="1"/>
  <c r="AP130" i="1"/>
  <c r="AO130" i="1"/>
  <c r="BB128" i="1"/>
  <c r="BA128" i="1"/>
  <c r="AZ128" i="1"/>
  <c r="AY128" i="1"/>
  <c r="AX128" i="1"/>
  <c r="AW128" i="1"/>
  <c r="AV128" i="1"/>
  <c r="AU128" i="1"/>
  <c r="AT128" i="1"/>
  <c r="AS128" i="1"/>
  <c r="AR128" i="1"/>
  <c r="AQ128" i="1"/>
  <c r="AP128" i="1"/>
  <c r="AO128" i="1"/>
  <c r="BB127" i="1"/>
  <c r="BA127" i="1"/>
  <c r="AZ127" i="1"/>
  <c r="AY127" i="1"/>
  <c r="AX127" i="1"/>
  <c r="AW127" i="1"/>
  <c r="AV127" i="1"/>
  <c r="AU127" i="1"/>
  <c r="AT127" i="1"/>
  <c r="AS127" i="1"/>
  <c r="AR127" i="1"/>
  <c r="AQ127" i="1"/>
  <c r="AP127" i="1"/>
  <c r="AO127" i="1"/>
  <c r="BB126" i="1"/>
  <c r="BA126" i="1"/>
  <c r="AZ126" i="1"/>
  <c r="AY126" i="1"/>
  <c r="AX126" i="1"/>
  <c r="AW126" i="1"/>
  <c r="AV126" i="1"/>
  <c r="AU126" i="1"/>
  <c r="AT126" i="1"/>
  <c r="AS126" i="1"/>
  <c r="AR126" i="1"/>
  <c r="AQ126" i="1"/>
  <c r="AP126" i="1"/>
  <c r="AO126" i="1"/>
  <c r="BB120" i="1"/>
  <c r="BA120" i="1"/>
  <c r="AZ120" i="1"/>
  <c r="AY120" i="1"/>
  <c r="AX120" i="1"/>
  <c r="AW120" i="1"/>
  <c r="AV120" i="1"/>
  <c r="AU120" i="1"/>
  <c r="AT120" i="1"/>
  <c r="AS120" i="1"/>
  <c r="AR120" i="1"/>
  <c r="AQ120" i="1"/>
  <c r="AP120" i="1"/>
  <c r="AO120" i="1"/>
  <c r="BB117" i="1"/>
  <c r="BA117" i="1"/>
  <c r="AZ117" i="1"/>
  <c r="AY117" i="1"/>
  <c r="AX117" i="1"/>
  <c r="AW117" i="1"/>
  <c r="AV117" i="1"/>
  <c r="AU117" i="1"/>
  <c r="AT117" i="1"/>
  <c r="AS117" i="1"/>
  <c r="AR117" i="1"/>
  <c r="AQ117" i="1"/>
  <c r="AP117" i="1"/>
  <c r="AO117" i="1"/>
  <c r="BB116" i="1"/>
  <c r="BA116" i="1"/>
  <c r="AZ116" i="1"/>
  <c r="AY116" i="1"/>
  <c r="AX116" i="1"/>
  <c r="AW116" i="1"/>
  <c r="AV116" i="1"/>
  <c r="AU116" i="1"/>
  <c r="AT116" i="1"/>
  <c r="AS116" i="1"/>
  <c r="AR116" i="1"/>
  <c r="AQ116" i="1"/>
  <c r="AP116" i="1"/>
  <c r="AO116" i="1"/>
  <c r="BB115" i="1"/>
  <c r="BA115" i="1"/>
  <c r="AZ115" i="1"/>
  <c r="AY115" i="1"/>
  <c r="AX115" i="1"/>
  <c r="AW115" i="1"/>
  <c r="AV115" i="1"/>
  <c r="AU115" i="1"/>
  <c r="AT115" i="1"/>
  <c r="AS115" i="1"/>
  <c r="AR115" i="1"/>
  <c r="AQ115" i="1"/>
  <c r="AP115" i="1"/>
  <c r="AO115" i="1"/>
  <c r="BB113" i="1"/>
  <c r="BA113" i="1"/>
  <c r="AZ113" i="1"/>
  <c r="AY113" i="1"/>
  <c r="AX113" i="1"/>
  <c r="AW113" i="1"/>
  <c r="AV113" i="1"/>
  <c r="AU113" i="1"/>
  <c r="AT113" i="1"/>
  <c r="AS113" i="1"/>
  <c r="AR113" i="1"/>
  <c r="AQ113" i="1"/>
  <c r="AP113" i="1"/>
  <c r="AO113" i="1"/>
  <c r="BB111" i="1"/>
  <c r="BA111" i="1"/>
  <c r="AZ111" i="1"/>
  <c r="AY111" i="1"/>
  <c r="AX111" i="1"/>
  <c r="AW111" i="1"/>
  <c r="AV111" i="1"/>
  <c r="AU111" i="1"/>
  <c r="AT111" i="1"/>
  <c r="AS111" i="1"/>
  <c r="AR111" i="1"/>
  <c r="AQ111" i="1"/>
  <c r="AP111" i="1"/>
  <c r="AO111" i="1"/>
  <c r="BB110" i="1"/>
  <c r="BA110" i="1"/>
  <c r="AZ110" i="1"/>
  <c r="AY110" i="1"/>
  <c r="AX110" i="1"/>
  <c r="AW110" i="1"/>
  <c r="AV110" i="1"/>
  <c r="AU110" i="1"/>
  <c r="AT110" i="1"/>
  <c r="AS110" i="1"/>
  <c r="AR110" i="1"/>
  <c r="AQ110" i="1"/>
  <c r="AP110" i="1"/>
  <c r="AO110" i="1"/>
  <c r="BB109" i="1"/>
  <c r="BA109" i="1"/>
  <c r="AZ109" i="1"/>
  <c r="AY109" i="1"/>
  <c r="AX109" i="1"/>
  <c r="AW109" i="1"/>
  <c r="AV109" i="1"/>
  <c r="AU109" i="1"/>
  <c r="AT109" i="1"/>
  <c r="AS109" i="1"/>
  <c r="AR109" i="1"/>
  <c r="AQ109" i="1"/>
  <c r="AP109" i="1"/>
  <c r="AO109" i="1"/>
  <c r="BB103" i="1"/>
  <c r="BA103" i="1"/>
  <c r="AZ103" i="1"/>
  <c r="AY103" i="1"/>
  <c r="AX103" i="1"/>
  <c r="AW103" i="1"/>
  <c r="AV103" i="1"/>
  <c r="AU103" i="1"/>
  <c r="AT103" i="1"/>
  <c r="AS103" i="1"/>
  <c r="AR103" i="1"/>
  <c r="AQ103" i="1"/>
  <c r="AP103" i="1"/>
  <c r="AO103" i="1"/>
  <c r="BB100" i="1"/>
  <c r="BA100" i="1"/>
  <c r="AZ100" i="1"/>
  <c r="AY100" i="1"/>
  <c r="AX100" i="1"/>
  <c r="AW100" i="1"/>
  <c r="AV100" i="1"/>
  <c r="AU100" i="1"/>
  <c r="AT100" i="1"/>
  <c r="AS100" i="1"/>
  <c r="AR100" i="1"/>
  <c r="AQ100" i="1"/>
  <c r="AP100" i="1"/>
  <c r="AO100" i="1"/>
  <c r="AN100" i="1"/>
  <c r="AM100" i="1"/>
  <c r="AL100" i="1"/>
  <c r="AK100" i="1"/>
  <c r="AJ100" i="1"/>
  <c r="AI100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BB99" i="1"/>
  <c r="BA99" i="1"/>
  <c r="AZ99" i="1"/>
  <c r="AY99" i="1"/>
  <c r="AX99" i="1"/>
  <c r="AW99" i="1"/>
  <c r="AV99" i="1"/>
  <c r="AU99" i="1"/>
  <c r="AT99" i="1"/>
  <c r="AS99" i="1"/>
  <c r="AR99" i="1"/>
  <c r="AQ99" i="1"/>
  <c r="AP99" i="1"/>
  <c r="AO99" i="1"/>
  <c r="BB98" i="1"/>
  <c r="BA98" i="1"/>
  <c r="AZ98" i="1"/>
  <c r="AY98" i="1"/>
  <c r="AX98" i="1"/>
  <c r="AW98" i="1"/>
  <c r="AV98" i="1"/>
  <c r="AU98" i="1"/>
  <c r="AT98" i="1"/>
  <c r="AS98" i="1"/>
  <c r="AR98" i="1"/>
  <c r="AQ98" i="1"/>
  <c r="AP98" i="1"/>
  <c r="AO98" i="1"/>
  <c r="BB96" i="1"/>
  <c r="BA96" i="1"/>
  <c r="AZ96" i="1"/>
  <c r="AY96" i="1"/>
  <c r="AX96" i="1"/>
  <c r="AW96" i="1"/>
  <c r="AV96" i="1"/>
  <c r="AU96" i="1"/>
  <c r="AT96" i="1"/>
  <c r="AS96" i="1"/>
  <c r="AR96" i="1"/>
  <c r="AQ96" i="1"/>
  <c r="AP96" i="1"/>
  <c r="AO96" i="1"/>
  <c r="BB94" i="1"/>
  <c r="BA94" i="1"/>
  <c r="AZ94" i="1"/>
  <c r="AY94" i="1"/>
  <c r="AX94" i="1"/>
  <c r="AW94" i="1"/>
  <c r="AV94" i="1"/>
  <c r="AU94" i="1"/>
  <c r="AT94" i="1"/>
  <c r="AS94" i="1"/>
  <c r="AR94" i="1"/>
  <c r="AQ94" i="1"/>
  <c r="AP94" i="1"/>
  <c r="AO94" i="1"/>
  <c r="BB93" i="1"/>
  <c r="BA93" i="1"/>
  <c r="AZ93" i="1"/>
  <c r="AY93" i="1"/>
  <c r="AX93" i="1"/>
  <c r="AW93" i="1"/>
  <c r="AV93" i="1"/>
  <c r="AU93" i="1"/>
  <c r="AT93" i="1"/>
  <c r="AS93" i="1"/>
  <c r="AR93" i="1"/>
  <c r="AQ93" i="1"/>
  <c r="AP93" i="1"/>
  <c r="AO93" i="1"/>
  <c r="BB92" i="1"/>
  <c r="BA92" i="1"/>
  <c r="AZ92" i="1"/>
  <c r="AY92" i="1"/>
  <c r="AX92" i="1"/>
  <c r="AW92" i="1"/>
  <c r="AV92" i="1"/>
  <c r="AU92" i="1"/>
  <c r="AT92" i="1"/>
  <c r="AS92" i="1"/>
  <c r="AR92" i="1"/>
  <c r="AQ92" i="1"/>
  <c r="AP92" i="1"/>
  <c r="AO92" i="1"/>
  <c r="BB86" i="1"/>
  <c r="BA86" i="1"/>
  <c r="AZ86" i="1"/>
  <c r="AY86" i="1"/>
  <c r="AX86" i="1"/>
  <c r="AW86" i="1"/>
  <c r="AV86" i="1"/>
  <c r="AU86" i="1"/>
  <c r="AT86" i="1"/>
  <c r="AS86" i="1"/>
  <c r="AR86" i="1"/>
  <c r="AQ86" i="1"/>
  <c r="AP86" i="1"/>
  <c r="AO86" i="1"/>
  <c r="BB83" i="1"/>
  <c r="BA83" i="1"/>
  <c r="AZ83" i="1"/>
  <c r="AY83" i="1"/>
  <c r="AX83" i="1"/>
  <c r="AW83" i="1"/>
  <c r="AV83" i="1"/>
  <c r="AU83" i="1"/>
  <c r="AT83" i="1"/>
  <c r="AS83" i="1"/>
  <c r="AR83" i="1"/>
  <c r="AQ83" i="1"/>
  <c r="AP83" i="1"/>
  <c r="AO83" i="1"/>
  <c r="AN83" i="1"/>
  <c r="AM83" i="1"/>
  <c r="AL83" i="1"/>
  <c r="AK83" i="1"/>
  <c r="AJ83" i="1"/>
  <c r="AI83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BB82" i="1"/>
  <c r="BA82" i="1"/>
  <c r="AZ82" i="1"/>
  <c r="AY82" i="1"/>
  <c r="AX82" i="1"/>
  <c r="AW82" i="1"/>
  <c r="AV82" i="1"/>
  <c r="AU82" i="1"/>
  <c r="AT82" i="1"/>
  <c r="AS82" i="1"/>
  <c r="AR82" i="1"/>
  <c r="AQ82" i="1"/>
  <c r="AP82" i="1"/>
  <c r="AO82" i="1"/>
  <c r="BB81" i="1"/>
  <c r="BA81" i="1"/>
  <c r="AZ81" i="1"/>
  <c r="AY81" i="1"/>
  <c r="AX81" i="1"/>
  <c r="AW81" i="1"/>
  <c r="AV81" i="1"/>
  <c r="AU81" i="1"/>
  <c r="AT81" i="1"/>
  <c r="AS81" i="1"/>
  <c r="AR81" i="1"/>
  <c r="AQ81" i="1"/>
  <c r="AP81" i="1"/>
  <c r="AO81" i="1"/>
  <c r="BB79" i="1"/>
  <c r="BA79" i="1"/>
  <c r="AZ79" i="1"/>
  <c r="AY79" i="1"/>
  <c r="AX79" i="1"/>
  <c r="AW79" i="1"/>
  <c r="AV79" i="1"/>
  <c r="AU79" i="1"/>
  <c r="AT79" i="1"/>
  <c r="AS79" i="1"/>
  <c r="AR79" i="1"/>
  <c r="AQ79" i="1"/>
  <c r="AP79" i="1"/>
  <c r="AO79" i="1"/>
  <c r="BB78" i="1"/>
  <c r="BA78" i="1"/>
  <c r="AZ78" i="1"/>
  <c r="AY78" i="1"/>
  <c r="AX78" i="1"/>
  <c r="AW78" i="1"/>
  <c r="AV78" i="1"/>
  <c r="AU78" i="1"/>
  <c r="AT78" i="1"/>
  <c r="AS78" i="1"/>
  <c r="AR78" i="1"/>
  <c r="AQ78" i="1"/>
  <c r="AP78" i="1"/>
  <c r="AO78" i="1"/>
  <c r="BB24" i="1"/>
  <c r="BA24" i="1"/>
  <c r="O53" i="2" s="1"/>
  <c r="AZ24" i="1"/>
  <c r="O52" i="2" s="1"/>
  <c r="AY24" i="1"/>
  <c r="O51" i="2" s="1"/>
  <c r="AX24" i="1"/>
  <c r="O50" i="2" s="1"/>
  <c r="AW24" i="1"/>
  <c r="O49" i="2" s="1"/>
  <c r="AV24" i="1"/>
  <c r="O48" i="2" s="1"/>
  <c r="AU24" i="1"/>
  <c r="O47" i="2" s="1"/>
  <c r="AT24" i="1"/>
  <c r="O46" i="2" s="1"/>
  <c r="AS24" i="1"/>
  <c r="O45" i="2" s="1"/>
  <c r="AR24" i="1"/>
  <c r="AQ24" i="1"/>
  <c r="O43" i="2" s="1"/>
  <c r="AP24" i="1"/>
  <c r="AO24" i="1"/>
  <c r="AN24" i="1"/>
  <c r="AM24" i="1"/>
  <c r="AL24" i="1"/>
  <c r="O38" i="2" s="1"/>
  <c r="AK24" i="1"/>
  <c r="O37" i="2" s="1"/>
  <c r="AJ24" i="1"/>
  <c r="O36" i="2" s="1"/>
  <c r="AI24" i="1"/>
  <c r="O35" i="2" s="1"/>
  <c r="AH24" i="1"/>
  <c r="O34" i="2" s="1"/>
  <c r="AG24" i="1"/>
  <c r="O33" i="2" s="1"/>
  <c r="AF24" i="1"/>
  <c r="O32" i="2" s="1"/>
  <c r="AE24" i="1"/>
  <c r="O31" i="2" s="1"/>
  <c r="AD24" i="1"/>
  <c r="O30" i="2" s="1"/>
  <c r="AC24" i="1"/>
  <c r="O29" i="2" s="1"/>
  <c r="AB24" i="1"/>
  <c r="O28" i="2" s="1"/>
  <c r="AA24" i="1"/>
  <c r="O27" i="2" s="1"/>
  <c r="Z24" i="1"/>
  <c r="O26" i="2" s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BB15" i="1"/>
  <c r="BA15" i="1"/>
  <c r="AZ15" i="1"/>
  <c r="AY15" i="1"/>
  <c r="AY16" i="1" s="1"/>
  <c r="AX15" i="1"/>
  <c r="AX16" i="1" s="1"/>
  <c r="AW15" i="1"/>
  <c r="AW16" i="1" s="1"/>
  <c r="AV15" i="1"/>
  <c r="AV16" i="1" s="1"/>
  <c r="AU15" i="1"/>
  <c r="AT15" i="1"/>
  <c r="AT16" i="1" s="1"/>
  <c r="AS15" i="1"/>
  <c r="AR15" i="1"/>
  <c r="AQ15" i="1"/>
  <c r="AP15" i="1"/>
  <c r="AO15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BB2" i="1"/>
  <c r="BB75" i="1" s="1"/>
  <c r="BA2" i="1"/>
  <c r="BA75" i="1" s="1"/>
  <c r="AZ2" i="1"/>
  <c r="AZ75" i="1" s="1"/>
  <c r="AY2" i="1"/>
  <c r="AY75" i="1" s="1"/>
  <c r="AX2" i="1"/>
  <c r="AX75" i="1" s="1"/>
  <c r="AW2" i="1"/>
  <c r="AW75" i="1" s="1"/>
  <c r="AV2" i="1"/>
  <c r="AV75" i="1" s="1"/>
  <c r="AU2" i="1"/>
  <c r="AU75" i="1" s="1"/>
  <c r="AT2" i="1"/>
  <c r="AT75" i="1" s="1"/>
  <c r="AS2" i="1"/>
  <c r="AS75" i="1" s="1"/>
  <c r="AR2" i="1"/>
  <c r="AR75" i="1" s="1"/>
  <c r="AQ2" i="1"/>
  <c r="AQ75" i="1" s="1"/>
  <c r="AP2" i="1"/>
  <c r="AP75" i="1" s="1"/>
  <c r="AO2" i="1"/>
  <c r="AN2" i="1"/>
  <c r="AN75" i="1" s="1"/>
  <c r="AM2" i="1"/>
  <c r="AL2" i="1"/>
  <c r="AK2" i="1"/>
  <c r="AK75" i="1" s="1"/>
  <c r="AJ2" i="1"/>
  <c r="AJ75" i="1" s="1"/>
  <c r="AI2" i="1"/>
  <c r="AI75" i="1" s="1"/>
  <c r="AH2" i="1"/>
  <c r="AH75" i="1" s="1"/>
  <c r="AG2" i="1"/>
  <c r="AG75" i="1" s="1"/>
  <c r="AF2" i="1"/>
  <c r="AF75" i="1" s="1"/>
  <c r="AE2" i="1"/>
  <c r="AE75" i="1" s="1"/>
  <c r="AD2" i="1"/>
  <c r="AD75" i="1" s="1"/>
  <c r="AC2" i="1"/>
  <c r="AC75" i="1" s="1"/>
  <c r="AB2" i="1"/>
  <c r="AB75" i="1" s="1"/>
  <c r="AA2" i="1"/>
  <c r="AA75" i="1" s="1"/>
  <c r="Z2" i="1"/>
  <c r="Z75" i="1" s="1"/>
  <c r="Y2" i="1"/>
  <c r="Y75" i="1" s="1"/>
  <c r="X2" i="1"/>
  <c r="X75" i="1" s="1"/>
  <c r="W2" i="1"/>
  <c r="W75" i="1" s="1"/>
  <c r="V2" i="1"/>
  <c r="V75" i="1" s="1"/>
  <c r="U2" i="1"/>
  <c r="U75" i="1" s="1"/>
  <c r="T2" i="1"/>
  <c r="T75" i="1" s="1"/>
  <c r="S2" i="1"/>
  <c r="R2" i="1"/>
  <c r="R75" i="1" s="1"/>
  <c r="Q2" i="1"/>
  <c r="P2" i="1"/>
  <c r="P75" i="1" s="1"/>
  <c r="O2" i="1"/>
  <c r="O75" i="1" s="1"/>
  <c r="N2" i="1"/>
  <c r="N75" i="1" s="1"/>
  <c r="M2" i="1"/>
  <c r="M75" i="1" s="1"/>
  <c r="L2" i="1"/>
  <c r="L75" i="1" s="1"/>
  <c r="K2" i="1"/>
  <c r="K75" i="1" s="1"/>
  <c r="J2" i="1"/>
  <c r="J75" i="1" s="1"/>
  <c r="I2" i="1"/>
  <c r="I75" i="1" s="1"/>
  <c r="H2" i="1"/>
  <c r="H75" i="1" s="1"/>
  <c r="G2" i="1"/>
  <c r="G75" i="1" s="1"/>
  <c r="F2" i="1"/>
  <c r="F75" i="1" s="1"/>
  <c r="E2" i="1"/>
  <c r="E75" i="1" s="1"/>
  <c r="D2" i="1"/>
  <c r="D75" i="1" s="1"/>
  <c r="C2" i="1"/>
  <c r="C75" i="1" s="1"/>
  <c r="B2" i="1"/>
  <c r="B75" i="1" s="1"/>
  <c r="L1112" i="3"/>
  <c r="L1111" i="3"/>
  <c r="L1110" i="3"/>
  <c r="L934" i="3"/>
  <c r="L933" i="3"/>
  <c r="O1051" i="3" s="1"/>
  <c r="L932" i="3"/>
  <c r="L931" i="3"/>
  <c r="L757" i="3"/>
  <c r="K757" i="3"/>
  <c r="L756" i="3"/>
  <c r="K756" i="3"/>
  <c r="L755" i="3"/>
  <c r="K755" i="3"/>
  <c r="L754" i="3"/>
  <c r="L813" i="3" s="1"/>
  <c r="P813" i="3" s="1"/>
  <c r="K754" i="3"/>
  <c r="K872" i="3" s="1"/>
  <c r="O872" i="3" s="1"/>
  <c r="L638" i="3"/>
  <c r="P638" i="3" s="1"/>
  <c r="L583" i="3"/>
  <c r="K583" i="3"/>
  <c r="L582" i="3"/>
  <c r="K582" i="3"/>
  <c r="L581" i="3"/>
  <c r="K581" i="3"/>
  <c r="K697" i="3" s="1"/>
  <c r="L409" i="3"/>
  <c r="K409" i="3"/>
  <c r="L408" i="3"/>
  <c r="K408" i="3"/>
  <c r="L407" i="3"/>
  <c r="L523" i="3" s="1"/>
  <c r="K407" i="3"/>
  <c r="K465" i="3" s="1"/>
  <c r="L235" i="3"/>
  <c r="K235" i="3"/>
  <c r="L234" i="3"/>
  <c r="K234" i="3"/>
  <c r="L233" i="3"/>
  <c r="K233" i="3"/>
  <c r="K59" i="3"/>
  <c r="L58" i="3"/>
  <c r="K58" i="3"/>
  <c r="L57" i="3"/>
  <c r="K57" i="3"/>
  <c r="L56" i="3"/>
  <c r="L174" i="3" s="1"/>
  <c r="K56" i="3"/>
  <c r="K174" i="3" s="1"/>
  <c r="M110" i="2"/>
  <c r="L110" i="2"/>
  <c r="K110" i="2"/>
  <c r="J110" i="2"/>
  <c r="I110" i="2"/>
  <c r="H110" i="2"/>
  <c r="G110" i="2"/>
  <c r="F110" i="2"/>
  <c r="E110" i="2"/>
  <c r="D110" i="2"/>
  <c r="C110" i="2"/>
  <c r="B110" i="2"/>
  <c r="M109" i="2"/>
  <c r="L109" i="2"/>
  <c r="K109" i="2"/>
  <c r="J109" i="2"/>
  <c r="I109" i="2"/>
  <c r="H109" i="2"/>
  <c r="G109" i="2"/>
  <c r="F109" i="2"/>
  <c r="E109" i="2"/>
  <c r="D109" i="2"/>
  <c r="C109" i="2"/>
  <c r="B109" i="2"/>
  <c r="M108" i="2"/>
  <c r="L108" i="2"/>
  <c r="K108" i="2"/>
  <c r="J108" i="2"/>
  <c r="I108" i="2"/>
  <c r="H108" i="2"/>
  <c r="G108" i="2"/>
  <c r="F108" i="2"/>
  <c r="E108" i="2"/>
  <c r="D108" i="2"/>
  <c r="C108" i="2"/>
  <c r="B108" i="2"/>
  <c r="M107" i="2"/>
  <c r="L107" i="2"/>
  <c r="K107" i="2"/>
  <c r="J107" i="2"/>
  <c r="I107" i="2"/>
  <c r="H107" i="2"/>
  <c r="G107" i="2"/>
  <c r="F107" i="2"/>
  <c r="E107" i="2"/>
  <c r="D107" i="2"/>
  <c r="C107" i="2"/>
  <c r="B107" i="2"/>
  <c r="M106" i="2"/>
  <c r="L106" i="2"/>
  <c r="K106" i="2"/>
  <c r="J106" i="2"/>
  <c r="I106" i="2"/>
  <c r="H106" i="2"/>
  <c r="G106" i="2"/>
  <c r="F106" i="2"/>
  <c r="E106" i="2"/>
  <c r="D106" i="2"/>
  <c r="C106" i="2"/>
  <c r="B106" i="2"/>
  <c r="M105" i="2"/>
  <c r="L105" i="2"/>
  <c r="K105" i="2"/>
  <c r="J105" i="2"/>
  <c r="I105" i="2"/>
  <c r="H105" i="2"/>
  <c r="G105" i="2"/>
  <c r="F105" i="2"/>
  <c r="E105" i="2"/>
  <c r="D105" i="2"/>
  <c r="C105" i="2"/>
  <c r="B105" i="2"/>
  <c r="M104" i="2"/>
  <c r="L104" i="2"/>
  <c r="K104" i="2"/>
  <c r="J104" i="2"/>
  <c r="I104" i="2"/>
  <c r="H104" i="2"/>
  <c r="G104" i="2"/>
  <c r="F104" i="2"/>
  <c r="E104" i="2"/>
  <c r="D104" i="2"/>
  <c r="C104" i="2"/>
  <c r="B104" i="2"/>
  <c r="M103" i="2"/>
  <c r="L103" i="2"/>
  <c r="K103" i="2"/>
  <c r="J103" i="2"/>
  <c r="I103" i="2"/>
  <c r="H103" i="2"/>
  <c r="G103" i="2"/>
  <c r="F103" i="2"/>
  <c r="E103" i="2"/>
  <c r="D103" i="2"/>
  <c r="C103" i="2"/>
  <c r="B103" i="2"/>
  <c r="M102" i="2"/>
  <c r="L102" i="2"/>
  <c r="K102" i="2"/>
  <c r="J102" i="2"/>
  <c r="I102" i="2"/>
  <c r="H102" i="2"/>
  <c r="G102" i="2"/>
  <c r="F102" i="2"/>
  <c r="E102" i="2"/>
  <c r="D102" i="2"/>
  <c r="C102" i="2"/>
  <c r="B102" i="2"/>
  <c r="M101" i="2"/>
  <c r="L101" i="2"/>
  <c r="K101" i="2"/>
  <c r="J101" i="2"/>
  <c r="I101" i="2"/>
  <c r="H101" i="2"/>
  <c r="G101" i="2"/>
  <c r="F101" i="2"/>
  <c r="E101" i="2"/>
  <c r="D101" i="2"/>
  <c r="C101" i="2"/>
  <c r="B101" i="2"/>
  <c r="M100" i="2"/>
  <c r="L100" i="2"/>
  <c r="K100" i="2"/>
  <c r="J100" i="2"/>
  <c r="I100" i="2"/>
  <c r="H100" i="2"/>
  <c r="G100" i="2"/>
  <c r="F100" i="2"/>
  <c r="E100" i="2"/>
  <c r="D100" i="2"/>
  <c r="C100" i="2"/>
  <c r="B100" i="2"/>
  <c r="M99" i="2"/>
  <c r="L99" i="2"/>
  <c r="K99" i="2"/>
  <c r="J99" i="2"/>
  <c r="I99" i="2"/>
  <c r="H99" i="2"/>
  <c r="G99" i="2"/>
  <c r="F99" i="2"/>
  <c r="E99" i="2"/>
  <c r="D99" i="2"/>
  <c r="C99" i="2"/>
  <c r="B99" i="2"/>
  <c r="M98" i="2"/>
  <c r="L98" i="2"/>
  <c r="K98" i="2"/>
  <c r="J98" i="2"/>
  <c r="I98" i="2"/>
  <c r="H98" i="2"/>
  <c r="G98" i="2"/>
  <c r="F98" i="2"/>
  <c r="E98" i="2"/>
  <c r="D98" i="2"/>
  <c r="C98" i="2"/>
  <c r="B98" i="2"/>
  <c r="M97" i="2"/>
  <c r="L97" i="2"/>
  <c r="K97" i="2"/>
  <c r="J97" i="2"/>
  <c r="I97" i="2"/>
  <c r="H97" i="2"/>
  <c r="G97" i="2"/>
  <c r="F97" i="2"/>
  <c r="E97" i="2"/>
  <c r="D97" i="2"/>
  <c r="C97" i="2"/>
  <c r="B97" i="2"/>
  <c r="M96" i="2"/>
  <c r="L96" i="2"/>
  <c r="K96" i="2"/>
  <c r="J96" i="2"/>
  <c r="I96" i="2"/>
  <c r="H96" i="2"/>
  <c r="G96" i="2"/>
  <c r="F96" i="2"/>
  <c r="E96" i="2"/>
  <c r="D96" i="2"/>
  <c r="C96" i="2"/>
  <c r="B96" i="2"/>
  <c r="M95" i="2"/>
  <c r="L95" i="2"/>
  <c r="K95" i="2"/>
  <c r="J95" i="2"/>
  <c r="I95" i="2"/>
  <c r="H95" i="2"/>
  <c r="G95" i="2"/>
  <c r="F95" i="2"/>
  <c r="E95" i="2"/>
  <c r="D95" i="2"/>
  <c r="C95" i="2"/>
  <c r="B95" i="2"/>
  <c r="M94" i="2"/>
  <c r="L94" i="2"/>
  <c r="K94" i="2"/>
  <c r="J94" i="2"/>
  <c r="I94" i="2"/>
  <c r="H94" i="2"/>
  <c r="G94" i="2"/>
  <c r="F94" i="2"/>
  <c r="E94" i="2"/>
  <c r="D94" i="2"/>
  <c r="C94" i="2"/>
  <c r="B94" i="2"/>
  <c r="M93" i="2"/>
  <c r="L93" i="2"/>
  <c r="K93" i="2"/>
  <c r="J93" i="2"/>
  <c r="I93" i="2"/>
  <c r="H93" i="2"/>
  <c r="G93" i="2"/>
  <c r="F93" i="2"/>
  <c r="E93" i="2"/>
  <c r="D93" i="2"/>
  <c r="C93" i="2"/>
  <c r="B93" i="2"/>
  <c r="M92" i="2"/>
  <c r="L92" i="2"/>
  <c r="K92" i="2"/>
  <c r="J92" i="2"/>
  <c r="I92" i="2"/>
  <c r="H92" i="2"/>
  <c r="G92" i="2"/>
  <c r="F92" i="2"/>
  <c r="E92" i="2"/>
  <c r="D92" i="2"/>
  <c r="C92" i="2"/>
  <c r="B92" i="2"/>
  <c r="M91" i="2"/>
  <c r="L91" i="2"/>
  <c r="K91" i="2"/>
  <c r="J91" i="2"/>
  <c r="I91" i="2"/>
  <c r="H91" i="2"/>
  <c r="G91" i="2"/>
  <c r="F91" i="2"/>
  <c r="E91" i="2"/>
  <c r="D91" i="2"/>
  <c r="C91" i="2"/>
  <c r="B91" i="2"/>
  <c r="M90" i="2"/>
  <c r="L90" i="2"/>
  <c r="K90" i="2"/>
  <c r="J90" i="2"/>
  <c r="I90" i="2"/>
  <c r="H90" i="2"/>
  <c r="G90" i="2"/>
  <c r="F90" i="2"/>
  <c r="E90" i="2"/>
  <c r="D90" i="2"/>
  <c r="C90" i="2"/>
  <c r="B90" i="2"/>
  <c r="M89" i="2"/>
  <c r="L89" i="2"/>
  <c r="K89" i="2"/>
  <c r="J89" i="2"/>
  <c r="I89" i="2"/>
  <c r="H89" i="2"/>
  <c r="G89" i="2"/>
  <c r="F89" i="2"/>
  <c r="E89" i="2"/>
  <c r="D89" i="2"/>
  <c r="C89" i="2"/>
  <c r="B89" i="2"/>
  <c r="M88" i="2"/>
  <c r="L88" i="2"/>
  <c r="K88" i="2"/>
  <c r="J88" i="2"/>
  <c r="I88" i="2"/>
  <c r="H88" i="2"/>
  <c r="G88" i="2"/>
  <c r="F88" i="2"/>
  <c r="E88" i="2"/>
  <c r="D88" i="2"/>
  <c r="C88" i="2"/>
  <c r="B88" i="2"/>
  <c r="M87" i="2"/>
  <c r="L87" i="2"/>
  <c r="K87" i="2"/>
  <c r="J87" i="2"/>
  <c r="I87" i="2"/>
  <c r="H87" i="2"/>
  <c r="G87" i="2"/>
  <c r="F87" i="2"/>
  <c r="E87" i="2"/>
  <c r="D87" i="2"/>
  <c r="C87" i="2"/>
  <c r="B87" i="2"/>
  <c r="M86" i="2"/>
  <c r="L86" i="2"/>
  <c r="K86" i="2"/>
  <c r="J86" i="2"/>
  <c r="I86" i="2"/>
  <c r="H86" i="2"/>
  <c r="G86" i="2"/>
  <c r="F86" i="2"/>
  <c r="E86" i="2"/>
  <c r="D86" i="2"/>
  <c r="C86" i="2"/>
  <c r="B86" i="2"/>
  <c r="M85" i="2"/>
  <c r="L85" i="2"/>
  <c r="K85" i="2"/>
  <c r="J85" i="2"/>
  <c r="I85" i="2"/>
  <c r="H85" i="2"/>
  <c r="G85" i="2"/>
  <c r="F85" i="2"/>
  <c r="E85" i="2"/>
  <c r="D85" i="2"/>
  <c r="C85" i="2"/>
  <c r="B85" i="2"/>
  <c r="M84" i="2"/>
  <c r="L84" i="2"/>
  <c r="K84" i="2"/>
  <c r="J84" i="2"/>
  <c r="I84" i="2"/>
  <c r="H84" i="2"/>
  <c r="G84" i="2"/>
  <c r="F84" i="2"/>
  <c r="E84" i="2"/>
  <c r="D84" i="2"/>
  <c r="C84" i="2"/>
  <c r="B84" i="2"/>
  <c r="M83" i="2"/>
  <c r="L83" i="2"/>
  <c r="K83" i="2"/>
  <c r="J83" i="2"/>
  <c r="I83" i="2"/>
  <c r="H83" i="2"/>
  <c r="G83" i="2"/>
  <c r="F83" i="2"/>
  <c r="E83" i="2"/>
  <c r="D83" i="2"/>
  <c r="C83" i="2"/>
  <c r="B83" i="2"/>
  <c r="M82" i="2"/>
  <c r="L82" i="2"/>
  <c r="K82" i="2"/>
  <c r="J82" i="2"/>
  <c r="I82" i="2"/>
  <c r="H82" i="2"/>
  <c r="G82" i="2"/>
  <c r="F82" i="2"/>
  <c r="E82" i="2"/>
  <c r="D82" i="2"/>
  <c r="C82" i="2"/>
  <c r="B82" i="2"/>
  <c r="M81" i="2"/>
  <c r="L81" i="2"/>
  <c r="K81" i="2"/>
  <c r="J81" i="2"/>
  <c r="I81" i="2"/>
  <c r="H81" i="2"/>
  <c r="G81" i="2"/>
  <c r="F81" i="2"/>
  <c r="E81" i="2"/>
  <c r="D81" i="2"/>
  <c r="C81" i="2"/>
  <c r="B81" i="2"/>
  <c r="M80" i="2"/>
  <c r="L80" i="2"/>
  <c r="K80" i="2"/>
  <c r="J80" i="2"/>
  <c r="I80" i="2"/>
  <c r="H80" i="2"/>
  <c r="G80" i="2"/>
  <c r="F80" i="2"/>
  <c r="E80" i="2"/>
  <c r="D80" i="2"/>
  <c r="C80" i="2"/>
  <c r="B80" i="2"/>
  <c r="M79" i="2"/>
  <c r="L79" i="2"/>
  <c r="K79" i="2"/>
  <c r="J79" i="2"/>
  <c r="I79" i="2"/>
  <c r="H79" i="2"/>
  <c r="G79" i="2"/>
  <c r="F79" i="2"/>
  <c r="E79" i="2"/>
  <c r="D79" i="2"/>
  <c r="C79" i="2"/>
  <c r="B79" i="2"/>
  <c r="M78" i="2"/>
  <c r="L78" i="2"/>
  <c r="K78" i="2"/>
  <c r="J78" i="2"/>
  <c r="I78" i="2"/>
  <c r="H78" i="2"/>
  <c r="G78" i="2"/>
  <c r="F78" i="2"/>
  <c r="E78" i="2"/>
  <c r="D78" i="2"/>
  <c r="C78" i="2"/>
  <c r="B78" i="2"/>
  <c r="M77" i="2"/>
  <c r="L77" i="2"/>
  <c r="K77" i="2"/>
  <c r="J77" i="2"/>
  <c r="I77" i="2"/>
  <c r="H77" i="2"/>
  <c r="G77" i="2"/>
  <c r="F77" i="2"/>
  <c r="E77" i="2"/>
  <c r="D77" i="2"/>
  <c r="C77" i="2"/>
  <c r="B77" i="2"/>
  <c r="M76" i="2"/>
  <c r="L76" i="2"/>
  <c r="K76" i="2"/>
  <c r="J76" i="2"/>
  <c r="I76" i="2"/>
  <c r="H76" i="2"/>
  <c r="G76" i="2"/>
  <c r="F76" i="2"/>
  <c r="E76" i="2"/>
  <c r="D76" i="2"/>
  <c r="C76" i="2"/>
  <c r="B76" i="2"/>
  <c r="M75" i="2"/>
  <c r="L75" i="2"/>
  <c r="K75" i="2"/>
  <c r="J75" i="2"/>
  <c r="I75" i="2"/>
  <c r="H75" i="2"/>
  <c r="G75" i="2"/>
  <c r="F75" i="2"/>
  <c r="E75" i="2"/>
  <c r="D75" i="2"/>
  <c r="C75" i="2"/>
  <c r="B75" i="2"/>
  <c r="M74" i="2"/>
  <c r="L74" i="2"/>
  <c r="K74" i="2"/>
  <c r="J74" i="2"/>
  <c r="I74" i="2"/>
  <c r="H74" i="2"/>
  <c r="G74" i="2"/>
  <c r="F74" i="2"/>
  <c r="E74" i="2"/>
  <c r="D74" i="2"/>
  <c r="C74" i="2"/>
  <c r="B74" i="2"/>
  <c r="M73" i="2"/>
  <c r="L73" i="2"/>
  <c r="K73" i="2"/>
  <c r="J73" i="2"/>
  <c r="I73" i="2"/>
  <c r="H73" i="2"/>
  <c r="G73" i="2"/>
  <c r="F73" i="2"/>
  <c r="E73" i="2"/>
  <c r="D73" i="2"/>
  <c r="C73" i="2"/>
  <c r="B73" i="2"/>
  <c r="M72" i="2"/>
  <c r="L72" i="2"/>
  <c r="K72" i="2"/>
  <c r="J72" i="2"/>
  <c r="I72" i="2"/>
  <c r="H72" i="2"/>
  <c r="G72" i="2"/>
  <c r="F72" i="2"/>
  <c r="E72" i="2"/>
  <c r="D72" i="2"/>
  <c r="C72" i="2"/>
  <c r="B72" i="2"/>
  <c r="M71" i="2"/>
  <c r="L71" i="2"/>
  <c r="K71" i="2"/>
  <c r="J71" i="2"/>
  <c r="I71" i="2"/>
  <c r="H71" i="2"/>
  <c r="G71" i="2"/>
  <c r="F71" i="2"/>
  <c r="E71" i="2"/>
  <c r="D71" i="2"/>
  <c r="C71" i="2"/>
  <c r="B71" i="2"/>
  <c r="M70" i="2"/>
  <c r="L70" i="2"/>
  <c r="K70" i="2"/>
  <c r="J70" i="2"/>
  <c r="I70" i="2"/>
  <c r="H70" i="2"/>
  <c r="G70" i="2"/>
  <c r="F70" i="2"/>
  <c r="E70" i="2"/>
  <c r="D70" i="2"/>
  <c r="C70" i="2"/>
  <c r="B70" i="2"/>
  <c r="M69" i="2"/>
  <c r="L69" i="2"/>
  <c r="K69" i="2"/>
  <c r="J69" i="2"/>
  <c r="I69" i="2"/>
  <c r="H69" i="2"/>
  <c r="G69" i="2"/>
  <c r="F69" i="2"/>
  <c r="E69" i="2"/>
  <c r="D69" i="2"/>
  <c r="C69" i="2"/>
  <c r="B69" i="2"/>
  <c r="M68" i="2"/>
  <c r="L68" i="2"/>
  <c r="K68" i="2"/>
  <c r="J68" i="2"/>
  <c r="I68" i="2"/>
  <c r="H68" i="2"/>
  <c r="G68" i="2"/>
  <c r="F68" i="2"/>
  <c r="E68" i="2"/>
  <c r="D68" i="2"/>
  <c r="C68" i="2"/>
  <c r="B68" i="2"/>
  <c r="M67" i="2"/>
  <c r="L67" i="2"/>
  <c r="K67" i="2"/>
  <c r="J67" i="2"/>
  <c r="I67" i="2"/>
  <c r="H67" i="2"/>
  <c r="G67" i="2"/>
  <c r="F67" i="2"/>
  <c r="E67" i="2"/>
  <c r="D67" i="2"/>
  <c r="C67" i="2"/>
  <c r="B67" i="2"/>
  <c r="M66" i="2"/>
  <c r="L66" i="2"/>
  <c r="K66" i="2"/>
  <c r="J66" i="2"/>
  <c r="I66" i="2"/>
  <c r="H66" i="2"/>
  <c r="G66" i="2"/>
  <c r="F66" i="2"/>
  <c r="E66" i="2"/>
  <c r="D66" i="2"/>
  <c r="C66" i="2"/>
  <c r="B66" i="2"/>
  <c r="M65" i="2"/>
  <c r="L65" i="2"/>
  <c r="K65" i="2"/>
  <c r="J65" i="2"/>
  <c r="I65" i="2"/>
  <c r="H65" i="2"/>
  <c r="G65" i="2"/>
  <c r="F65" i="2"/>
  <c r="E65" i="2"/>
  <c r="D65" i="2"/>
  <c r="C65" i="2"/>
  <c r="B65" i="2"/>
  <c r="M64" i="2"/>
  <c r="L64" i="2"/>
  <c r="K64" i="2"/>
  <c r="J64" i="2"/>
  <c r="I64" i="2"/>
  <c r="H64" i="2"/>
  <c r="G64" i="2"/>
  <c r="F64" i="2"/>
  <c r="E64" i="2"/>
  <c r="D64" i="2"/>
  <c r="C64" i="2"/>
  <c r="B64" i="2"/>
  <c r="M63" i="2"/>
  <c r="L63" i="2"/>
  <c r="K63" i="2"/>
  <c r="J63" i="2"/>
  <c r="I63" i="2"/>
  <c r="H63" i="2"/>
  <c r="G63" i="2"/>
  <c r="F63" i="2"/>
  <c r="E63" i="2"/>
  <c r="D63" i="2"/>
  <c r="C63" i="2"/>
  <c r="B63" i="2"/>
  <c r="M62" i="2"/>
  <c r="L62" i="2"/>
  <c r="K62" i="2"/>
  <c r="J62" i="2"/>
  <c r="I62" i="2"/>
  <c r="H62" i="2"/>
  <c r="G62" i="2"/>
  <c r="F62" i="2"/>
  <c r="E62" i="2"/>
  <c r="D62" i="2"/>
  <c r="C62" i="2"/>
  <c r="B62" i="2"/>
  <c r="M61" i="2"/>
  <c r="L61" i="2"/>
  <c r="K61" i="2"/>
  <c r="J61" i="2"/>
  <c r="I61" i="2"/>
  <c r="H61" i="2"/>
  <c r="G61" i="2"/>
  <c r="F61" i="2"/>
  <c r="E61" i="2"/>
  <c r="D61" i="2"/>
  <c r="C61" i="2"/>
  <c r="B61" i="2"/>
  <c r="M60" i="2"/>
  <c r="L60" i="2"/>
  <c r="K60" i="2"/>
  <c r="J60" i="2"/>
  <c r="I60" i="2"/>
  <c r="H60" i="2"/>
  <c r="G60" i="2"/>
  <c r="F60" i="2"/>
  <c r="E60" i="2"/>
  <c r="D60" i="2"/>
  <c r="C60" i="2"/>
  <c r="B60" i="2"/>
  <c r="M59" i="2"/>
  <c r="L59" i="2"/>
  <c r="K59" i="2"/>
  <c r="J59" i="2"/>
  <c r="I59" i="2"/>
  <c r="H59" i="2"/>
  <c r="G59" i="2"/>
  <c r="F59" i="2"/>
  <c r="E59" i="2"/>
  <c r="D59" i="2"/>
  <c r="C59" i="2"/>
  <c r="B59" i="2"/>
  <c r="P338" i="4"/>
  <c r="O338" i="4"/>
  <c r="P337" i="4"/>
  <c r="O337" i="4"/>
  <c r="P336" i="4"/>
  <c r="O336" i="4"/>
  <c r="P335" i="4"/>
  <c r="O335" i="4"/>
  <c r="P334" i="4"/>
  <c r="O334" i="4"/>
  <c r="P333" i="4"/>
  <c r="O333" i="4"/>
  <c r="P332" i="4"/>
  <c r="O332" i="4"/>
  <c r="P331" i="4"/>
  <c r="O331" i="4"/>
  <c r="P330" i="4"/>
  <c r="O330" i="4"/>
  <c r="P329" i="4"/>
  <c r="O329" i="4"/>
  <c r="P328" i="4"/>
  <c r="O328" i="4"/>
  <c r="P327" i="4"/>
  <c r="O327" i="4"/>
  <c r="P326" i="4"/>
  <c r="O326" i="4"/>
  <c r="P325" i="4"/>
  <c r="O325" i="4"/>
  <c r="P324" i="4"/>
  <c r="O324" i="4"/>
  <c r="P323" i="4"/>
  <c r="O323" i="4"/>
  <c r="P322" i="4"/>
  <c r="O322" i="4"/>
  <c r="P321" i="4"/>
  <c r="O321" i="4"/>
  <c r="P320" i="4"/>
  <c r="O320" i="4"/>
  <c r="P319" i="4"/>
  <c r="O319" i="4"/>
  <c r="P318" i="4"/>
  <c r="O318" i="4"/>
  <c r="P317" i="4"/>
  <c r="O317" i="4"/>
  <c r="P316" i="4"/>
  <c r="O316" i="4"/>
  <c r="P315" i="4"/>
  <c r="O315" i="4"/>
  <c r="P314" i="4"/>
  <c r="O314" i="4"/>
  <c r="P313" i="4"/>
  <c r="O313" i="4"/>
  <c r="P312" i="4"/>
  <c r="O312" i="4"/>
  <c r="P311" i="4"/>
  <c r="O311" i="4"/>
  <c r="P310" i="4"/>
  <c r="O310" i="4"/>
  <c r="P309" i="4"/>
  <c r="O309" i="4"/>
  <c r="P308" i="4"/>
  <c r="O308" i="4"/>
  <c r="P307" i="4"/>
  <c r="O307" i="4"/>
  <c r="P306" i="4"/>
  <c r="O306" i="4"/>
  <c r="P305" i="4"/>
  <c r="O305" i="4"/>
  <c r="P304" i="4"/>
  <c r="O304" i="4"/>
  <c r="P303" i="4"/>
  <c r="O303" i="4"/>
  <c r="P302" i="4"/>
  <c r="O302" i="4"/>
  <c r="P301" i="4"/>
  <c r="O301" i="4"/>
  <c r="P300" i="4"/>
  <c r="O300" i="4"/>
  <c r="P299" i="4"/>
  <c r="O299" i="4"/>
  <c r="P298" i="4"/>
  <c r="O298" i="4"/>
  <c r="P297" i="4"/>
  <c r="O297" i="4"/>
  <c r="P296" i="4"/>
  <c r="O296" i="4"/>
  <c r="P295" i="4"/>
  <c r="O295" i="4"/>
  <c r="P294" i="4"/>
  <c r="O294" i="4"/>
  <c r="P293" i="4"/>
  <c r="O293" i="4"/>
  <c r="P292" i="4"/>
  <c r="O292" i="4"/>
  <c r="P291" i="4"/>
  <c r="O291" i="4"/>
  <c r="P290" i="4"/>
  <c r="O290" i="4"/>
  <c r="P289" i="4"/>
  <c r="O289" i="4"/>
  <c r="P288" i="4"/>
  <c r="O288" i="4"/>
  <c r="P287" i="4"/>
  <c r="O287" i="4"/>
  <c r="P281" i="4"/>
  <c r="O281" i="4"/>
  <c r="P280" i="4"/>
  <c r="O280" i="4"/>
  <c r="P279" i="4"/>
  <c r="O279" i="4"/>
  <c r="P278" i="4"/>
  <c r="O278" i="4"/>
  <c r="P277" i="4"/>
  <c r="O277" i="4"/>
  <c r="P276" i="4"/>
  <c r="O276" i="4"/>
  <c r="P275" i="4"/>
  <c r="O275" i="4"/>
  <c r="P274" i="4"/>
  <c r="O274" i="4"/>
  <c r="P273" i="4"/>
  <c r="O273" i="4"/>
  <c r="P272" i="4"/>
  <c r="O272" i="4"/>
  <c r="P271" i="4"/>
  <c r="O271" i="4"/>
  <c r="P270" i="4"/>
  <c r="O270" i="4"/>
  <c r="P269" i="4"/>
  <c r="O269" i="4"/>
  <c r="P268" i="4"/>
  <c r="O268" i="4"/>
  <c r="P267" i="4"/>
  <c r="O267" i="4"/>
  <c r="P266" i="4"/>
  <c r="O266" i="4"/>
  <c r="P265" i="4"/>
  <c r="O265" i="4"/>
  <c r="P264" i="4"/>
  <c r="O264" i="4"/>
  <c r="P263" i="4"/>
  <c r="O263" i="4"/>
  <c r="P262" i="4"/>
  <c r="O262" i="4"/>
  <c r="P261" i="4"/>
  <c r="O261" i="4"/>
  <c r="P260" i="4"/>
  <c r="O260" i="4"/>
  <c r="P259" i="4"/>
  <c r="O259" i="4"/>
  <c r="P258" i="4"/>
  <c r="O258" i="4"/>
  <c r="P257" i="4"/>
  <c r="O257" i="4"/>
  <c r="P256" i="4"/>
  <c r="O256" i="4"/>
  <c r="P255" i="4"/>
  <c r="O255" i="4"/>
  <c r="P254" i="4"/>
  <c r="O254" i="4"/>
  <c r="P253" i="4"/>
  <c r="O253" i="4"/>
  <c r="P252" i="4"/>
  <c r="O252" i="4"/>
  <c r="P251" i="4"/>
  <c r="O251" i="4"/>
  <c r="P250" i="4"/>
  <c r="O250" i="4"/>
  <c r="P249" i="4"/>
  <c r="O249" i="4"/>
  <c r="P248" i="4"/>
  <c r="O248" i="4"/>
  <c r="P247" i="4"/>
  <c r="O247" i="4"/>
  <c r="P246" i="4"/>
  <c r="O246" i="4"/>
  <c r="P245" i="4"/>
  <c r="O245" i="4"/>
  <c r="P244" i="4"/>
  <c r="O244" i="4"/>
  <c r="P243" i="4"/>
  <c r="O243" i="4"/>
  <c r="P242" i="4"/>
  <c r="O242" i="4"/>
  <c r="P241" i="4"/>
  <c r="O241" i="4"/>
  <c r="P240" i="4"/>
  <c r="O240" i="4"/>
  <c r="P239" i="4"/>
  <c r="O239" i="4"/>
  <c r="P238" i="4"/>
  <c r="O238" i="4"/>
  <c r="P237" i="4"/>
  <c r="O237" i="4"/>
  <c r="P236" i="4"/>
  <c r="O236" i="4"/>
  <c r="P235" i="4"/>
  <c r="O235" i="4"/>
  <c r="P234" i="4"/>
  <c r="O234" i="4"/>
  <c r="P233" i="4"/>
  <c r="O233" i="4"/>
  <c r="P232" i="4"/>
  <c r="O232" i="4"/>
  <c r="P231" i="4"/>
  <c r="O231" i="4"/>
  <c r="P230" i="4"/>
  <c r="O230" i="4"/>
  <c r="P166" i="4"/>
  <c r="O166" i="4"/>
  <c r="P165" i="4"/>
  <c r="O165" i="4"/>
  <c r="P164" i="4"/>
  <c r="O164" i="4"/>
  <c r="P163" i="4"/>
  <c r="O163" i="4"/>
  <c r="P162" i="4"/>
  <c r="O162" i="4"/>
  <c r="P161" i="4"/>
  <c r="O161" i="4"/>
  <c r="P160" i="4"/>
  <c r="O160" i="4"/>
  <c r="P159" i="4"/>
  <c r="O159" i="4"/>
  <c r="P158" i="4"/>
  <c r="O158" i="4"/>
  <c r="P157" i="4"/>
  <c r="O157" i="4"/>
  <c r="P156" i="4"/>
  <c r="O156" i="4"/>
  <c r="P155" i="4"/>
  <c r="O155" i="4"/>
  <c r="P154" i="4"/>
  <c r="O154" i="4"/>
  <c r="P153" i="4"/>
  <c r="O153" i="4"/>
  <c r="P152" i="4"/>
  <c r="O152" i="4"/>
  <c r="P151" i="4"/>
  <c r="O151" i="4"/>
  <c r="P150" i="4"/>
  <c r="O150" i="4"/>
  <c r="P149" i="4"/>
  <c r="O149" i="4"/>
  <c r="P148" i="4"/>
  <c r="O148" i="4"/>
  <c r="P147" i="4"/>
  <c r="O147" i="4"/>
  <c r="P146" i="4"/>
  <c r="O146" i="4"/>
  <c r="P145" i="4"/>
  <c r="O145" i="4"/>
  <c r="P144" i="4"/>
  <c r="O144" i="4"/>
  <c r="P143" i="4"/>
  <c r="O143" i="4"/>
  <c r="P142" i="4"/>
  <c r="O142" i="4"/>
  <c r="P141" i="4"/>
  <c r="O141" i="4"/>
  <c r="P140" i="4"/>
  <c r="O140" i="4"/>
  <c r="P139" i="4"/>
  <c r="O139" i="4"/>
  <c r="P138" i="4"/>
  <c r="O138" i="4"/>
  <c r="P137" i="4"/>
  <c r="O137" i="4"/>
  <c r="P136" i="4"/>
  <c r="O136" i="4"/>
  <c r="P135" i="4"/>
  <c r="O135" i="4"/>
  <c r="P134" i="4"/>
  <c r="O134" i="4"/>
  <c r="P133" i="4"/>
  <c r="O133" i="4"/>
  <c r="P132" i="4"/>
  <c r="O132" i="4"/>
  <c r="P131" i="4"/>
  <c r="O131" i="4"/>
  <c r="P130" i="4"/>
  <c r="O130" i="4"/>
  <c r="P129" i="4"/>
  <c r="O129" i="4"/>
  <c r="P128" i="4"/>
  <c r="O128" i="4"/>
  <c r="P127" i="4"/>
  <c r="O127" i="4"/>
  <c r="P126" i="4"/>
  <c r="O126" i="4"/>
  <c r="P125" i="4"/>
  <c r="O125" i="4"/>
  <c r="P124" i="4"/>
  <c r="O124" i="4"/>
  <c r="P123" i="4"/>
  <c r="O123" i="4"/>
  <c r="P122" i="4"/>
  <c r="O122" i="4"/>
  <c r="P121" i="4"/>
  <c r="O121" i="4"/>
  <c r="P120" i="4"/>
  <c r="O120" i="4"/>
  <c r="P119" i="4"/>
  <c r="O119" i="4"/>
  <c r="P118" i="4"/>
  <c r="O118" i="4"/>
  <c r="P117" i="4"/>
  <c r="O117" i="4"/>
  <c r="P116" i="4"/>
  <c r="O116" i="4"/>
  <c r="P111" i="4"/>
  <c r="P110" i="4"/>
  <c r="P109" i="4"/>
  <c r="P108" i="4"/>
  <c r="P107" i="4"/>
  <c r="P106" i="4"/>
  <c r="P105" i="4"/>
  <c r="P104" i="4"/>
  <c r="O104" i="4"/>
  <c r="P103" i="4"/>
  <c r="O103" i="4"/>
  <c r="P102" i="4"/>
  <c r="O102" i="4"/>
  <c r="P101" i="4"/>
  <c r="O101" i="4"/>
  <c r="P100" i="4"/>
  <c r="O100" i="4"/>
  <c r="P99" i="4"/>
  <c r="O99" i="4"/>
  <c r="P98" i="4"/>
  <c r="O98" i="4"/>
  <c r="P97" i="4"/>
  <c r="O97" i="4"/>
  <c r="P96" i="4"/>
  <c r="O96" i="4"/>
  <c r="P95" i="4"/>
  <c r="O95" i="4"/>
  <c r="P94" i="4"/>
  <c r="O94" i="4"/>
  <c r="P93" i="4"/>
  <c r="O93" i="4"/>
  <c r="P92" i="4"/>
  <c r="O92" i="4"/>
  <c r="P91" i="4"/>
  <c r="O91" i="4"/>
  <c r="P90" i="4"/>
  <c r="O90" i="4"/>
  <c r="P89" i="4"/>
  <c r="O89" i="4"/>
  <c r="P88" i="4"/>
  <c r="O88" i="4"/>
  <c r="P87" i="4"/>
  <c r="O87" i="4"/>
  <c r="P86" i="4"/>
  <c r="O86" i="4"/>
  <c r="P85" i="4"/>
  <c r="O85" i="4"/>
  <c r="P84" i="4"/>
  <c r="O84" i="4"/>
  <c r="P83" i="4"/>
  <c r="O83" i="4"/>
  <c r="P82" i="4"/>
  <c r="O82" i="4"/>
  <c r="P81" i="4"/>
  <c r="O81" i="4"/>
  <c r="P80" i="4"/>
  <c r="O80" i="4"/>
  <c r="P79" i="4"/>
  <c r="O79" i="4"/>
  <c r="P78" i="4"/>
  <c r="O78" i="4"/>
  <c r="P77" i="4"/>
  <c r="O77" i="4"/>
  <c r="P76" i="4"/>
  <c r="O76" i="4"/>
  <c r="P75" i="4"/>
  <c r="O75" i="4"/>
  <c r="P74" i="4"/>
  <c r="O74" i="4"/>
  <c r="P73" i="4"/>
  <c r="O73" i="4"/>
  <c r="P72" i="4"/>
  <c r="O72" i="4"/>
  <c r="P71" i="4"/>
  <c r="O71" i="4"/>
  <c r="P70" i="4"/>
  <c r="O70" i="4"/>
  <c r="P69" i="4"/>
  <c r="O69" i="4"/>
  <c r="P68" i="4"/>
  <c r="O68" i="4"/>
  <c r="P67" i="4"/>
  <c r="O67" i="4"/>
  <c r="P66" i="4"/>
  <c r="O66" i="4"/>
  <c r="P65" i="4"/>
  <c r="O65" i="4"/>
  <c r="P64" i="4"/>
  <c r="O64" i="4"/>
  <c r="P63" i="4"/>
  <c r="O63" i="4"/>
  <c r="P62" i="4"/>
  <c r="O62" i="4"/>
  <c r="P61" i="4"/>
  <c r="O61" i="4"/>
  <c r="P60" i="4"/>
  <c r="O60" i="4"/>
  <c r="P167" i="4"/>
  <c r="O1224" i="3"/>
  <c r="O1223" i="3"/>
  <c r="O1222" i="3"/>
  <c r="O1221" i="3"/>
  <c r="O1220" i="3"/>
  <c r="O1219" i="3"/>
  <c r="O1218" i="3"/>
  <c r="O1217" i="3"/>
  <c r="O1216" i="3"/>
  <c r="O1215" i="3"/>
  <c r="O1214" i="3"/>
  <c r="O1213" i="3"/>
  <c r="O1212" i="3"/>
  <c r="O1211" i="3"/>
  <c r="O1210" i="3"/>
  <c r="O1209" i="3"/>
  <c r="O1208" i="3"/>
  <c r="O1207" i="3"/>
  <c r="O1206" i="3"/>
  <c r="O1205" i="3"/>
  <c r="O1204" i="3"/>
  <c r="O1203" i="3"/>
  <c r="O1202" i="3"/>
  <c r="O1201" i="3"/>
  <c r="O1200" i="3"/>
  <c r="O1199" i="3"/>
  <c r="O1198" i="3"/>
  <c r="O1197" i="3"/>
  <c r="O1196" i="3"/>
  <c r="O1195" i="3"/>
  <c r="O1194" i="3"/>
  <c r="O1193" i="3"/>
  <c r="O1192" i="3"/>
  <c r="O1191" i="3"/>
  <c r="O1190" i="3"/>
  <c r="O1189" i="3"/>
  <c r="O1188" i="3"/>
  <c r="O1187" i="3"/>
  <c r="O1186" i="3"/>
  <c r="O1185" i="3"/>
  <c r="O1184" i="3"/>
  <c r="O1183" i="3"/>
  <c r="O1182" i="3"/>
  <c r="O1181" i="3"/>
  <c r="O1180" i="3"/>
  <c r="O1179" i="3"/>
  <c r="O1178" i="3"/>
  <c r="O1177" i="3"/>
  <c r="O1176" i="3"/>
  <c r="O1175" i="3"/>
  <c r="O1174" i="3"/>
  <c r="L1167" i="3"/>
  <c r="O1165" i="3"/>
  <c r="O1164" i="3"/>
  <c r="O1163" i="3"/>
  <c r="O1162" i="3"/>
  <c r="O1161" i="3"/>
  <c r="O1160" i="3"/>
  <c r="O1159" i="3"/>
  <c r="O1158" i="3"/>
  <c r="O1157" i="3"/>
  <c r="O1156" i="3"/>
  <c r="O1155" i="3"/>
  <c r="O1154" i="3"/>
  <c r="O1153" i="3"/>
  <c r="O1152" i="3"/>
  <c r="O1151" i="3"/>
  <c r="O1150" i="3"/>
  <c r="O1149" i="3"/>
  <c r="O1148" i="3"/>
  <c r="O1147" i="3"/>
  <c r="O1146" i="3"/>
  <c r="O1145" i="3"/>
  <c r="O1144" i="3"/>
  <c r="O1143" i="3"/>
  <c r="O1142" i="3"/>
  <c r="O1141" i="3"/>
  <c r="O1140" i="3"/>
  <c r="O1139" i="3"/>
  <c r="O1138" i="3"/>
  <c r="O1137" i="3"/>
  <c r="O1136" i="3"/>
  <c r="O1135" i="3"/>
  <c r="O1134" i="3"/>
  <c r="O1133" i="3"/>
  <c r="O1132" i="3"/>
  <c r="O1131" i="3"/>
  <c r="O1130" i="3"/>
  <c r="O1129" i="3"/>
  <c r="O1128" i="3"/>
  <c r="O1127" i="3"/>
  <c r="O1126" i="3"/>
  <c r="O1125" i="3"/>
  <c r="O1124" i="3"/>
  <c r="O1123" i="3"/>
  <c r="O1122" i="3"/>
  <c r="O1121" i="3"/>
  <c r="O1120" i="3"/>
  <c r="O1119" i="3"/>
  <c r="O1118" i="3"/>
  <c r="O1117" i="3"/>
  <c r="O1116" i="3"/>
  <c r="O1115" i="3"/>
  <c r="O1047" i="3"/>
  <c r="O1046" i="3"/>
  <c r="O1045" i="3"/>
  <c r="O1044" i="3"/>
  <c r="O1043" i="3"/>
  <c r="O1042" i="3"/>
  <c r="O1041" i="3"/>
  <c r="O1040" i="3"/>
  <c r="O1039" i="3"/>
  <c r="O1038" i="3"/>
  <c r="O1037" i="3"/>
  <c r="O1036" i="3"/>
  <c r="O1035" i="3"/>
  <c r="O1034" i="3"/>
  <c r="O1033" i="3"/>
  <c r="O1032" i="3"/>
  <c r="O1031" i="3"/>
  <c r="O1030" i="3"/>
  <c r="O1029" i="3"/>
  <c r="O1028" i="3"/>
  <c r="O1027" i="3"/>
  <c r="O1026" i="3"/>
  <c r="O1025" i="3"/>
  <c r="O1024" i="3"/>
  <c r="O1023" i="3"/>
  <c r="O1022" i="3"/>
  <c r="O1021" i="3"/>
  <c r="O1020" i="3"/>
  <c r="O1019" i="3"/>
  <c r="O1018" i="3"/>
  <c r="O1017" i="3"/>
  <c r="O1016" i="3"/>
  <c r="O1015" i="3"/>
  <c r="O1014" i="3"/>
  <c r="O1013" i="3"/>
  <c r="O1012" i="3"/>
  <c r="O1011" i="3"/>
  <c r="O1010" i="3"/>
  <c r="O1009" i="3"/>
  <c r="O1008" i="3"/>
  <c r="O1007" i="3"/>
  <c r="O1006" i="3"/>
  <c r="O1005" i="3"/>
  <c r="O1004" i="3"/>
  <c r="O1003" i="3"/>
  <c r="O1002" i="3"/>
  <c r="O1001" i="3"/>
  <c r="O1000" i="3"/>
  <c r="O999" i="3"/>
  <c r="O998" i="3"/>
  <c r="O997" i="3"/>
  <c r="O988" i="3"/>
  <c r="O987" i="3"/>
  <c r="O986" i="3"/>
  <c r="O985" i="3"/>
  <c r="O984" i="3"/>
  <c r="O983" i="3"/>
  <c r="O982" i="3"/>
  <c r="O981" i="3"/>
  <c r="O980" i="3"/>
  <c r="O979" i="3"/>
  <c r="O978" i="3"/>
  <c r="O977" i="3"/>
  <c r="O976" i="3"/>
  <c r="O975" i="3"/>
  <c r="O974" i="3"/>
  <c r="O973" i="3"/>
  <c r="O972" i="3"/>
  <c r="O971" i="3"/>
  <c r="O970" i="3"/>
  <c r="O969" i="3"/>
  <c r="O968" i="3"/>
  <c r="O967" i="3"/>
  <c r="O966" i="3"/>
  <c r="O965" i="3"/>
  <c r="O964" i="3"/>
  <c r="O963" i="3"/>
  <c r="O962" i="3"/>
  <c r="O961" i="3"/>
  <c r="O960" i="3"/>
  <c r="O959" i="3"/>
  <c r="O958" i="3"/>
  <c r="O957" i="3"/>
  <c r="O956" i="3"/>
  <c r="O955" i="3"/>
  <c r="O954" i="3"/>
  <c r="O953" i="3"/>
  <c r="O952" i="3"/>
  <c r="O951" i="3"/>
  <c r="O950" i="3"/>
  <c r="O949" i="3"/>
  <c r="O948" i="3"/>
  <c r="O947" i="3"/>
  <c r="O946" i="3"/>
  <c r="O945" i="3"/>
  <c r="O944" i="3"/>
  <c r="O943" i="3"/>
  <c r="O942" i="3"/>
  <c r="O941" i="3"/>
  <c r="O940" i="3"/>
  <c r="O939" i="3"/>
  <c r="O938" i="3"/>
  <c r="O1048" i="3"/>
  <c r="P871" i="3"/>
  <c r="O871" i="3"/>
  <c r="P870" i="3"/>
  <c r="O870" i="3"/>
  <c r="P869" i="3"/>
  <c r="O869" i="3"/>
  <c r="P868" i="3"/>
  <c r="O868" i="3"/>
  <c r="P867" i="3"/>
  <c r="O867" i="3"/>
  <c r="P866" i="3"/>
  <c r="O866" i="3"/>
  <c r="P865" i="3"/>
  <c r="O865" i="3"/>
  <c r="P864" i="3"/>
  <c r="O864" i="3"/>
  <c r="P863" i="3"/>
  <c r="O863" i="3"/>
  <c r="P862" i="3"/>
  <c r="O862" i="3"/>
  <c r="P861" i="3"/>
  <c r="O861" i="3"/>
  <c r="P860" i="3"/>
  <c r="O860" i="3"/>
  <c r="P859" i="3"/>
  <c r="O859" i="3"/>
  <c r="P858" i="3"/>
  <c r="O858" i="3"/>
  <c r="P857" i="3"/>
  <c r="O857" i="3"/>
  <c r="P856" i="3"/>
  <c r="O856" i="3"/>
  <c r="P855" i="3"/>
  <c r="O855" i="3"/>
  <c r="P854" i="3"/>
  <c r="O854" i="3"/>
  <c r="P853" i="3"/>
  <c r="O853" i="3"/>
  <c r="P852" i="3"/>
  <c r="O852" i="3"/>
  <c r="P851" i="3"/>
  <c r="O851" i="3"/>
  <c r="P850" i="3"/>
  <c r="O850" i="3"/>
  <c r="P849" i="3"/>
  <c r="O849" i="3"/>
  <c r="P848" i="3"/>
  <c r="O848" i="3"/>
  <c r="P847" i="3"/>
  <c r="O847" i="3"/>
  <c r="P846" i="3"/>
  <c r="O846" i="3"/>
  <c r="P845" i="3"/>
  <c r="O845" i="3"/>
  <c r="P844" i="3"/>
  <c r="O844" i="3"/>
  <c r="P843" i="3"/>
  <c r="O843" i="3"/>
  <c r="P842" i="3"/>
  <c r="O842" i="3"/>
  <c r="P841" i="3"/>
  <c r="O841" i="3"/>
  <c r="P840" i="3"/>
  <c r="O840" i="3"/>
  <c r="P839" i="3"/>
  <c r="O839" i="3"/>
  <c r="P838" i="3"/>
  <c r="O838" i="3"/>
  <c r="P837" i="3"/>
  <c r="O837" i="3"/>
  <c r="P836" i="3"/>
  <c r="O836" i="3"/>
  <c r="P835" i="3"/>
  <c r="O835" i="3"/>
  <c r="P834" i="3"/>
  <c r="O834" i="3"/>
  <c r="P833" i="3"/>
  <c r="O833" i="3"/>
  <c r="P832" i="3"/>
  <c r="O832" i="3"/>
  <c r="P831" i="3"/>
  <c r="O831" i="3"/>
  <c r="P830" i="3"/>
  <c r="O830" i="3"/>
  <c r="P829" i="3"/>
  <c r="O829" i="3"/>
  <c r="P828" i="3"/>
  <c r="O828" i="3"/>
  <c r="P827" i="3"/>
  <c r="O827" i="3"/>
  <c r="P826" i="3"/>
  <c r="O826" i="3"/>
  <c r="P825" i="3"/>
  <c r="O825" i="3"/>
  <c r="P824" i="3"/>
  <c r="O824" i="3"/>
  <c r="P823" i="3"/>
  <c r="O823" i="3"/>
  <c r="P822" i="3"/>
  <c r="O822" i="3"/>
  <c r="P821" i="3"/>
  <c r="O821" i="3"/>
  <c r="P820" i="3"/>
  <c r="O820" i="3"/>
  <c r="P812" i="3"/>
  <c r="O812" i="3"/>
  <c r="P811" i="3"/>
  <c r="O811" i="3"/>
  <c r="P810" i="3"/>
  <c r="O810" i="3"/>
  <c r="P809" i="3"/>
  <c r="O809" i="3"/>
  <c r="P808" i="3"/>
  <c r="O808" i="3"/>
  <c r="P807" i="3"/>
  <c r="O807" i="3"/>
  <c r="P806" i="3"/>
  <c r="O806" i="3"/>
  <c r="P805" i="3"/>
  <c r="O805" i="3"/>
  <c r="P804" i="3"/>
  <c r="O804" i="3"/>
  <c r="P803" i="3"/>
  <c r="O803" i="3"/>
  <c r="P802" i="3"/>
  <c r="O802" i="3"/>
  <c r="P801" i="3"/>
  <c r="O801" i="3"/>
  <c r="P800" i="3"/>
  <c r="O800" i="3"/>
  <c r="P799" i="3"/>
  <c r="O799" i="3"/>
  <c r="P798" i="3"/>
  <c r="O798" i="3"/>
  <c r="P797" i="3"/>
  <c r="O797" i="3"/>
  <c r="P796" i="3"/>
  <c r="O796" i="3"/>
  <c r="P795" i="3"/>
  <c r="O795" i="3"/>
  <c r="P794" i="3"/>
  <c r="O794" i="3"/>
  <c r="P793" i="3"/>
  <c r="O793" i="3"/>
  <c r="P792" i="3"/>
  <c r="O792" i="3"/>
  <c r="P791" i="3"/>
  <c r="O791" i="3"/>
  <c r="P790" i="3"/>
  <c r="O790" i="3"/>
  <c r="P789" i="3"/>
  <c r="O789" i="3"/>
  <c r="P788" i="3"/>
  <c r="O788" i="3"/>
  <c r="P787" i="3"/>
  <c r="O787" i="3"/>
  <c r="P786" i="3"/>
  <c r="O786" i="3"/>
  <c r="P785" i="3"/>
  <c r="O785" i="3"/>
  <c r="P784" i="3"/>
  <c r="O784" i="3"/>
  <c r="P783" i="3"/>
  <c r="O783" i="3"/>
  <c r="P782" i="3"/>
  <c r="O782" i="3"/>
  <c r="P781" i="3"/>
  <c r="O781" i="3"/>
  <c r="P780" i="3"/>
  <c r="O780" i="3"/>
  <c r="P779" i="3"/>
  <c r="O779" i="3"/>
  <c r="P778" i="3"/>
  <c r="O778" i="3"/>
  <c r="P777" i="3"/>
  <c r="O777" i="3"/>
  <c r="P776" i="3"/>
  <c r="O776" i="3"/>
  <c r="P775" i="3"/>
  <c r="O775" i="3"/>
  <c r="P774" i="3"/>
  <c r="O774" i="3"/>
  <c r="P773" i="3"/>
  <c r="O773" i="3"/>
  <c r="P772" i="3"/>
  <c r="O772" i="3"/>
  <c r="P771" i="3"/>
  <c r="O771" i="3"/>
  <c r="P770" i="3"/>
  <c r="O770" i="3"/>
  <c r="P769" i="3"/>
  <c r="O769" i="3"/>
  <c r="P768" i="3"/>
  <c r="O768" i="3"/>
  <c r="P767" i="3"/>
  <c r="O767" i="3"/>
  <c r="P766" i="3"/>
  <c r="O766" i="3"/>
  <c r="P765" i="3"/>
  <c r="O765" i="3"/>
  <c r="P764" i="3"/>
  <c r="O764" i="3"/>
  <c r="P763" i="3"/>
  <c r="O763" i="3"/>
  <c r="P762" i="3"/>
  <c r="O762" i="3"/>
  <c r="P761" i="3"/>
  <c r="O761" i="3"/>
  <c r="O696" i="3"/>
  <c r="P694" i="3"/>
  <c r="O694" i="3"/>
  <c r="P693" i="3"/>
  <c r="O693" i="3"/>
  <c r="P692" i="3"/>
  <c r="O692" i="3"/>
  <c r="P691" i="3"/>
  <c r="O691" i="3"/>
  <c r="P690" i="3"/>
  <c r="O690" i="3"/>
  <c r="P689" i="3"/>
  <c r="O689" i="3"/>
  <c r="P688" i="3"/>
  <c r="O688" i="3"/>
  <c r="P687" i="3"/>
  <c r="O687" i="3"/>
  <c r="P686" i="3"/>
  <c r="O686" i="3"/>
  <c r="P685" i="3"/>
  <c r="O685" i="3"/>
  <c r="P684" i="3"/>
  <c r="O684" i="3"/>
  <c r="P683" i="3"/>
  <c r="O683" i="3"/>
  <c r="P682" i="3"/>
  <c r="O682" i="3"/>
  <c r="P681" i="3"/>
  <c r="O681" i="3"/>
  <c r="P680" i="3"/>
  <c r="O680" i="3"/>
  <c r="P679" i="3"/>
  <c r="O679" i="3"/>
  <c r="P678" i="3"/>
  <c r="O678" i="3"/>
  <c r="P677" i="3"/>
  <c r="O677" i="3"/>
  <c r="P676" i="3"/>
  <c r="O676" i="3"/>
  <c r="P675" i="3"/>
  <c r="O675" i="3"/>
  <c r="P674" i="3"/>
  <c r="O674" i="3"/>
  <c r="P673" i="3"/>
  <c r="O673" i="3"/>
  <c r="P672" i="3"/>
  <c r="O672" i="3"/>
  <c r="P671" i="3"/>
  <c r="O671" i="3"/>
  <c r="P670" i="3"/>
  <c r="O670" i="3"/>
  <c r="P669" i="3"/>
  <c r="O669" i="3"/>
  <c r="P668" i="3"/>
  <c r="O668" i="3"/>
  <c r="P667" i="3"/>
  <c r="O667" i="3"/>
  <c r="P666" i="3"/>
  <c r="O666" i="3"/>
  <c r="P665" i="3"/>
  <c r="O665" i="3"/>
  <c r="P664" i="3"/>
  <c r="O664" i="3"/>
  <c r="P663" i="3"/>
  <c r="O663" i="3"/>
  <c r="P662" i="3"/>
  <c r="O662" i="3"/>
  <c r="P661" i="3"/>
  <c r="O661" i="3"/>
  <c r="P660" i="3"/>
  <c r="O660" i="3"/>
  <c r="P659" i="3"/>
  <c r="O659" i="3"/>
  <c r="P658" i="3"/>
  <c r="O658" i="3"/>
  <c r="P657" i="3"/>
  <c r="O657" i="3"/>
  <c r="P656" i="3"/>
  <c r="O656" i="3"/>
  <c r="P655" i="3"/>
  <c r="O655" i="3"/>
  <c r="P654" i="3"/>
  <c r="O654" i="3"/>
  <c r="P653" i="3"/>
  <c r="O653" i="3"/>
  <c r="P652" i="3"/>
  <c r="O652" i="3"/>
  <c r="P651" i="3"/>
  <c r="O651" i="3"/>
  <c r="P650" i="3"/>
  <c r="O650" i="3"/>
  <c r="P649" i="3"/>
  <c r="O649" i="3"/>
  <c r="P648" i="3"/>
  <c r="O648" i="3"/>
  <c r="P647" i="3"/>
  <c r="O647" i="3"/>
  <c r="P646" i="3"/>
  <c r="O646" i="3"/>
  <c r="P645" i="3"/>
  <c r="O645" i="3"/>
  <c r="P644" i="3"/>
  <c r="O644" i="3"/>
  <c r="O638" i="3"/>
  <c r="P637" i="3"/>
  <c r="P636" i="3"/>
  <c r="O636" i="3"/>
  <c r="P635" i="3"/>
  <c r="O635" i="3"/>
  <c r="P634" i="3"/>
  <c r="O634" i="3"/>
  <c r="P633" i="3"/>
  <c r="O633" i="3"/>
  <c r="P632" i="3"/>
  <c r="O632" i="3"/>
  <c r="P631" i="3"/>
  <c r="O631" i="3"/>
  <c r="P630" i="3"/>
  <c r="O630" i="3"/>
  <c r="P629" i="3"/>
  <c r="O629" i="3"/>
  <c r="P628" i="3"/>
  <c r="O628" i="3"/>
  <c r="P627" i="3"/>
  <c r="O627" i="3"/>
  <c r="P626" i="3"/>
  <c r="O626" i="3"/>
  <c r="P625" i="3"/>
  <c r="O625" i="3"/>
  <c r="P624" i="3"/>
  <c r="O624" i="3"/>
  <c r="P623" i="3"/>
  <c r="O623" i="3"/>
  <c r="P622" i="3"/>
  <c r="O622" i="3"/>
  <c r="P621" i="3"/>
  <c r="O621" i="3"/>
  <c r="P620" i="3"/>
  <c r="O620" i="3"/>
  <c r="P619" i="3"/>
  <c r="O619" i="3"/>
  <c r="P618" i="3"/>
  <c r="O618" i="3"/>
  <c r="P617" i="3"/>
  <c r="O617" i="3"/>
  <c r="P616" i="3"/>
  <c r="O616" i="3"/>
  <c r="P615" i="3"/>
  <c r="O615" i="3"/>
  <c r="P614" i="3"/>
  <c r="O614" i="3"/>
  <c r="P613" i="3"/>
  <c r="O613" i="3"/>
  <c r="P612" i="3"/>
  <c r="O612" i="3"/>
  <c r="P611" i="3"/>
  <c r="O611" i="3"/>
  <c r="P610" i="3"/>
  <c r="O610" i="3"/>
  <c r="P609" i="3"/>
  <c r="O609" i="3"/>
  <c r="P608" i="3"/>
  <c r="O608" i="3"/>
  <c r="P607" i="3"/>
  <c r="O607" i="3"/>
  <c r="P606" i="3"/>
  <c r="O606" i="3"/>
  <c r="P605" i="3"/>
  <c r="O605" i="3"/>
  <c r="P604" i="3"/>
  <c r="O604" i="3"/>
  <c r="P603" i="3"/>
  <c r="O603" i="3"/>
  <c r="P602" i="3"/>
  <c r="O602" i="3"/>
  <c r="P601" i="3"/>
  <c r="O601" i="3"/>
  <c r="P600" i="3"/>
  <c r="O600" i="3"/>
  <c r="P599" i="3"/>
  <c r="O599" i="3"/>
  <c r="P598" i="3"/>
  <c r="O598" i="3"/>
  <c r="P597" i="3"/>
  <c r="O597" i="3"/>
  <c r="P596" i="3"/>
  <c r="O596" i="3"/>
  <c r="P595" i="3"/>
  <c r="O595" i="3"/>
  <c r="P594" i="3"/>
  <c r="O594" i="3"/>
  <c r="P593" i="3"/>
  <c r="O593" i="3"/>
  <c r="P592" i="3"/>
  <c r="O592" i="3"/>
  <c r="P591" i="3"/>
  <c r="O591" i="3"/>
  <c r="P590" i="3"/>
  <c r="O590" i="3"/>
  <c r="P589" i="3"/>
  <c r="O589" i="3"/>
  <c r="P588" i="3"/>
  <c r="O588" i="3"/>
  <c r="P587" i="3"/>
  <c r="O587" i="3"/>
  <c r="P586" i="3"/>
  <c r="O586" i="3"/>
  <c r="P695" i="3"/>
  <c r="P522" i="3"/>
  <c r="O522" i="3"/>
  <c r="P521" i="3"/>
  <c r="O521" i="3"/>
  <c r="P520" i="3"/>
  <c r="O520" i="3"/>
  <c r="P519" i="3"/>
  <c r="O519" i="3"/>
  <c r="P518" i="3"/>
  <c r="O518" i="3"/>
  <c r="P517" i="3"/>
  <c r="O517" i="3"/>
  <c r="P516" i="3"/>
  <c r="O516" i="3"/>
  <c r="P515" i="3"/>
  <c r="O515" i="3"/>
  <c r="P514" i="3"/>
  <c r="O514" i="3"/>
  <c r="P513" i="3"/>
  <c r="O513" i="3"/>
  <c r="P512" i="3"/>
  <c r="O512" i="3"/>
  <c r="P511" i="3"/>
  <c r="O511" i="3"/>
  <c r="P510" i="3"/>
  <c r="O510" i="3"/>
  <c r="P509" i="3"/>
  <c r="O509" i="3"/>
  <c r="P508" i="3"/>
  <c r="O508" i="3"/>
  <c r="P507" i="3"/>
  <c r="O507" i="3"/>
  <c r="P506" i="3"/>
  <c r="O506" i="3"/>
  <c r="P505" i="3"/>
  <c r="O505" i="3"/>
  <c r="P504" i="3"/>
  <c r="O504" i="3"/>
  <c r="P503" i="3"/>
  <c r="O503" i="3"/>
  <c r="P502" i="3"/>
  <c r="O502" i="3"/>
  <c r="P501" i="3"/>
  <c r="O501" i="3"/>
  <c r="P500" i="3"/>
  <c r="O500" i="3"/>
  <c r="P499" i="3"/>
  <c r="O499" i="3"/>
  <c r="P498" i="3"/>
  <c r="O498" i="3"/>
  <c r="P497" i="3"/>
  <c r="O497" i="3"/>
  <c r="P496" i="3"/>
  <c r="O496" i="3"/>
  <c r="P495" i="3"/>
  <c r="O495" i="3"/>
  <c r="P494" i="3"/>
  <c r="O494" i="3"/>
  <c r="P493" i="3"/>
  <c r="O493" i="3"/>
  <c r="P492" i="3"/>
  <c r="O492" i="3"/>
  <c r="P491" i="3"/>
  <c r="O491" i="3"/>
  <c r="P490" i="3"/>
  <c r="O490" i="3"/>
  <c r="P489" i="3"/>
  <c r="O489" i="3"/>
  <c r="P488" i="3"/>
  <c r="O488" i="3"/>
  <c r="P487" i="3"/>
  <c r="O487" i="3"/>
  <c r="P486" i="3"/>
  <c r="O486" i="3"/>
  <c r="P485" i="3"/>
  <c r="O485" i="3"/>
  <c r="P484" i="3"/>
  <c r="O484" i="3"/>
  <c r="P483" i="3"/>
  <c r="O483" i="3"/>
  <c r="P482" i="3"/>
  <c r="O482" i="3"/>
  <c r="P481" i="3"/>
  <c r="O481" i="3"/>
  <c r="P480" i="3"/>
  <c r="O480" i="3"/>
  <c r="P479" i="3"/>
  <c r="O479" i="3"/>
  <c r="P478" i="3"/>
  <c r="O478" i="3"/>
  <c r="P477" i="3"/>
  <c r="O477" i="3"/>
  <c r="P476" i="3"/>
  <c r="O476" i="3"/>
  <c r="P475" i="3"/>
  <c r="O475" i="3"/>
  <c r="P474" i="3"/>
  <c r="O474" i="3"/>
  <c r="P473" i="3"/>
  <c r="O473" i="3"/>
  <c r="P472" i="3"/>
  <c r="O472" i="3"/>
  <c r="P471" i="3"/>
  <c r="O471" i="3"/>
  <c r="P470" i="3"/>
  <c r="O470" i="3"/>
  <c r="P464" i="3"/>
  <c r="O464" i="3"/>
  <c r="P463" i="3"/>
  <c r="O463" i="3"/>
  <c r="P462" i="3"/>
  <c r="O462" i="3"/>
  <c r="P461" i="3"/>
  <c r="O461" i="3"/>
  <c r="P460" i="3"/>
  <c r="O460" i="3"/>
  <c r="P459" i="3"/>
  <c r="O459" i="3"/>
  <c r="P458" i="3"/>
  <c r="O458" i="3"/>
  <c r="P457" i="3"/>
  <c r="O457" i="3"/>
  <c r="P456" i="3"/>
  <c r="O456" i="3"/>
  <c r="P455" i="3"/>
  <c r="O455" i="3"/>
  <c r="P454" i="3"/>
  <c r="O454" i="3"/>
  <c r="P453" i="3"/>
  <c r="O453" i="3"/>
  <c r="P452" i="3"/>
  <c r="O452" i="3"/>
  <c r="P451" i="3"/>
  <c r="O451" i="3"/>
  <c r="P450" i="3"/>
  <c r="O450" i="3"/>
  <c r="P449" i="3"/>
  <c r="O449" i="3"/>
  <c r="P448" i="3"/>
  <c r="O448" i="3"/>
  <c r="P447" i="3"/>
  <c r="O447" i="3"/>
  <c r="P446" i="3"/>
  <c r="O446" i="3"/>
  <c r="P445" i="3"/>
  <c r="O445" i="3"/>
  <c r="P444" i="3"/>
  <c r="O444" i="3"/>
  <c r="P443" i="3"/>
  <c r="O443" i="3"/>
  <c r="P442" i="3"/>
  <c r="O442" i="3"/>
  <c r="P441" i="3"/>
  <c r="O441" i="3"/>
  <c r="P440" i="3"/>
  <c r="O440" i="3"/>
  <c r="P439" i="3"/>
  <c r="O439" i="3"/>
  <c r="P438" i="3"/>
  <c r="O438" i="3"/>
  <c r="P437" i="3"/>
  <c r="O437" i="3"/>
  <c r="P436" i="3"/>
  <c r="O436" i="3"/>
  <c r="P435" i="3"/>
  <c r="O435" i="3"/>
  <c r="P434" i="3"/>
  <c r="O434" i="3"/>
  <c r="P433" i="3"/>
  <c r="O433" i="3"/>
  <c r="P432" i="3"/>
  <c r="O432" i="3"/>
  <c r="P431" i="3"/>
  <c r="O431" i="3"/>
  <c r="P430" i="3"/>
  <c r="O430" i="3"/>
  <c r="P429" i="3"/>
  <c r="O429" i="3"/>
  <c r="P428" i="3"/>
  <c r="O428" i="3"/>
  <c r="P427" i="3"/>
  <c r="O427" i="3"/>
  <c r="P426" i="3"/>
  <c r="O426" i="3"/>
  <c r="P425" i="3"/>
  <c r="O425" i="3"/>
  <c r="P424" i="3"/>
  <c r="O424" i="3"/>
  <c r="P423" i="3"/>
  <c r="O423" i="3"/>
  <c r="P422" i="3"/>
  <c r="O422" i="3"/>
  <c r="P421" i="3"/>
  <c r="O421" i="3"/>
  <c r="P420" i="3"/>
  <c r="O420" i="3"/>
  <c r="P419" i="3"/>
  <c r="O419" i="3"/>
  <c r="P418" i="3"/>
  <c r="O418" i="3"/>
  <c r="P417" i="3"/>
  <c r="O417" i="3"/>
  <c r="P416" i="3"/>
  <c r="O416" i="3"/>
  <c r="P415" i="3"/>
  <c r="O415" i="3"/>
  <c r="P414" i="3"/>
  <c r="O414" i="3"/>
  <c r="P413" i="3"/>
  <c r="O413" i="3"/>
  <c r="P412" i="3"/>
  <c r="O412" i="3"/>
  <c r="P347" i="3"/>
  <c r="O347" i="3"/>
  <c r="P346" i="3"/>
  <c r="O346" i="3"/>
  <c r="P345" i="3"/>
  <c r="O345" i="3"/>
  <c r="P344" i="3"/>
  <c r="O344" i="3"/>
  <c r="P343" i="3"/>
  <c r="O343" i="3"/>
  <c r="P342" i="3"/>
  <c r="O342" i="3"/>
  <c r="P341" i="3"/>
  <c r="O341" i="3"/>
  <c r="P340" i="3"/>
  <c r="O340" i="3"/>
  <c r="P339" i="3"/>
  <c r="O339" i="3"/>
  <c r="P338" i="3"/>
  <c r="O338" i="3"/>
  <c r="P337" i="3"/>
  <c r="O337" i="3"/>
  <c r="P336" i="3"/>
  <c r="O336" i="3"/>
  <c r="P335" i="3"/>
  <c r="O335" i="3"/>
  <c r="P334" i="3"/>
  <c r="O334" i="3"/>
  <c r="P333" i="3"/>
  <c r="O333" i="3"/>
  <c r="P332" i="3"/>
  <c r="O332" i="3"/>
  <c r="P331" i="3"/>
  <c r="O331" i="3"/>
  <c r="P330" i="3"/>
  <c r="O330" i="3"/>
  <c r="P329" i="3"/>
  <c r="O329" i="3"/>
  <c r="P328" i="3"/>
  <c r="O328" i="3"/>
  <c r="P327" i="3"/>
  <c r="O327" i="3"/>
  <c r="P326" i="3"/>
  <c r="O326" i="3"/>
  <c r="P325" i="3"/>
  <c r="O325" i="3"/>
  <c r="P324" i="3"/>
  <c r="O324" i="3"/>
  <c r="P323" i="3"/>
  <c r="O323" i="3"/>
  <c r="P322" i="3"/>
  <c r="O322" i="3"/>
  <c r="P321" i="3"/>
  <c r="O321" i="3"/>
  <c r="P320" i="3"/>
  <c r="O320" i="3"/>
  <c r="P319" i="3"/>
  <c r="O319" i="3"/>
  <c r="P318" i="3"/>
  <c r="O318" i="3"/>
  <c r="P317" i="3"/>
  <c r="O317" i="3"/>
  <c r="P316" i="3"/>
  <c r="O316" i="3"/>
  <c r="P315" i="3"/>
  <c r="O315" i="3"/>
  <c r="P314" i="3"/>
  <c r="O314" i="3"/>
  <c r="P313" i="3"/>
  <c r="O313" i="3"/>
  <c r="P312" i="3"/>
  <c r="O312" i="3"/>
  <c r="P311" i="3"/>
  <c r="O311" i="3"/>
  <c r="P310" i="3"/>
  <c r="O310" i="3"/>
  <c r="P309" i="3"/>
  <c r="O309" i="3"/>
  <c r="P308" i="3"/>
  <c r="O308" i="3"/>
  <c r="P307" i="3"/>
  <c r="O307" i="3"/>
  <c r="P306" i="3"/>
  <c r="O306" i="3"/>
  <c r="P305" i="3"/>
  <c r="O305" i="3"/>
  <c r="P304" i="3"/>
  <c r="O304" i="3"/>
  <c r="P303" i="3"/>
  <c r="O303" i="3"/>
  <c r="P302" i="3"/>
  <c r="O302" i="3"/>
  <c r="P301" i="3"/>
  <c r="O301" i="3"/>
  <c r="P300" i="3"/>
  <c r="O300" i="3"/>
  <c r="P299" i="3"/>
  <c r="O299" i="3"/>
  <c r="P298" i="3"/>
  <c r="O298" i="3"/>
  <c r="P297" i="3"/>
  <c r="O297" i="3"/>
  <c r="P296" i="3"/>
  <c r="O296" i="3"/>
  <c r="P289" i="3"/>
  <c r="O289" i="3"/>
  <c r="P288" i="3"/>
  <c r="O288" i="3"/>
  <c r="P287" i="3"/>
  <c r="O287" i="3"/>
  <c r="P286" i="3"/>
  <c r="O286" i="3"/>
  <c r="P285" i="3"/>
  <c r="O285" i="3"/>
  <c r="P284" i="3"/>
  <c r="O284" i="3"/>
  <c r="P283" i="3"/>
  <c r="O283" i="3"/>
  <c r="P282" i="3"/>
  <c r="O282" i="3"/>
  <c r="P281" i="3"/>
  <c r="O281" i="3"/>
  <c r="P280" i="3"/>
  <c r="O280" i="3"/>
  <c r="P279" i="3"/>
  <c r="O279" i="3"/>
  <c r="P278" i="3"/>
  <c r="O278" i="3"/>
  <c r="P277" i="3"/>
  <c r="O277" i="3"/>
  <c r="P276" i="3"/>
  <c r="O276" i="3"/>
  <c r="P275" i="3"/>
  <c r="O275" i="3"/>
  <c r="P274" i="3"/>
  <c r="O274" i="3"/>
  <c r="P273" i="3"/>
  <c r="O273" i="3"/>
  <c r="P272" i="3"/>
  <c r="O272" i="3"/>
  <c r="P271" i="3"/>
  <c r="O271" i="3"/>
  <c r="P270" i="3"/>
  <c r="O270" i="3"/>
  <c r="P269" i="3"/>
  <c r="O269" i="3"/>
  <c r="P268" i="3"/>
  <c r="O268" i="3"/>
  <c r="P267" i="3"/>
  <c r="O267" i="3"/>
  <c r="P266" i="3"/>
  <c r="O266" i="3"/>
  <c r="P265" i="3"/>
  <c r="O265" i="3"/>
  <c r="P264" i="3"/>
  <c r="O264" i="3"/>
  <c r="P263" i="3"/>
  <c r="O263" i="3"/>
  <c r="P262" i="3"/>
  <c r="O262" i="3"/>
  <c r="P261" i="3"/>
  <c r="O261" i="3"/>
  <c r="P260" i="3"/>
  <c r="O260" i="3"/>
  <c r="P259" i="3"/>
  <c r="O259" i="3"/>
  <c r="P258" i="3"/>
  <c r="O258" i="3"/>
  <c r="P257" i="3"/>
  <c r="O257" i="3"/>
  <c r="P256" i="3"/>
  <c r="O256" i="3"/>
  <c r="P255" i="3"/>
  <c r="O255" i="3"/>
  <c r="P254" i="3"/>
  <c r="O254" i="3"/>
  <c r="P253" i="3"/>
  <c r="O253" i="3"/>
  <c r="P252" i="3"/>
  <c r="O252" i="3"/>
  <c r="P251" i="3"/>
  <c r="O251" i="3"/>
  <c r="P250" i="3"/>
  <c r="O250" i="3"/>
  <c r="P249" i="3"/>
  <c r="O249" i="3"/>
  <c r="P248" i="3"/>
  <c r="O248" i="3"/>
  <c r="P247" i="3"/>
  <c r="O247" i="3"/>
  <c r="P246" i="3"/>
  <c r="O246" i="3"/>
  <c r="P245" i="3"/>
  <c r="O245" i="3"/>
  <c r="P244" i="3"/>
  <c r="O244" i="3"/>
  <c r="P243" i="3"/>
  <c r="O243" i="3"/>
  <c r="P242" i="3"/>
  <c r="O242" i="3"/>
  <c r="P241" i="3"/>
  <c r="O241" i="3"/>
  <c r="P240" i="3"/>
  <c r="O240" i="3"/>
  <c r="P239" i="3"/>
  <c r="O239" i="3"/>
  <c r="P238" i="3"/>
  <c r="O238" i="3"/>
  <c r="O348" i="3"/>
  <c r="P173" i="3"/>
  <c r="O173" i="3"/>
  <c r="P172" i="3"/>
  <c r="O172" i="3"/>
  <c r="P171" i="3"/>
  <c r="O171" i="3"/>
  <c r="P170" i="3"/>
  <c r="O170" i="3"/>
  <c r="P169" i="3"/>
  <c r="O169" i="3"/>
  <c r="P168" i="3"/>
  <c r="O168" i="3"/>
  <c r="P167" i="3"/>
  <c r="O167" i="3"/>
  <c r="P166" i="3"/>
  <c r="O166" i="3"/>
  <c r="P165" i="3"/>
  <c r="O165" i="3"/>
  <c r="P164" i="3"/>
  <c r="O164" i="3"/>
  <c r="P163" i="3"/>
  <c r="O163" i="3"/>
  <c r="P162" i="3"/>
  <c r="O162" i="3"/>
  <c r="P161" i="3"/>
  <c r="O161" i="3"/>
  <c r="P160" i="3"/>
  <c r="O160" i="3"/>
  <c r="P159" i="3"/>
  <c r="O159" i="3"/>
  <c r="P158" i="3"/>
  <c r="O158" i="3"/>
  <c r="P157" i="3"/>
  <c r="O157" i="3"/>
  <c r="P156" i="3"/>
  <c r="O156" i="3"/>
  <c r="P155" i="3"/>
  <c r="O155" i="3"/>
  <c r="P154" i="3"/>
  <c r="O154" i="3"/>
  <c r="P153" i="3"/>
  <c r="O153" i="3"/>
  <c r="P152" i="3"/>
  <c r="O152" i="3"/>
  <c r="P151" i="3"/>
  <c r="O151" i="3"/>
  <c r="P150" i="3"/>
  <c r="O150" i="3"/>
  <c r="P149" i="3"/>
  <c r="O149" i="3"/>
  <c r="P148" i="3"/>
  <c r="O148" i="3"/>
  <c r="P147" i="3"/>
  <c r="O147" i="3"/>
  <c r="P146" i="3"/>
  <c r="O146" i="3"/>
  <c r="P145" i="3"/>
  <c r="O145" i="3"/>
  <c r="P144" i="3"/>
  <c r="O144" i="3"/>
  <c r="P143" i="3"/>
  <c r="O143" i="3"/>
  <c r="P142" i="3"/>
  <c r="O142" i="3"/>
  <c r="P141" i="3"/>
  <c r="O141" i="3"/>
  <c r="P140" i="3"/>
  <c r="O140" i="3"/>
  <c r="P139" i="3"/>
  <c r="O139" i="3"/>
  <c r="P138" i="3"/>
  <c r="O138" i="3"/>
  <c r="P137" i="3"/>
  <c r="O137" i="3"/>
  <c r="P136" i="3"/>
  <c r="O136" i="3"/>
  <c r="P135" i="3"/>
  <c r="O135" i="3"/>
  <c r="P134" i="3"/>
  <c r="O134" i="3"/>
  <c r="P133" i="3"/>
  <c r="O133" i="3"/>
  <c r="P132" i="3"/>
  <c r="O132" i="3"/>
  <c r="P131" i="3"/>
  <c r="O131" i="3"/>
  <c r="P130" i="3"/>
  <c r="O130" i="3"/>
  <c r="P129" i="3"/>
  <c r="O129" i="3"/>
  <c r="P128" i="3"/>
  <c r="O128" i="3"/>
  <c r="P127" i="3"/>
  <c r="O127" i="3"/>
  <c r="P126" i="3"/>
  <c r="O126" i="3"/>
  <c r="P125" i="3"/>
  <c r="O125" i="3"/>
  <c r="P124" i="3"/>
  <c r="O124" i="3"/>
  <c r="P123" i="3"/>
  <c r="O123" i="3"/>
  <c r="P122" i="3"/>
  <c r="O122" i="3"/>
  <c r="P121" i="3"/>
  <c r="O121" i="3"/>
  <c r="P114" i="3"/>
  <c r="O114" i="3"/>
  <c r="P113" i="3"/>
  <c r="O113" i="3"/>
  <c r="P112" i="3"/>
  <c r="O112" i="3"/>
  <c r="P111" i="3"/>
  <c r="O111" i="3"/>
  <c r="P110" i="3"/>
  <c r="O110" i="3"/>
  <c r="P109" i="3"/>
  <c r="O109" i="3"/>
  <c r="P108" i="3"/>
  <c r="O108" i="3"/>
  <c r="P107" i="3"/>
  <c r="O107" i="3"/>
  <c r="P106" i="3"/>
  <c r="O106" i="3"/>
  <c r="P105" i="3"/>
  <c r="O105" i="3"/>
  <c r="P104" i="3"/>
  <c r="O104" i="3"/>
  <c r="P103" i="3"/>
  <c r="O103" i="3"/>
  <c r="P102" i="3"/>
  <c r="O102" i="3"/>
  <c r="P101" i="3"/>
  <c r="O101" i="3"/>
  <c r="P100" i="3"/>
  <c r="O100" i="3"/>
  <c r="P99" i="3"/>
  <c r="O99" i="3"/>
  <c r="P98" i="3"/>
  <c r="O98" i="3"/>
  <c r="P97" i="3"/>
  <c r="O97" i="3"/>
  <c r="P96" i="3"/>
  <c r="O96" i="3"/>
  <c r="P95" i="3"/>
  <c r="O95" i="3"/>
  <c r="P94" i="3"/>
  <c r="O94" i="3"/>
  <c r="P93" i="3"/>
  <c r="O93" i="3"/>
  <c r="P92" i="3"/>
  <c r="O92" i="3"/>
  <c r="P91" i="3"/>
  <c r="O91" i="3"/>
  <c r="P90" i="3"/>
  <c r="O90" i="3"/>
  <c r="P89" i="3"/>
  <c r="O89" i="3"/>
  <c r="P88" i="3"/>
  <c r="O88" i="3"/>
  <c r="P87" i="3"/>
  <c r="O87" i="3"/>
  <c r="P86" i="3"/>
  <c r="O86" i="3"/>
  <c r="P85" i="3"/>
  <c r="O85" i="3"/>
  <c r="P84" i="3"/>
  <c r="O84" i="3"/>
  <c r="P83" i="3"/>
  <c r="O83" i="3"/>
  <c r="P82" i="3"/>
  <c r="O82" i="3"/>
  <c r="P81" i="3"/>
  <c r="O81" i="3"/>
  <c r="P80" i="3"/>
  <c r="O80" i="3"/>
  <c r="P79" i="3"/>
  <c r="O79" i="3"/>
  <c r="P78" i="3"/>
  <c r="O78" i="3"/>
  <c r="P77" i="3"/>
  <c r="O77" i="3"/>
  <c r="P76" i="3"/>
  <c r="O76" i="3"/>
  <c r="P75" i="3"/>
  <c r="O75" i="3"/>
  <c r="P74" i="3"/>
  <c r="O74" i="3"/>
  <c r="P73" i="3"/>
  <c r="O73" i="3"/>
  <c r="P72" i="3"/>
  <c r="O72" i="3"/>
  <c r="P71" i="3"/>
  <c r="O71" i="3"/>
  <c r="P70" i="3"/>
  <c r="O70" i="3"/>
  <c r="P69" i="3"/>
  <c r="O69" i="3"/>
  <c r="P68" i="3"/>
  <c r="O68" i="3"/>
  <c r="P67" i="3"/>
  <c r="O67" i="3"/>
  <c r="P66" i="3"/>
  <c r="O66" i="3"/>
  <c r="P65" i="3"/>
  <c r="O65" i="3"/>
  <c r="P64" i="3"/>
  <c r="O64" i="3"/>
  <c r="P63" i="3"/>
  <c r="O63" i="3"/>
  <c r="P62" i="3"/>
  <c r="O62" i="3"/>
  <c r="K115" i="3"/>
  <c r="O115" i="3" s="1"/>
  <c r="H56" i="3"/>
  <c r="H174" i="3" s="1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O25" i="2"/>
  <c r="N25" i="2"/>
  <c r="O24" i="2"/>
  <c r="N24" i="2"/>
  <c r="O23" i="2"/>
  <c r="N23" i="2"/>
  <c r="O22" i="2"/>
  <c r="N22" i="2"/>
  <c r="O21" i="2"/>
  <c r="N21" i="2"/>
  <c r="O20" i="2"/>
  <c r="N20" i="2"/>
  <c r="O19" i="2"/>
  <c r="N19" i="2"/>
  <c r="O18" i="2"/>
  <c r="N18" i="2"/>
  <c r="O17" i="2"/>
  <c r="N17" i="2"/>
  <c r="O16" i="2"/>
  <c r="N16" i="2"/>
  <c r="O15" i="2"/>
  <c r="N15" i="2"/>
  <c r="O14" i="2"/>
  <c r="N14" i="2"/>
  <c r="O13" i="2"/>
  <c r="N13" i="2"/>
  <c r="O12" i="2"/>
  <c r="N12" i="2"/>
  <c r="O11" i="2"/>
  <c r="N11" i="2"/>
  <c r="O10" i="2"/>
  <c r="N10" i="2"/>
  <c r="O9" i="2"/>
  <c r="N9" i="2"/>
  <c r="O8" i="2"/>
  <c r="N8" i="2"/>
  <c r="O7" i="2"/>
  <c r="N7" i="2"/>
  <c r="O6" i="2"/>
  <c r="N6" i="2"/>
  <c r="O5" i="2"/>
  <c r="N5" i="2"/>
  <c r="O4" i="2"/>
  <c r="N4" i="2"/>
  <c r="O3" i="2"/>
  <c r="N3" i="2"/>
  <c r="B303" i="1"/>
  <c r="N302" i="1"/>
  <c r="M302" i="1"/>
  <c r="L302" i="1"/>
  <c r="K302" i="1"/>
  <c r="J302" i="1"/>
  <c r="I302" i="1"/>
  <c r="H302" i="1"/>
  <c r="G302" i="1"/>
  <c r="F302" i="1"/>
  <c r="E302" i="1"/>
  <c r="D302" i="1"/>
  <c r="C302" i="1"/>
  <c r="B302" i="1"/>
  <c r="T301" i="1"/>
  <c r="S301" i="1"/>
  <c r="R301" i="1"/>
  <c r="Q301" i="1"/>
  <c r="P301" i="1"/>
  <c r="O301" i="1"/>
  <c r="N301" i="1"/>
  <c r="M301" i="1"/>
  <c r="L301" i="1"/>
  <c r="K301" i="1"/>
  <c r="J301" i="1"/>
  <c r="I301" i="1"/>
  <c r="H301" i="1"/>
  <c r="G301" i="1"/>
  <c r="F301" i="1"/>
  <c r="E301" i="1"/>
  <c r="D301" i="1"/>
  <c r="C301" i="1"/>
  <c r="B301" i="1"/>
  <c r="T300" i="1"/>
  <c r="S300" i="1"/>
  <c r="R300" i="1"/>
  <c r="Q300" i="1"/>
  <c r="P300" i="1"/>
  <c r="O300" i="1"/>
  <c r="N300" i="1"/>
  <c r="M300" i="1"/>
  <c r="L300" i="1"/>
  <c r="K300" i="1"/>
  <c r="J300" i="1"/>
  <c r="I300" i="1"/>
  <c r="H300" i="1"/>
  <c r="G300" i="1"/>
  <c r="F300" i="1"/>
  <c r="E300" i="1"/>
  <c r="D300" i="1"/>
  <c r="C300" i="1"/>
  <c r="B300" i="1"/>
  <c r="T299" i="1"/>
  <c r="S299" i="1"/>
  <c r="R299" i="1"/>
  <c r="Q299" i="1"/>
  <c r="P299" i="1"/>
  <c r="O299" i="1"/>
  <c r="N299" i="1"/>
  <c r="M299" i="1"/>
  <c r="L299" i="1"/>
  <c r="K299" i="1"/>
  <c r="J299" i="1"/>
  <c r="I299" i="1"/>
  <c r="H299" i="1"/>
  <c r="G299" i="1"/>
  <c r="F299" i="1"/>
  <c r="E299" i="1"/>
  <c r="D299" i="1"/>
  <c r="C299" i="1"/>
  <c r="B299" i="1"/>
  <c r="T298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F298" i="1"/>
  <c r="E298" i="1"/>
  <c r="D298" i="1"/>
  <c r="C298" i="1"/>
  <c r="B298" i="1"/>
  <c r="T297" i="1"/>
  <c r="S297" i="1"/>
  <c r="R297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E297" i="1"/>
  <c r="D297" i="1"/>
  <c r="C297" i="1"/>
  <c r="B297" i="1"/>
  <c r="T296" i="1"/>
  <c r="S296" i="1"/>
  <c r="R296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E296" i="1"/>
  <c r="D296" i="1"/>
  <c r="C296" i="1"/>
  <c r="B296" i="1"/>
  <c r="T295" i="1"/>
  <c r="S295" i="1"/>
  <c r="R295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E295" i="1"/>
  <c r="D295" i="1"/>
  <c r="C295" i="1"/>
  <c r="B295" i="1"/>
  <c r="T294" i="1"/>
  <c r="S294" i="1"/>
  <c r="R294" i="1"/>
  <c r="Q294" i="1"/>
  <c r="P294" i="1"/>
  <c r="O294" i="1"/>
  <c r="N294" i="1"/>
  <c r="M294" i="1"/>
  <c r="L294" i="1"/>
  <c r="K294" i="1"/>
  <c r="J294" i="1"/>
  <c r="I294" i="1"/>
  <c r="H294" i="1"/>
  <c r="G294" i="1"/>
  <c r="F294" i="1"/>
  <c r="E294" i="1"/>
  <c r="D294" i="1"/>
  <c r="C294" i="1"/>
  <c r="B294" i="1"/>
  <c r="T293" i="1"/>
  <c r="S293" i="1"/>
  <c r="R293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T292" i="1"/>
  <c r="S292" i="1"/>
  <c r="R292" i="1"/>
  <c r="Q292" i="1"/>
  <c r="P292" i="1"/>
  <c r="O292" i="1"/>
  <c r="N292" i="1"/>
  <c r="M292" i="1"/>
  <c r="L292" i="1"/>
  <c r="K292" i="1"/>
  <c r="J292" i="1"/>
  <c r="I292" i="1"/>
  <c r="H292" i="1"/>
  <c r="G292" i="1"/>
  <c r="F292" i="1"/>
  <c r="E292" i="1"/>
  <c r="D292" i="1"/>
  <c r="C292" i="1"/>
  <c r="B292" i="1"/>
  <c r="T291" i="1"/>
  <c r="S291" i="1"/>
  <c r="R291" i="1"/>
  <c r="Q291" i="1"/>
  <c r="P291" i="1"/>
  <c r="O291" i="1"/>
  <c r="N291" i="1"/>
  <c r="M291" i="1"/>
  <c r="L291" i="1"/>
  <c r="K291" i="1"/>
  <c r="J291" i="1"/>
  <c r="I291" i="1"/>
  <c r="H291" i="1"/>
  <c r="G291" i="1"/>
  <c r="F291" i="1"/>
  <c r="E291" i="1"/>
  <c r="D291" i="1"/>
  <c r="C291" i="1"/>
  <c r="B291" i="1"/>
  <c r="T290" i="1"/>
  <c r="S290" i="1"/>
  <c r="R290" i="1"/>
  <c r="Q290" i="1"/>
  <c r="P290" i="1"/>
  <c r="O290" i="1"/>
  <c r="N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T289" i="1"/>
  <c r="S289" i="1"/>
  <c r="R289" i="1"/>
  <c r="Q289" i="1"/>
  <c r="P289" i="1"/>
  <c r="O289" i="1"/>
  <c r="N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T288" i="1"/>
  <c r="S288" i="1"/>
  <c r="R288" i="1"/>
  <c r="Q288" i="1"/>
  <c r="P288" i="1"/>
  <c r="O288" i="1"/>
  <c r="N288" i="1"/>
  <c r="M288" i="1"/>
  <c r="L288" i="1"/>
  <c r="K288" i="1"/>
  <c r="J288" i="1"/>
  <c r="I288" i="1"/>
  <c r="H288" i="1"/>
  <c r="G288" i="1"/>
  <c r="F288" i="1"/>
  <c r="E288" i="1"/>
  <c r="D288" i="1"/>
  <c r="C288" i="1"/>
  <c r="B288" i="1"/>
  <c r="T287" i="1"/>
  <c r="S287" i="1"/>
  <c r="R287" i="1"/>
  <c r="Q287" i="1"/>
  <c r="P287" i="1"/>
  <c r="O287" i="1"/>
  <c r="N287" i="1"/>
  <c r="M287" i="1"/>
  <c r="L287" i="1"/>
  <c r="K287" i="1"/>
  <c r="J287" i="1"/>
  <c r="I287" i="1"/>
  <c r="H287" i="1"/>
  <c r="G287" i="1"/>
  <c r="F287" i="1"/>
  <c r="E287" i="1"/>
  <c r="D287" i="1"/>
  <c r="C287" i="1"/>
  <c r="B287" i="1"/>
  <c r="T286" i="1"/>
  <c r="S286" i="1"/>
  <c r="R286" i="1"/>
  <c r="Q286" i="1"/>
  <c r="P286" i="1"/>
  <c r="O286" i="1"/>
  <c r="N286" i="1"/>
  <c r="M286" i="1"/>
  <c r="L286" i="1"/>
  <c r="K286" i="1"/>
  <c r="J286" i="1"/>
  <c r="I286" i="1"/>
  <c r="H286" i="1"/>
  <c r="G286" i="1"/>
  <c r="F286" i="1"/>
  <c r="E286" i="1"/>
  <c r="D286" i="1"/>
  <c r="C286" i="1"/>
  <c r="B286" i="1"/>
  <c r="T285" i="1"/>
  <c r="S285" i="1"/>
  <c r="R285" i="1"/>
  <c r="Q285" i="1"/>
  <c r="P285" i="1"/>
  <c r="O285" i="1"/>
  <c r="N285" i="1"/>
  <c r="M285" i="1"/>
  <c r="L285" i="1"/>
  <c r="K285" i="1"/>
  <c r="J285" i="1"/>
  <c r="I285" i="1"/>
  <c r="H285" i="1"/>
  <c r="G285" i="1"/>
  <c r="F285" i="1"/>
  <c r="E285" i="1"/>
  <c r="D285" i="1"/>
  <c r="C285" i="1"/>
  <c r="B285" i="1"/>
  <c r="T284" i="1"/>
  <c r="S284" i="1"/>
  <c r="R284" i="1"/>
  <c r="Q284" i="1"/>
  <c r="P284" i="1"/>
  <c r="O284" i="1"/>
  <c r="N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T283" i="1"/>
  <c r="S283" i="1"/>
  <c r="R283" i="1"/>
  <c r="Q283" i="1"/>
  <c r="P283" i="1"/>
  <c r="O283" i="1"/>
  <c r="N283" i="1"/>
  <c r="M283" i="1"/>
  <c r="L283" i="1"/>
  <c r="K283" i="1"/>
  <c r="J283" i="1"/>
  <c r="I283" i="1"/>
  <c r="H283" i="1"/>
  <c r="G283" i="1"/>
  <c r="F283" i="1"/>
  <c r="E283" i="1"/>
  <c r="D283" i="1"/>
  <c r="C283" i="1"/>
  <c r="B283" i="1"/>
  <c r="T282" i="1"/>
  <c r="S282" i="1"/>
  <c r="R282" i="1"/>
  <c r="Q282" i="1"/>
  <c r="P282" i="1"/>
  <c r="O282" i="1"/>
  <c r="N282" i="1"/>
  <c r="M282" i="1"/>
  <c r="L282" i="1"/>
  <c r="K282" i="1"/>
  <c r="J282" i="1"/>
  <c r="I282" i="1"/>
  <c r="H282" i="1"/>
  <c r="G282" i="1"/>
  <c r="F282" i="1"/>
  <c r="E282" i="1"/>
  <c r="D282" i="1"/>
  <c r="C282" i="1"/>
  <c r="B282" i="1"/>
  <c r="T281" i="1"/>
  <c r="S281" i="1"/>
  <c r="R281" i="1"/>
  <c r="Q281" i="1"/>
  <c r="P281" i="1"/>
  <c r="O281" i="1"/>
  <c r="N281" i="1"/>
  <c r="M281" i="1"/>
  <c r="L281" i="1"/>
  <c r="K281" i="1"/>
  <c r="J281" i="1"/>
  <c r="I281" i="1"/>
  <c r="H281" i="1"/>
  <c r="G281" i="1"/>
  <c r="F281" i="1"/>
  <c r="E281" i="1"/>
  <c r="D281" i="1"/>
  <c r="C281" i="1"/>
  <c r="B281" i="1"/>
  <c r="T280" i="1"/>
  <c r="S280" i="1"/>
  <c r="R280" i="1"/>
  <c r="Q280" i="1"/>
  <c r="P280" i="1"/>
  <c r="O280" i="1"/>
  <c r="N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H279" i="1"/>
  <c r="G279" i="1"/>
  <c r="F279" i="1"/>
  <c r="E279" i="1"/>
  <c r="D279" i="1"/>
  <c r="C279" i="1"/>
  <c r="B279" i="1"/>
  <c r="T278" i="1"/>
  <c r="S278" i="1"/>
  <c r="R278" i="1"/>
  <c r="Q278" i="1"/>
  <c r="P278" i="1"/>
  <c r="O278" i="1"/>
  <c r="N278" i="1"/>
  <c r="M278" i="1"/>
  <c r="L278" i="1"/>
  <c r="K278" i="1"/>
  <c r="J278" i="1"/>
  <c r="I278" i="1"/>
  <c r="H278" i="1"/>
  <c r="G278" i="1"/>
  <c r="F278" i="1"/>
  <c r="E278" i="1"/>
  <c r="D278" i="1"/>
  <c r="C278" i="1"/>
  <c r="B278" i="1"/>
  <c r="T277" i="1"/>
  <c r="S277" i="1"/>
  <c r="R277" i="1"/>
  <c r="Q277" i="1"/>
  <c r="P277" i="1"/>
  <c r="O277" i="1"/>
  <c r="N277" i="1"/>
  <c r="M277" i="1"/>
  <c r="L277" i="1"/>
  <c r="K277" i="1"/>
  <c r="J277" i="1"/>
  <c r="I277" i="1"/>
  <c r="H277" i="1"/>
  <c r="G277" i="1"/>
  <c r="F277" i="1"/>
  <c r="E277" i="1"/>
  <c r="D277" i="1"/>
  <c r="C277" i="1"/>
  <c r="B277" i="1"/>
  <c r="T276" i="1"/>
  <c r="S276" i="1"/>
  <c r="R276" i="1"/>
  <c r="Q276" i="1"/>
  <c r="P276" i="1"/>
  <c r="O276" i="1"/>
  <c r="N276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T275" i="1"/>
  <c r="S275" i="1"/>
  <c r="R275" i="1"/>
  <c r="Q275" i="1"/>
  <c r="P275" i="1"/>
  <c r="O275" i="1"/>
  <c r="N275" i="1"/>
  <c r="M275" i="1"/>
  <c r="L275" i="1"/>
  <c r="K275" i="1"/>
  <c r="J275" i="1"/>
  <c r="I275" i="1"/>
  <c r="H275" i="1"/>
  <c r="G275" i="1"/>
  <c r="F275" i="1"/>
  <c r="E275" i="1"/>
  <c r="D275" i="1"/>
  <c r="C275" i="1"/>
  <c r="B275" i="1"/>
  <c r="T274" i="1"/>
  <c r="S274" i="1"/>
  <c r="R274" i="1"/>
  <c r="Q274" i="1"/>
  <c r="P274" i="1"/>
  <c r="O274" i="1"/>
  <c r="N274" i="1"/>
  <c r="M274" i="1"/>
  <c r="L274" i="1"/>
  <c r="K274" i="1"/>
  <c r="J274" i="1"/>
  <c r="I274" i="1"/>
  <c r="H274" i="1"/>
  <c r="G274" i="1"/>
  <c r="F274" i="1"/>
  <c r="E274" i="1"/>
  <c r="D274" i="1"/>
  <c r="C274" i="1"/>
  <c r="B274" i="1"/>
  <c r="T273" i="1"/>
  <c r="S273" i="1"/>
  <c r="R273" i="1"/>
  <c r="Q273" i="1"/>
  <c r="P273" i="1"/>
  <c r="O273" i="1"/>
  <c r="N273" i="1"/>
  <c r="M273" i="1"/>
  <c r="L273" i="1"/>
  <c r="K273" i="1"/>
  <c r="J273" i="1"/>
  <c r="I273" i="1"/>
  <c r="H273" i="1"/>
  <c r="G273" i="1"/>
  <c r="F273" i="1"/>
  <c r="E273" i="1"/>
  <c r="D273" i="1"/>
  <c r="C273" i="1"/>
  <c r="B273" i="1"/>
  <c r="T272" i="1"/>
  <c r="S272" i="1"/>
  <c r="R272" i="1"/>
  <c r="Q272" i="1"/>
  <c r="P272" i="1"/>
  <c r="O272" i="1"/>
  <c r="N272" i="1"/>
  <c r="M272" i="1"/>
  <c r="L272" i="1"/>
  <c r="K272" i="1"/>
  <c r="J272" i="1"/>
  <c r="I272" i="1"/>
  <c r="H272" i="1"/>
  <c r="G272" i="1"/>
  <c r="F272" i="1"/>
  <c r="E272" i="1"/>
  <c r="D272" i="1"/>
  <c r="C272" i="1"/>
  <c r="B272" i="1"/>
  <c r="T271" i="1"/>
  <c r="S271" i="1"/>
  <c r="R271" i="1"/>
  <c r="Q271" i="1"/>
  <c r="P271" i="1"/>
  <c r="O271" i="1"/>
  <c r="N271" i="1"/>
  <c r="M271" i="1"/>
  <c r="L271" i="1"/>
  <c r="K271" i="1"/>
  <c r="J271" i="1"/>
  <c r="I271" i="1"/>
  <c r="H271" i="1"/>
  <c r="G271" i="1"/>
  <c r="F271" i="1"/>
  <c r="E271" i="1"/>
  <c r="D271" i="1"/>
  <c r="C271" i="1"/>
  <c r="B271" i="1"/>
  <c r="T270" i="1"/>
  <c r="S270" i="1"/>
  <c r="R270" i="1"/>
  <c r="Q270" i="1"/>
  <c r="P270" i="1"/>
  <c r="O270" i="1"/>
  <c r="N270" i="1"/>
  <c r="M270" i="1"/>
  <c r="L270" i="1"/>
  <c r="K270" i="1"/>
  <c r="J270" i="1"/>
  <c r="I270" i="1"/>
  <c r="H270" i="1"/>
  <c r="G270" i="1"/>
  <c r="F270" i="1"/>
  <c r="E270" i="1"/>
  <c r="D270" i="1"/>
  <c r="C270" i="1"/>
  <c r="B270" i="1"/>
  <c r="T269" i="1"/>
  <c r="S269" i="1"/>
  <c r="R269" i="1"/>
  <c r="Q269" i="1"/>
  <c r="P269" i="1"/>
  <c r="O269" i="1"/>
  <c r="N269" i="1"/>
  <c r="M269" i="1"/>
  <c r="L269" i="1"/>
  <c r="K269" i="1"/>
  <c r="J269" i="1"/>
  <c r="I269" i="1"/>
  <c r="H269" i="1"/>
  <c r="G269" i="1"/>
  <c r="F269" i="1"/>
  <c r="E269" i="1"/>
  <c r="D269" i="1"/>
  <c r="C269" i="1"/>
  <c r="B269" i="1"/>
  <c r="T268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F268" i="1"/>
  <c r="E268" i="1"/>
  <c r="D268" i="1"/>
  <c r="C268" i="1"/>
  <c r="B268" i="1"/>
  <c r="T267" i="1"/>
  <c r="S267" i="1"/>
  <c r="R267" i="1"/>
  <c r="Q267" i="1"/>
  <c r="P267" i="1"/>
  <c r="O267" i="1"/>
  <c r="N267" i="1"/>
  <c r="M267" i="1"/>
  <c r="L267" i="1"/>
  <c r="K267" i="1"/>
  <c r="J267" i="1"/>
  <c r="I267" i="1"/>
  <c r="H267" i="1"/>
  <c r="G267" i="1"/>
  <c r="F267" i="1"/>
  <c r="E267" i="1"/>
  <c r="D267" i="1"/>
  <c r="C267" i="1"/>
  <c r="B267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H266" i="1"/>
  <c r="G266" i="1"/>
  <c r="F266" i="1"/>
  <c r="E266" i="1"/>
  <c r="D266" i="1"/>
  <c r="C266" i="1"/>
  <c r="B266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H265" i="1"/>
  <c r="G265" i="1"/>
  <c r="F265" i="1"/>
  <c r="E265" i="1"/>
  <c r="D265" i="1"/>
  <c r="C265" i="1"/>
  <c r="B265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H264" i="1"/>
  <c r="G264" i="1"/>
  <c r="F264" i="1"/>
  <c r="E264" i="1"/>
  <c r="D264" i="1"/>
  <c r="C264" i="1"/>
  <c r="B264" i="1"/>
  <c r="T263" i="1"/>
  <c r="S263" i="1"/>
  <c r="R263" i="1"/>
  <c r="Q263" i="1"/>
  <c r="P263" i="1"/>
  <c r="O263" i="1"/>
  <c r="N263" i="1"/>
  <c r="M263" i="1"/>
  <c r="L263" i="1"/>
  <c r="K263" i="1"/>
  <c r="J263" i="1"/>
  <c r="I263" i="1"/>
  <c r="H263" i="1"/>
  <c r="G263" i="1"/>
  <c r="F263" i="1"/>
  <c r="E263" i="1"/>
  <c r="D263" i="1"/>
  <c r="C263" i="1"/>
  <c r="B263" i="1"/>
  <c r="T262" i="1"/>
  <c r="S262" i="1"/>
  <c r="R262" i="1"/>
  <c r="Q262" i="1"/>
  <c r="P262" i="1"/>
  <c r="O262" i="1"/>
  <c r="N262" i="1"/>
  <c r="M262" i="1"/>
  <c r="L262" i="1"/>
  <c r="K262" i="1"/>
  <c r="J262" i="1"/>
  <c r="I262" i="1"/>
  <c r="H262" i="1"/>
  <c r="G262" i="1"/>
  <c r="F262" i="1"/>
  <c r="E262" i="1"/>
  <c r="D262" i="1"/>
  <c r="C262" i="1"/>
  <c r="B262" i="1"/>
  <c r="T261" i="1"/>
  <c r="S261" i="1"/>
  <c r="R261" i="1"/>
  <c r="Q261" i="1"/>
  <c r="P261" i="1"/>
  <c r="O261" i="1"/>
  <c r="N261" i="1"/>
  <c r="M261" i="1"/>
  <c r="L261" i="1"/>
  <c r="K261" i="1"/>
  <c r="J261" i="1"/>
  <c r="I261" i="1"/>
  <c r="H261" i="1"/>
  <c r="G261" i="1"/>
  <c r="F261" i="1"/>
  <c r="E261" i="1"/>
  <c r="D261" i="1"/>
  <c r="C261" i="1"/>
  <c r="B261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H260" i="1"/>
  <c r="G260" i="1"/>
  <c r="F260" i="1"/>
  <c r="E260" i="1"/>
  <c r="D260" i="1"/>
  <c r="C260" i="1"/>
  <c r="B260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H259" i="1"/>
  <c r="G259" i="1"/>
  <c r="F259" i="1"/>
  <c r="E259" i="1"/>
  <c r="D259" i="1"/>
  <c r="C259" i="1"/>
  <c r="B259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D258" i="1"/>
  <c r="C258" i="1"/>
  <c r="B258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H257" i="1"/>
  <c r="G257" i="1"/>
  <c r="F257" i="1"/>
  <c r="E257" i="1"/>
  <c r="D257" i="1"/>
  <c r="C257" i="1"/>
  <c r="B257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H256" i="1"/>
  <c r="G256" i="1"/>
  <c r="F256" i="1"/>
  <c r="E256" i="1"/>
  <c r="D256" i="1"/>
  <c r="C256" i="1"/>
  <c r="B256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H255" i="1"/>
  <c r="G255" i="1"/>
  <c r="F255" i="1"/>
  <c r="E255" i="1"/>
  <c r="D255" i="1"/>
  <c r="C255" i="1"/>
  <c r="B255" i="1"/>
  <c r="A251" i="1"/>
  <c r="A303" i="1" s="1"/>
  <c r="AN138" i="1"/>
  <c r="AM138" i="1"/>
  <c r="AL138" i="1"/>
  <c r="AK138" i="1"/>
  <c r="AJ138" i="1"/>
  <c r="AI138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B138" i="1"/>
  <c r="AN131" i="1"/>
  <c r="AM131" i="1"/>
  <c r="AL131" i="1"/>
  <c r="AK131" i="1"/>
  <c r="AJ131" i="1"/>
  <c r="AI131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AN121" i="1"/>
  <c r="AN114" i="1"/>
  <c r="AM114" i="1"/>
  <c r="AL114" i="1"/>
  <c r="AK114" i="1"/>
  <c r="AJ114" i="1"/>
  <c r="AI114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AN97" i="1"/>
  <c r="AM97" i="1"/>
  <c r="AL97" i="1"/>
  <c r="AK97" i="1"/>
  <c r="AJ97" i="1"/>
  <c r="AI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AO77" i="1"/>
  <c r="AO75" i="1"/>
  <c r="AM75" i="1"/>
  <c r="O44" i="2"/>
  <c r="O42" i="2"/>
  <c r="O41" i="2"/>
  <c r="O40" i="2"/>
  <c r="O39" i="2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Z16" i="1"/>
  <c r="AL75" i="1"/>
  <c r="S75" i="1"/>
  <c r="Q75" i="1"/>
  <c r="T303" i="1" l="1"/>
  <c r="AZ97" i="1"/>
  <c r="AZ102" i="1" s="1"/>
  <c r="BA97" i="1"/>
  <c r="BA102" i="1" s="1"/>
  <c r="AX114" i="1"/>
  <c r="AX119" i="1" s="1"/>
  <c r="AV131" i="1"/>
  <c r="AV136" i="1" s="1"/>
  <c r="BB97" i="1"/>
  <c r="BB102" i="1" s="1"/>
  <c r="AY114" i="1"/>
  <c r="AY119" i="1" s="1"/>
  <c r="AY118" i="1" s="1"/>
  <c r="AR97" i="1"/>
  <c r="AR102" i="1" s="1"/>
  <c r="AR101" i="1" s="1"/>
  <c r="BA114" i="1"/>
  <c r="BA119" i="1" s="1"/>
  <c r="BA121" i="1" s="1"/>
  <c r="AS97" i="1"/>
  <c r="AS102" i="1" s="1"/>
  <c r="BB114" i="1"/>
  <c r="AS16" i="1"/>
  <c r="AP16" i="1"/>
  <c r="AQ16" i="1"/>
  <c r="AR16" i="1"/>
  <c r="N52" i="2"/>
  <c r="AZ77" i="1"/>
  <c r="AZ80" i="1" s="1"/>
  <c r="AZ85" i="1" s="1"/>
  <c r="AZ84" i="1" s="1"/>
  <c r="S303" i="1"/>
  <c r="AV135" i="1"/>
  <c r="AV138" i="1" s="1"/>
  <c r="BB119" i="1"/>
  <c r="BB121" i="1" s="1"/>
  <c r="N54" i="2"/>
  <c r="P302" i="1"/>
  <c r="S302" i="1"/>
  <c r="AO131" i="1"/>
  <c r="AO136" i="1" s="1"/>
  <c r="AO135" i="1" s="1"/>
  <c r="AO138" i="1" s="1"/>
  <c r="AP131" i="1"/>
  <c r="AP136" i="1" s="1"/>
  <c r="AP135" i="1" s="1"/>
  <c r="AP138" i="1" s="1"/>
  <c r="AV97" i="1"/>
  <c r="AV102" i="1" s="1"/>
  <c r="AV104" i="1" s="1"/>
  <c r="R302" i="1"/>
  <c r="AQ131" i="1"/>
  <c r="AQ136" i="1" s="1"/>
  <c r="AQ135" i="1" s="1"/>
  <c r="AQ138" i="1" s="1"/>
  <c r="AU80" i="1"/>
  <c r="AU85" i="1" s="1"/>
  <c r="AU84" i="1" s="1"/>
  <c r="T302" i="1"/>
  <c r="N61" i="2"/>
  <c r="N83" i="2"/>
  <c r="N105" i="2"/>
  <c r="F303" i="1"/>
  <c r="AT97" i="1"/>
  <c r="AT102" i="1" s="1"/>
  <c r="AT101" i="1" s="1"/>
  <c r="C303" i="1"/>
  <c r="AU97" i="1"/>
  <c r="AU102" i="1" s="1"/>
  <c r="AU101" i="1" s="1"/>
  <c r="AV80" i="1"/>
  <c r="AV85" i="1" s="1"/>
  <c r="AV87" i="1" s="1"/>
  <c r="D303" i="1"/>
  <c r="BA16" i="1"/>
  <c r="AW97" i="1"/>
  <c r="AW102" i="1" s="1"/>
  <c r="AW101" i="1" s="1"/>
  <c r="AR131" i="1"/>
  <c r="AR136" i="1" s="1"/>
  <c r="AR135" i="1" s="1"/>
  <c r="AR138" i="1" s="1"/>
  <c r="O54" i="2"/>
  <c r="BB16" i="1"/>
  <c r="AX97" i="1"/>
  <c r="AX102" i="1" s="1"/>
  <c r="AX101" i="1" s="1"/>
  <c r="AS131" i="1"/>
  <c r="AS136" i="1" s="1"/>
  <c r="AS135" i="1" s="1"/>
  <c r="AS138" i="1" s="1"/>
  <c r="R303" i="1"/>
  <c r="E303" i="1"/>
  <c r="AO80" i="1"/>
  <c r="AO85" i="1" s="1"/>
  <c r="AO84" i="1" s="1"/>
  <c r="AO16" i="1"/>
  <c r="AY97" i="1"/>
  <c r="AY102" i="1" s="1"/>
  <c r="AY101" i="1" s="1"/>
  <c r="AV114" i="1"/>
  <c r="AV119" i="1" s="1"/>
  <c r="AV121" i="1" s="1"/>
  <c r="AT131" i="1"/>
  <c r="AT136" i="1" s="1"/>
  <c r="AT135" i="1" s="1"/>
  <c r="AT138" i="1" s="1"/>
  <c r="AW114" i="1"/>
  <c r="AW119" i="1" s="1"/>
  <c r="Q302" i="1"/>
  <c r="G56" i="3"/>
  <c r="G174" i="3" s="1"/>
  <c r="N91" i="2"/>
  <c r="N62" i="2"/>
  <c r="N64" i="2"/>
  <c r="N69" i="2"/>
  <c r="N78" i="2"/>
  <c r="N84" i="2"/>
  <c r="N86" i="2"/>
  <c r="N100" i="2"/>
  <c r="N106" i="2"/>
  <c r="N108" i="2"/>
  <c r="N66" i="2"/>
  <c r="N88" i="2"/>
  <c r="N110" i="2"/>
  <c r="K873" i="3"/>
  <c r="O873" i="3" s="1"/>
  <c r="AS80" i="1"/>
  <c r="AS85" i="1" s="1"/>
  <c r="AS84" i="1" s="1"/>
  <c r="AT80" i="1"/>
  <c r="AT85" i="1" s="1"/>
  <c r="AT84" i="1" s="1"/>
  <c r="AR80" i="1"/>
  <c r="AR85" i="1" s="1"/>
  <c r="AR84" i="1" s="1"/>
  <c r="AP80" i="1"/>
  <c r="AP85" i="1" s="1"/>
  <c r="AP84" i="1" s="1"/>
  <c r="AQ80" i="1"/>
  <c r="AQ85" i="1" s="1"/>
  <c r="AQ84" i="1" s="1"/>
  <c r="K813" i="3"/>
  <c r="AU16" i="1"/>
  <c r="N98" i="2"/>
  <c r="O1226" i="3"/>
  <c r="N96" i="2"/>
  <c r="N73" i="2"/>
  <c r="N102" i="2"/>
  <c r="N75" i="2"/>
  <c r="N97" i="2"/>
  <c r="AU131" i="1"/>
  <c r="AU136" i="1" s="1"/>
  <c r="AU135" i="1" s="1"/>
  <c r="AU138" i="1" s="1"/>
  <c r="I303" i="1"/>
  <c r="N71" i="2"/>
  <c r="N93" i="2"/>
  <c r="N79" i="2"/>
  <c r="N101" i="2"/>
  <c r="AW80" i="1"/>
  <c r="AW85" i="1" s="1"/>
  <c r="AW84" i="1" s="1"/>
  <c r="N50" i="2"/>
  <c r="N74" i="2"/>
  <c r="N80" i="2"/>
  <c r="N95" i="2"/>
  <c r="BB80" i="1"/>
  <c r="BB85" i="1" s="1"/>
  <c r="BB87" i="1" s="1"/>
  <c r="H303" i="1"/>
  <c r="AZ114" i="1"/>
  <c r="AZ119" i="1" s="1"/>
  <c r="AZ121" i="1" s="1"/>
  <c r="J303" i="1"/>
  <c r="N70" i="2"/>
  <c r="N92" i="2"/>
  <c r="O290" i="3"/>
  <c r="AX77" i="1"/>
  <c r="AX80" i="1" s="1"/>
  <c r="AX85" i="1" s="1"/>
  <c r="AW131" i="1"/>
  <c r="AW136" i="1" s="1"/>
  <c r="AW135" i="1" s="1"/>
  <c r="AW138" i="1" s="1"/>
  <c r="K303" i="1"/>
  <c r="P290" i="3"/>
  <c r="O989" i="3"/>
  <c r="N68" i="2"/>
  <c r="N99" i="2"/>
  <c r="AQ114" i="1"/>
  <c r="AQ119" i="1" s="1"/>
  <c r="AQ118" i="1" s="1"/>
  <c r="AY131" i="1"/>
  <c r="AY136" i="1" s="1"/>
  <c r="AY135" i="1" s="1"/>
  <c r="AY138" i="1" s="1"/>
  <c r="K523" i="3"/>
  <c r="O523" i="3" s="1"/>
  <c r="AY77" i="1"/>
  <c r="AY80" i="1" s="1"/>
  <c r="AY85" i="1" s="1"/>
  <c r="AR114" i="1"/>
  <c r="AR119" i="1" s="1"/>
  <c r="AR118" i="1" s="1"/>
  <c r="AZ131" i="1"/>
  <c r="AZ136" i="1" s="1"/>
  <c r="AZ135" i="1" s="1"/>
  <c r="AZ138" i="1" s="1"/>
  <c r="N303" i="1"/>
  <c r="N67" i="2"/>
  <c r="N89" i="2"/>
  <c r="N104" i="2"/>
  <c r="AS114" i="1"/>
  <c r="AS119" i="1" s="1"/>
  <c r="AS118" i="1" s="1"/>
  <c r="BA131" i="1"/>
  <c r="BA136" i="1" s="1"/>
  <c r="BA135" i="1" s="1"/>
  <c r="BA138" i="1" s="1"/>
  <c r="BA80" i="1"/>
  <c r="BA85" i="1" s="1"/>
  <c r="BA84" i="1" s="1"/>
  <c r="O303" i="1"/>
  <c r="N65" i="2"/>
  <c r="N87" i="2"/>
  <c r="N109" i="2"/>
  <c r="O695" i="3"/>
  <c r="N59" i="2"/>
  <c r="N81" i="2"/>
  <c r="N76" i="2"/>
  <c r="AP114" i="1"/>
  <c r="AP119" i="1" s="1"/>
  <c r="AP118" i="1" s="1"/>
  <c r="AT114" i="1"/>
  <c r="AT119" i="1" s="1"/>
  <c r="AT118" i="1" s="1"/>
  <c r="BB131" i="1"/>
  <c r="BB136" i="1" s="1"/>
  <c r="BB135" i="1" s="1"/>
  <c r="BB138" i="1" s="1"/>
  <c r="U249" i="1"/>
  <c r="P303" i="1"/>
  <c r="L55" i="4"/>
  <c r="N60" i="2"/>
  <c r="N82" i="2"/>
  <c r="N103" i="2"/>
  <c r="N53" i="2"/>
  <c r="I233" i="3"/>
  <c r="K225" i="4" s="1"/>
  <c r="AO114" i="1"/>
  <c r="AO119" i="1" s="1"/>
  <c r="AO118" i="1" s="1"/>
  <c r="N51" i="2"/>
  <c r="P348" i="3"/>
  <c r="AX131" i="1"/>
  <c r="AX136" i="1" s="1"/>
  <c r="AX135" i="1" s="1"/>
  <c r="AX138" i="1" s="1"/>
  <c r="L303" i="1"/>
  <c r="N77" i="2"/>
  <c r="N90" i="2"/>
  <c r="M303" i="1"/>
  <c r="N72" i="2"/>
  <c r="N94" i="2"/>
  <c r="AU114" i="1"/>
  <c r="AU119" i="1" s="1"/>
  <c r="AU118" i="1" s="1"/>
  <c r="O302" i="1"/>
  <c r="Q303" i="1"/>
  <c r="N63" i="2"/>
  <c r="N85" i="2"/>
  <c r="N107" i="2"/>
  <c r="P174" i="3"/>
  <c r="O637" i="3"/>
  <c r="K698" i="3"/>
  <c r="K699" i="3" s="1"/>
  <c r="L814" i="3"/>
  <c r="L815" i="3" s="1"/>
  <c r="L816" i="3" s="1"/>
  <c r="O1167" i="3"/>
  <c r="J233" i="3"/>
  <c r="L225" i="4" s="1"/>
  <c r="L1168" i="3"/>
  <c r="O1168" i="3" s="1"/>
  <c r="K175" i="3"/>
  <c r="O175" i="3" s="1"/>
  <c r="L175" i="3"/>
  <c r="L176" i="3" s="1"/>
  <c r="K639" i="3"/>
  <c r="L115" i="3"/>
  <c r="L116" i="3" s="1"/>
  <c r="P116" i="3" s="1"/>
  <c r="P523" i="3"/>
  <c r="L639" i="3"/>
  <c r="L640" i="3" s="1"/>
  <c r="L641" i="3" s="1"/>
  <c r="O1049" i="3"/>
  <c r="K466" i="3"/>
  <c r="K467" i="3" s="1"/>
  <c r="K116" i="3"/>
  <c r="O116" i="3" s="1"/>
  <c r="O1225" i="3"/>
  <c r="L524" i="3"/>
  <c r="L525" i="3" s="1"/>
  <c r="L696" i="3"/>
  <c r="O174" i="3"/>
  <c r="O1166" i="3"/>
  <c r="L465" i="3"/>
  <c r="L466" i="3" s="1"/>
  <c r="L872" i="3"/>
  <c r="P872" i="3" s="1"/>
  <c r="L1227" i="3"/>
  <c r="O1227" i="3" s="1"/>
  <c r="H115" i="3"/>
  <c r="AX118" i="1"/>
  <c r="AX121" i="1"/>
  <c r="AR104" i="1"/>
  <c r="AW121" i="1"/>
  <c r="AW118" i="1"/>
  <c r="BB101" i="1"/>
  <c r="BB104" i="1"/>
  <c r="AY121" i="1"/>
  <c r="AZ101" i="1"/>
  <c r="AZ104" i="1"/>
  <c r="BA101" i="1"/>
  <c r="BA104" i="1"/>
  <c r="AO97" i="1"/>
  <c r="AO102" i="1" s="1"/>
  <c r="AP97" i="1"/>
  <c r="AP102" i="1" s="1"/>
  <c r="AQ97" i="1"/>
  <c r="AQ102" i="1" s="1"/>
  <c r="AU104" i="1" l="1"/>
  <c r="AW104" i="1"/>
  <c r="AS104" i="1"/>
  <c r="AS101" i="1"/>
  <c r="AT104" i="1"/>
  <c r="AS87" i="1"/>
  <c r="AU87" i="1"/>
  <c r="BB118" i="1"/>
  <c r="AV84" i="1"/>
  <c r="AT121" i="1"/>
  <c r="BA118" i="1"/>
  <c r="P524" i="3"/>
  <c r="AP87" i="1"/>
  <c r="AV118" i="1"/>
  <c r="AY104" i="1"/>
  <c r="AR87" i="1"/>
  <c r="AQ121" i="1"/>
  <c r="BB84" i="1"/>
  <c r="AV101" i="1"/>
  <c r="AX104" i="1"/>
  <c r="AQ87" i="1"/>
  <c r="K55" i="4"/>
  <c r="K112" i="4" s="1"/>
  <c r="O112" i="4" s="1"/>
  <c r="AZ87" i="1"/>
  <c r="AO121" i="1"/>
  <c r="AO87" i="1"/>
  <c r="L873" i="3"/>
  <c r="P873" i="3" s="1"/>
  <c r="O813" i="3"/>
  <c r="K640" i="3"/>
  <c r="K641" i="3" s="1"/>
  <c r="L697" i="3"/>
  <c r="L698" i="3" s="1"/>
  <c r="L699" i="3" s="1"/>
  <c r="K874" i="3"/>
  <c r="K875" i="3" s="1"/>
  <c r="K814" i="3"/>
  <c r="K815" i="3" s="1"/>
  <c r="K816" i="3" s="1"/>
  <c r="G115" i="3"/>
  <c r="K524" i="3"/>
  <c r="O524" i="3" s="1"/>
  <c r="K176" i="3"/>
  <c r="O176" i="3" s="1"/>
  <c r="P175" i="3"/>
  <c r="P696" i="3"/>
  <c r="AS121" i="1"/>
  <c r="AT87" i="1"/>
  <c r="AW87" i="1"/>
  <c r="L1228" i="3"/>
  <c r="P349" i="3"/>
  <c r="L292" i="3"/>
  <c r="L350" i="3"/>
  <c r="P350" i="3" s="1"/>
  <c r="AX84" i="1"/>
  <c r="AX87" i="1"/>
  <c r="AY84" i="1"/>
  <c r="AY87" i="1"/>
  <c r="K340" i="4"/>
  <c r="O340" i="4" s="1"/>
  <c r="AZ118" i="1"/>
  <c r="AU121" i="1"/>
  <c r="L112" i="4"/>
  <c r="P112" i="4" s="1"/>
  <c r="L168" i="4"/>
  <c r="P168" i="4" s="1"/>
  <c r="BA87" i="1"/>
  <c r="AP121" i="1"/>
  <c r="K292" i="3"/>
  <c r="K293" i="3" s="1"/>
  <c r="O167" i="4"/>
  <c r="AR121" i="1"/>
  <c r="L1169" i="3"/>
  <c r="P525" i="3"/>
  <c r="P176" i="3"/>
  <c r="L117" i="3"/>
  <c r="P117" i="3" s="1"/>
  <c r="P115" i="3"/>
  <c r="O349" i="3"/>
  <c r="K350" i="3"/>
  <c r="O350" i="3" s="1"/>
  <c r="L467" i="3"/>
  <c r="O291" i="3"/>
  <c r="K117" i="3"/>
  <c r="O117" i="3" s="1"/>
  <c r="AO104" i="1"/>
  <c r="AO101" i="1"/>
  <c r="AQ101" i="1"/>
  <c r="AQ104" i="1"/>
  <c r="AP101" i="1"/>
  <c r="AP104" i="1"/>
  <c r="L874" i="3" l="1"/>
  <c r="L875" i="3" s="1"/>
  <c r="O1228" i="3"/>
  <c r="O1169" i="3"/>
  <c r="K168" i="4"/>
  <c r="O168" i="4" s="1"/>
  <c r="K525" i="3"/>
  <c r="K177" i="3"/>
  <c r="L351" i="3"/>
  <c r="P351" i="3" s="1"/>
  <c r="P291" i="3"/>
  <c r="L1170" i="3"/>
  <c r="L1171" i="3" s="1"/>
  <c r="L1229" i="3"/>
  <c r="L1230" i="3" s="1"/>
  <c r="L293" i="3"/>
  <c r="K283" i="4"/>
  <c r="O283" i="4" s="1"/>
  <c r="O282" i="4"/>
  <c r="L340" i="4"/>
  <c r="P340" i="4" s="1"/>
  <c r="P339" i="4"/>
  <c r="L283" i="4"/>
  <c r="P283" i="4" s="1"/>
  <c r="P282" i="4"/>
  <c r="O990" i="3"/>
  <c r="L991" i="3"/>
  <c r="O339" i="4"/>
  <c r="K351" i="3"/>
  <c r="O351" i="3" s="1"/>
  <c r="L1052" i="3"/>
  <c r="O1050" i="3"/>
  <c r="K118" i="3"/>
  <c r="O1052" i="3" l="1"/>
  <c r="O991" i="3"/>
  <c r="O525" i="3"/>
  <c r="L992" i="3"/>
  <c r="L993" i="3" l="1"/>
  <c r="O993" i="3" s="1"/>
  <c r="O992" i="3"/>
  <c r="BA25" i="1" l="1"/>
  <c r="AV25" i="1"/>
  <c r="AT25" i="1"/>
  <c r="AQ25" i="1"/>
  <c r="AP25" i="1"/>
  <c r="AZ25" i="1"/>
  <c r="AY25" i="1"/>
  <c r="AX25" i="1"/>
  <c r="AW25" i="1"/>
  <c r="AU25" i="1"/>
  <c r="AS25" i="1"/>
  <c r="AR25" i="1"/>
  <c r="AO25" i="1"/>
  <c r="BB25" i="1"/>
  <c r="L59" i="3" l="1"/>
  <c r="L177" i="3" l="1"/>
  <c r="L118" i="3"/>
  <c r="K236" i="3"/>
  <c r="K294" i="3" l="1"/>
  <c r="K352" i="3"/>
  <c r="K410" i="3" l="1"/>
  <c r="L236" i="3"/>
  <c r="L410" i="3"/>
  <c r="L526" i="3" l="1"/>
  <c r="L468" i="3"/>
  <c r="L294" i="3"/>
  <c r="L352" i="3"/>
  <c r="K468" i="3"/>
  <c r="K526" i="3"/>
  <c r="K584" i="3"/>
  <c r="K700" i="3" l="1"/>
  <c r="K642" i="3"/>
  <c r="L584" i="3"/>
  <c r="L642" i="3" l="1"/>
  <c r="L700" i="3"/>
  <c r="K758" i="3"/>
  <c r="K876" i="3" l="1"/>
  <c r="K817" i="3"/>
  <c r="L758" i="3"/>
  <c r="L817" i="3" l="1"/>
  <c r="L876" i="3"/>
  <c r="L935" i="3"/>
  <c r="L1053" i="3" l="1"/>
  <c r="L994" i="3"/>
  <c r="L1113" i="3"/>
  <c r="O994" i="3" l="1"/>
  <c r="O1053" i="3"/>
  <c r="L1231" i="3"/>
  <c r="L1172" i="3"/>
</calcChain>
</file>

<file path=xl/sharedStrings.xml><?xml version="1.0" encoding="utf-8"?>
<sst xmlns="http://schemas.openxmlformats.org/spreadsheetml/2006/main" count="809" uniqueCount="183">
  <si>
    <t>US SOYBEAN BALANCE SHEET (million bushels/million acres)</t>
  </si>
  <si>
    <t>Planted Acres</t>
  </si>
  <si>
    <t>Harvested Acres</t>
  </si>
  <si>
    <t>Yield</t>
  </si>
  <si>
    <t>Beginning Stocks (Sep. 1)</t>
  </si>
  <si>
    <t>Production</t>
  </si>
  <si>
    <t>Imports</t>
  </si>
  <si>
    <t xml:space="preserve">  Total Supply</t>
  </si>
  <si>
    <t>Crush</t>
  </si>
  <si>
    <t>Exports</t>
  </si>
  <si>
    <t>Seed</t>
  </si>
  <si>
    <t>Residual</t>
  </si>
  <si>
    <t xml:space="preserve">  Total Use</t>
  </si>
  <si>
    <t>Ending Stocks (Aug. 1)</t>
  </si>
  <si>
    <t>Stocks/Use</t>
  </si>
  <si>
    <t>On Farm Stocks</t>
  </si>
  <si>
    <t>Commercial Stocks</t>
  </si>
  <si>
    <t>Outstanding Loan</t>
  </si>
  <si>
    <t>Reserve</t>
  </si>
  <si>
    <t>CCC</t>
  </si>
  <si>
    <t xml:space="preserve">  Government</t>
  </si>
  <si>
    <t xml:space="preserve">  Non-Government</t>
  </si>
  <si>
    <t>Farm Price ($/bu)</t>
  </si>
  <si>
    <t>MYA Futures ($/bu)</t>
  </si>
  <si>
    <t>Free Ending Stocks/Use</t>
  </si>
  <si>
    <t>Sep 1 Free Supply</t>
  </si>
  <si>
    <t>Supply/Use</t>
  </si>
  <si>
    <t>Free Supply/Use</t>
  </si>
  <si>
    <t>Supply/Use (t--1)</t>
  </si>
  <si>
    <t>Free Supply/Use(t-1)</t>
  </si>
  <si>
    <t>Stk/Use x Sup/Use(t-1)</t>
  </si>
  <si>
    <t>Ending Stock Change</t>
  </si>
  <si>
    <t>Feed Grain Stocks/Use</t>
  </si>
  <si>
    <t>Sep-Nov Use/Supply</t>
  </si>
  <si>
    <t>Dec-Feb Use/Supply</t>
  </si>
  <si>
    <t>Sep-Feb Use/Supply</t>
  </si>
  <si>
    <t>20% S/U Yield</t>
  </si>
  <si>
    <t>Trend Yield</t>
  </si>
  <si>
    <t>Yield Needed vs Trend</t>
  </si>
  <si>
    <t>Projected Point</t>
  </si>
  <si>
    <t>Free Corn Carryin+Feed Grain Production-SON Exports/GCAU</t>
  </si>
  <si>
    <t>Mar 1 Stocks/Sep-Feb Use</t>
  </si>
  <si>
    <t>Sep 1 US &amp; SA Stocks'</t>
  </si>
  <si>
    <t>Sep 1 US &amp; SA Supplies</t>
  </si>
  <si>
    <t>Dec 1 US &amp; SA Stocks</t>
  </si>
  <si>
    <t>Mar 1 US &amp; SA Stocks</t>
  </si>
  <si>
    <t>Mar 1 US &amp; SA Supplies</t>
  </si>
  <si>
    <t>Jun 1 US &amp; SA Stocks</t>
  </si>
  <si>
    <t>Sep 1 US &amp; SA Stocks</t>
  </si>
  <si>
    <t>SON Use</t>
  </si>
  <si>
    <t>DJF Use</t>
  </si>
  <si>
    <t>MAM Use</t>
  </si>
  <si>
    <t>JJA Use</t>
  </si>
  <si>
    <t>Sep/Aug US &amp; SA Use</t>
  </si>
  <si>
    <t>Sep 1 US &amp; SA Supplies/SON Use</t>
  </si>
  <si>
    <t>Sep 1 US &amp; SA Supplies/Sep-Feb Use</t>
  </si>
  <si>
    <t>Sep 1 US &amp; SA Supplies/Mar-Aug Use</t>
  </si>
  <si>
    <t>Sep 1 US &amp; SA Supply/Use</t>
  </si>
  <si>
    <t>Dec 1 US &amp; SA Stocks/DJF Use</t>
  </si>
  <si>
    <t>Mar 1 US &amp; SA Stocks/MAM Use</t>
  </si>
  <si>
    <t>Mar 1 US &amp; SA Stocks/Mar-Aug Use</t>
  </si>
  <si>
    <t>Mar 1 US &amp; SA Supplies/MAM Use</t>
  </si>
  <si>
    <t>Mar 1 US &amp; SA Supplies/Mar-Aug Use</t>
  </si>
  <si>
    <t>Mar 1 US &amp; SA Supplies/Sep-Feb Use</t>
  </si>
  <si>
    <t>Mar 1 US &amp; SA Supply/Use</t>
  </si>
  <si>
    <t>Jun 1 US &amp; SA Stocks/JJA Use</t>
  </si>
  <si>
    <t>Sep 1 US &amp; SA Stocks/Use</t>
  </si>
  <si>
    <t>Mar 1 Stocks/Sep-Feb Use x Mar 1 US &amp; SA Supplies/Sep-Feb Use</t>
  </si>
  <si>
    <t>US SOYBEAN QUARTERLY BALANCE (Million Bushels)</t>
  </si>
  <si>
    <t>SEP-NOV</t>
  </si>
  <si>
    <t>Carryin (Sep 1)</t>
  </si>
  <si>
    <t>Stocks (Dec 1)</t>
  </si>
  <si>
    <t>On Farms</t>
  </si>
  <si>
    <t>Off Farms</t>
  </si>
  <si>
    <t>Farm Price ($/Bu)</t>
  </si>
  <si>
    <t>DEC-FEB</t>
  </si>
  <si>
    <t>.</t>
  </si>
  <si>
    <t>Stocks (Mar 1)</t>
  </si>
  <si>
    <t>MAR-MAY</t>
  </si>
  <si>
    <t>Stocks (Jun 1)</t>
  </si>
  <si>
    <t>JUN-AUG</t>
  </si>
  <si>
    <t>Stocks (Sep 1)</t>
  </si>
  <si>
    <t>USDA Total Use Forecast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</si>
  <si>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</si>
  <si>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</si>
  <si>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</si>
  <si>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</si>
  <si>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</si>
  <si>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</si>
  <si>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</si>
  <si>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</si>
  <si>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</si>
  <si>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</si>
  <si>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</si>
  <si>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</si>
  <si>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 xml:space="preserve">73/74 </t>
  </si>
  <si>
    <t xml:space="preserve">74/75 </t>
  </si>
  <si>
    <t xml:space="preserve">75/76 </t>
  </si>
  <si>
    <t xml:space="preserve">76/77 </t>
  </si>
  <si>
    <t xml:space="preserve">77/78 </t>
  </si>
  <si>
    <t xml:space="preserve">78/79 </t>
  </si>
  <si>
    <t xml:space="preserve">79/80 </t>
  </si>
  <si>
    <t xml:space="preserve">80/81 </t>
  </si>
  <si>
    <t xml:space="preserve">81/82 </t>
  </si>
  <si>
    <t xml:space="preserve">82/83 </t>
  </si>
  <si>
    <t xml:space="preserve">83/84 </t>
  </si>
  <si>
    <t xml:space="preserve">84/85 </t>
  </si>
  <si>
    <t xml:space="preserve">85/86 </t>
  </si>
  <si>
    <t xml:space="preserve">86/87 </t>
  </si>
  <si>
    <t xml:space="preserve">87/88 </t>
  </si>
  <si>
    <t xml:space="preserve">88/89 </t>
  </si>
  <si>
    <t xml:space="preserve">89/90 </t>
  </si>
  <si>
    <t xml:space="preserve">90/91 </t>
  </si>
  <si>
    <t xml:space="preserve">91/92 </t>
  </si>
  <si>
    <t xml:space="preserve">92/93 </t>
  </si>
  <si>
    <t xml:space="preserve">93/94 </t>
  </si>
  <si>
    <t xml:space="preserve">94/95 </t>
  </si>
  <si>
    <t xml:space="preserve">95/96 </t>
  </si>
  <si>
    <t xml:space="preserve">96/97 </t>
  </si>
  <si>
    <t xml:space="preserve">97/98 </t>
  </si>
  <si>
    <t xml:space="preserve">98/99 </t>
  </si>
  <si>
    <t xml:space="preserve">99/00 </t>
  </si>
  <si>
    <t xml:space="preserve">00/01 </t>
  </si>
  <si>
    <t xml:space="preserve">01/02 </t>
  </si>
  <si>
    <t xml:space="preserve">02/03 </t>
  </si>
  <si>
    <t xml:space="preserve">03/04 </t>
  </si>
  <si>
    <t xml:space="preserve">04/05 </t>
  </si>
  <si>
    <t xml:space="preserve">05/06 </t>
  </si>
  <si>
    <t xml:space="preserve">06/07 </t>
  </si>
  <si>
    <t xml:space="preserve">07/08 </t>
  </si>
  <si>
    <t xml:space="preserve">08/09 </t>
  </si>
  <si>
    <t xml:space="preserve">09/10 </t>
  </si>
  <si>
    <t xml:space="preserve">10/11 </t>
  </si>
  <si>
    <t xml:space="preserve">11/12 </t>
  </si>
  <si>
    <t xml:space="preserve">12/13 </t>
  </si>
  <si>
    <t xml:space="preserve">13/14 </t>
  </si>
  <si>
    <t xml:space="preserve">14/15 </t>
  </si>
  <si>
    <t xml:space="preserve">15/16 </t>
  </si>
  <si>
    <t xml:space="preserve">16/17 </t>
  </si>
  <si>
    <t xml:space="preserve">17/18 </t>
  </si>
  <si>
    <t xml:space="preserve">18/19 </t>
  </si>
  <si>
    <t xml:space="preserve">19/20 </t>
  </si>
  <si>
    <t xml:space="preserve">20/21 </t>
  </si>
  <si>
    <t xml:space="preserve">21/22 </t>
  </si>
  <si>
    <t>USDA Ending Stocks Forecast</t>
  </si>
  <si>
    <t>Final</t>
  </si>
  <si>
    <t xml:space="preserve">70/71 </t>
  </si>
  <si>
    <t xml:space="preserve">71/72 </t>
  </si>
  <si>
    <t xml:space="preserve">72/73 </t>
  </si>
  <si>
    <t>USDA Stocks-to-Use Implied by Forecasts</t>
  </si>
  <si>
    <t>Monthly Farm Price</t>
  </si>
  <si>
    <t>Average</t>
  </si>
  <si>
    <t>Wtd Avg</t>
  </si>
  <si>
    <t>Central Illinois Processor</t>
  </si>
  <si>
    <t>November Futures Average</t>
  </si>
  <si>
    <t>Contract Year</t>
  </si>
  <si>
    <t>November Futures High</t>
  </si>
  <si>
    <t>November Futures Low</t>
  </si>
  <si>
    <t>January Futures Average</t>
  </si>
  <si>
    <t>January Futures High</t>
  </si>
  <si>
    <t>January Futures Low</t>
  </si>
  <si>
    <t>March Futures Average</t>
  </si>
  <si>
    <t>March Futures High</t>
  </si>
  <si>
    <t>March Futures Low</t>
  </si>
  <si>
    <t>May Futures Average</t>
  </si>
  <si>
    <t>May Futures High</t>
  </si>
  <si>
    <t>May Futures Low</t>
  </si>
  <si>
    <t>July Futures Average</t>
  </si>
  <si>
    <t>July Futures High</t>
  </si>
  <si>
    <t>July Futures Low</t>
  </si>
  <si>
    <t>August Futures Average</t>
  </si>
  <si>
    <t>August Futures High</t>
  </si>
  <si>
    <t>August Futures Low</t>
  </si>
  <si>
    <t>September Futures Average</t>
  </si>
  <si>
    <t>September Futures High</t>
  </si>
  <si>
    <t>September Futures Low</t>
  </si>
  <si>
    <t>Jul - Nov Spread Average</t>
  </si>
  <si>
    <t>Jul - Nov Spread High</t>
  </si>
  <si>
    <t>Jul - Nov Spread Low</t>
  </si>
  <si>
    <t>Nov - Jan Spread Average</t>
  </si>
  <si>
    <t>Nov - Jan Spread High</t>
  </si>
  <si>
    <t>Nov - Jan Spread Low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</si>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</sst>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,##0.0_);[Red]\(#,##0.0\)"/>
    <numFmt numFmtId="165" formatCode="0.0%"/>
    <numFmt numFmtId="166" formatCode="0.00_);[Red]\(0.00\)"/>
    <numFmt numFmtId="167" formatCode="&quot;$&quot;#,##0.00"/>
    <numFmt numFmtId="168" formatCode="General_)"/>
  </numFmts>
  <fonts count="11" x14ac:knownFonts="1">
    <font>
      <sz val="10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0"/>
      <name val="Arial Narrow"/>
      <family val="2"/>
    </font>
    <font>
      <sz val="10"/>
      <name val="Arial"/>
      <family val="2"/>
    </font>
    <font>
      <sz val="10"/>
      <color rgb="FFFF0000"/>
      <name val="Arial Narrow"/>
      <family val="2"/>
    </font>
    <font>
      <b/>
      <sz val="10"/>
      <name val="Arial Narrow"/>
      <family val="2"/>
    </font>
    <font>
      <b/>
      <sz val="12"/>
      <name val="Arial Narrow"/>
      <family val="2"/>
    </font>
    <font>
      <b/>
      <sz val="8"/>
      <name val="Arial Narrow"/>
      <family val="2"/>
    </font>
    <font>
      <b/>
      <sz val="10"/>
      <color rgb="FFFF0000"/>
      <name val="Arial Narrow"/>
      <family val="2"/>
    </font>
    <font>
      <b/>
      <sz val="12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505A5B"/>
      </top>
      <bottom style="medium">
        <color rgb="FF505A5B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rgb="FF505A5B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4" fillId="0" borderId="0"/>
  </cellStyleXfs>
  <cellXfs count="57">
    <xf numFmtId="0" fontId="0" fillId="0" borderId="0" xfId="0"/>
    <xf numFmtId="0" fontId="2" fillId="0" borderId="0" xfId="0" applyFont="1"/>
    <xf numFmtId="0" fontId="0" fillId="0" borderId="1" xfId="0" applyBorder="1"/>
    <xf numFmtId="38" fontId="0" fillId="0" borderId="1" xfId="0" applyNumberFormat="1" applyBorder="1"/>
    <xf numFmtId="164" fontId="3" fillId="0" borderId="0" xfId="1" applyNumberFormat="1" applyFont="1" applyFill="1" applyBorder="1" applyAlignment="1" applyProtection="1">
      <alignment horizontal="right"/>
    </xf>
    <xf numFmtId="164" fontId="3" fillId="0" borderId="2" xfId="1" quotePrefix="1" applyNumberFormat="1" applyFont="1" applyFill="1" applyBorder="1" applyAlignment="1" applyProtection="1">
      <alignment horizontal="right"/>
    </xf>
    <xf numFmtId="0" fontId="0" fillId="0" borderId="3" xfId="0" applyBorder="1"/>
    <xf numFmtId="38" fontId="3" fillId="0" borderId="0" xfId="1" applyNumberFormat="1" applyFont="1" applyFill="1" applyBorder="1" applyAlignment="1" applyProtection="1">
      <alignment horizontal="right"/>
    </xf>
    <xf numFmtId="38" fontId="3" fillId="0" borderId="2" xfId="1" applyNumberFormat="1" applyFont="1" applyFill="1" applyBorder="1" applyAlignment="1" applyProtection="1">
      <alignment horizontal="right"/>
    </xf>
    <xf numFmtId="38" fontId="3" fillId="0" borderId="0" xfId="1" quotePrefix="1" applyNumberFormat="1" applyFont="1" applyFill="1" applyBorder="1" applyAlignment="1" applyProtection="1">
      <alignment horizontal="right"/>
    </xf>
    <xf numFmtId="165" fontId="1" fillId="0" borderId="0" xfId="2" applyNumberFormat="1" applyFont="1"/>
    <xf numFmtId="38" fontId="0" fillId="0" borderId="0" xfId="0" applyNumberFormat="1"/>
    <xf numFmtId="166" fontId="0" fillId="0" borderId="0" xfId="0" applyNumberFormat="1"/>
    <xf numFmtId="40" fontId="0" fillId="0" borderId="0" xfId="0" applyNumberFormat="1"/>
    <xf numFmtId="38" fontId="4" fillId="0" borderId="0" xfId="1" quotePrefix="1" applyNumberFormat="1" applyFont="1" applyFill="1" applyBorder="1" applyAlignment="1">
      <alignment horizontal="left"/>
    </xf>
    <xf numFmtId="9" fontId="0" fillId="0" borderId="0" xfId="0" applyNumberFormat="1"/>
    <xf numFmtId="3" fontId="0" fillId="0" borderId="0" xfId="0" applyNumberFormat="1"/>
    <xf numFmtId="167" fontId="0" fillId="0" borderId="0" xfId="0" applyNumberFormat="1"/>
    <xf numFmtId="0" fontId="2" fillId="0" borderId="4" xfId="0" applyFont="1" applyBorder="1"/>
    <xf numFmtId="0" fontId="0" fillId="0" borderId="4" xfId="0" applyBorder="1"/>
    <xf numFmtId="38" fontId="0" fillId="0" borderId="4" xfId="0" applyNumberFormat="1" applyBorder="1"/>
    <xf numFmtId="0" fontId="2" fillId="0" borderId="1" xfId="0" applyFont="1" applyBorder="1" applyAlignment="1">
      <alignment horizontal="right"/>
    </xf>
    <xf numFmtId="0" fontId="0" fillId="0" borderId="1" xfId="0" applyBorder="1" applyAlignment="1">
      <alignment horizontal="center" vertical="center"/>
    </xf>
    <xf numFmtId="168" fontId="3" fillId="0" borderId="0" xfId="3" applyFont="1" applyAlignment="1">
      <alignment horizontal="right"/>
    </xf>
    <xf numFmtId="168" fontId="3" fillId="0" borderId="0" xfId="3" quotePrefix="1" applyFont="1" applyAlignment="1">
      <alignment horizontal="right"/>
    </xf>
    <xf numFmtId="38" fontId="5" fillId="0" borderId="0" xfId="0" applyNumberFormat="1" applyFont="1"/>
    <xf numFmtId="38" fontId="2" fillId="0" borderId="0" xfId="0" applyNumberFormat="1" applyFont="1"/>
    <xf numFmtId="168" fontId="6" fillId="0" borderId="1" xfId="3" applyFont="1" applyBorder="1" applyAlignment="1">
      <alignment horizontal="right"/>
    </xf>
    <xf numFmtId="0" fontId="0" fillId="0" borderId="0" xfId="0" applyAlignment="1">
      <alignment horizontal="center" vertical="center"/>
    </xf>
    <xf numFmtId="165" fontId="0" fillId="0" borderId="0" xfId="0" applyNumberFormat="1"/>
    <xf numFmtId="165" fontId="2" fillId="0" borderId="0" xfId="0" applyNumberFormat="1" applyFont="1"/>
    <xf numFmtId="168" fontId="0" fillId="0" borderId="0" xfId="0" applyNumberFormat="1" applyAlignment="1">
      <alignment horizontal="right"/>
    </xf>
    <xf numFmtId="0" fontId="0" fillId="0" borderId="1" xfId="0" applyBorder="1" applyAlignment="1">
      <alignment horizontal="center"/>
    </xf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40" fontId="2" fillId="0" borderId="0" xfId="0" applyNumberFormat="1" applyFont="1"/>
    <xf numFmtId="166" fontId="2" fillId="0" borderId="0" xfId="0" applyNumberFormat="1" applyFont="1"/>
    <xf numFmtId="168" fontId="6" fillId="0" borderId="0" xfId="3" applyFont="1" applyAlignment="1">
      <alignment horizontal="left"/>
    </xf>
    <xf numFmtId="43" fontId="0" fillId="0" borderId="0" xfId="0" applyNumberFormat="1"/>
    <xf numFmtId="43" fontId="2" fillId="0" borderId="0" xfId="0" applyNumberFormat="1" applyFont="1"/>
    <xf numFmtId="168" fontId="7" fillId="0" borderId="0" xfId="3" quotePrefix="1" applyFont="1" applyAlignment="1">
      <alignment horizontal="left"/>
    </xf>
    <xf numFmtId="1" fontId="3" fillId="0" borderId="0" xfId="3" applyNumberFormat="1" applyFont="1"/>
    <xf numFmtId="168" fontId="8" fillId="0" borderId="0" xfId="3" quotePrefix="1" applyFont="1" applyAlignment="1">
      <alignment horizontal="left"/>
    </xf>
    <xf numFmtId="43" fontId="3" fillId="0" borderId="0" xfId="1" applyFont="1" applyFill="1" applyProtection="1"/>
    <xf numFmtId="0" fontId="3" fillId="0" borderId="0" xfId="1" applyNumberFormat="1" applyFont="1" applyFill="1" applyAlignment="1" applyProtection="1">
      <alignment horizontal="left"/>
    </xf>
    <xf numFmtId="40" fontId="3" fillId="0" borderId="0" xfId="1" applyNumberFormat="1" applyFont="1" applyFill="1" applyProtection="1"/>
    <xf numFmtId="40" fontId="9" fillId="0" borderId="0" xfId="1" applyNumberFormat="1" applyFont="1" applyFill="1" applyProtection="1"/>
    <xf numFmtId="38" fontId="7" fillId="0" borderId="0" xfId="1" quotePrefix="1" applyNumberFormat="1" applyFont="1" applyFill="1" applyAlignment="1">
      <alignment horizontal="left"/>
    </xf>
    <xf numFmtId="168" fontId="3" fillId="0" borderId="0" xfId="3" applyFont="1" applyAlignment="1">
      <alignment horizontal="left"/>
    </xf>
    <xf numFmtId="40" fontId="3" fillId="0" borderId="0" xfId="0" applyNumberFormat="1" applyFont="1"/>
    <xf numFmtId="40" fontId="9" fillId="0" borderId="0" xfId="0" applyNumberFormat="1" applyFont="1"/>
    <xf numFmtId="0" fontId="10" fillId="0" borderId="0" xfId="0" applyFont="1"/>
    <xf numFmtId="2" fontId="0" fillId="0" borderId="0" xfId="0" applyNumberFormat="1"/>
    <xf numFmtId="40" fontId="5" fillId="0" borderId="0" xfId="0" applyNumberFormat="1" applyFont="1"/>
    <xf numFmtId="3" fontId="3" fillId="0" borderId="0" xfId="1" applyNumberFormat="1" applyFont="1" applyFill="1" applyProtection="1"/>
    <xf numFmtId="3" fontId="6" fillId="0" borderId="0" xfId="1" applyNumberFormat="1" applyFont="1" applyFill="1" applyProtection="1"/>
    <xf numFmtId="40" fontId="0" fillId="2" borderId="0" xfId="0" applyNumberFormat="1" applyFill="1"/>
  </cellXfs>
  <cellStyles count="4">
    <cellStyle name="Comma" xfId="1" builtinId="3"/>
    <cellStyle name="Normal" xfId="0" builtinId="0"/>
    <cellStyle name="Normal_Charts.XLS" xfId="3" xr:uid="{F323352F-FB17-41EB-8CD6-48BD434B2283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4.xml"/><Relationship Id="rId13" Type="http://schemas.openxmlformats.org/officeDocument/2006/relationships/chartsheet" Target="chartsheets/sheet9.xml"/><Relationship Id="rId18" Type="http://schemas.openxmlformats.org/officeDocument/2006/relationships/chartsheet" Target="chartsheets/sheet14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chartsheet" Target="chartsheets/sheet3.xml"/><Relationship Id="rId12" Type="http://schemas.openxmlformats.org/officeDocument/2006/relationships/chartsheet" Target="chartsheets/sheet8.xml"/><Relationship Id="rId17" Type="http://schemas.openxmlformats.org/officeDocument/2006/relationships/chartsheet" Target="chartsheets/sheet13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2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chartsheet" Target="chartsheets/sheet7.xml"/><Relationship Id="rId24" Type="http://schemas.openxmlformats.org/officeDocument/2006/relationships/sharedStrings" Target="sharedStrings.xml"/><Relationship Id="rId5" Type="http://schemas.openxmlformats.org/officeDocument/2006/relationships/chartsheet" Target="chartsheets/sheet1.xml"/><Relationship Id="rId15" Type="http://schemas.openxmlformats.org/officeDocument/2006/relationships/chartsheet" Target="chartsheets/sheet11.xml"/><Relationship Id="rId23" Type="http://schemas.openxmlformats.org/officeDocument/2006/relationships/styles" Target="styles.xml"/><Relationship Id="rId10" Type="http://schemas.openxmlformats.org/officeDocument/2006/relationships/chartsheet" Target="chartsheets/sheet6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5.xml"/><Relationship Id="rId14" Type="http://schemas.openxmlformats.org/officeDocument/2006/relationships/chartsheet" Target="chartsheets/sheet10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000">
                <a:solidFill>
                  <a:sysClr val="windowText" lastClr="000000"/>
                </a:solidFill>
              </a:rPr>
              <a:t>SQ Average Price in July versus Stocks-to-Use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2703558650084797E-2"/>
          <c:y val="0.10587402231223401"/>
          <c:w val="0.86601356709922583"/>
          <c:h val="0.79398020918719137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rgbClr val="D7BA2F"/>
              </a:solidFill>
              <a:ln w="15875">
                <a:solidFill>
                  <a:srgbClr val="C4722E"/>
                </a:solidFill>
              </a:ln>
              <a:effectLst/>
            </c:spPr>
          </c:marker>
          <c:dLbls>
            <c:dLbl>
              <c:idx val="0"/>
              <c:tx>
                <c:strRef>
                  <c:f>'Balance Sheet Data'!$A$286</c:f>
                  <c:strCache>
                    <c:ptCount val="1"/>
                    <c:pt idx="0">
                      <c:v>04/05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{54B624F7-CD4C-4B98-AB09-AA33EAA384DC}</c15:txfldGUID>
                      <c15:f>'Balance Sheet Data'!$A$286</c15:f>
                      <c15:dlblFieldTableCache>
                        <c:ptCount val="1"/>
                        <c:pt idx="0">
                          <c:v>04/05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44D2-4E3F-A4FA-BA62591BB862}"/>
                </c:ext>
              </c:extLst>
            </c:dLbl>
            <c:dLbl>
              <c:idx val="1"/>
              <c:tx>
                <c:strRef>
                  <c:f>'Balance Sheet Data'!$A$287</c:f>
                  <c:strCache>
                    <c:ptCount val="1"/>
                    <c:pt idx="0">
                      <c:v>05/06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{EECBB002-B86C-4335-A8D5-D1F8BD9F7F03}</c15:txfldGUID>
                      <c15:f>'Balance Sheet Data'!$A$287</c15:f>
                      <c15:dlblFieldTableCache>
                        <c:ptCount val="1"/>
                        <c:pt idx="0">
                          <c:v>05/06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44D2-4E3F-A4FA-BA62591BB862}"/>
                </c:ext>
              </c:extLst>
            </c:dLbl>
            <c:dLbl>
              <c:idx val="2"/>
              <c:tx>
                <c:strRef>
                  <c:f>'Balance Sheet Data'!$A$288</c:f>
                  <c:strCache>
                    <c:ptCount val="1"/>
                    <c:pt idx="0">
                      <c:v>06/07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{2259609D-FE91-4289-B644-BB05E83DE60C}</c15:txfldGUID>
                      <c15:f>'Balance Sheet Data'!$A$288</c15:f>
                      <c15:dlblFieldTableCache>
                        <c:ptCount val="1"/>
                        <c:pt idx="0">
                          <c:v>06/07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44D2-4E3F-A4FA-BA62591BB862}"/>
                </c:ext>
              </c:extLst>
            </c:dLbl>
            <c:dLbl>
              <c:idx val="3"/>
              <c:tx>
                <c:strRef>
                  <c:f>'Balance Sheet Data'!$A$289</c:f>
                  <c:strCache>
                    <c:ptCount val="1"/>
                    <c:pt idx="0">
                      <c:v>07/08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{180AA272-DBE3-4278-96F2-7994FA65D6F9}</c15:txfldGUID>
                      <c15:f>'Balance Sheet Data'!$A$289</c15:f>
                      <c15:dlblFieldTableCache>
                        <c:ptCount val="1"/>
                        <c:pt idx="0">
                          <c:v>07/08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44D2-4E3F-A4FA-BA62591BB862}"/>
                </c:ext>
              </c:extLst>
            </c:dLbl>
            <c:dLbl>
              <c:idx val="4"/>
              <c:tx>
                <c:strRef>
                  <c:f>'Balance Sheet Data'!$A$290</c:f>
                  <c:strCache>
                    <c:ptCount val="1"/>
                    <c:pt idx="0">
                      <c:v>08/09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{7ADAA7F8-6F42-4F61-85D7-B997C54ECA22}</c15:txfldGUID>
                      <c15:f>'Balance Sheet Data'!$A$290</c15:f>
                      <c15:dlblFieldTableCache>
                        <c:ptCount val="1"/>
                        <c:pt idx="0">
                          <c:v>08/09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44D2-4E3F-A4FA-BA62591BB862}"/>
                </c:ext>
              </c:extLst>
            </c:dLbl>
            <c:dLbl>
              <c:idx val="5"/>
              <c:tx>
                <c:strRef>
                  <c:f>'Balance Sheet Data'!$A$291</c:f>
                  <c:strCache>
                    <c:ptCount val="1"/>
                    <c:pt idx="0">
                      <c:v>09/10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{8F16CEC7-C25F-43E8-8A00-D8111DA5A977}</c15:txfldGUID>
                      <c15:f>'Balance Sheet Data'!$A$291</c15:f>
                      <c15:dlblFieldTableCache>
                        <c:ptCount val="1"/>
                        <c:pt idx="0">
                          <c:v>09/10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44D2-4E3F-A4FA-BA62591BB862}"/>
                </c:ext>
              </c:extLst>
            </c:dLbl>
            <c:dLbl>
              <c:idx val="6"/>
              <c:tx>
                <c:strRef>
                  <c:f>'Balance Sheet Data'!$A$292</c:f>
                  <c:strCache>
                    <c:ptCount val="1"/>
                    <c:pt idx="0">
                      <c:v>10/11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{0FC0EB23-CAED-40F8-B154-1A0F967CA341}</c15:txfldGUID>
                      <c15:f>'Balance Sheet Data'!$A$292</c15:f>
                      <c15:dlblFieldTableCache>
                        <c:ptCount val="1"/>
                        <c:pt idx="0">
                          <c:v>10/11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44D2-4E3F-A4FA-BA62591BB862}"/>
                </c:ext>
              </c:extLst>
            </c:dLbl>
            <c:dLbl>
              <c:idx val="7"/>
              <c:tx>
                <c:strRef>
                  <c:f>'Balance Sheet Data'!$A$293</c:f>
                  <c:strCache>
                    <c:ptCount val="1"/>
                    <c:pt idx="0">
                      <c:v>11/12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{3D159D1E-3334-4595-9242-1EC78976A9C2}</c15:txfldGUID>
                      <c15:f>'Balance Sheet Data'!$A$293</c15:f>
                      <c15:dlblFieldTableCache>
                        <c:ptCount val="1"/>
                        <c:pt idx="0">
                          <c:v>11/12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44D2-4E3F-A4FA-BA62591BB862}"/>
                </c:ext>
              </c:extLst>
            </c:dLbl>
            <c:dLbl>
              <c:idx val="8"/>
              <c:tx>
                <c:strRef>
                  <c:f>'Balance Sheet Data'!$A$294</c:f>
                  <c:strCache>
                    <c:ptCount val="1"/>
                    <c:pt idx="0">
                      <c:v>12/13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{926B3286-108C-4325-82AE-0D53EE46404E}</c15:txfldGUID>
                      <c15:f>'Balance Sheet Data'!$A$294</c15:f>
                      <c15:dlblFieldTableCache>
                        <c:ptCount val="1"/>
                        <c:pt idx="0">
                          <c:v>12/13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44D2-4E3F-A4FA-BA62591BB862}"/>
                </c:ext>
              </c:extLst>
            </c:dLbl>
            <c:dLbl>
              <c:idx val="9"/>
              <c:tx>
                <c:strRef>
                  <c:f>'Balance Sheet Data'!$A$295</c:f>
                  <c:strCache>
                    <c:ptCount val="1"/>
                    <c:pt idx="0">
                      <c:v>13/14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{D05326E6-5338-4BA6-9578-F254354749D6}</c15:txfldGUID>
                      <c15:f>'Balance Sheet Data'!$A$295</c15:f>
                      <c15:dlblFieldTableCache>
                        <c:ptCount val="1"/>
                        <c:pt idx="0">
                          <c:v>13/14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44D2-4E3F-A4FA-BA62591BB862}"/>
                </c:ext>
              </c:extLst>
            </c:dLbl>
            <c:dLbl>
              <c:idx val="10"/>
              <c:tx>
                <c:strRef>
                  <c:f>'Balance Sheet Data'!$A$296</c:f>
                  <c:strCache>
                    <c:ptCount val="1"/>
                    <c:pt idx="0">
                      <c:v>14/15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{9E97ED58-A132-40CE-A6F3-BB8AB1487A23}</c15:txfldGUID>
                      <c15:f>'Balance Sheet Data'!$A$296</c15:f>
                      <c15:dlblFieldTableCache>
                        <c:ptCount val="1"/>
                        <c:pt idx="0">
                          <c:v>14/15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44D2-4E3F-A4FA-BA62591BB862}"/>
                </c:ext>
              </c:extLst>
            </c:dLbl>
            <c:dLbl>
              <c:idx val="11"/>
              <c:tx>
                <c:strRef>
                  <c:f>'Balance Sheet Data'!$A$297</c:f>
                  <c:strCache>
                    <c:ptCount val="1"/>
                    <c:pt idx="0">
                      <c:v>15/16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{361BBCE1-FE32-40A8-8E76-C55B83D14CFF}</c15:txfldGUID>
                      <c15:f>'Balance Sheet Data'!$A$297</c15:f>
                      <c15:dlblFieldTableCache>
                        <c:ptCount val="1"/>
                        <c:pt idx="0">
                          <c:v>15/16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44D2-4E3F-A4FA-BA62591BB862}"/>
                </c:ext>
              </c:extLst>
            </c:dLbl>
            <c:dLbl>
              <c:idx val="12"/>
              <c:tx>
                <c:strRef>
                  <c:f>'Balance Sheet Data'!$A$298</c:f>
                  <c:strCache>
                    <c:ptCount val="1"/>
                    <c:pt idx="0">
                      <c:v>16/17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{322F7F5E-8E85-4FC4-A027-A0EFCA1FC575}</c15:txfldGUID>
                      <c15:f>'Balance Sheet Data'!$A$298</c15:f>
                      <c15:dlblFieldTableCache>
                        <c:ptCount val="1"/>
                        <c:pt idx="0">
                          <c:v>16/17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44D2-4E3F-A4FA-BA62591BB862}"/>
                </c:ext>
              </c:extLst>
            </c:dLbl>
            <c:dLbl>
              <c:idx val="13"/>
              <c:tx>
                <c:strRef>
                  <c:f>'Balance Sheet Data'!$A$299</c:f>
                  <c:strCache>
                    <c:ptCount val="1"/>
                    <c:pt idx="0">
                      <c:v>17/18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{9737BC8B-18D4-49A7-BF82-6ABDB47DD6F3}</c15:txfldGUID>
                      <c15:f>'Balance Sheet Data'!$A$299</c15:f>
                      <c15:dlblFieldTableCache>
                        <c:ptCount val="1"/>
                        <c:pt idx="0">
                          <c:v>17/18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44D2-4E3F-A4FA-BA62591BB862}"/>
                </c:ext>
              </c:extLst>
            </c:dLbl>
            <c:dLbl>
              <c:idx val="14"/>
              <c:tx>
                <c:strRef>
                  <c:f>'Balance Sheet Data'!$A$300</c:f>
                  <c:strCache>
                    <c:ptCount val="1"/>
                    <c:pt idx="0">
                      <c:v>18/19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{E60E9C7D-2809-44C6-99A9-D1A4981F2428}</c15:txfldGUID>
                      <c15:f>'Balance Sheet Data'!$A$300</c15:f>
                      <c15:dlblFieldTableCache>
                        <c:ptCount val="1"/>
                        <c:pt idx="0">
                          <c:v>18/19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44D2-4E3F-A4FA-BA62591BB862}"/>
                </c:ext>
              </c:extLst>
            </c:dLbl>
            <c:dLbl>
              <c:idx val="15"/>
              <c:tx>
                <c:strRef>
                  <c:f>'Balance Sheet Data'!$A$301</c:f>
                  <c:strCache>
                    <c:ptCount val="1"/>
                    <c:pt idx="0">
                      <c:v>19/20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{6B5900CC-8BA5-4090-88CD-CE98D13AFFF9}</c15:txfldGUID>
                      <c15:f>'Balance Sheet Data'!$A$301</c15:f>
                      <c15:dlblFieldTableCache>
                        <c:ptCount val="1"/>
                        <c:pt idx="0">
                          <c:v>19/20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44D2-4E3F-A4FA-BA62591BB862}"/>
                </c:ext>
              </c:extLst>
            </c:dLbl>
            <c:dLbl>
              <c:idx val="16"/>
              <c:tx>
                <c:strRef>
                  <c:f>'Balance Sheet Data'!$A$302</c:f>
                  <c:strCache>
                    <c:ptCount val="1"/>
                    <c:pt idx="0">
                      <c:v>20/21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C4722E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{8A3F15D7-5692-493A-B957-33FE573457DB}</c15:txfldGUID>
                      <c15:f>'Balance Sheet Data'!$A$302</c15:f>
                      <c15:dlblFieldTableCache>
                        <c:ptCount val="1"/>
                        <c:pt idx="0">
                          <c:v>20/21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44D2-4E3F-A4FA-BA62591BB862}"/>
                </c:ext>
              </c:extLst>
            </c:dLbl>
            <c:dLbl>
              <c:idx val="17"/>
              <c:tx>
                <c:strRef>
                  <c:f>'Balance Sheet Data'!$A$303</c:f>
                  <c:strCache>
                    <c:ptCount val="1"/>
                    <c:pt idx="0">
                      <c:v>21/22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C4722E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{0DF5711D-C65F-46A8-BE76-155D6470693F}</c15:txfldGUID>
                      <c15:f>'Balance Sheet Data'!$A$303</c15:f>
                      <c15:dlblFieldTableCache>
                        <c:ptCount val="1"/>
                        <c:pt idx="0">
                          <c:v>21/22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44D2-4E3F-A4FA-BA62591BB86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>
                        <a:lumMod val="6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8575" cap="rnd">
                <a:solidFill>
                  <a:srgbClr val="C4722E"/>
                </a:solidFill>
                <a:prstDash val="solid"/>
              </a:ln>
              <a:effectLst/>
            </c:spPr>
            <c:trendlineType val="power"/>
            <c:dispRSqr val="0"/>
            <c:dispEq val="0"/>
          </c:trendline>
          <c:errBars>
            <c:errDir val="y"/>
            <c:errBarType val="both"/>
            <c:errValType val="cust"/>
            <c:noEndCap val="0"/>
            <c:plus>
              <c:numRef>
                <c:f>'Futures Averages'!$O$1150:$O$1167</c:f>
                <c:numCache>
                  <c:formatCode>General</c:formatCode>
                  <c:ptCount val="18"/>
                  <c:pt idx="0">
                    <c:v>0.71032608999999969</c:v>
                  </c:pt>
                  <c:pt idx="1">
                    <c:v>0.36565217999999966</c:v>
                  </c:pt>
                  <c:pt idx="2">
                    <c:v>0.3693478300000006</c:v>
                  </c:pt>
                  <c:pt idx="3">
                    <c:v>1.2160714299999995</c:v>
                  </c:pt>
                  <c:pt idx="4">
                    <c:v>0.98488096000000169</c:v>
                  </c:pt>
                  <c:pt idx="5">
                    <c:v>0.32011364000000064</c:v>
                  </c:pt>
                  <c:pt idx="6">
                    <c:v>0.93478261000000096</c:v>
                  </c:pt>
                  <c:pt idx="7">
                    <c:v>0.99967391999999933</c:v>
                  </c:pt>
                  <c:pt idx="8">
                    <c:v>1.5244318200000002</c:v>
                  </c:pt>
                  <c:pt idx="9">
                    <c:v>0.86833333999999951</c:v>
                  </c:pt>
                  <c:pt idx="10">
                    <c:v>0.82380953000000012</c:v>
                  </c:pt>
                  <c:pt idx="11">
                    <c:v>0.38340909090909037</c:v>
                  </c:pt>
                  <c:pt idx="12">
                    <c:v>0.50956521739130345</c:v>
                  </c:pt>
                  <c:pt idx="13">
                    <c:v>0.4029347826086962</c:v>
                  </c:pt>
                  <c:pt idx="14">
                    <c:v>0.25113636363636438</c:v>
                  </c:pt>
                  <c:pt idx="15">
                    <c:v>0.66214285714285737</c:v>
                  </c:pt>
                  <c:pt idx="16">
                    <c:v>0.44183766233766342</c:v>
                  </c:pt>
                  <c:pt idx="17">
                    <c:v>1.2035233766233766</c:v>
                  </c:pt>
                </c:numCache>
              </c:numRef>
            </c:plus>
            <c:minus>
              <c:numRef>
                <c:f>'Futures Averages'!$O$1209:$O$1226</c:f>
                <c:numCache>
                  <c:formatCode>General</c:formatCode>
                  <c:ptCount val="18"/>
                  <c:pt idx="0">
                    <c:v>0.44467391000000056</c:v>
                  </c:pt>
                  <c:pt idx="1">
                    <c:v>0.21434781999999952</c:v>
                  </c:pt>
                  <c:pt idx="2">
                    <c:v>0.54565216999999944</c:v>
                  </c:pt>
                  <c:pt idx="3">
                    <c:v>1.156428570000001</c:v>
                  </c:pt>
                  <c:pt idx="4">
                    <c:v>0.89511903999999909</c:v>
                  </c:pt>
                  <c:pt idx="5">
                    <c:v>0.2823863599999985</c:v>
                  </c:pt>
                  <c:pt idx="6">
                    <c:v>0.86021738999999897</c:v>
                  </c:pt>
                  <c:pt idx="7">
                    <c:v>1.1053260800000011</c:v>
                  </c:pt>
                  <c:pt idx="8">
                    <c:v>1.1480681799999992</c:v>
                  </c:pt>
                  <c:pt idx="9">
                    <c:v>0.38166666000000049</c:v>
                  </c:pt>
                  <c:pt idx="10">
                    <c:v>0.5311904700000003</c:v>
                  </c:pt>
                  <c:pt idx="11">
                    <c:v>0.42409090909090885</c:v>
                  </c:pt>
                  <c:pt idx="12">
                    <c:v>0.24543478260869733</c:v>
                  </c:pt>
                  <c:pt idx="13">
                    <c:v>0.47956521739130409</c:v>
                  </c:pt>
                  <c:pt idx="14">
                    <c:v>0.1913636363636364</c:v>
                  </c:pt>
                  <c:pt idx="15">
                    <c:v>0.37535714285714228</c:v>
                  </c:pt>
                  <c:pt idx="16">
                    <c:v>0.5931623376623385</c:v>
                  </c:pt>
                  <c:pt idx="17">
                    <c:v>1.1269766233766241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'Balance Sheet Data'!$Q$286:$Q$303</c:f>
              <c:numCache>
                <c:formatCode>0.0%</c:formatCode>
                <c:ptCount val="18"/>
                <c:pt idx="0">
                  <c:v>0.10141987829614604</c:v>
                </c:pt>
                <c:pt idx="1">
                  <c:v>0.1818502824858757</c:v>
                </c:pt>
                <c:pt idx="2">
                  <c:v>0.18754076973255054</c:v>
                </c:pt>
                <c:pt idx="3">
                  <c:v>4.4495715227422544E-2</c:v>
                </c:pt>
                <c:pt idx="4">
                  <c:v>3.5842293906810034E-2</c:v>
                </c:pt>
                <c:pt idx="5">
                  <c:v>4.7718461079630181E-2</c:v>
                </c:pt>
                <c:pt idx="6">
                  <c:v>7.0444104134762639E-2</c:v>
                </c:pt>
                <c:pt idx="7">
                  <c:v>4.6163642152180835E-2</c:v>
                </c:pt>
                <c:pt idx="8">
                  <c:v>4.0400775694893344E-2</c:v>
                </c:pt>
                <c:pt idx="9">
                  <c:v>4.1555357672899973E-2</c:v>
                </c:pt>
                <c:pt idx="10">
                  <c:v>6.2321474941573619E-2</c:v>
                </c:pt>
                <c:pt idx="11">
                  <c:v>6.5569555155566978E-2</c:v>
                </c:pt>
                <c:pt idx="12">
                  <c:v>8.8985088985088986E-2</c:v>
                </c:pt>
                <c:pt idx="13">
                  <c:v>0.10032664489034064</c:v>
                </c:pt>
                <c:pt idx="14">
                  <c:v>0.27233392720794097</c:v>
                </c:pt>
                <c:pt idx="15">
                  <c:v>0.15924391506991195</c:v>
                </c:pt>
                <c:pt idx="16">
                  <c:v>5.705916963488384E-2</c:v>
                </c:pt>
                <c:pt idx="17">
                  <c:v>6.1473897503912078E-2</c:v>
                </c:pt>
              </c:numCache>
            </c:numRef>
          </c:xVal>
          <c:yVal>
            <c:numRef>
              <c:f>'Futures Averages'!$L$1091:$L$1108</c:f>
              <c:numCache>
                <c:formatCode>#,##0.00_);[Red]\(#,##0.00\)</c:formatCode>
                <c:ptCount val="18"/>
                <c:pt idx="0">
                  <c:v>6.2846739100000004</c:v>
                </c:pt>
                <c:pt idx="1">
                  <c:v>5.5693478199999999</c:v>
                </c:pt>
                <c:pt idx="2">
                  <c:v>8.4356521699999991</c:v>
                </c:pt>
                <c:pt idx="3">
                  <c:v>12.79392857</c:v>
                </c:pt>
                <c:pt idx="4">
                  <c:v>10.662619039999999</c:v>
                </c:pt>
                <c:pt idx="5">
                  <c:v>10.224886359999999</c:v>
                </c:pt>
                <c:pt idx="6">
                  <c:v>13.62521739</c:v>
                </c:pt>
                <c:pt idx="7">
                  <c:v>16.807826080000002</c:v>
                </c:pt>
                <c:pt idx="8">
                  <c:v>13.013068179999999</c:v>
                </c:pt>
                <c:pt idx="9">
                  <c:v>11.024166660000001</c:v>
                </c:pt>
                <c:pt idx="10">
                  <c:v>9.2711904700000005</c:v>
                </c:pt>
                <c:pt idx="11">
                  <c:v>10.029090909090909</c:v>
                </c:pt>
                <c:pt idx="12">
                  <c:v>9.4179347826086968</c:v>
                </c:pt>
                <c:pt idx="13">
                  <c:v>8.6395652173913042</c:v>
                </c:pt>
                <c:pt idx="14">
                  <c:v>8.586363636363636</c:v>
                </c:pt>
                <c:pt idx="15">
                  <c:v>9.0078571428571426</c:v>
                </c:pt>
                <c:pt idx="16">
                  <c:v>13.717727272727272</c:v>
                </c:pt>
                <c:pt idx="17" formatCode="_(* #,##0.00_);_(* \(#,##0.00\);_(* &quot;-&quot;??_);_(@_)">
                  <c:v>15.698586956521741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44D2-4E3F-A4FA-BA62591BB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3370360"/>
        <c:axId val="1813367736"/>
      </c:scatterChart>
      <c:valAx>
        <c:axId val="1813370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U.S. Stocks</a:t>
                </a:r>
                <a:r>
                  <a:rPr lang="en-US" sz="1200" baseline="0">
                    <a:solidFill>
                      <a:sysClr val="windowText" lastClr="000000"/>
                    </a:solidFill>
                  </a:rPr>
                  <a:t>-to-Use</a:t>
                </a:r>
                <a:endParaRPr lang="en-US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13367736"/>
        <c:crosses val="autoZero"/>
        <c:crossBetween val="midCat"/>
      </c:valAx>
      <c:valAx>
        <c:axId val="1813367736"/>
        <c:scaling>
          <c:orientation val="minMax"/>
          <c:min val="4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aseline="0">
                    <a:solidFill>
                      <a:sysClr val="windowText" lastClr="000000"/>
                    </a:solidFill>
                  </a:rPr>
                  <a:t>Dollars per Bushel</a:t>
                </a:r>
                <a:endParaRPr lang="en-US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13370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000">
                <a:solidFill>
                  <a:sysClr val="windowText" lastClr="000000"/>
                </a:solidFill>
              </a:rPr>
              <a:t>SX Average Price in September versus Stocks-to-Use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2703558650084797E-2"/>
          <c:y val="8.4614178474436016E-2"/>
          <c:w val="0.86601356709922583"/>
          <c:h val="0.81524005302498936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rgbClr val="D7BA2F"/>
              </a:solidFill>
              <a:ln w="15875">
                <a:solidFill>
                  <a:srgbClr val="C4722E"/>
                </a:solidFill>
              </a:ln>
              <a:effectLst/>
            </c:spPr>
          </c:marker>
          <c:dLbls>
            <c:dLbl>
              <c:idx val="0"/>
              <c:tx>
                <c:strRef>
                  <c:f>'Balance Sheet Data'!$A$234</c:f>
                  <c:strCache>
                    <c:ptCount val="1"/>
                    <c:pt idx="0">
                      <c:v>04/05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{FC44F948-222A-4815-ABA1-DBEEF533AA05}</c15:txfldGUID>
                      <c15:f>'Balance Sheet Data'!$A$234</c15:f>
                      <c15:dlblFieldTableCache>
                        <c:ptCount val="1"/>
                        <c:pt idx="0">
                          <c:v>04/05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B019-4356-9D3F-C49BC64E4D16}"/>
                </c:ext>
              </c:extLst>
            </c:dLbl>
            <c:dLbl>
              <c:idx val="1"/>
              <c:tx>
                <c:strRef>
                  <c:f>'Balance Sheet Data'!$A$235</c:f>
                  <c:strCache>
                    <c:ptCount val="1"/>
                    <c:pt idx="0">
                      <c:v>05/06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{9ACC2151-173F-4B85-A082-4D8DE69EBA9C}</c15:txfldGUID>
                      <c15:f>'Balance Sheet Data'!$A$235</c15:f>
                      <c15:dlblFieldTableCache>
                        <c:ptCount val="1"/>
                        <c:pt idx="0">
                          <c:v>05/06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B019-4356-9D3F-C49BC64E4D16}"/>
                </c:ext>
              </c:extLst>
            </c:dLbl>
            <c:dLbl>
              <c:idx val="2"/>
              <c:tx>
                <c:strRef>
                  <c:f>'Balance Sheet Data'!$A$236</c:f>
                  <c:strCache>
                    <c:ptCount val="1"/>
                    <c:pt idx="0">
                      <c:v>06/07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{0B44EA84-10DB-409F-A84E-161ABA282F50}</c15:txfldGUID>
                      <c15:f>'Balance Sheet Data'!$A$236</c15:f>
                      <c15:dlblFieldTableCache>
                        <c:ptCount val="1"/>
                        <c:pt idx="0">
                          <c:v>06/07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B019-4356-9D3F-C49BC64E4D16}"/>
                </c:ext>
              </c:extLst>
            </c:dLbl>
            <c:dLbl>
              <c:idx val="3"/>
              <c:tx>
                <c:strRef>
                  <c:f>'Balance Sheet Data'!$A$237</c:f>
                  <c:strCache>
                    <c:ptCount val="1"/>
                    <c:pt idx="0">
                      <c:v>07/08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{0BC95CBC-6A48-47FB-9088-D4577424544B}</c15:txfldGUID>
                      <c15:f>'Balance Sheet Data'!$A$237</c15:f>
                      <c15:dlblFieldTableCache>
                        <c:ptCount val="1"/>
                        <c:pt idx="0">
                          <c:v>07/08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B019-4356-9D3F-C49BC64E4D16}"/>
                </c:ext>
              </c:extLst>
            </c:dLbl>
            <c:dLbl>
              <c:idx val="4"/>
              <c:tx>
                <c:strRef>
                  <c:f>'Balance Sheet Data'!$A$238</c:f>
                  <c:strCache>
                    <c:ptCount val="1"/>
                    <c:pt idx="0">
                      <c:v>08/09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{DEDEEE5F-4780-45EC-AFB5-8DE5ECBA56F8}</c15:txfldGUID>
                      <c15:f>'Balance Sheet Data'!$A$238</c15:f>
                      <c15:dlblFieldTableCache>
                        <c:ptCount val="1"/>
                        <c:pt idx="0">
                          <c:v>08/09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B019-4356-9D3F-C49BC64E4D16}"/>
                </c:ext>
              </c:extLst>
            </c:dLbl>
            <c:dLbl>
              <c:idx val="5"/>
              <c:tx>
                <c:strRef>
                  <c:f>'Balance Sheet Data'!$A$239</c:f>
                  <c:strCache>
                    <c:ptCount val="1"/>
                    <c:pt idx="0">
                      <c:v>09/10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{61E453C5-01D1-4570-8729-1288FBDAEA07}</c15:txfldGUID>
                      <c15:f>'Balance Sheet Data'!$A$239</c15:f>
                      <c15:dlblFieldTableCache>
                        <c:ptCount val="1"/>
                        <c:pt idx="0">
                          <c:v>09/10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B019-4356-9D3F-C49BC64E4D16}"/>
                </c:ext>
              </c:extLst>
            </c:dLbl>
            <c:dLbl>
              <c:idx val="6"/>
              <c:tx>
                <c:strRef>
                  <c:f>'Balance Sheet Data'!$A$240</c:f>
                  <c:strCache>
                    <c:ptCount val="1"/>
                    <c:pt idx="0">
                      <c:v>10/11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{ABEF34C3-7083-4918-A558-8E66A4C7BD1D}</c15:txfldGUID>
                      <c15:f>'Balance Sheet Data'!$A$240</c15:f>
                      <c15:dlblFieldTableCache>
                        <c:ptCount val="1"/>
                        <c:pt idx="0">
                          <c:v>10/11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B019-4356-9D3F-C49BC64E4D16}"/>
                </c:ext>
              </c:extLst>
            </c:dLbl>
            <c:dLbl>
              <c:idx val="7"/>
              <c:tx>
                <c:strRef>
                  <c:f>'Balance Sheet Data'!$A$241</c:f>
                  <c:strCache>
                    <c:ptCount val="1"/>
                    <c:pt idx="0">
                      <c:v>11/12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{67F14BA0-EEC6-421A-A8BE-F6090CFF8FA2}</c15:txfldGUID>
                      <c15:f>'Balance Sheet Data'!$A$241</c15:f>
                      <c15:dlblFieldTableCache>
                        <c:ptCount val="1"/>
                        <c:pt idx="0">
                          <c:v>11/12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B019-4356-9D3F-C49BC64E4D16}"/>
                </c:ext>
              </c:extLst>
            </c:dLbl>
            <c:dLbl>
              <c:idx val="8"/>
              <c:tx>
                <c:strRef>
                  <c:f>'Balance Sheet Data'!$A$242</c:f>
                  <c:strCache>
                    <c:ptCount val="1"/>
                    <c:pt idx="0">
                      <c:v>12/13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{43AF4D70-2F30-47C4-A1FF-4401C0C62C94}</c15:txfldGUID>
                      <c15:f>'Balance Sheet Data'!$A$242</c15:f>
                      <c15:dlblFieldTableCache>
                        <c:ptCount val="1"/>
                        <c:pt idx="0">
                          <c:v>12/13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B019-4356-9D3F-C49BC64E4D16}"/>
                </c:ext>
              </c:extLst>
            </c:dLbl>
            <c:dLbl>
              <c:idx val="9"/>
              <c:tx>
                <c:strRef>
                  <c:f>'Balance Sheet Data'!$A$243</c:f>
                  <c:strCache>
                    <c:ptCount val="1"/>
                    <c:pt idx="0">
                      <c:v>13/14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{2A9E53BE-9159-4CCA-A4E8-E646348A7A3E}</c15:txfldGUID>
                      <c15:f>'Balance Sheet Data'!$A$243</c15:f>
                      <c15:dlblFieldTableCache>
                        <c:ptCount val="1"/>
                        <c:pt idx="0">
                          <c:v>13/14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B019-4356-9D3F-C49BC64E4D16}"/>
                </c:ext>
              </c:extLst>
            </c:dLbl>
            <c:dLbl>
              <c:idx val="10"/>
              <c:tx>
                <c:strRef>
                  <c:f>'Balance Sheet Data'!$A$244</c:f>
                  <c:strCache>
                    <c:ptCount val="1"/>
                    <c:pt idx="0">
                      <c:v>14/15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{7404641A-05FC-4240-8721-F0C082A5BEB9}</c15:txfldGUID>
                      <c15:f>'Balance Sheet Data'!$A$244</c15:f>
                      <c15:dlblFieldTableCache>
                        <c:ptCount val="1"/>
                        <c:pt idx="0">
                          <c:v>14/15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B019-4356-9D3F-C49BC64E4D16}"/>
                </c:ext>
              </c:extLst>
            </c:dLbl>
            <c:dLbl>
              <c:idx val="11"/>
              <c:tx>
                <c:strRef>
                  <c:f>'Balance Sheet Data'!$A$245</c:f>
                  <c:strCache>
                    <c:ptCount val="1"/>
                    <c:pt idx="0">
                      <c:v>15/16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{B284BBC3-5310-4F88-BE86-3A8659DACC71}</c15:txfldGUID>
                      <c15:f>'Balance Sheet Data'!$A$245</c15:f>
                      <c15:dlblFieldTableCache>
                        <c:ptCount val="1"/>
                        <c:pt idx="0">
                          <c:v>15/16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B019-4356-9D3F-C49BC64E4D16}"/>
                </c:ext>
              </c:extLst>
            </c:dLbl>
            <c:dLbl>
              <c:idx val="12"/>
              <c:tx>
                <c:strRef>
                  <c:f>'Balance Sheet Data'!$A$246</c:f>
                  <c:strCache>
                    <c:ptCount val="1"/>
                    <c:pt idx="0">
                      <c:v>16/17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{24BA12AD-C6FF-4A18-B33C-224F6FDF114F}</c15:txfldGUID>
                      <c15:f>'Balance Sheet Data'!$A$246</c15:f>
                      <c15:dlblFieldTableCache>
                        <c:ptCount val="1"/>
                        <c:pt idx="0">
                          <c:v>16/17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B019-4356-9D3F-C49BC64E4D16}"/>
                </c:ext>
              </c:extLst>
            </c:dLbl>
            <c:dLbl>
              <c:idx val="13"/>
              <c:tx>
                <c:strRef>
                  <c:f>'Balance Sheet Data'!$A$247</c:f>
                  <c:strCache>
                    <c:ptCount val="1"/>
                    <c:pt idx="0">
                      <c:v>17/18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{28B5D101-DF4C-4C49-BBFA-4B9179142E78}</c15:txfldGUID>
                      <c15:f>'Balance Sheet Data'!$A$247</c15:f>
                      <c15:dlblFieldTableCache>
                        <c:ptCount val="1"/>
                        <c:pt idx="0">
                          <c:v>17/18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B019-4356-9D3F-C49BC64E4D16}"/>
                </c:ext>
              </c:extLst>
            </c:dLbl>
            <c:dLbl>
              <c:idx val="14"/>
              <c:tx>
                <c:strRef>
                  <c:f>'Balance Sheet Data'!$A$248</c:f>
                  <c:strCache>
                    <c:ptCount val="1"/>
                    <c:pt idx="0">
                      <c:v>18/19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{10490E1C-56DB-44F6-9F9A-140094F980E6}</c15:txfldGUID>
                      <c15:f>'Balance Sheet Data'!$A$248</c15:f>
                      <c15:dlblFieldTableCache>
                        <c:ptCount val="1"/>
                        <c:pt idx="0">
                          <c:v>18/19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B019-4356-9D3F-C49BC64E4D16}"/>
                </c:ext>
              </c:extLst>
            </c:dLbl>
            <c:dLbl>
              <c:idx val="15"/>
              <c:tx>
                <c:strRef>
                  <c:f>'Balance Sheet Data'!$A$249</c:f>
                  <c:strCache>
                    <c:ptCount val="1"/>
                    <c:pt idx="0">
                      <c:v>19/20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{0962508F-E7CD-4A1C-8046-A1FB168FB0F4}</c15:txfldGUID>
                      <c15:f>'Balance Sheet Data'!$A$249</c15:f>
                      <c15:dlblFieldTableCache>
                        <c:ptCount val="1"/>
                        <c:pt idx="0">
                          <c:v>19/20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B019-4356-9D3F-C49BC64E4D16}"/>
                </c:ext>
              </c:extLst>
            </c:dLbl>
            <c:dLbl>
              <c:idx val="16"/>
              <c:tx>
                <c:strRef>
                  <c:f>'Balance Sheet Data'!$A$250</c:f>
                  <c:strCache>
                    <c:ptCount val="1"/>
                    <c:pt idx="0">
                      <c:v>20/21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C4722E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{2860B997-37DE-4B99-9A53-21085FDC95D4}</c15:txfldGUID>
                      <c15:f>'Balance Sheet Data'!$A$250</c15:f>
                      <c15:dlblFieldTableCache>
                        <c:ptCount val="1"/>
                        <c:pt idx="0">
                          <c:v>20/21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B019-4356-9D3F-C49BC64E4D16}"/>
                </c:ext>
              </c:extLst>
            </c:dLbl>
            <c:dLbl>
              <c:idx val="17"/>
              <c:tx>
                <c:strRef>
                  <c:f>'Balance Sheet Data'!$A$251</c:f>
                  <c:strCache>
                    <c:ptCount val="1"/>
                    <c:pt idx="0">
                      <c:v>21/22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C4722E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{A178D4A3-8BF8-4BB1-B466-5EF401F0538C}</c15:txfldGUID>
                      <c15:f>'Balance Sheet Data'!$A$251</c15:f>
                      <c15:dlblFieldTableCache>
                        <c:ptCount val="1"/>
                        <c:pt idx="0">
                          <c:v>21/22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B019-4356-9D3F-C49BC64E4D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8575" cap="rnd">
                <a:solidFill>
                  <a:srgbClr val="C4722E"/>
                </a:solidFill>
                <a:prstDash val="solid"/>
              </a:ln>
              <a:effectLst/>
            </c:spPr>
            <c:trendlineType val="power"/>
            <c:dispRSqr val="0"/>
            <c:dispEq val="0"/>
          </c:trendline>
          <c:errBars>
            <c:errDir val="y"/>
            <c:errBarType val="both"/>
            <c:errValType val="cust"/>
            <c:noEndCap val="0"/>
            <c:plus>
              <c:numRef>
                <c:f>'Futures Averages'!$O$98:$O$115</c:f>
                <c:numCache>
                  <c:formatCode>General</c:formatCode>
                  <c:ptCount val="18"/>
                  <c:pt idx="0">
                    <c:v>0.36571428999999966</c:v>
                  </c:pt>
                  <c:pt idx="1">
                    <c:v>0.1613749999999996</c:v>
                  </c:pt>
                  <c:pt idx="2">
                    <c:v>0.65092105999999994</c:v>
                  </c:pt>
                  <c:pt idx="3">
                    <c:v>1.3888095300000014</c:v>
                  </c:pt>
                  <c:pt idx="4">
                    <c:v>0.58380952999999991</c:v>
                  </c:pt>
                  <c:pt idx="5">
                    <c:v>0.79154761999999934</c:v>
                  </c:pt>
                  <c:pt idx="6">
                    <c:v>1.1680952399999995</c:v>
                  </c:pt>
                  <c:pt idx="7">
                    <c:v>1.1338157899999999</c:v>
                  </c:pt>
                  <c:pt idx="8">
                    <c:v>0.64687500000000142</c:v>
                  </c:pt>
                  <c:pt idx="9">
                    <c:v>0.66535715000000017</c:v>
                  </c:pt>
                  <c:pt idx="10">
                    <c:v>0.25773810000000097</c:v>
                  </c:pt>
                  <c:pt idx="11">
                    <c:v>0.33392858000000025</c:v>
                  </c:pt>
                  <c:pt idx="12">
                    <c:v>0.20912500000000023</c:v>
                  </c:pt>
                  <c:pt idx="13">
                    <c:v>0.19855263157894676</c:v>
                  </c:pt>
                  <c:pt idx="14">
                    <c:v>0.23475000000000179</c:v>
                  </c:pt>
                  <c:pt idx="15">
                    <c:v>0.50452380952380871</c:v>
                  </c:pt>
                  <c:pt idx="16">
                    <c:v>0.26999999999999957</c:v>
                  </c:pt>
                  <c:pt idx="17">
                    <c:v>0.78339028822055212</c:v>
                  </c:pt>
                </c:numCache>
              </c:numRef>
            </c:plus>
            <c:minus>
              <c:numRef>
                <c:f>'Futures Averages'!$O$157:$O$174</c:f>
                <c:numCache>
                  <c:formatCode>General</c:formatCode>
                  <c:ptCount val="18"/>
                  <c:pt idx="0">
                    <c:v>0.24928570999999966</c:v>
                  </c:pt>
                  <c:pt idx="1">
                    <c:v>0.11112500000000036</c:v>
                  </c:pt>
                  <c:pt idx="2">
                    <c:v>0.67157893999999985</c:v>
                  </c:pt>
                  <c:pt idx="3">
                    <c:v>1.3611904699999986</c:v>
                  </c:pt>
                  <c:pt idx="4">
                    <c:v>0.38619047000000073</c:v>
                  </c:pt>
                  <c:pt idx="5">
                    <c:v>0.64095237999999988</c:v>
                  </c:pt>
                  <c:pt idx="6">
                    <c:v>1.6519047600000007</c:v>
                  </c:pt>
                  <c:pt idx="7">
                    <c:v>1.1811842100000014</c:v>
                  </c:pt>
                  <c:pt idx="8">
                    <c:v>0.63812499999999872</c:v>
                  </c:pt>
                  <c:pt idx="9">
                    <c:v>0.65964285000000089</c:v>
                  </c:pt>
                  <c:pt idx="10">
                    <c:v>0.23226189999999924</c:v>
                  </c:pt>
                  <c:pt idx="11">
                    <c:v>0.26607141999999939</c:v>
                  </c:pt>
                  <c:pt idx="12">
                    <c:v>0.28587499999999899</c:v>
                  </c:pt>
                  <c:pt idx="13">
                    <c:v>0.2714473684210521</c:v>
                  </c:pt>
                  <c:pt idx="14">
                    <c:v>0.3227499999999992</c:v>
                  </c:pt>
                  <c:pt idx="15">
                    <c:v>0.53547619047619044</c:v>
                  </c:pt>
                  <c:pt idx="16">
                    <c:v>0.32000000000000028</c:v>
                  </c:pt>
                  <c:pt idx="17">
                    <c:v>0.84710971177944749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'Balance Sheet Data'!$R$286:$R$303</c:f>
              <c:numCache>
                <c:formatCode>0.0%</c:formatCode>
                <c:ptCount val="18"/>
                <c:pt idx="0">
                  <c:v>9.9561255484306443E-2</c:v>
                </c:pt>
                <c:pt idx="1">
                  <c:v>0.16946191474493361</c:v>
                </c:pt>
                <c:pt idx="2">
                  <c:v>0.17955354254286637</c:v>
                </c:pt>
                <c:pt idx="3">
                  <c:v>4.6219874546054807E-2</c:v>
                </c:pt>
                <c:pt idx="4">
                  <c:v>3.5842293906810034E-2</c:v>
                </c:pt>
                <c:pt idx="5">
                  <c:v>4.4603033006244422E-2</c:v>
                </c:pt>
                <c:pt idx="6">
                  <c:v>6.8807339449541288E-2</c:v>
                </c:pt>
                <c:pt idx="7">
                  <c:v>4.1178333861260692E-2</c:v>
                </c:pt>
                <c:pt idx="8">
                  <c:v>4.0335592126492417E-2</c:v>
                </c:pt>
                <c:pt idx="9">
                  <c:v>3.847292098253921E-2</c:v>
                </c:pt>
                <c:pt idx="10">
                  <c:v>5.4067971163748715E-2</c:v>
                </c:pt>
                <c:pt idx="11">
                  <c:v>4.9379589769561916E-2</c:v>
                </c:pt>
                <c:pt idx="12">
                  <c:v>8.2476691369830268E-2</c:v>
                </c:pt>
                <c:pt idx="13">
                  <c:v>9.1414024531358481E-2</c:v>
                </c:pt>
                <c:pt idx="14">
                  <c:v>0.25162744116174263</c:v>
                </c:pt>
                <c:pt idx="15">
                  <c:v>0.14732257238022034</c:v>
                </c:pt>
                <c:pt idx="16">
                  <c:v>5.705916963488384E-2</c:v>
                </c:pt>
                <c:pt idx="17">
                  <c:v>6.1473897503912078E-2</c:v>
                </c:pt>
              </c:numCache>
            </c:numRef>
          </c:xVal>
          <c:yVal>
            <c:numRef>
              <c:f>'Futures Averages'!$K$39:$K$56</c:f>
              <c:numCache>
                <c:formatCode>#,##0.00_);[Red]\(#,##0.00\)</c:formatCode>
                <c:ptCount val="18"/>
                <c:pt idx="0">
                  <c:v>5.8142857100000001</c:v>
                </c:pt>
                <c:pt idx="1">
                  <c:v>5.4786250000000001</c:v>
                </c:pt>
                <c:pt idx="2">
                  <c:v>9.5265789400000003</c:v>
                </c:pt>
                <c:pt idx="3">
                  <c:v>11.751190469999999</c:v>
                </c:pt>
                <c:pt idx="4">
                  <c:v>9.3061904700000007</c:v>
                </c:pt>
                <c:pt idx="5">
                  <c:v>10.64845238</c:v>
                </c:pt>
                <c:pt idx="6">
                  <c:v>13.401904760000001</c:v>
                </c:pt>
                <c:pt idx="7">
                  <c:v>16.756184210000001</c:v>
                </c:pt>
                <c:pt idx="8">
                  <c:v>13.438124999999999</c:v>
                </c:pt>
                <c:pt idx="9">
                  <c:v>9.7146428500000006</c:v>
                </c:pt>
                <c:pt idx="10">
                  <c:v>8.7647618999999999</c:v>
                </c:pt>
                <c:pt idx="11">
                  <c:v>9.6060714199999993</c:v>
                </c:pt>
                <c:pt idx="12">
                  <c:v>9.660874999999999</c:v>
                </c:pt>
                <c:pt idx="13">
                  <c:v>8.3939473684210526</c:v>
                </c:pt>
                <c:pt idx="14">
                  <c:v>8.832749999999999</c:v>
                </c:pt>
                <c:pt idx="15">
                  <c:v>9.9629761904761907</c:v>
                </c:pt>
                <c:pt idx="16">
                  <c:v>12.81</c:v>
                </c:pt>
                <c:pt idx="17" formatCode="_(* #,##0.00_);_(* \(#,##0.00\);_(* &quot;-&quot;??_);_(@_)">
                  <c:v>14.607142857142858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B019-4356-9D3F-C49BC64E4D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3370360"/>
        <c:axId val="1813367736"/>
      </c:scatterChart>
      <c:valAx>
        <c:axId val="1813370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U.S. Stocks</a:t>
                </a:r>
                <a:r>
                  <a:rPr lang="en-US" sz="1200" baseline="0">
                    <a:solidFill>
                      <a:sysClr val="windowText" lastClr="000000"/>
                    </a:solidFill>
                  </a:rPr>
                  <a:t>-to-Use</a:t>
                </a:r>
                <a:endParaRPr lang="en-US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13367736"/>
        <c:crosses val="autoZero"/>
        <c:crossBetween val="midCat"/>
      </c:valAx>
      <c:valAx>
        <c:axId val="1813367736"/>
        <c:scaling>
          <c:orientation val="minMax"/>
          <c:min val="4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aseline="0">
                    <a:solidFill>
                      <a:sysClr val="windowText" lastClr="000000"/>
                    </a:solidFill>
                  </a:rPr>
                  <a:t>Dollars per Bushel</a:t>
                </a:r>
                <a:endParaRPr lang="en-US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13370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000">
                <a:solidFill>
                  <a:sysClr val="windowText" lastClr="000000"/>
                </a:solidFill>
              </a:rPr>
              <a:t>SX Average Price in October versus Stocks-to-Use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2703558650084797E-2"/>
          <c:y val="8.4614178474436016E-2"/>
          <c:w val="0.86601356709922583"/>
          <c:h val="0.81524005302498936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rgbClr val="AE78D6"/>
              </a:solidFill>
              <a:ln w="15875">
                <a:solidFill>
                  <a:srgbClr val="6F0791"/>
                </a:solidFill>
              </a:ln>
              <a:effectLst/>
            </c:spPr>
          </c:marker>
          <c:dLbls>
            <c:dLbl>
              <c:idx val="0"/>
              <c:tx>
                <c:strRef>
                  <c:f>'Balance Sheet Data'!$A$286</c:f>
                  <c:strCache>
                    <c:ptCount val="1"/>
                    <c:pt idx="0">
                      <c:v>04/05 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{426EBFF0-B8AC-4A31-93B7-6CF37B53F13B}</c15:txfldGUID>
                      <c15:f>'Balance Sheet Data'!$A$286</c15:f>
                      <c15:dlblFieldTableCache>
                        <c:ptCount val="1"/>
                        <c:pt idx="0">
                          <c:v>04/05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29E9-47CD-BC13-7B898401A0D2}"/>
                </c:ext>
              </c:extLst>
            </c:dLbl>
            <c:dLbl>
              <c:idx val="1"/>
              <c:tx>
                <c:strRef>
                  <c:f>'Balance Sheet Data'!$A$287</c:f>
                  <c:strCache>
                    <c:ptCount val="1"/>
                    <c:pt idx="0">
                      <c:v>05/06 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{9ECD1B70-5C4B-491A-82B4-964A39D4BD7F}</c15:txfldGUID>
                      <c15:f>'Balance Sheet Data'!$A$287</c15:f>
                      <c15:dlblFieldTableCache>
                        <c:ptCount val="1"/>
                        <c:pt idx="0">
                          <c:v>05/06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29E9-47CD-BC13-7B898401A0D2}"/>
                </c:ext>
              </c:extLst>
            </c:dLbl>
            <c:dLbl>
              <c:idx val="2"/>
              <c:tx>
                <c:strRef>
                  <c:f>'Balance Sheet Data'!$A$288</c:f>
                  <c:strCache>
                    <c:ptCount val="1"/>
                    <c:pt idx="0">
                      <c:v>06/07 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{4CEDFAF3-BD8A-4ABC-9E77-7A504D5C2C62}</c15:txfldGUID>
                      <c15:f>'Balance Sheet Data'!$A$288</c15:f>
                      <c15:dlblFieldTableCache>
                        <c:ptCount val="1"/>
                        <c:pt idx="0">
                          <c:v>06/07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29E9-47CD-BC13-7B898401A0D2}"/>
                </c:ext>
              </c:extLst>
            </c:dLbl>
            <c:dLbl>
              <c:idx val="3"/>
              <c:tx>
                <c:strRef>
                  <c:f>'Balance Sheet Data'!$A$289</c:f>
                  <c:strCache>
                    <c:ptCount val="1"/>
                    <c:pt idx="0">
                      <c:v>07/08 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{EB96FE0D-51B0-4F74-89BD-588F34C19A3E}</c15:txfldGUID>
                      <c15:f>'Balance Sheet Data'!$A$289</c15:f>
                      <c15:dlblFieldTableCache>
                        <c:ptCount val="1"/>
                        <c:pt idx="0">
                          <c:v>07/08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29E9-47CD-BC13-7B898401A0D2}"/>
                </c:ext>
              </c:extLst>
            </c:dLbl>
            <c:dLbl>
              <c:idx val="4"/>
              <c:tx>
                <c:strRef>
                  <c:f>'Balance Sheet Data'!$A$290</c:f>
                  <c:strCache>
                    <c:ptCount val="1"/>
                    <c:pt idx="0">
                      <c:v>08/09 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{F59A0391-3DF4-4D4F-A657-15E9235D4CB8}</c15:txfldGUID>
                      <c15:f>'Balance Sheet Data'!$A$290</c15:f>
                      <c15:dlblFieldTableCache>
                        <c:ptCount val="1"/>
                        <c:pt idx="0">
                          <c:v>08/09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29E9-47CD-BC13-7B898401A0D2}"/>
                </c:ext>
              </c:extLst>
            </c:dLbl>
            <c:dLbl>
              <c:idx val="5"/>
              <c:tx>
                <c:strRef>
                  <c:f>'Balance Sheet Data'!$A$291</c:f>
                  <c:strCache>
                    <c:ptCount val="1"/>
                    <c:pt idx="0">
                      <c:v>09/10 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{82F04C57-C3EC-4ABF-A0C8-1A11E170CF28}</c15:txfldGUID>
                      <c15:f>'Balance Sheet Data'!$A$291</c15:f>
                      <c15:dlblFieldTableCache>
                        <c:ptCount val="1"/>
                        <c:pt idx="0">
                          <c:v>09/10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29E9-47CD-BC13-7B898401A0D2}"/>
                </c:ext>
              </c:extLst>
            </c:dLbl>
            <c:dLbl>
              <c:idx val="6"/>
              <c:tx>
                <c:strRef>
                  <c:f>'Balance Sheet Data'!$A$292</c:f>
                  <c:strCache>
                    <c:ptCount val="1"/>
                    <c:pt idx="0">
                      <c:v>10/11 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{4EC71041-15C2-42F6-8CA8-DD1D4FF9B879}</c15:txfldGUID>
                      <c15:f>'Balance Sheet Data'!$A$292</c15:f>
                      <c15:dlblFieldTableCache>
                        <c:ptCount val="1"/>
                        <c:pt idx="0">
                          <c:v>10/11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29E9-47CD-BC13-7B898401A0D2}"/>
                </c:ext>
              </c:extLst>
            </c:dLbl>
            <c:dLbl>
              <c:idx val="7"/>
              <c:tx>
                <c:strRef>
                  <c:f>'Balance Sheet Data'!$A$293</c:f>
                  <c:strCache>
                    <c:ptCount val="1"/>
                    <c:pt idx="0">
                      <c:v>11/12 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{E744D728-8F95-40FE-98F1-F708EB81DD59}</c15:txfldGUID>
                      <c15:f>'Balance Sheet Data'!$A$293</c15:f>
                      <c15:dlblFieldTableCache>
                        <c:ptCount val="1"/>
                        <c:pt idx="0">
                          <c:v>11/12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29E9-47CD-BC13-7B898401A0D2}"/>
                </c:ext>
              </c:extLst>
            </c:dLbl>
            <c:dLbl>
              <c:idx val="8"/>
              <c:tx>
                <c:strRef>
                  <c:f>'Balance Sheet Data'!$A$294</c:f>
                  <c:strCache>
                    <c:ptCount val="1"/>
                    <c:pt idx="0">
                      <c:v>12/13 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{5BCF1EC2-2239-4D82-808D-A846DBBBA099}</c15:txfldGUID>
                      <c15:f>'Balance Sheet Data'!$A$294</c15:f>
                      <c15:dlblFieldTableCache>
                        <c:ptCount val="1"/>
                        <c:pt idx="0">
                          <c:v>12/13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29E9-47CD-BC13-7B898401A0D2}"/>
                </c:ext>
              </c:extLst>
            </c:dLbl>
            <c:dLbl>
              <c:idx val="9"/>
              <c:tx>
                <c:strRef>
                  <c:f>'Balance Sheet Data'!$A$295</c:f>
                  <c:strCache>
                    <c:ptCount val="1"/>
                    <c:pt idx="0">
                      <c:v>13/14 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{C81B5297-97F1-40FE-8C18-582333744C94}</c15:txfldGUID>
                      <c15:f>'Balance Sheet Data'!$A$295</c15:f>
                      <c15:dlblFieldTableCache>
                        <c:ptCount val="1"/>
                        <c:pt idx="0">
                          <c:v>13/14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29E9-47CD-BC13-7B898401A0D2}"/>
                </c:ext>
              </c:extLst>
            </c:dLbl>
            <c:dLbl>
              <c:idx val="10"/>
              <c:tx>
                <c:strRef>
                  <c:f>'Balance Sheet Data'!$A$296</c:f>
                  <c:strCache>
                    <c:ptCount val="1"/>
                    <c:pt idx="0">
                      <c:v>14/15 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{08124CA3-F627-4B08-B313-7F0C2D1B5420}</c15:txfldGUID>
                      <c15:f>'Balance Sheet Data'!$A$296</c15:f>
                      <c15:dlblFieldTableCache>
                        <c:ptCount val="1"/>
                        <c:pt idx="0">
                          <c:v>14/15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29E9-47CD-BC13-7B898401A0D2}"/>
                </c:ext>
              </c:extLst>
            </c:dLbl>
            <c:dLbl>
              <c:idx val="11"/>
              <c:tx>
                <c:strRef>
                  <c:f>'Balance Sheet Data'!$A$297</c:f>
                  <c:strCache>
                    <c:ptCount val="1"/>
                    <c:pt idx="0">
                      <c:v>15/16 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{FDA84E50-7509-46D9-877C-D65263AF1006}</c15:txfldGUID>
                      <c15:f>'Balance Sheet Data'!$A$297</c15:f>
                      <c15:dlblFieldTableCache>
                        <c:ptCount val="1"/>
                        <c:pt idx="0">
                          <c:v>15/16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29E9-47CD-BC13-7B898401A0D2}"/>
                </c:ext>
              </c:extLst>
            </c:dLbl>
            <c:dLbl>
              <c:idx val="12"/>
              <c:tx>
                <c:strRef>
                  <c:f>'Balance Sheet Data'!$A$298</c:f>
                  <c:strCache>
                    <c:ptCount val="1"/>
                    <c:pt idx="0">
                      <c:v>16/17 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{21AD8BCB-DE59-4BB8-9CAD-CF830E420BCD}</c15:txfldGUID>
                      <c15:f>'Balance Sheet Data'!$A$298</c15:f>
                      <c15:dlblFieldTableCache>
                        <c:ptCount val="1"/>
                        <c:pt idx="0">
                          <c:v>16/17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29E9-47CD-BC13-7B898401A0D2}"/>
                </c:ext>
              </c:extLst>
            </c:dLbl>
            <c:dLbl>
              <c:idx val="13"/>
              <c:tx>
                <c:strRef>
                  <c:f>'Balance Sheet Data'!$A$299</c:f>
                  <c:strCache>
                    <c:ptCount val="1"/>
                    <c:pt idx="0">
                      <c:v>17/18 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{C75E9129-963C-43EB-84DF-D5B6B5102F38}</c15:txfldGUID>
                      <c15:f>'Balance Sheet Data'!$A$299</c15:f>
                      <c15:dlblFieldTableCache>
                        <c:ptCount val="1"/>
                        <c:pt idx="0">
                          <c:v>17/18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29E9-47CD-BC13-7B898401A0D2}"/>
                </c:ext>
              </c:extLst>
            </c:dLbl>
            <c:dLbl>
              <c:idx val="14"/>
              <c:tx>
                <c:strRef>
                  <c:f>'Balance Sheet Data'!$A$300</c:f>
                  <c:strCache>
                    <c:ptCount val="1"/>
                    <c:pt idx="0">
                      <c:v>18/19 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{7DA85633-84C4-4250-996E-A441DCDD324C}</c15:txfldGUID>
                      <c15:f>'Balance Sheet Data'!$A$300</c15:f>
                      <c15:dlblFieldTableCache>
                        <c:ptCount val="1"/>
                        <c:pt idx="0">
                          <c:v>18/19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29E9-47CD-BC13-7B898401A0D2}"/>
                </c:ext>
              </c:extLst>
            </c:dLbl>
            <c:dLbl>
              <c:idx val="15"/>
              <c:tx>
                <c:strRef>
                  <c:f>'Balance Sheet Data'!$A$301</c:f>
                  <c:strCache>
                    <c:ptCount val="1"/>
                    <c:pt idx="0">
                      <c:v>19/20 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{4B3B7FC1-E64D-4909-A0B8-53FA1DA262CD}</c15:txfldGUID>
                      <c15:f>'Balance Sheet Data'!$A$301</c15:f>
                      <c15:dlblFieldTableCache>
                        <c:ptCount val="1"/>
                        <c:pt idx="0">
                          <c:v>19/20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29E9-47CD-BC13-7B898401A0D2}"/>
                </c:ext>
              </c:extLst>
            </c:dLbl>
            <c:dLbl>
              <c:idx val="16"/>
              <c:tx>
                <c:strRef>
                  <c:f>'Balance Sheet Data'!$A$302</c:f>
                  <c:strCache>
                    <c:ptCount val="1"/>
                    <c:pt idx="0">
                      <c:v>20/21 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{505F079E-24C6-4C9E-A40D-2B1F10EC1824}</c15:txfldGUID>
                      <c15:f>'Balance Sheet Data'!$A$302</c15:f>
                      <c15:dlblFieldTableCache>
                        <c:ptCount val="1"/>
                        <c:pt idx="0">
                          <c:v>20/21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29E9-47CD-BC13-7B898401A0D2}"/>
                </c:ext>
              </c:extLst>
            </c:dLbl>
            <c:dLbl>
              <c:idx val="17"/>
              <c:tx>
                <c:strRef>
                  <c:f>'Balance Sheet Data'!$A$303</c:f>
                  <c:strCache>
                    <c:ptCount val="1"/>
                    <c:pt idx="0">
                      <c:v>21/22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6F079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{546B37CC-67AA-4D69-A5DC-ECF7F4393EE2}</c15:txfldGUID>
                      <c15:f>'Balance Sheet Data'!$A$303</c15:f>
                      <c15:dlblFieldTableCache>
                        <c:ptCount val="1"/>
                        <c:pt idx="0">
                          <c:v>21/22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29E9-47CD-BC13-7B898401A0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>
                        <a:lumMod val="6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8575" cap="rnd">
                <a:solidFill>
                  <a:srgbClr val="6F0791"/>
                </a:solidFill>
                <a:prstDash val="solid"/>
              </a:ln>
              <a:effectLst/>
            </c:spPr>
            <c:trendlineType val="power"/>
            <c:dispRSqr val="0"/>
            <c:dispEq val="0"/>
          </c:trendline>
          <c:errBars>
            <c:errDir val="y"/>
            <c:errBarType val="both"/>
            <c:errValType val="cust"/>
            <c:noEndCap val="0"/>
            <c:plus>
              <c:numRef>
                <c:f>'Futures Averages'!$P$98:$P$115</c:f>
                <c:numCache>
                  <c:formatCode>General</c:formatCode>
                  <c:ptCount val="18"/>
                  <c:pt idx="0">
                    <c:v>0.24797620000000009</c:v>
                  </c:pt>
                  <c:pt idx="1">
                    <c:v>0.50011363999999947</c:v>
                  </c:pt>
                  <c:pt idx="2">
                    <c:v>0.41086956999999913</c:v>
                  </c:pt>
                  <c:pt idx="3">
                    <c:v>1.43978261</c:v>
                  </c:pt>
                  <c:pt idx="4">
                    <c:v>0.6221590999999993</c:v>
                  </c:pt>
                  <c:pt idx="5">
                    <c:v>0.74166666999999897</c:v>
                  </c:pt>
                  <c:pt idx="6">
                    <c:v>0.61892858000000039</c:v>
                  </c:pt>
                  <c:pt idx="7">
                    <c:v>0.60891304999999996</c:v>
                  </c:pt>
                  <c:pt idx="8">
                    <c:v>0.31923914000000053</c:v>
                  </c:pt>
                  <c:pt idx="9">
                    <c:v>0.89119565999999928</c:v>
                  </c:pt>
                  <c:pt idx="10">
                    <c:v>0.28659090999999925</c:v>
                  </c:pt>
                  <c:pt idx="11">
                    <c:v>0.44630952999999884</c:v>
                  </c:pt>
                  <c:pt idx="12">
                    <c:v>0.2818181818181813</c:v>
                  </c:pt>
                  <c:pt idx="13">
                    <c:v>0.323913043478262</c:v>
                  </c:pt>
                  <c:pt idx="14">
                    <c:v>0.20521739130434824</c:v>
                  </c:pt>
                  <c:pt idx="15">
                    <c:v>0.39193181818181699</c:v>
                  </c:pt>
                  <c:pt idx="16">
                    <c:v>0.32297619047619008</c:v>
                  </c:pt>
                  <c:pt idx="17">
                    <c:v>0.80517132505175937</c:v>
                  </c:pt>
                </c:numCache>
              </c:numRef>
            </c:plus>
            <c:minus>
              <c:numRef>
                <c:f>'Futures Averages'!$P$157:$P$174</c:f>
                <c:numCache>
                  <c:formatCode>General</c:formatCode>
                  <c:ptCount val="18"/>
                  <c:pt idx="0">
                    <c:v>0.20702379999999998</c:v>
                  </c:pt>
                  <c:pt idx="1">
                    <c:v>0.52488636</c:v>
                  </c:pt>
                  <c:pt idx="2">
                    <c:v>0.53413042999999938</c:v>
                  </c:pt>
                  <c:pt idx="3">
                    <c:v>0.97021739000000018</c:v>
                  </c:pt>
                  <c:pt idx="4">
                    <c:v>0.87034090000000042</c:v>
                  </c:pt>
                  <c:pt idx="5">
                    <c:v>1.2058333300000008</c:v>
                  </c:pt>
                  <c:pt idx="6">
                    <c:v>0.61857142000000032</c:v>
                  </c:pt>
                  <c:pt idx="7">
                    <c:v>0.53358695000000012</c:v>
                  </c:pt>
                  <c:pt idx="8">
                    <c:v>0.25076085999999975</c:v>
                  </c:pt>
                  <c:pt idx="9">
                    <c:v>0.60630434000000122</c:v>
                  </c:pt>
                  <c:pt idx="10">
                    <c:v>0.22840909000000131</c:v>
                  </c:pt>
                  <c:pt idx="11">
                    <c:v>0.38119046999999995</c:v>
                  </c:pt>
                  <c:pt idx="12">
                    <c:v>0.22568181818181898</c:v>
                  </c:pt>
                  <c:pt idx="13">
                    <c:v>0.27858695652173715</c:v>
                  </c:pt>
                  <c:pt idx="14">
                    <c:v>0.21728260869565119</c:v>
                  </c:pt>
                  <c:pt idx="15">
                    <c:v>0.41806818181818173</c:v>
                  </c:pt>
                  <c:pt idx="16">
                    <c:v>0.45702380952380928</c:v>
                  </c:pt>
                  <c:pt idx="17">
                    <c:v>0.81932867494824002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'Balance Sheet Data'!$S$286:$S$303</c:f>
              <c:numCache>
                <c:formatCode>0.0%</c:formatCode>
                <c:ptCount val="18"/>
                <c:pt idx="0">
                  <c:v>8.5704720455306332E-2</c:v>
                </c:pt>
                <c:pt idx="1">
                  <c:v>0.15622825330549756</c:v>
                </c:pt>
                <c:pt idx="2">
                  <c:v>0.186402081977879</c:v>
                </c:pt>
                <c:pt idx="3">
                  <c:v>6.7103109656301146E-2</c:v>
                </c:pt>
                <c:pt idx="4">
                  <c:v>4.5260741226631686E-2</c:v>
                </c:pt>
                <c:pt idx="5">
                  <c:v>4.4927105028265399E-2</c:v>
                </c:pt>
                <c:pt idx="6">
                  <c:v>6.5548780487804881E-2</c:v>
                </c:pt>
                <c:pt idx="7">
                  <c:v>5.3565768621236132E-2</c:v>
                </c:pt>
                <c:pt idx="8">
                  <c:v>4.5498547918683449E-2</c:v>
                </c:pt>
                <c:pt idx="9">
                  <c:v>2.645198389879241E-2</c:v>
                </c:pt>
                <c:pt idx="10">
                  <c:v>4.9469049469049467E-2</c:v>
                </c:pt>
                <c:pt idx="11">
                  <c:v>4.9961957900076084E-2</c:v>
                </c:pt>
                <c:pt idx="12">
                  <c:v>7.1428571428571425E-2</c:v>
                </c:pt>
                <c:pt idx="13">
                  <c:v>0.10195530726256984</c:v>
                </c:pt>
                <c:pt idx="14">
                  <c:v>0.23014872699773128</c:v>
                </c:pt>
                <c:pt idx="15">
                  <c:v>0.1323045788009107</c:v>
                </c:pt>
                <c:pt idx="16">
                  <c:v>5.705916963488384E-2</c:v>
                </c:pt>
                <c:pt idx="17">
                  <c:v>6.1473897503912078E-2</c:v>
                </c:pt>
              </c:numCache>
            </c:numRef>
          </c:xVal>
          <c:yVal>
            <c:numRef>
              <c:f>'Futures Averages'!$L$39:$L$56</c:f>
              <c:numCache>
                <c:formatCode>#,##0.00_);[Red]\(#,##0.00\)</c:formatCode>
                <c:ptCount val="18"/>
                <c:pt idx="0">
                  <c:v>5.7470238</c:v>
                </c:pt>
                <c:pt idx="1">
                  <c:v>5.9298863600000002</c:v>
                </c:pt>
                <c:pt idx="2">
                  <c:v>9.75413043</c:v>
                </c:pt>
                <c:pt idx="3">
                  <c:v>9.2202173900000002</c:v>
                </c:pt>
                <c:pt idx="4">
                  <c:v>9.6578409000000001</c:v>
                </c:pt>
                <c:pt idx="5">
                  <c:v>11.625833330000001</c:v>
                </c:pt>
                <c:pt idx="6">
                  <c:v>12.13857142</c:v>
                </c:pt>
                <c:pt idx="7">
                  <c:v>15.39108695</c:v>
                </c:pt>
                <c:pt idx="8">
                  <c:v>12.868260859999999</c:v>
                </c:pt>
                <c:pt idx="9">
                  <c:v>9.6463043400000004</c:v>
                </c:pt>
                <c:pt idx="10">
                  <c:v>8.9109090900000005</c:v>
                </c:pt>
                <c:pt idx="11">
                  <c:v>9.7536904700000004</c:v>
                </c:pt>
                <c:pt idx="12">
                  <c:v>9.7506818181818193</c:v>
                </c:pt>
                <c:pt idx="13">
                  <c:v>8.5960869565217379</c:v>
                </c:pt>
                <c:pt idx="14">
                  <c:v>9.2497826086956518</c:v>
                </c:pt>
                <c:pt idx="15">
                  <c:v>10.548068181818183</c:v>
                </c:pt>
                <c:pt idx="16">
                  <c:v>12.30202380952381</c:v>
                </c:pt>
                <c:pt idx="17" formatCode="_(* #,##0.00_);_(* \(#,##0.00\);_(* &quot;-&quot;??_);_(@_)">
                  <c:v>13.813095238095238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9E9-47CD-BC13-7B898401A0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3370360"/>
        <c:axId val="1813367736"/>
      </c:scatterChart>
      <c:valAx>
        <c:axId val="1813370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U.S. Stocks</a:t>
                </a:r>
                <a:r>
                  <a:rPr lang="en-US" sz="1200" baseline="0">
                    <a:solidFill>
                      <a:sysClr val="windowText" lastClr="000000"/>
                    </a:solidFill>
                  </a:rPr>
                  <a:t>-to-Use</a:t>
                </a:r>
                <a:endParaRPr lang="en-US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13367736"/>
        <c:crosses val="autoZero"/>
        <c:crossBetween val="midCat"/>
      </c:valAx>
      <c:valAx>
        <c:axId val="1813367736"/>
        <c:scaling>
          <c:orientation val="minMax"/>
          <c:min val="4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aseline="0">
                    <a:solidFill>
                      <a:sysClr val="windowText" lastClr="000000"/>
                    </a:solidFill>
                  </a:rPr>
                  <a:t>Dollars per Bushel</a:t>
                </a:r>
                <a:endParaRPr lang="en-US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13370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000">
                <a:solidFill>
                  <a:sysClr val="windowText" lastClr="000000"/>
                </a:solidFill>
              </a:rPr>
              <a:t>SF Average Price in November versus Stocks-to-Use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2703558650084797E-2"/>
          <c:y val="0.10587402231223401"/>
          <c:w val="0.86601356709922583"/>
          <c:h val="0.79398020918719137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rgbClr val="D7BA2F"/>
              </a:solidFill>
              <a:ln w="15875">
                <a:solidFill>
                  <a:srgbClr val="C4722E"/>
                </a:solidFill>
              </a:ln>
              <a:effectLst/>
            </c:spPr>
          </c:marker>
          <c:dLbls>
            <c:dLbl>
              <c:idx val="0"/>
              <c:tx>
                <c:strRef>
                  <c:f>'Balance Sheet Data'!$A$286</c:f>
                  <c:strCache>
                    <c:ptCount val="1"/>
                    <c:pt idx="0">
                      <c:v>04/05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{15CD6653-0DF4-4172-AB42-F90E2F1B00A0}</c15:txfldGUID>
                      <c15:f>'Balance Sheet Data'!$A$286</c15:f>
                      <c15:dlblFieldTableCache>
                        <c:ptCount val="1"/>
                        <c:pt idx="0">
                          <c:v>04/05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0469-4FE7-8C5F-F18095A5AADD}"/>
                </c:ext>
              </c:extLst>
            </c:dLbl>
            <c:dLbl>
              <c:idx val="1"/>
              <c:tx>
                <c:strRef>
                  <c:f>'Balance Sheet Data'!$A$287</c:f>
                  <c:strCache>
                    <c:ptCount val="1"/>
                    <c:pt idx="0">
                      <c:v>05/06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{4F710901-3FB4-4A9B-B281-0CAB872821EE}</c15:txfldGUID>
                      <c15:f>'Balance Sheet Data'!$A$287</c15:f>
                      <c15:dlblFieldTableCache>
                        <c:ptCount val="1"/>
                        <c:pt idx="0">
                          <c:v>05/06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0469-4FE7-8C5F-F18095A5AADD}"/>
                </c:ext>
              </c:extLst>
            </c:dLbl>
            <c:dLbl>
              <c:idx val="2"/>
              <c:tx>
                <c:strRef>
                  <c:f>'Balance Sheet Data'!$A$288</c:f>
                  <c:strCache>
                    <c:ptCount val="1"/>
                    <c:pt idx="0">
                      <c:v>06/07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{22BFCD4F-C86B-4751-9F09-401D516DED9D}</c15:txfldGUID>
                      <c15:f>'Balance Sheet Data'!$A$288</c15:f>
                      <c15:dlblFieldTableCache>
                        <c:ptCount val="1"/>
                        <c:pt idx="0">
                          <c:v>06/07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0469-4FE7-8C5F-F18095A5AADD}"/>
                </c:ext>
              </c:extLst>
            </c:dLbl>
            <c:dLbl>
              <c:idx val="3"/>
              <c:tx>
                <c:strRef>
                  <c:f>'Balance Sheet Data'!$A$289</c:f>
                  <c:strCache>
                    <c:ptCount val="1"/>
                    <c:pt idx="0">
                      <c:v>07/08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{5CC442A5-370C-487C-BBDF-DDF27FFD2C4F}</c15:txfldGUID>
                      <c15:f>'Balance Sheet Data'!$A$289</c15:f>
                      <c15:dlblFieldTableCache>
                        <c:ptCount val="1"/>
                        <c:pt idx="0">
                          <c:v>07/08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0469-4FE7-8C5F-F18095A5AADD}"/>
                </c:ext>
              </c:extLst>
            </c:dLbl>
            <c:dLbl>
              <c:idx val="4"/>
              <c:tx>
                <c:strRef>
                  <c:f>'Balance Sheet Data'!$A$290</c:f>
                  <c:strCache>
                    <c:ptCount val="1"/>
                    <c:pt idx="0">
                      <c:v>08/09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{E236C7CC-F6BF-457A-AEC9-C37EBF28CB47}</c15:txfldGUID>
                      <c15:f>'Balance Sheet Data'!$A$290</c15:f>
                      <c15:dlblFieldTableCache>
                        <c:ptCount val="1"/>
                        <c:pt idx="0">
                          <c:v>08/09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0469-4FE7-8C5F-F18095A5AADD}"/>
                </c:ext>
              </c:extLst>
            </c:dLbl>
            <c:dLbl>
              <c:idx val="5"/>
              <c:tx>
                <c:strRef>
                  <c:f>'Balance Sheet Data'!$A$291</c:f>
                  <c:strCache>
                    <c:ptCount val="1"/>
                    <c:pt idx="0">
                      <c:v>09/10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{5CF22D87-9C57-4C7C-98D6-FF80234D474E}</c15:txfldGUID>
                      <c15:f>'Balance Sheet Data'!$A$291</c15:f>
                      <c15:dlblFieldTableCache>
                        <c:ptCount val="1"/>
                        <c:pt idx="0">
                          <c:v>09/10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0469-4FE7-8C5F-F18095A5AADD}"/>
                </c:ext>
              </c:extLst>
            </c:dLbl>
            <c:dLbl>
              <c:idx val="6"/>
              <c:tx>
                <c:strRef>
                  <c:f>'Balance Sheet Data'!$A$292</c:f>
                  <c:strCache>
                    <c:ptCount val="1"/>
                    <c:pt idx="0">
                      <c:v>10/11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{305AB626-55EF-47A9-94A1-B0474BFAB74D}</c15:txfldGUID>
                      <c15:f>'Balance Sheet Data'!$A$292</c15:f>
                      <c15:dlblFieldTableCache>
                        <c:ptCount val="1"/>
                        <c:pt idx="0">
                          <c:v>10/11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0469-4FE7-8C5F-F18095A5AADD}"/>
                </c:ext>
              </c:extLst>
            </c:dLbl>
            <c:dLbl>
              <c:idx val="7"/>
              <c:tx>
                <c:strRef>
                  <c:f>'Balance Sheet Data'!$A$293</c:f>
                  <c:strCache>
                    <c:ptCount val="1"/>
                    <c:pt idx="0">
                      <c:v>11/12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{7E3E117E-3E09-4047-93EA-4283F9FDAE49}</c15:txfldGUID>
                      <c15:f>'Balance Sheet Data'!$A$293</c15:f>
                      <c15:dlblFieldTableCache>
                        <c:ptCount val="1"/>
                        <c:pt idx="0">
                          <c:v>11/12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0469-4FE7-8C5F-F18095A5AADD}"/>
                </c:ext>
              </c:extLst>
            </c:dLbl>
            <c:dLbl>
              <c:idx val="8"/>
              <c:tx>
                <c:strRef>
                  <c:f>'Balance Sheet Data'!$A$294</c:f>
                  <c:strCache>
                    <c:ptCount val="1"/>
                    <c:pt idx="0">
                      <c:v>12/13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{ED42A961-1004-41F4-8C91-64262965C847}</c15:txfldGUID>
                      <c15:f>'Balance Sheet Data'!$A$294</c15:f>
                      <c15:dlblFieldTableCache>
                        <c:ptCount val="1"/>
                        <c:pt idx="0">
                          <c:v>12/13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0469-4FE7-8C5F-F18095A5AADD}"/>
                </c:ext>
              </c:extLst>
            </c:dLbl>
            <c:dLbl>
              <c:idx val="9"/>
              <c:tx>
                <c:strRef>
                  <c:f>'Balance Sheet Data'!$A$295</c:f>
                  <c:strCache>
                    <c:ptCount val="1"/>
                    <c:pt idx="0">
                      <c:v>13/14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{E7D5D7FD-DF67-44C9-A167-E56124722751}</c15:txfldGUID>
                      <c15:f>'Balance Sheet Data'!$A$295</c15:f>
                      <c15:dlblFieldTableCache>
                        <c:ptCount val="1"/>
                        <c:pt idx="0">
                          <c:v>13/14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0469-4FE7-8C5F-F18095A5AADD}"/>
                </c:ext>
              </c:extLst>
            </c:dLbl>
            <c:dLbl>
              <c:idx val="10"/>
              <c:tx>
                <c:strRef>
                  <c:f>'Balance Sheet Data'!$A$296</c:f>
                  <c:strCache>
                    <c:ptCount val="1"/>
                    <c:pt idx="0">
                      <c:v>14/15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{3B5AF0C2-4F55-4080-96BF-94AAE34B6DEA}</c15:txfldGUID>
                      <c15:f>'Balance Sheet Data'!$A$296</c15:f>
                      <c15:dlblFieldTableCache>
                        <c:ptCount val="1"/>
                        <c:pt idx="0">
                          <c:v>14/15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0469-4FE7-8C5F-F18095A5AADD}"/>
                </c:ext>
              </c:extLst>
            </c:dLbl>
            <c:dLbl>
              <c:idx val="11"/>
              <c:tx>
                <c:strRef>
                  <c:f>'Balance Sheet Data'!$A$297</c:f>
                  <c:strCache>
                    <c:ptCount val="1"/>
                    <c:pt idx="0">
                      <c:v>15/16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{278A2F5F-E710-40A1-A1DD-16DBD69643C1}</c15:txfldGUID>
                      <c15:f>'Balance Sheet Data'!$A$297</c15:f>
                      <c15:dlblFieldTableCache>
                        <c:ptCount val="1"/>
                        <c:pt idx="0">
                          <c:v>15/16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0469-4FE7-8C5F-F18095A5AADD}"/>
                </c:ext>
              </c:extLst>
            </c:dLbl>
            <c:dLbl>
              <c:idx val="12"/>
              <c:tx>
                <c:strRef>
                  <c:f>'Balance Sheet Data'!$A$298</c:f>
                  <c:strCache>
                    <c:ptCount val="1"/>
                    <c:pt idx="0">
                      <c:v>16/17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{484C246C-B5CC-4942-9365-28C602F29671}</c15:txfldGUID>
                      <c15:f>'Balance Sheet Data'!$A$298</c15:f>
                      <c15:dlblFieldTableCache>
                        <c:ptCount val="1"/>
                        <c:pt idx="0">
                          <c:v>16/17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0469-4FE7-8C5F-F18095A5AADD}"/>
                </c:ext>
              </c:extLst>
            </c:dLbl>
            <c:dLbl>
              <c:idx val="13"/>
              <c:tx>
                <c:strRef>
                  <c:f>'Balance Sheet Data'!$A$299</c:f>
                  <c:strCache>
                    <c:ptCount val="1"/>
                    <c:pt idx="0">
                      <c:v>17/18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{CA0DCBAF-599B-47E1-A819-92B5D28B5C51}</c15:txfldGUID>
                      <c15:f>'Balance Sheet Data'!$A$299</c15:f>
                      <c15:dlblFieldTableCache>
                        <c:ptCount val="1"/>
                        <c:pt idx="0">
                          <c:v>17/18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0469-4FE7-8C5F-F18095A5AADD}"/>
                </c:ext>
              </c:extLst>
            </c:dLbl>
            <c:dLbl>
              <c:idx val="14"/>
              <c:tx>
                <c:strRef>
                  <c:f>'Balance Sheet Data'!$A$300</c:f>
                  <c:strCache>
                    <c:ptCount val="1"/>
                    <c:pt idx="0">
                      <c:v>18/19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{02087BFE-ED97-4019-A88F-E7B5B92E01D9}</c15:txfldGUID>
                      <c15:f>'Balance Sheet Data'!$A$300</c15:f>
                      <c15:dlblFieldTableCache>
                        <c:ptCount val="1"/>
                        <c:pt idx="0">
                          <c:v>18/19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0469-4FE7-8C5F-F18095A5AADD}"/>
                </c:ext>
              </c:extLst>
            </c:dLbl>
            <c:dLbl>
              <c:idx val="15"/>
              <c:tx>
                <c:strRef>
                  <c:f>'Balance Sheet Data'!$A$301</c:f>
                  <c:strCache>
                    <c:ptCount val="1"/>
                    <c:pt idx="0">
                      <c:v>19/20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{29002F2B-14B8-4287-B716-C6341F36F56F}</c15:txfldGUID>
                      <c15:f>'Balance Sheet Data'!$A$301</c15:f>
                      <c15:dlblFieldTableCache>
                        <c:ptCount val="1"/>
                        <c:pt idx="0">
                          <c:v>19/20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0469-4FE7-8C5F-F18095A5AADD}"/>
                </c:ext>
              </c:extLst>
            </c:dLbl>
            <c:dLbl>
              <c:idx val="16"/>
              <c:tx>
                <c:strRef>
                  <c:f>'Balance Sheet Data'!$A$302</c:f>
                  <c:strCache>
                    <c:ptCount val="1"/>
                    <c:pt idx="0">
                      <c:v>20/21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{0D65C10F-5EE8-42FB-B9BD-CBE19518C023}</c15:txfldGUID>
                      <c15:f>'Balance Sheet Data'!$A$302</c15:f>
                      <c15:dlblFieldTableCache>
                        <c:ptCount val="1"/>
                        <c:pt idx="0">
                          <c:v>20/21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0469-4FE7-8C5F-F18095A5AADD}"/>
                </c:ext>
              </c:extLst>
            </c:dLbl>
            <c:dLbl>
              <c:idx val="17"/>
              <c:tx>
                <c:strRef>
                  <c:f>'Balance Sheet Data'!$A$303</c:f>
                  <c:strCache>
                    <c:ptCount val="1"/>
                    <c:pt idx="0">
                      <c:v>21/22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C4722E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{4EDD8E4D-A39C-40CD-8997-B69ABC3CD353}</c15:txfldGUID>
                      <c15:f>'Balance Sheet Data'!$A$303</c15:f>
                      <c15:dlblFieldTableCache>
                        <c:ptCount val="1"/>
                        <c:pt idx="0">
                          <c:v>21/22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0469-4FE7-8C5F-F18095A5AA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>
                        <a:lumMod val="6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8575" cap="rnd">
                <a:solidFill>
                  <a:srgbClr val="C4722E"/>
                </a:solidFill>
                <a:prstDash val="solid"/>
              </a:ln>
              <a:effectLst/>
            </c:spPr>
            <c:trendlineType val="power"/>
            <c:dispRSqr val="0"/>
            <c:dispEq val="0"/>
          </c:trendline>
          <c:errBars>
            <c:errDir val="y"/>
            <c:errBarType val="both"/>
            <c:errValType val="cust"/>
            <c:noEndCap val="0"/>
            <c:plus>
              <c:numRef>
                <c:f>'Futures Averages'!$O$273:$O$290</c:f>
                <c:numCache>
                  <c:formatCode>General</c:formatCode>
                  <c:ptCount val="18"/>
                  <c:pt idx="0">
                    <c:v>0.29142857999999983</c:v>
                  </c:pt>
                  <c:pt idx="1">
                    <c:v>0.26178571999999978</c:v>
                  </c:pt>
                  <c:pt idx="2">
                    <c:v>0.25630952999999934</c:v>
                  </c:pt>
                  <c:pt idx="3">
                    <c:v>0.48559524000000032</c:v>
                  </c:pt>
                  <c:pt idx="4">
                    <c:v>0.81013158000000018</c:v>
                  </c:pt>
                  <c:pt idx="5">
                    <c:v>0.57699999999999996</c:v>
                  </c:pt>
                  <c:pt idx="6">
                    <c:v>0.92154762000000012</c:v>
                  </c:pt>
                  <c:pt idx="7">
                    <c:v>0.60130952999999998</c:v>
                  </c:pt>
                  <c:pt idx="8">
                    <c:v>1.230119049999999</c:v>
                  </c:pt>
                  <c:pt idx="9">
                    <c:v>0.47812500000000036</c:v>
                  </c:pt>
                  <c:pt idx="10">
                    <c:v>0.5422368500000001</c:v>
                  </c:pt>
                  <c:pt idx="11">
                    <c:v>0.24512499999999982</c:v>
                  </c:pt>
                  <c:pt idx="12">
                    <c:v>0.5791666700000011</c:v>
                  </c:pt>
                  <c:pt idx="13">
                    <c:v>0.1990476190476187</c:v>
                  </c:pt>
                  <c:pt idx="14">
                    <c:v>0.1789285714285711</c:v>
                  </c:pt>
                  <c:pt idx="15">
                    <c:v>0.29824999999999946</c:v>
                  </c:pt>
                  <c:pt idx="16">
                    <c:v>0.55250000000000021</c:v>
                  </c:pt>
                  <c:pt idx="17">
                    <c:v>0.36157857209523847</c:v>
                  </c:pt>
                </c:numCache>
              </c:numRef>
            </c:plus>
            <c:minus>
              <c:numRef>
                <c:f>'Futures Averages'!$O$331:$O$348</c:f>
                <c:numCache>
                  <c:formatCode>General</c:formatCode>
                  <c:ptCount val="18"/>
                  <c:pt idx="0">
                    <c:v>0.30357141999999993</c:v>
                  </c:pt>
                  <c:pt idx="1">
                    <c:v>0.34571428000000015</c:v>
                  </c:pt>
                  <c:pt idx="2">
                    <c:v>0.2861904700000002</c:v>
                  </c:pt>
                  <c:pt idx="3">
                    <c:v>0.84940476000000054</c:v>
                  </c:pt>
                  <c:pt idx="4">
                    <c:v>0.65486842000000145</c:v>
                  </c:pt>
                  <c:pt idx="5">
                    <c:v>0.61550000000000082</c:v>
                  </c:pt>
                  <c:pt idx="6">
                    <c:v>0.81095237999999981</c:v>
                  </c:pt>
                  <c:pt idx="7">
                    <c:v>0.68619046999999966</c:v>
                  </c:pt>
                  <c:pt idx="8">
                    <c:v>0.76238095000000072</c:v>
                  </c:pt>
                  <c:pt idx="9">
                    <c:v>0.46187499999999915</c:v>
                  </c:pt>
                  <c:pt idx="10">
                    <c:v>0.36776315000000004</c:v>
                  </c:pt>
                  <c:pt idx="11">
                    <c:v>0.22237499999999955</c:v>
                  </c:pt>
                  <c:pt idx="12">
                    <c:v>0.31833332999999975</c:v>
                  </c:pt>
                  <c:pt idx="13">
                    <c:v>0.21345238095238095</c:v>
                  </c:pt>
                  <c:pt idx="14">
                    <c:v>0.37107142857142961</c:v>
                  </c:pt>
                  <c:pt idx="15">
                    <c:v>0.36674999999999969</c:v>
                  </c:pt>
                  <c:pt idx="16">
                    <c:v>0.9975000000000005</c:v>
                  </c:pt>
                  <c:pt idx="17">
                    <c:v>0.45342142790476103</c:v>
                  </c:pt>
                </c:numCache>
              </c:numRef>
            </c:minus>
            <c:spPr>
              <a:noFill/>
              <a:ln w="15875" cap="flat" cmpd="sng" algn="ctr">
                <a:solidFill>
                  <a:srgbClr val="000000"/>
                </a:solidFill>
                <a:round/>
              </a:ln>
              <a:effectLst/>
            </c:spPr>
          </c:errBars>
          <c:xVal>
            <c:numRef>
              <c:f>'Balance Sheet Data'!$T$286:$T$303</c:f>
              <c:numCache>
                <c:formatCode>0.0%</c:formatCode>
                <c:ptCount val="18"/>
                <c:pt idx="0">
                  <c:v>8.5762144053601344E-2</c:v>
                </c:pt>
                <c:pt idx="1">
                  <c:v>0.15622825330549756</c:v>
                </c:pt>
                <c:pt idx="2">
                  <c:v>0.186402081977879</c:v>
                </c:pt>
                <c:pt idx="3">
                  <c:v>6.7125081859855926E-2</c:v>
                </c:pt>
                <c:pt idx="4">
                  <c:v>4.5290449622579589E-2</c:v>
                </c:pt>
                <c:pt idx="5">
                  <c:v>4.4927105028265399E-2</c:v>
                </c:pt>
                <c:pt idx="6">
                  <c:v>6.5548780487804881E-2</c:v>
                </c:pt>
                <c:pt idx="7">
                  <c:v>5.3565768621236132E-2</c:v>
                </c:pt>
                <c:pt idx="8">
                  <c:v>4.5513234344738543E-2</c:v>
                </c:pt>
                <c:pt idx="9">
                  <c:v>2.6449396204715352E-2</c:v>
                </c:pt>
                <c:pt idx="10">
                  <c:v>4.9469049469049467E-2</c:v>
                </c:pt>
                <c:pt idx="11">
                  <c:v>4.9961957900076084E-2</c:v>
                </c:pt>
                <c:pt idx="12">
                  <c:v>7.1428571428571425E-2</c:v>
                </c:pt>
                <c:pt idx="13">
                  <c:v>0.10195530726256984</c:v>
                </c:pt>
                <c:pt idx="14">
                  <c:v>0.23014872699773128</c:v>
                </c:pt>
                <c:pt idx="15">
                  <c:v>0.1323045788009107</c:v>
                </c:pt>
                <c:pt idx="16">
                  <c:v>5.705916963488384E-2</c:v>
                </c:pt>
                <c:pt idx="17">
                  <c:v>6.1473897503912078E-2</c:v>
                </c:pt>
              </c:numCache>
            </c:numRef>
          </c:xVal>
          <c:yVal>
            <c:numRef>
              <c:f>'Futures Averages'!$K$215:$K$232</c:f>
              <c:numCache>
                <c:formatCode>#,##0.00_);[Red]\(#,##0.00\)</c:formatCode>
                <c:ptCount val="18"/>
                <c:pt idx="0">
                  <c:v>5.3285714200000003</c:v>
                </c:pt>
                <c:pt idx="1">
                  <c:v>5.78821428</c:v>
                </c:pt>
                <c:pt idx="2">
                  <c:v>6.7011904700000002</c:v>
                </c:pt>
                <c:pt idx="3">
                  <c:v>10.65440476</c:v>
                </c:pt>
                <c:pt idx="4">
                  <c:v>9.0073684200000006</c:v>
                </c:pt>
                <c:pt idx="5">
                  <c:v>10.115500000000001</c:v>
                </c:pt>
                <c:pt idx="6">
                  <c:v>12.563452379999999</c:v>
                </c:pt>
                <c:pt idx="7">
                  <c:v>11.71369047</c:v>
                </c:pt>
                <c:pt idx="8">
                  <c:v>14.484880950000001</c:v>
                </c:pt>
                <c:pt idx="9">
                  <c:v>12.931875</c:v>
                </c:pt>
                <c:pt idx="10">
                  <c:v>10.320263150000001</c:v>
                </c:pt>
                <c:pt idx="11">
                  <c:v>8.6648750000000003</c:v>
                </c:pt>
                <c:pt idx="12">
                  <c:v>10.070833329999999</c:v>
                </c:pt>
                <c:pt idx="13">
                  <c:v>9.8834523809523809</c:v>
                </c:pt>
                <c:pt idx="14">
                  <c:v>8.8285714285714292</c:v>
                </c:pt>
                <c:pt idx="15">
                  <c:v>9.12425</c:v>
                </c:pt>
                <c:pt idx="16">
                  <c:v>11.4475</c:v>
                </c:pt>
                <c:pt idx="17" formatCode="_(* #,##0.00_);_(* \(#,##0.00\);_(* &quot;-&quot;??_);_(@_)">
                  <c:v>12.37154761904762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0469-4FE7-8C5F-F18095A5A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3370360"/>
        <c:axId val="1813367736"/>
      </c:scatterChart>
      <c:valAx>
        <c:axId val="1813370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U.S. Stocks</a:t>
                </a:r>
                <a:r>
                  <a:rPr lang="en-US" sz="1200" baseline="0">
                    <a:solidFill>
                      <a:sysClr val="windowText" lastClr="000000"/>
                    </a:solidFill>
                  </a:rPr>
                  <a:t>-to-Use</a:t>
                </a:r>
                <a:endParaRPr lang="en-US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13367736"/>
        <c:crosses val="autoZero"/>
        <c:crossBetween val="midCat"/>
      </c:valAx>
      <c:valAx>
        <c:axId val="1813367736"/>
        <c:scaling>
          <c:orientation val="minMax"/>
          <c:min val="4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aseline="0">
                    <a:solidFill>
                      <a:sysClr val="windowText" lastClr="000000"/>
                    </a:solidFill>
                  </a:rPr>
                  <a:t>Dollars per Bushel</a:t>
                </a:r>
                <a:endParaRPr lang="en-US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13370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000">
                <a:solidFill>
                  <a:sysClr val="windowText" lastClr="000000"/>
                </a:solidFill>
              </a:rPr>
              <a:t>SF Average Price in December versus Stocks-to-Use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2703558650084797E-2"/>
          <c:y val="0.10587402231223401"/>
          <c:w val="0.86601356709922583"/>
          <c:h val="0.79398020918719137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rgbClr val="D7BA2F"/>
              </a:solidFill>
              <a:ln w="15875">
                <a:solidFill>
                  <a:srgbClr val="C4722E"/>
                </a:solidFill>
              </a:ln>
              <a:effectLst/>
            </c:spPr>
          </c:marker>
          <c:dLbls>
            <c:dLbl>
              <c:idx val="0"/>
              <c:tx>
                <c:strRef>
                  <c:f>'Balance Sheet Data'!$A$286</c:f>
                  <c:strCache>
                    <c:ptCount val="1"/>
                    <c:pt idx="0">
                      <c:v>04/05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{F6C8DCBE-ED5E-4892-A947-DDBC1203918C}</c15:txfldGUID>
                      <c15:f>'Balance Sheet Data'!$A$286</c15:f>
                      <c15:dlblFieldTableCache>
                        <c:ptCount val="1"/>
                        <c:pt idx="0">
                          <c:v>04/05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6216-4E7F-88C2-C7A79C04965E}"/>
                </c:ext>
              </c:extLst>
            </c:dLbl>
            <c:dLbl>
              <c:idx val="1"/>
              <c:tx>
                <c:strRef>
                  <c:f>'Balance Sheet Data'!$A$287</c:f>
                  <c:strCache>
                    <c:ptCount val="1"/>
                    <c:pt idx="0">
                      <c:v>05/06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{648C2770-A4A2-4136-8788-616DD9DB75C0}</c15:txfldGUID>
                      <c15:f>'Balance Sheet Data'!$A$287</c15:f>
                      <c15:dlblFieldTableCache>
                        <c:ptCount val="1"/>
                        <c:pt idx="0">
                          <c:v>05/06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6216-4E7F-88C2-C7A79C04965E}"/>
                </c:ext>
              </c:extLst>
            </c:dLbl>
            <c:dLbl>
              <c:idx val="2"/>
              <c:tx>
                <c:strRef>
                  <c:f>'Balance Sheet Data'!$A$288</c:f>
                  <c:strCache>
                    <c:ptCount val="1"/>
                    <c:pt idx="0">
                      <c:v>06/07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{29D2F9D8-1B3A-4052-8096-B4495A420801}</c15:txfldGUID>
                      <c15:f>'Balance Sheet Data'!$A$288</c15:f>
                      <c15:dlblFieldTableCache>
                        <c:ptCount val="1"/>
                        <c:pt idx="0">
                          <c:v>06/07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6216-4E7F-88C2-C7A79C04965E}"/>
                </c:ext>
              </c:extLst>
            </c:dLbl>
            <c:dLbl>
              <c:idx val="3"/>
              <c:tx>
                <c:strRef>
                  <c:f>'Balance Sheet Data'!$A$289</c:f>
                  <c:strCache>
                    <c:ptCount val="1"/>
                    <c:pt idx="0">
                      <c:v>07/08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{36717F1C-38DE-4408-9913-2BB2F294DED7}</c15:txfldGUID>
                      <c15:f>'Balance Sheet Data'!$A$289</c15:f>
                      <c15:dlblFieldTableCache>
                        <c:ptCount val="1"/>
                        <c:pt idx="0">
                          <c:v>07/08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6216-4E7F-88C2-C7A79C04965E}"/>
                </c:ext>
              </c:extLst>
            </c:dLbl>
            <c:dLbl>
              <c:idx val="4"/>
              <c:tx>
                <c:strRef>
                  <c:f>'Balance Sheet Data'!$A$290</c:f>
                  <c:strCache>
                    <c:ptCount val="1"/>
                    <c:pt idx="0">
                      <c:v>08/09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{92C6AC7C-6A4C-46BF-B648-70CDEE4B1AEE}</c15:txfldGUID>
                      <c15:f>'Balance Sheet Data'!$A$290</c15:f>
                      <c15:dlblFieldTableCache>
                        <c:ptCount val="1"/>
                        <c:pt idx="0">
                          <c:v>08/09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6216-4E7F-88C2-C7A79C04965E}"/>
                </c:ext>
              </c:extLst>
            </c:dLbl>
            <c:dLbl>
              <c:idx val="5"/>
              <c:tx>
                <c:strRef>
                  <c:f>'Balance Sheet Data'!$A$291</c:f>
                  <c:strCache>
                    <c:ptCount val="1"/>
                    <c:pt idx="0">
                      <c:v>09/10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{46909110-4E79-41E0-8413-13DEBB07A597}</c15:txfldGUID>
                      <c15:f>'Balance Sheet Data'!$A$291</c15:f>
                      <c15:dlblFieldTableCache>
                        <c:ptCount val="1"/>
                        <c:pt idx="0">
                          <c:v>09/10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6216-4E7F-88C2-C7A79C04965E}"/>
                </c:ext>
              </c:extLst>
            </c:dLbl>
            <c:dLbl>
              <c:idx val="6"/>
              <c:tx>
                <c:strRef>
                  <c:f>'Balance Sheet Data'!$A$292</c:f>
                  <c:strCache>
                    <c:ptCount val="1"/>
                    <c:pt idx="0">
                      <c:v>10/11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{43DE5E98-EFFE-4ABF-88B4-83E754D0A85B}</c15:txfldGUID>
                      <c15:f>'Balance Sheet Data'!$A$292</c15:f>
                      <c15:dlblFieldTableCache>
                        <c:ptCount val="1"/>
                        <c:pt idx="0">
                          <c:v>10/11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6216-4E7F-88C2-C7A79C04965E}"/>
                </c:ext>
              </c:extLst>
            </c:dLbl>
            <c:dLbl>
              <c:idx val="7"/>
              <c:tx>
                <c:strRef>
                  <c:f>'Balance Sheet Data'!$A$293</c:f>
                  <c:strCache>
                    <c:ptCount val="1"/>
                    <c:pt idx="0">
                      <c:v>11/12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{7DA6A6BE-F403-4C81-A0C3-74510788290A}</c15:txfldGUID>
                      <c15:f>'Balance Sheet Data'!$A$293</c15:f>
                      <c15:dlblFieldTableCache>
                        <c:ptCount val="1"/>
                        <c:pt idx="0">
                          <c:v>11/12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6216-4E7F-88C2-C7A79C04965E}"/>
                </c:ext>
              </c:extLst>
            </c:dLbl>
            <c:dLbl>
              <c:idx val="8"/>
              <c:tx>
                <c:strRef>
                  <c:f>'Balance Sheet Data'!$A$294</c:f>
                  <c:strCache>
                    <c:ptCount val="1"/>
                    <c:pt idx="0">
                      <c:v>12/13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{EDE15ED5-E0EB-49EA-B1CB-4484444C8993}</c15:txfldGUID>
                      <c15:f>'Balance Sheet Data'!$A$294</c15:f>
                      <c15:dlblFieldTableCache>
                        <c:ptCount val="1"/>
                        <c:pt idx="0">
                          <c:v>12/13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6216-4E7F-88C2-C7A79C04965E}"/>
                </c:ext>
              </c:extLst>
            </c:dLbl>
            <c:dLbl>
              <c:idx val="9"/>
              <c:tx>
                <c:strRef>
                  <c:f>'Balance Sheet Data'!$A$295</c:f>
                  <c:strCache>
                    <c:ptCount val="1"/>
                    <c:pt idx="0">
                      <c:v>13/14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{48E9A91E-6C38-4845-B246-A28B80F6142A}</c15:txfldGUID>
                      <c15:f>'Balance Sheet Data'!$A$295</c15:f>
                      <c15:dlblFieldTableCache>
                        <c:ptCount val="1"/>
                        <c:pt idx="0">
                          <c:v>13/14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6216-4E7F-88C2-C7A79C04965E}"/>
                </c:ext>
              </c:extLst>
            </c:dLbl>
            <c:dLbl>
              <c:idx val="10"/>
              <c:tx>
                <c:strRef>
                  <c:f>'Balance Sheet Data'!$A$296</c:f>
                  <c:strCache>
                    <c:ptCount val="1"/>
                    <c:pt idx="0">
                      <c:v>14/15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{23669C29-BAB1-49A2-A927-418FA12639CB}</c15:txfldGUID>
                      <c15:f>'Balance Sheet Data'!$A$296</c15:f>
                      <c15:dlblFieldTableCache>
                        <c:ptCount val="1"/>
                        <c:pt idx="0">
                          <c:v>14/15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6216-4E7F-88C2-C7A79C04965E}"/>
                </c:ext>
              </c:extLst>
            </c:dLbl>
            <c:dLbl>
              <c:idx val="11"/>
              <c:tx>
                <c:strRef>
                  <c:f>'Balance Sheet Data'!$A$297</c:f>
                  <c:strCache>
                    <c:ptCount val="1"/>
                    <c:pt idx="0">
                      <c:v>15/16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{BFFB2599-3C88-4F0F-B0AF-7EED7394378C}</c15:txfldGUID>
                      <c15:f>'Balance Sheet Data'!$A$297</c15:f>
                      <c15:dlblFieldTableCache>
                        <c:ptCount val="1"/>
                        <c:pt idx="0">
                          <c:v>15/16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6216-4E7F-88C2-C7A79C04965E}"/>
                </c:ext>
              </c:extLst>
            </c:dLbl>
            <c:dLbl>
              <c:idx val="12"/>
              <c:tx>
                <c:strRef>
                  <c:f>'Balance Sheet Data'!$A$298</c:f>
                  <c:strCache>
                    <c:ptCount val="1"/>
                    <c:pt idx="0">
                      <c:v>16/17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{F21EE750-5DCB-461C-AFAF-1D7EF6E2701A}</c15:txfldGUID>
                      <c15:f>'Balance Sheet Data'!$A$298</c15:f>
                      <c15:dlblFieldTableCache>
                        <c:ptCount val="1"/>
                        <c:pt idx="0">
                          <c:v>16/17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6216-4E7F-88C2-C7A79C04965E}"/>
                </c:ext>
              </c:extLst>
            </c:dLbl>
            <c:dLbl>
              <c:idx val="13"/>
              <c:tx>
                <c:strRef>
                  <c:f>'Balance Sheet Data'!$A$299</c:f>
                  <c:strCache>
                    <c:ptCount val="1"/>
                    <c:pt idx="0">
                      <c:v>17/18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{BB829DCF-9225-4D60-9AD7-F8B77C07ED3A}</c15:txfldGUID>
                      <c15:f>'Balance Sheet Data'!$A$299</c15:f>
                      <c15:dlblFieldTableCache>
                        <c:ptCount val="1"/>
                        <c:pt idx="0">
                          <c:v>17/18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6216-4E7F-88C2-C7A79C04965E}"/>
                </c:ext>
              </c:extLst>
            </c:dLbl>
            <c:dLbl>
              <c:idx val="14"/>
              <c:tx>
                <c:strRef>
                  <c:f>'Balance Sheet Data'!$A$300</c:f>
                  <c:strCache>
                    <c:ptCount val="1"/>
                    <c:pt idx="0">
                      <c:v>18/19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{BBF9865D-9D49-4764-A38D-71EBF4B04593}</c15:txfldGUID>
                      <c15:f>'Balance Sheet Data'!$A$300</c15:f>
                      <c15:dlblFieldTableCache>
                        <c:ptCount val="1"/>
                        <c:pt idx="0">
                          <c:v>18/19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6216-4E7F-88C2-C7A79C04965E}"/>
                </c:ext>
              </c:extLst>
            </c:dLbl>
            <c:dLbl>
              <c:idx val="15"/>
              <c:tx>
                <c:strRef>
                  <c:f>'Balance Sheet Data'!$A$301</c:f>
                  <c:strCache>
                    <c:ptCount val="1"/>
                    <c:pt idx="0">
                      <c:v>19/20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{CB94D104-85DB-416F-ADEF-92C0D13F1E92}</c15:txfldGUID>
                      <c15:f>'Balance Sheet Data'!$A$301</c15:f>
                      <c15:dlblFieldTableCache>
                        <c:ptCount val="1"/>
                        <c:pt idx="0">
                          <c:v>19/20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6216-4E7F-88C2-C7A79C04965E}"/>
                </c:ext>
              </c:extLst>
            </c:dLbl>
            <c:dLbl>
              <c:idx val="16"/>
              <c:tx>
                <c:strRef>
                  <c:f>'Balance Sheet Data'!$A$302</c:f>
                  <c:strCache>
                    <c:ptCount val="1"/>
                    <c:pt idx="0">
                      <c:v>20/21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{194A2814-3432-47C0-88F6-AEF4A5BC214F}</c15:txfldGUID>
                      <c15:f>'Balance Sheet Data'!$A$302</c15:f>
                      <c15:dlblFieldTableCache>
                        <c:ptCount val="1"/>
                        <c:pt idx="0">
                          <c:v>20/21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6216-4E7F-88C2-C7A79C04965E}"/>
                </c:ext>
              </c:extLst>
            </c:dLbl>
            <c:dLbl>
              <c:idx val="17"/>
              <c:tx>
                <c:strRef>
                  <c:f>'Balance Sheet Data'!$A$303</c:f>
                  <c:strCache>
                    <c:ptCount val="1"/>
                    <c:pt idx="0">
                      <c:v>21/22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C4722E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{B728574F-8810-4566-A79B-2A232A02BDF0}</c15:txfldGUID>
                      <c15:f>'Balance Sheet Data'!$A$303</c15:f>
                      <c15:dlblFieldTableCache>
                        <c:ptCount val="1"/>
                        <c:pt idx="0">
                          <c:v>21/22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6216-4E7F-88C2-C7A79C0496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>
                        <a:lumMod val="6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8575" cap="rnd">
                <a:solidFill>
                  <a:srgbClr val="C4722E"/>
                </a:solidFill>
                <a:prstDash val="solid"/>
              </a:ln>
              <a:effectLst/>
            </c:spPr>
            <c:trendlineType val="power"/>
            <c:dispRSqr val="0"/>
            <c:dispEq val="0"/>
          </c:trendline>
          <c:errBars>
            <c:errDir val="y"/>
            <c:errBarType val="both"/>
            <c:errValType val="cust"/>
            <c:noEndCap val="0"/>
            <c:plus>
              <c:numRef>
                <c:f>'Futures Averages'!$O$273:$O$290</c:f>
                <c:numCache>
                  <c:formatCode>General</c:formatCode>
                  <c:ptCount val="18"/>
                  <c:pt idx="0">
                    <c:v>0.29142857999999983</c:v>
                  </c:pt>
                  <c:pt idx="1">
                    <c:v>0.26178571999999978</c:v>
                  </c:pt>
                  <c:pt idx="2">
                    <c:v>0.25630952999999934</c:v>
                  </c:pt>
                  <c:pt idx="3">
                    <c:v>0.48559524000000032</c:v>
                  </c:pt>
                  <c:pt idx="4">
                    <c:v>0.81013158000000018</c:v>
                  </c:pt>
                  <c:pt idx="5">
                    <c:v>0.57699999999999996</c:v>
                  </c:pt>
                  <c:pt idx="6">
                    <c:v>0.92154762000000012</c:v>
                  </c:pt>
                  <c:pt idx="7">
                    <c:v>0.60130952999999998</c:v>
                  </c:pt>
                  <c:pt idx="8">
                    <c:v>1.230119049999999</c:v>
                  </c:pt>
                  <c:pt idx="9">
                    <c:v>0.47812500000000036</c:v>
                  </c:pt>
                  <c:pt idx="10">
                    <c:v>0.5422368500000001</c:v>
                  </c:pt>
                  <c:pt idx="11">
                    <c:v>0.24512499999999982</c:v>
                  </c:pt>
                  <c:pt idx="12">
                    <c:v>0.5791666700000011</c:v>
                  </c:pt>
                  <c:pt idx="13">
                    <c:v>0.1990476190476187</c:v>
                  </c:pt>
                  <c:pt idx="14">
                    <c:v>0.1789285714285711</c:v>
                  </c:pt>
                  <c:pt idx="15">
                    <c:v>0.29824999999999946</c:v>
                  </c:pt>
                  <c:pt idx="16">
                    <c:v>0.55250000000000021</c:v>
                  </c:pt>
                  <c:pt idx="17">
                    <c:v>0.36157857209523847</c:v>
                  </c:pt>
                </c:numCache>
              </c:numRef>
            </c:plus>
            <c:minus>
              <c:numRef>
                <c:f>'Futures Averages'!$O$331:$O$348</c:f>
                <c:numCache>
                  <c:formatCode>General</c:formatCode>
                  <c:ptCount val="18"/>
                  <c:pt idx="0">
                    <c:v>0.30357141999999993</c:v>
                  </c:pt>
                  <c:pt idx="1">
                    <c:v>0.34571428000000015</c:v>
                  </c:pt>
                  <c:pt idx="2">
                    <c:v>0.2861904700000002</c:v>
                  </c:pt>
                  <c:pt idx="3">
                    <c:v>0.84940476000000054</c:v>
                  </c:pt>
                  <c:pt idx="4">
                    <c:v>0.65486842000000145</c:v>
                  </c:pt>
                  <c:pt idx="5">
                    <c:v>0.61550000000000082</c:v>
                  </c:pt>
                  <c:pt idx="6">
                    <c:v>0.81095237999999981</c:v>
                  </c:pt>
                  <c:pt idx="7">
                    <c:v>0.68619046999999966</c:v>
                  </c:pt>
                  <c:pt idx="8">
                    <c:v>0.76238095000000072</c:v>
                  </c:pt>
                  <c:pt idx="9">
                    <c:v>0.46187499999999915</c:v>
                  </c:pt>
                  <c:pt idx="10">
                    <c:v>0.36776315000000004</c:v>
                  </c:pt>
                  <c:pt idx="11">
                    <c:v>0.22237499999999955</c:v>
                  </c:pt>
                  <c:pt idx="12">
                    <c:v>0.31833332999999975</c:v>
                  </c:pt>
                  <c:pt idx="13">
                    <c:v>0.21345238095238095</c:v>
                  </c:pt>
                  <c:pt idx="14">
                    <c:v>0.37107142857142961</c:v>
                  </c:pt>
                  <c:pt idx="15">
                    <c:v>0.36674999999999969</c:v>
                  </c:pt>
                  <c:pt idx="16">
                    <c:v>0.9975000000000005</c:v>
                  </c:pt>
                  <c:pt idx="17">
                    <c:v>0.45342142790476103</c:v>
                  </c:pt>
                </c:numCache>
              </c:numRef>
            </c:minus>
            <c:spPr>
              <a:noFill/>
              <a:ln w="15875" cap="flat" cmpd="sng" algn="ctr">
                <a:solidFill>
                  <a:srgbClr val="000000"/>
                </a:solidFill>
                <a:round/>
              </a:ln>
              <a:effectLst/>
            </c:spPr>
          </c:errBars>
          <c:xVal>
            <c:numRef>
              <c:f>'Balance Sheet Data'!$I$286:$I$303</c:f>
              <c:numCache>
                <c:formatCode>0.0%</c:formatCode>
                <c:ptCount val="18"/>
                <c:pt idx="0">
                  <c:v>0.16381766381766383</c:v>
                </c:pt>
                <c:pt idx="1">
                  <c:v>0.13975155279503104</c:v>
                </c:pt>
                <c:pt idx="2">
                  <c:v>0.18278874150760271</c:v>
                </c:pt>
                <c:pt idx="3">
                  <c:v>6.1914323962516733E-2</c:v>
                </c:pt>
                <c:pt idx="4">
                  <c:v>7.0037581141100105E-2</c:v>
                </c:pt>
                <c:pt idx="5">
                  <c:v>7.9439252336448593E-2</c:v>
                </c:pt>
                <c:pt idx="6">
                  <c:v>4.8946900029664786E-2</c:v>
                </c:pt>
                <c:pt idx="7">
                  <c:v>7.5533661740558297E-2</c:v>
                </c:pt>
                <c:pt idx="8">
                  <c:v>4.2890135268888158E-2</c:v>
                </c:pt>
                <c:pt idx="9">
                  <c:v>4.5815516188149052E-2</c:v>
                </c:pt>
                <c:pt idx="10">
                  <c:v>0.11217510259917921</c:v>
                </c:pt>
                <c:pt idx="11">
                  <c:v>0.12439807383627609</c:v>
                </c:pt>
                <c:pt idx="12">
                  <c:v>0.11684518013631938</c:v>
                </c:pt>
                <c:pt idx="13">
                  <c:v>0.10334417092429168</c:v>
                </c:pt>
                <c:pt idx="14">
                  <c:v>0.23252982712442172</c:v>
                </c:pt>
                <c:pt idx="15">
                  <c:v>0.1185129740518962</c:v>
                </c:pt>
                <c:pt idx="16">
                  <c:v>3.8597265108072341E-2</c:v>
                </c:pt>
                <c:pt idx="17">
                  <c:v>6.1473897503912078E-2</c:v>
                </c:pt>
              </c:numCache>
            </c:numRef>
          </c:xVal>
          <c:yVal>
            <c:numRef>
              <c:f>'Futures Averages'!$L$215:$L$232</c:f>
              <c:numCache>
                <c:formatCode>#,##0.00_);[Red]\(#,##0.00\)</c:formatCode>
                <c:ptCount val="18"/>
                <c:pt idx="0">
                  <c:v>5.4047618999999996</c:v>
                </c:pt>
                <c:pt idx="1">
                  <c:v>5.8933333299999999</c:v>
                </c:pt>
                <c:pt idx="2">
                  <c:v>6.6217499999999996</c:v>
                </c:pt>
                <c:pt idx="3">
                  <c:v>11.514374999999999</c:v>
                </c:pt>
                <c:pt idx="4">
                  <c:v>8.6767045399999994</c:v>
                </c:pt>
                <c:pt idx="5">
                  <c:v>10.322840899999999</c:v>
                </c:pt>
                <c:pt idx="6">
                  <c:v>13.165681810000001</c:v>
                </c:pt>
                <c:pt idx="7">
                  <c:v>11.43178571</c:v>
                </c:pt>
                <c:pt idx="8">
                  <c:v>14.554625</c:v>
                </c:pt>
                <c:pt idx="9">
                  <c:v>13.29940476</c:v>
                </c:pt>
                <c:pt idx="10">
                  <c:v>10.30875</c:v>
                </c:pt>
                <c:pt idx="11">
                  <c:v>8.7992045399999999</c:v>
                </c:pt>
                <c:pt idx="12">
                  <c:v>10.21369047</c:v>
                </c:pt>
                <c:pt idx="13">
                  <c:v>9.7201250000000012</c:v>
                </c:pt>
                <c:pt idx="14">
                  <c:v>8.9942499999999992</c:v>
                </c:pt>
                <c:pt idx="15">
                  <c:v>9.1158333333333346</c:v>
                </c:pt>
                <c:pt idx="16">
                  <c:v>12.022976190476191</c:v>
                </c:pt>
                <c:pt idx="17" formatCode="_(* #,##0.00_);_(* \(#,##0.00\);_(* &quot;-&quot;??_);_(@_)">
                  <c:v>12.895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216-4E7F-88C2-C7A79C0496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3370360"/>
        <c:axId val="1813367736"/>
      </c:scatterChart>
      <c:valAx>
        <c:axId val="1813370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U.S. Stocks</a:t>
                </a:r>
                <a:r>
                  <a:rPr lang="en-US" sz="1200" baseline="0">
                    <a:solidFill>
                      <a:sysClr val="windowText" lastClr="000000"/>
                    </a:solidFill>
                  </a:rPr>
                  <a:t>-to-Use</a:t>
                </a:r>
                <a:endParaRPr lang="en-US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13367736"/>
        <c:crosses val="autoZero"/>
        <c:crossBetween val="midCat"/>
      </c:valAx>
      <c:valAx>
        <c:axId val="1813367736"/>
        <c:scaling>
          <c:orientation val="minMax"/>
          <c:min val="4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aseline="0">
                    <a:solidFill>
                      <a:sysClr val="windowText" lastClr="000000"/>
                    </a:solidFill>
                  </a:rPr>
                  <a:t>Dollars per Bushel</a:t>
                </a:r>
                <a:endParaRPr lang="en-US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13370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000">
                <a:solidFill>
                  <a:sysClr val="windowText" lastClr="000000"/>
                </a:solidFill>
              </a:rPr>
              <a:t>SH Average Price in January versus Stocks-to-Use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2703558650084797E-2"/>
          <c:y val="0.10587402231223401"/>
          <c:w val="0.86601356709922583"/>
          <c:h val="0.79398020918719137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rgbClr val="AE78D6"/>
              </a:solidFill>
              <a:ln w="15875">
                <a:solidFill>
                  <a:srgbClr val="7030A0"/>
                </a:solidFill>
              </a:ln>
              <a:effectLst/>
            </c:spPr>
          </c:marker>
          <c:dLbls>
            <c:dLbl>
              <c:idx val="0"/>
              <c:tx>
                <c:strRef>
                  <c:f>'Balance Sheet Data'!$A$286</c:f>
                  <c:strCache>
                    <c:ptCount val="1"/>
                    <c:pt idx="0">
                      <c:v>04/05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{52B56295-36F7-48A0-B334-67369C42C8AF}</c15:txfldGUID>
                      <c15:f>'Balance Sheet Data'!$A$286</c15:f>
                      <c15:dlblFieldTableCache>
                        <c:ptCount val="1"/>
                        <c:pt idx="0">
                          <c:v>04/05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89ED-4EAC-B99B-3D6CA48DC13A}"/>
                </c:ext>
              </c:extLst>
            </c:dLbl>
            <c:dLbl>
              <c:idx val="1"/>
              <c:tx>
                <c:strRef>
                  <c:f>'Balance Sheet Data'!$A$287</c:f>
                  <c:strCache>
                    <c:ptCount val="1"/>
                    <c:pt idx="0">
                      <c:v>05/06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{43B5CC98-8BED-4DD6-A48C-476197DB5D9E}</c15:txfldGUID>
                      <c15:f>'Balance Sheet Data'!$A$287</c15:f>
                      <c15:dlblFieldTableCache>
                        <c:ptCount val="1"/>
                        <c:pt idx="0">
                          <c:v>05/06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89ED-4EAC-B99B-3D6CA48DC13A}"/>
                </c:ext>
              </c:extLst>
            </c:dLbl>
            <c:dLbl>
              <c:idx val="2"/>
              <c:tx>
                <c:strRef>
                  <c:f>'Balance Sheet Data'!$A$288</c:f>
                  <c:strCache>
                    <c:ptCount val="1"/>
                    <c:pt idx="0">
                      <c:v>06/07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{C8F0890A-ED65-4432-BCCF-86D36AE3DEB0}</c15:txfldGUID>
                      <c15:f>'Balance Sheet Data'!$A$288</c15:f>
                      <c15:dlblFieldTableCache>
                        <c:ptCount val="1"/>
                        <c:pt idx="0">
                          <c:v>06/07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89ED-4EAC-B99B-3D6CA48DC13A}"/>
                </c:ext>
              </c:extLst>
            </c:dLbl>
            <c:dLbl>
              <c:idx val="3"/>
              <c:tx>
                <c:strRef>
                  <c:f>'Balance Sheet Data'!$A$289</c:f>
                  <c:strCache>
                    <c:ptCount val="1"/>
                    <c:pt idx="0">
                      <c:v>07/08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{8C23B339-2641-4E59-A27A-79BC45975DEB}</c15:txfldGUID>
                      <c15:f>'Balance Sheet Data'!$A$289</c15:f>
                      <c15:dlblFieldTableCache>
                        <c:ptCount val="1"/>
                        <c:pt idx="0">
                          <c:v>07/08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89ED-4EAC-B99B-3D6CA48DC13A}"/>
                </c:ext>
              </c:extLst>
            </c:dLbl>
            <c:dLbl>
              <c:idx val="4"/>
              <c:tx>
                <c:strRef>
                  <c:f>'Balance Sheet Data'!$A$290</c:f>
                  <c:strCache>
                    <c:ptCount val="1"/>
                    <c:pt idx="0">
                      <c:v>08/09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{CEDF918D-BCA4-4BCF-BCA0-3873E7861F9A}</c15:txfldGUID>
                      <c15:f>'Balance Sheet Data'!$A$290</c15:f>
                      <c15:dlblFieldTableCache>
                        <c:ptCount val="1"/>
                        <c:pt idx="0">
                          <c:v>08/09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89ED-4EAC-B99B-3D6CA48DC13A}"/>
                </c:ext>
              </c:extLst>
            </c:dLbl>
            <c:dLbl>
              <c:idx val="5"/>
              <c:tx>
                <c:strRef>
                  <c:f>'Balance Sheet Data'!$A$291</c:f>
                  <c:strCache>
                    <c:ptCount val="1"/>
                    <c:pt idx="0">
                      <c:v>09/10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{CA470565-360E-4613-95CF-5C96B21D4B41}</c15:txfldGUID>
                      <c15:f>'Balance Sheet Data'!$A$291</c15:f>
                      <c15:dlblFieldTableCache>
                        <c:ptCount val="1"/>
                        <c:pt idx="0">
                          <c:v>09/10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89ED-4EAC-B99B-3D6CA48DC13A}"/>
                </c:ext>
              </c:extLst>
            </c:dLbl>
            <c:dLbl>
              <c:idx val="6"/>
              <c:tx>
                <c:strRef>
                  <c:f>'Balance Sheet Data'!$A$292</c:f>
                  <c:strCache>
                    <c:ptCount val="1"/>
                    <c:pt idx="0">
                      <c:v>10/11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{4E762629-E617-4E8C-B573-7EC67AF059B3}</c15:txfldGUID>
                      <c15:f>'Balance Sheet Data'!$A$292</c15:f>
                      <c15:dlblFieldTableCache>
                        <c:ptCount val="1"/>
                        <c:pt idx="0">
                          <c:v>10/11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89ED-4EAC-B99B-3D6CA48DC13A}"/>
                </c:ext>
              </c:extLst>
            </c:dLbl>
            <c:dLbl>
              <c:idx val="7"/>
              <c:tx>
                <c:strRef>
                  <c:f>'Balance Sheet Data'!$A$293</c:f>
                  <c:strCache>
                    <c:ptCount val="1"/>
                    <c:pt idx="0">
                      <c:v>11/12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{44525E94-1393-4136-9528-9133FC824134}</c15:txfldGUID>
                      <c15:f>'Balance Sheet Data'!$A$293</c15:f>
                      <c15:dlblFieldTableCache>
                        <c:ptCount val="1"/>
                        <c:pt idx="0">
                          <c:v>11/12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89ED-4EAC-B99B-3D6CA48DC13A}"/>
                </c:ext>
              </c:extLst>
            </c:dLbl>
            <c:dLbl>
              <c:idx val="8"/>
              <c:tx>
                <c:strRef>
                  <c:f>'Balance Sheet Data'!$A$294</c:f>
                  <c:strCache>
                    <c:ptCount val="1"/>
                    <c:pt idx="0">
                      <c:v>12/13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{83590B00-B96D-41DD-8711-E22E90CC33B2}</c15:txfldGUID>
                      <c15:f>'Balance Sheet Data'!$A$294</c15:f>
                      <c15:dlblFieldTableCache>
                        <c:ptCount val="1"/>
                        <c:pt idx="0">
                          <c:v>12/13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89ED-4EAC-B99B-3D6CA48DC13A}"/>
                </c:ext>
              </c:extLst>
            </c:dLbl>
            <c:dLbl>
              <c:idx val="9"/>
              <c:tx>
                <c:strRef>
                  <c:f>'Balance Sheet Data'!$A$295</c:f>
                  <c:strCache>
                    <c:ptCount val="1"/>
                    <c:pt idx="0">
                      <c:v>13/14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{EB7A6B03-2549-4569-A13B-8C049BD33377}</c15:txfldGUID>
                      <c15:f>'Balance Sheet Data'!$A$295</c15:f>
                      <c15:dlblFieldTableCache>
                        <c:ptCount val="1"/>
                        <c:pt idx="0">
                          <c:v>13/14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89ED-4EAC-B99B-3D6CA48DC13A}"/>
                </c:ext>
              </c:extLst>
            </c:dLbl>
            <c:dLbl>
              <c:idx val="10"/>
              <c:tx>
                <c:strRef>
                  <c:f>'Balance Sheet Data'!$A$296</c:f>
                  <c:strCache>
                    <c:ptCount val="1"/>
                    <c:pt idx="0">
                      <c:v>14/15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{76DCD62D-FE02-4DBB-811B-0648DE8E8B9F}</c15:txfldGUID>
                      <c15:f>'Balance Sheet Data'!$A$296</c15:f>
                      <c15:dlblFieldTableCache>
                        <c:ptCount val="1"/>
                        <c:pt idx="0">
                          <c:v>14/15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89ED-4EAC-B99B-3D6CA48DC13A}"/>
                </c:ext>
              </c:extLst>
            </c:dLbl>
            <c:dLbl>
              <c:idx val="11"/>
              <c:tx>
                <c:strRef>
                  <c:f>'Balance Sheet Data'!$A$297</c:f>
                  <c:strCache>
                    <c:ptCount val="1"/>
                    <c:pt idx="0">
                      <c:v>15/16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{7A29EBCF-7D7A-45B5-8123-F0A4F0CA8B64}</c15:txfldGUID>
                      <c15:f>'Balance Sheet Data'!$A$297</c15:f>
                      <c15:dlblFieldTableCache>
                        <c:ptCount val="1"/>
                        <c:pt idx="0">
                          <c:v>15/16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89ED-4EAC-B99B-3D6CA48DC13A}"/>
                </c:ext>
              </c:extLst>
            </c:dLbl>
            <c:dLbl>
              <c:idx val="12"/>
              <c:tx>
                <c:strRef>
                  <c:f>'Balance Sheet Data'!$A$298</c:f>
                  <c:strCache>
                    <c:ptCount val="1"/>
                    <c:pt idx="0">
                      <c:v>16/17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{394839DD-6795-4C45-B94D-3A6B7AB76003}</c15:txfldGUID>
                      <c15:f>'Balance Sheet Data'!$A$298</c15:f>
                      <c15:dlblFieldTableCache>
                        <c:ptCount val="1"/>
                        <c:pt idx="0">
                          <c:v>16/17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89ED-4EAC-B99B-3D6CA48DC13A}"/>
                </c:ext>
              </c:extLst>
            </c:dLbl>
            <c:dLbl>
              <c:idx val="13"/>
              <c:tx>
                <c:strRef>
                  <c:f>'Balance Sheet Data'!$A$299</c:f>
                  <c:strCache>
                    <c:ptCount val="1"/>
                    <c:pt idx="0">
                      <c:v>17/18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{BB916495-7A40-40C1-A1CB-C235F1FD803E}</c15:txfldGUID>
                      <c15:f>'Balance Sheet Data'!$A$299</c15:f>
                      <c15:dlblFieldTableCache>
                        <c:ptCount val="1"/>
                        <c:pt idx="0">
                          <c:v>17/18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89ED-4EAC-B99B-3D6CA48DC13A}"/>
                </c:ext>
              </c:extLst>
            </c:dLbl>
            <c:dLbl>
              <c:idx val="14"/>
              <c:tx>
                <c:strRef>
                  <c:f>'Balance Sheet Data'!$A$300</c:f>
                  <c:strCache>
                    <c:ptCount val="1"/>
                    <c:pt idx="0">
                      <c:v>18/19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{2F3D7DF7-5484-4C83-B00A-6D64B331B296}</c15:txfldGUID>
                      <c15:f>'Balance Sheet Data'!$A$300</c15:f>
                      <c15:dlblFieldTableCache>
                        <c:ptCount val="1"/>
                        <c:pt idx="0">
                          <c:v>18/19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89ED-4EAC-B99B-3D6CA48DC13A}"/>
                </c:ext>
              </c:extLst>
            </c:dLbl>
            <c:dLbl>
              <c:idx val="15"/>
              <c:tx>
                <c:strRef>
                  <c:f>'Balance Sheet Data'!$A$301</c:f>
                  <c:strCache>
                    <c:ptCount val="1"/>
                    <c:pt idx="0">
                      <c:v>19/20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{229FA457-6320-4171-8721-0AC514569030}</c15:txfldGUID>
                      <c15:f>'Balance Sheet Data'!$A$301</c15:f>
                      <c15:dlblFieldTableCache>
                        <c:ptCount val="1"/>
                        <c:pt idx="0">
                          <c:v>19/20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89ED-4EAC-B99B-3D6CA48DC13A}"/>
                </c:ext>
              </c:extLst>
            </c:dLbl>
            <c:dLbl>
              <c:idx val="16"/>
              <c:tx>
                <c:strRef>
                  <c:f>'Balance Sheet Data'!$A$302</c:f>
                  <c:strCache>
                    <c:ptCount val="1"/>
                    <c:pt idx="0">
                      <c:v>20/21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{DFDDF124-2FD5-4F4E-B9A5-5095B9DE9031}</c15:txfldGUID>
                      <c15:f>'Balance Sheet Data'!$A$302</c15:f>
                      <c15:dlblFieldTableCache>
                        <c:ptCount val="1"/>
                        <c:pt idx="0">
                          <c:v>20/21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89ED-4EAC-B99B-3D6CA48DC13A}"/>
                </c:ext>
              </c:extLst>
            </c:dLbl>
            <c:dLbl>
              <c:idx val="17"/>
              <c:tx>
                <c:strRef>
                  <c:f>'Balance Sheet Data'!$A$303</c:f>
                  <c:strCache>
                    <c:ptCount val="1"/>
                    <c:pt idx="0">
                      <c:v>21/22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AE78D6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{86670175-5493-4E69-A7F4-26DDF8E43246}</c15:txfldGUID>
                      <c15:f>'Balance Sheet Data'!$A$303</c15:f>
                      <c15:dlblFieldTableCache>
                        <c:ptCount val="1"/>
                        <c:pt idx="0">
                          <c:v>21/22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89ED-4EAC-B99B-3D6CA48DC13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>
                        <a:lumMod val="6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8575" cap="rnd">
                <a:solidFill>
                  <a:srgbClr val="AE78D6"/>
                </a:solidFill>
                <a:prstDash val="solid"/>
              </a:ln>
              <a:effectLst/>
            </c:spPr>
            <c:trendlineType val="power"/>
            <c:dispRSqr val="0"/>
            <c:dispEq val="0"/>
          </c:trendline>
          <c:errBars>
            <c:errDir val="y"/>
            <c:errBarType val="both"/>
            <c:errValType val="cust"/>
            <c:noEndCap val="0"/>
            <c:plus>
              <c:numRef>
                <c:f>'Futures Averages'!$O$447:$O$464</c:f>
                <c:numCache>
                  <c:formatCode>General</c:formatCode>
                  <c:ptCount val="18"/>
                  <c:pt idx="0">
                    <c:v>0.24575000000000014</c:v>
                  </c:pt>
                  <c:pt idx="1">
                    <c:v>0.45787500000000048</c:v>
                  </c:pt>
                  <c:pt idx="2">
                    <c:v>0.30299999999999994</c:v>
                  </c:pt>
                  <c:pt idx="3">
                    <c:v>0.79583333999999972</c:v>
                  </c:pt>
                  <c:pt idx="4">
                    <c:v>0.66724999999999923</c:v>
                  </c:pt>
                  <c:pt idx="5">
                    <c:v>0.93342106000000058</c:v>
                  </c:pt>
                  <c:pt idx="6">
                    <c:v>0.37387499999999996</c:v>
                  </c:pt>
                  <c:pt idx="7">
                    <c:v>0.39762499999999967</c:v>
                  </c:pt>
                  <c:pt idx="8">
                    <c:v>0.6526190500000002</c:v>
                  </c:pt>
                  <c:pt idx="9">
                    <c:v>0.45345238999999893</c:v>
                  </c:pt>
                  <c:pt idx="10">
                    <c:v>0.59549999999999947</c:v>
                  </c:pt>
                  <c:pt idx="11">
                    <c:v>0.1498684300000015</c:v>
                  </c:pt>
                  <c:pt idx="12">
                    <c:v>0.43299999999999983</c:v>
                  </c:pt>
                  <c:pt idx="13">
                    <c:v>0.29369047619047528</c:v>
                  </c:pt>
                  <c:pt idx="14">
                    <c:v>0.14190476190476176</c:v>
                  </c:pt>
                  <c:pt idx="15">
                    <c:v>0.38833333333333364</c:v>
                  </c:pt>
                  <c:pt idx="16">
                    <c:v>0.65723684210526301</c:v>
                  </c:pt>
                  <c:pt idx="17">
                    <c:v>0.91424999999999912</c:v>
                  </c:pt>
                </c:numCache>
              </c:numRef>
            </c:plus>
            <c:minus>
              <c:numRef>
                <c:f>'Futures Averages'!$O$331:$O$348</c:f>
                <c:numCache>
                  <c:formatCode>General</c:formatCode>
                  <c:ptCount val="18"/>
                  <c:pt idx="0">
                    <c:v>0.30357141999999993</c:v>
                  </c:pt>
                  <c:pt idx="1">
                    <c:v>0.34571428000000015</c:v>
                  </c:pt>
                  <c:pt idx="2">
                    <c:v>0.2861904700000002</c:v>
                  </c:pt>
                  <c:pt idx="3">
                    <c:v>0.84940476000000054</c:v>
                  </c:pt>
                  <c:pt idx="4">
                    <c:v>0.65486842000000145</c:v>
                  </c:pt>
                  <c:pt idx="5">
                    <c:v>0.61550000000000082</c:v>
                  </c:pt>
                  <c:pt idx="6">
                    <c:v>0.81095237999999981</c:v>
                  </c:pt>
                  <c:pt idx="7">
                    <c:v>0.68619046999999966</c:v>
                  </c:pt>
                  <c:pt idx="8">
                    <c:v>0.76238095000000072</c:v>
                  </c:pt>
                  <c:pt idx="9">
                    <c:v>0.46187499999999915</c:v>
                  </c:pt>
                  <c:pt idx="10">
                    <c:v>0.36776315000000004</c:v>
                  </c:pt>
                  <c:pt idx="11">
                    <c:v>0.22237499999999955</c:v>
                  </c:pt>
                  <c:pt idx="12">
                    <c:v>0.31833332999999975</c:v>
                  </c:pt>
                  <c:pt idx="13">
                    <c:v>0.21345238095238095</c:v>
                  </c:pt>
                  <c:pt idx="14">
                    <c:v>0.37107142857142961</c:v>
                  </c:pt>
                  <c:pt idx="15">
                    <c:v>0.36674999999999969</c:v>
                  </c:pt>
                  <c:pt idx="16">
                    <c:v>0.9975000000000005</c:v>
                  </c:pt>
                  <c:pt idx="17">
                    <c:v>0.45342142790476103</c:v>
                  </c:pt>
                </c:numCache>
              </c:numRef>
            </c:minus>
            <c:spPr>
              <a:noFill/>
              <a:ln w="15875" cap="flat" cmpd="sng" algn="ctr">
                <a:solidFill>
                  <a:srgbClr val="000000"/>
                </a:solidFill>
                <a:round/>
              </a:ln>
              <a:effectLst/>
            </c:spPr>
          </c:errBars>
          <c:xVal>
            <c:numRef>
              <c:f>'Balance Sheet Data'!$J$286:$J$303</c:f>
              <c:numCache>
                <c:formatCode>0.0%</c:formatCode>
                <c:ptCount val="18"/>
                <c:pt idx="0">
                  <c:v>0.15409139213602552</c:v>
                </c:pt>
                <c:pt idx="1">
                  <c:v>0.17775431186202043</c:v>
                </c:pt>
                <c:pt idx="2">
                  <c:v>0.18754076973255054</c:v>
                </c:pt>
                <c:pt idx="3">
                  <c:v>5.8528428093645488E-2</c:v>
                </c:pt>
                <c:pt idx="4">
                  <c:v>7.632293080054274E-2</c:v>
                </c:pt>
                <c:pt idx="5">
                  <c:v>7.5107296137339061E-2</c:v>
                </c:pt>
                <c:pt idx="6">
                  <c:v>4.1728763040238454E-2</c:v>
                </c:pt>
                <c:pt idx="7">
                  <c:v>9.13317834606443E-2</c:v>
                </c:pt>
                <c:pt idx="8">
                  <c:v>4.3973941368078175E-2</c:v>
                </c:pt>
                <c:pt idx="9">
                  <c:v>4.5399515738498791E-2</c:v>
                </c:pt>
                <c:pt idx="10">
                  <c:v>0.11183851609383524</c:v>
                </c:pt>
                <c:pt idx="11">
                  <c:v>0.11856642414443547</c:v>
                </c:pt>
                <c:pt idx="12">
                  <c:v>0.10223953261927946</c:v>
                </c:pt>
                <c:pt idx="13">
                  <c:v>0.11064030131826742</c:v>
                </c:pt>
                <c:pt idx="14">
                  <c:v>0.23252982712442172</c:v>
                </c:pt>
                <c:pt idx="15">
                  <c:v>0.1185129740518962</c:v>
                </c:pt>
                <c:pt idx="16">
                  <c:v>3.0735455543358946E-2</c:v>
                </c:pt>
                <c:pt idx="17">
                  <c:v>6.1473897503912078E-2</c:v>
                </c:pt>
              </c:numCache>
            </c:numRef>
          </c:xVal>
          <c:yVal>
            <c:numRef>
              <c:f>'Futures Averages'!$K$389:$K$406</c:f>
              <c:numCache>
                <c:formatCode>#,##0.00_);[Red]\(#,##0.00\)</c:formatCode>
                <c:ptCount val="18"/>
                <c:pt idx="0">
                  <c:v>5.2642499999999997</c:v>
                </c:pt>
                <c:pt idx="1">
                  <c:v>5.8721249999999996</c:v>
                </c:pt>
                <c:pt idx="2">
                  <c:v>7.0170000000000003</c:v>
                </c:pt>
                <c:pt idx="3">
                  <c:v>12.619166659999999</c:v>
                </c:pt>
                <c:pt idx="4">
                  <c:v>9.9352499999999999</c:v>
                </c:pt>
                <c:pt idx="5">
                  <c:v>9.8140789399999999</c:v>
                </c:pt>
                <c:pt idx="6">
                  <c:v>13.951124999999999</c:v>
                </c:pt>
                <c:pt idx="7">
                  <c:v>12.049875</c:v>
                </c:pt>
                <c:pt idx="8">
                  <c:v>14.189880949999999</c:v>
                </c:pt>
                <c:pt idx="9">
                  <c:v>12.851547610000001</c:v>
                </c:pt>
                <c:pt idx="10">
                  <c:v>10.0245</c:v>
                </c:pt>
                <c:pt idx="11">
                  <c:v>8.7301315699999993</c:v>
                </c:pt>
                <c:pt idx="12">
                  <c:v>10.367000000000001</c:v>
                </c:pt>
                <c:pt idx="13">
                  <c:v>9.7538095238095242</c:v>
                </c:pt>
                <c:pt idx="14">
                  <c:v>9.1355952380952381</c:v>
                </c:pt>
                <c:pt idx="15">
                  <c:v>9.2216666666666658</c:v>
                </c:pt>
                <c:pt idx="16">
                  <c:v>13.707763157894737</c:v>
                </c:pt>
                <c:pt idx="17">
                  <c:v>14.05325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89ED-4EAC-B99B-3D6CA48DC1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3370360"/>
        <c:axId val="1813367736"/>
      </c:scatterChart>
      <c:valAx>
        <c:axId val="1813370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U.S. Stocks</a:t>
                </a:r>
                <a:r>
                  <a:rPr lang="en-US" sz="1200" baseline="0">
                    <a:solidFill>
                      <a:sysClr val="windowText" lastClr="000000"/>
                    </a:solidFill>
                  </a:rPr>
                  <a:t>-to-Use</a:t>
                </a:r>
                <a:endParaRPr lang="en-US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13367736"/>
        <c:crosses val="autoZero"/>
        <c:crossBetween val="midCat"/>
      </c:valAx>
      <c:valAx>
        <c:axId val="1813367736"/>
        <c:scaling>
          <c:orientation val="minMax"/>
          <c:min val="4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aseline="0">
                    <a:solidFill>
                      <a:sysClr val="windowText" lastClr="000000"/>
                    </a:solidFill>
                  </a:rPr>
                  <a:t>Dollars per Bushel</a:t>
                </a:r>
                <a:endParaRPr lang="en-US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13370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000">
                <a:solidFill>
                  <a:sysClr val="windowText" lastClr="000000"/>
                </a:solidFill>
              </a:rPr>
              <a:t>SH Average Price in February versus Stocks-to-Use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2703558650084797E-2"/>
          <c:y val="0.10587402231223401"/>
          <c:w val="0.86601356709922583"/>
          <c:h val="0.79398020918719137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rgbClr val="AE78D6"/>
              </a:solidFill>
              <a:ln w="15875">
                <a:solidFill>
                  <a:srgbClr val="7030A0"/>
                </a:solidFill>
              </a:ln>
              <a:effectLst/>
            </c:spPr>
          </c:marker>
          <c:dLbls>
            <c:dLbl>
              <c:idx val="0"/>
              <c:tx>
                <c:strRef>
                  <c:f>'Balance Sheet Data'!$A$286</c:f>
                  <c:strCache>
                    <c:ptCount val="1"/>
                    <c:pt idx="0">
                      <c:v>04/05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{AE14DED2-3DC8-4CF4-85A2-9AA9C55B9D4C}</c15:txfldGUID>
                      <c15:f>'Balance Sheet Data'!$A$286</c15:f>
                      <c15:dlblFieldTableCache>
                        <c:ptCount val="1"/>
                        <c:pt idx="0">
                          <c:v>04/05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DE2B-438C-958A-B830322DFEBC}"/>
                </c:ext>
              </c:extLst>
            </c:dLbl>
            <c:dLbl>
              <c:idx val="1"/>
              <c:tx>
                <c:strRef>
                  <c:f>'Balance Sheet Data'!$A$287</c:f>
                  <c:strCache>
                    <c:ptCount val="1"/>
                    <c:pt idx="0">
                      <c:v>05/06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{97E0C869-332F-433D-A6D7-A3F0DC24B653}</c15:txfldGUID>
                      <c15:f>'Balance Sheet Data'!$A$287</c15:f>
                      <c15:dlblFieldTableCache>
                        <c:ptCount val="1"/>
                        <c:pt idx="0">
                          <c:v>05/06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DE2B-438C-958A-B830322DFEBC}"/>
                </c:ext>
              </c:extLst>
            </c:dLbl>
            <c:dLbl>
              <c:idx val="2"/>
              <c:tx>
                <c:strRef>
                  <c:f>'Balance Sheet Data'!$A$288</c:f>
                  <c:strCache>
                    <c:ptCount val="1"/>
                    <c:pt idx="0">
                      <c:v>06/07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{8993179C-E592-4016-AC78-1ED0D5409B27}</c15:txfldGUID>
                      <c15:f>'Balance Sheet Data'!$A$288</c15:f>
                      <c15:dlblFieldTableCache>
                        <c:ptCount val="1"/>
                        <c:pt idx="0">
                          <c:v>06/07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DE2B-438C-958A-B830322DFEBC}"/>
                </c:ext>
              </c:extLst>
            </c:dLbl>
            <c:dLbl>
              <c:idx val="3"/>
              <c:tx>
                <c:strRef>
                  <c:f>'Balance Sheet Data'!$A$289</c:f>
                  <c:strCache>
                    <c:ptCount val="1"/>
                    <c:pt idx="0">
                      <c:v>07/08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{2CBC36F1-1096-4C36-9CC0-B3CD4F9433C2}</c15:txfldGUID>
                      <c15:f>'Balance Sheet Data'!$A$289</c15:f>
                      <c15:dlblFieldTableCache>
                        <c:ptCount val="1"/>
                        <c:pt idx="0">
                          <c:v>07/08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DE2B-438C-958A-B830322DFEBC}"/>
                </c:ext>
              </c:extLst>
            </c:dLbl>
            <c:dLbl>
              <c:idx val="4"/>
              <c:tx>
                <c:strRef>
                  <c:f>'Balance Sheet Data'!$A$290</c:f>
                  <c:strCache>
                    <c:ptCount val="1"/>
                    <c:pt idx="0">
                      <c:v>08/09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{082F6408-AFAD-40F1-9A8A-DE39B1EFA359}</c15:txfldGUID>
                      <c15:f>'Balance Sheet Data'!$A$290</c15:f>
                      <c15:dlblFieldTableCache>
                        <c:ptCount val="1"/>
                        <c:pt idx="0">
                          <c:v>08/09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DE2B-438C-958A-B830322DFEBC}"/>
                </c:ext>
              </c:extLst>
            </c:dLbl>
            <c:dLbl>
              <c:idx val="5"/>
              <c:tx>
                <c:strRef>
                  <c:f>'Balance Sheet Data'!$A$291</c:f>
                  <c:strCache>
                    <c:ptCount val="1"/>
                    <c:pt idx="0">
                      <c:v>09/10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{6C565D1A-BF04-42F5-A4F4-780744652658}</c15:txfldGUID>
                      <c15:f>'Balance Sheet Data'!$A$291</c15:f>
                      <c15:dlblFieldTableCache>
                        <c:ptCount val="1"/>
                        <c:pt idx="0">
                          <c:v>09/10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DE2B-438C-958A-B830322DFEBC}"/>
                </c:ext>
              </c:extLst>
            </c:dLbl>
            <c:dLbl>
              <c:idx val="6"/>
              <c:tx>
                <c:strRef>
                  <c:f>'Balance Sheet Data'!$A$292</c:f>
                  <c:strCache>
                    <c:ptCount val="1"/>
                    <c:pt idx="0">
                      <c:v>10/11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{EA5E657A-C36B-4B16-A57E-3D1FF53CD1F1}</c15:txfldGUID>
                      <c15:f>'Balance Sheet Data'!$A$292</c15:f>
                      <c15:dlblFieldTableCache>
                        <c:ptCount val="1"/>
                        <c:pt idx="0">
                          <c:v>10/11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DE2B-438C-958A-B830322DFEBC}"/>
                </c:ext>
              </c:extLst>
            </c:dLbl>
            <c:dLbl>
              <c:idx val="7"/>
              <c:tx>
                <c:strRef>
                  <c:f>'Balance Sheet Data'!$A$293</c:f>
                  <c:strCache>
                    <c:ptCount val="1"/>
                    <c:pt idx="0">
                      <c:v>11/12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{BFFE51D9-C5C7-4B20-A01E-D4AC034A4307}</c15:txfldGUID>
                      <c15:f>'Balance Sheet Data'!$A$293</c15:f>
                      <c15:dlblFieldTableCache>
                        <c:ptCount val="1"/>
                        <c:pt idx="0">
                          <c:v>11/12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DE2B-438C-958A-B830322DFEBC}"/>
                </c:ext>
              </c:extLst>
            </c:dLbl>
            <c:dLbl>
              <c:idx val="8"/>
              <c:tx>
                <c:strRef>
                  <c:f>'Balance Sheet Data'!$A$294</c:f>
                  <c:strCache>
                    <c:ptCount val="1"/>
                    <c:pt idx="0">
                      <c:v>12/13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{BAB0DE89-B39A-46F4-9F00-AA34346E6EEC}</c15:txfldGUID>
                      <c15:f>'Balance Sheet Data'!$A$294</c15:f>
                      <c15:dlblFieldTableCache>
                        <c:ptCount val="1"/>
                        <c:pt idx="0">
                          <c:v>12/13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DE2B-438C-958A-B830322DFEBC}"/>
                </c:ext>
              </c:extLst>
            </c:dLbl>
            <c:dLbl>
              <c:idx val="9"/>
              <c:tx>
                <c:strRef>
                  <c:f>'Balance Sheet Data'!$A$295</c:f>
                  <c:strCache>
                    <c:ptCount val="1"/>
                    <c:pt idx="0">
                      <c:v>13/14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{7E06A2E7-8AE0-4D93-B897-C69880259816}</c15:txfldGUID>
                      <c15:f>'Balance Sheet Data'!$A$295</c15:f>
                      <c15:dlblFieldTableCache>
                        <c:ptCount val="1"/>
                        <c:pt idx="0">
                          <c:v>13/14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DE2B-438C-958A-B830322DFEBC}"/>
                </c:ext>
              </c:extLst>
            </c:dLbl>
            <c:dLbl>
              <c:idx val="10"/>
              <c:tx>
                <c:strRef>
                  <c:f>'Balance Sheet Data'!$A$296</c:f>
                  <c:strCache>
                    <c:ptCount val="1"/>
                    <c:pt idx="0">
                      <c:v>14/15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{BC69A522-E1F9-471A-9DAC-78EE706A644D}</c15:txfldGUID>
                      <c15:f>'Balance Sheet Data'!$A$296</c15:f>
                      <c15:dlblFieldTableCache>
                        <c:ptCount val="1"/>
                        <c:pt idx="0">
                          <c:v>14/15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DE2B-438C-958A-B830322DFEBC}"/>
                </c:ext>
              </c:extLst>
            </c:dLbl>
            <c:dLbl>
              <c:idx val="11"/>
              <c:tx>
                <c:strRef>
                  <c:f>'Balance Sheet Data'!$A$297</c:f>
                  <c:strCache>
                    <c:ptCount val="1"/>
                    <c:pt idx="0">
                      <c:v>15/16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{1845B7D1-C336-40F5-8BBE-1073D8427524}</c15:txfldGUID>
                      <c15:f>'Balance Sheet Data'!$A$297</c15:f>
                      <c15:dlblFieldTableCache>
                        <c:ptCount val="1"/>
                        <c:pt idx="0">
                          <c:v>15/16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DE2B-438C-958A-B830322DFEBC}"/>
                </c:ext>
              </c:extLst>
            </c:dLbl>
            <c:dLbl>
              <c:idx val="12"/>
              <c:tx>
                <c:strRef>
                  <c:f>'Balance Sheet Data'!$A$298</c:f>
                  <c:strCache>
                    <c:ptCount val="1"/>
                    <c:pt idx="0">
                      <c:v>16/17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{E9C33E34-5219-4591-BEBB-FA8D7BC7F36F}</c15:txfldGUID>
                      <c15:f>'Balance Sheet Data'!$A$298</c15:f>
                      <c15:dlblFieldTableCache>
                        <c:ptCount val="1"/>
                        <c:pt idx="0">
                          <c:v>16/17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DE2B-438C-958A-B830322DFEBC}"/>
                </c:ext>
              </c:extLst>
            </c:dLbl>
            <c:dLbl>
              <c:idx val="13"/>
              <c:tx>
                <c:strRef>
                  <c:f>'Balance Sheet Data'!$A$299</c:f>
                  <c:strCache>
                    <c:ptCount val="1"/>
                    <c:pt idx="0">
                      <c:v>17/18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{B1021903-A992-483E-8BC0-9D7B55461EDD}</c15:txfldGUID>
                      <c15:f>'Balance Sheet Data'!$A$299</c15:f>
                      <c15:dlblFieldTableCache>
                        <c:ptCount val="1"/>
                        <c:pt idx="0">
                          <c:v>17/18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DE2B-438C-958A-B830322DFEBC}"/>
                </c:ext>
              </c:extLst>
            </c:dLbl>
            <c:dLbl>
              <c:idx val="14"/>
              <c:tx>
                <c:strRef>
                  <c:f>'Balance Sheet Data'!$A$300</c:f>
                  <c:strCache>
                    <c:ptCount val="1"/>
                    <c:pt idx="0">
                      <c:v>18/19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{56050658-E499-47B2-B43D-058D6CD4B238}</c15:txfldGUID>
                      <c15:f>'Balance Sheet Data'!$A$300</c15:f>
                      <c15:dlblFieldTableCache>
                        <c:ptCount val="1"/>
                        <c:pt idx="0">
                          <c:v>18/19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DE2B-438C-958A-B830322DFEBC}"/>
                </c:ext>
              </c:extLst>
            </c:dLbl>
            <c:dLbl>
              <c:idx val="15"/>
              <c:tx>
                <c:strRef>
                  <c:f>'Balance Sheet Data'!$A$301</c:f>
                  <c:strCache>
                    <c:ptCount val="1"/>
                    <c:pt idx="0">
                      <c:v>19/20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{CC901008-6835-4D63-BC98-F2B01D759CB9}</c15:txfldGUID>
                      <c15:f>'Balance Sheet Data'!$A$301</c15:f>
                      <c15:dlblFieldTableCache>
                        <c:ptCount val="1"/>
                        <c:pt idx="0">
                          <c:v>19/20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DE2B-438C-958A-B830322DFEBC}"/>
                </c:ext>
              </c:extLst>
            </c:dLbl>
            <c:dLbl>
              <c:idx val="16"/>
              <c:tx>
                <c:strRef>
                  <c:f>'Balance Sheet Data'!$A$302</c:f>
                  <c:strCache>
                    <c:ptCount val="1"/>
                    <c:pt idx="0">
                      <c:v>20/21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{02E9CF1A-3006-44DF-930D-2025B3F981C9}</c15:txfldGUID>
                      <c15:f>'Balance Sheet Data'!$A$302</c15:f>
                      <c15:dlblFieldTableCache>
                        <c:ptCount val="1"/>
                        <c:pt idx="0">
                          <c:v>20/21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DE2B-438C-958A-B830322DFEBC}"/>
                </c:ext>
              </c:extLst>
            </c:dLbl>
            <c:dLbl>
              <c:idx val="17"/>
              <c:tx>
                <c:strRef>
                  <c:f>'Balance Sheet Data'!$A$303</c:f>
                  <c:strCache>
                    <c:ptCount val="1"/>
                    <c:pt idx="0">
                      <c:v>21/22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AE78D6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{E4125D5B-D576-4B53-9C1B-6D2CD27F26CF}</c15:txfldGUID>
                      <c15:f>'Balance Sheet Data'!$A$303</c15:f>
                      <c15:dlblFieldTableCache>
                        <c:ptCount val="1"/>
                        <c:pt idx="0">
                          <c:v>21/22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DE2B-438C-958A-B830322DFE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>
                        <a:lumMod val="6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8575" cap="rnd">
                <a:solidFill>
                  <a:srgbClr val="7030A0"/>
                </a:solidFill>
                <a:prstDash val="solid"/>
              </a:ln>
              <a:effectLst/>
            </c:spPr>
            <c:trendlineType val="power"/>
            <c:dispRSqr val="0"/>
            <c:dispEq val="0"/>
          </c:trendline>
          <c:errBars>
            <c:errDir val="y"/>
            <c:errBarType val="both"/>
            <c:errValType val="cust"/>
            <c:noEndCap val="0"/>
            <c:plus>
              <c:numRef>
                <c:f>'Futures Averages'!$P$447:$P$464</c:f>
                <c:numCache>
                  <c:formatCode>General</c:formatCode>
                  <c:ptCount val="18"/>
                  <c:pt idx="0">
                    <c:v>0.80749999999999922</c:v>
                  </c:pt>
                  <c:pt idx="1">
                    <c:v>0.21092105999999955</c:v>
                  </c:pt>
                  <c:pt idx="2">
                    <c:v>0.34302631999999988</c:v>
                  </c:pt>
                  <c:pt idx="3">
                    <c:v>1.4086250000000007</c:v>
                  </c:pt>
                  <c:pt idx="4">
                    <c:v>0.90210526999999985</c:v>
                  </c:pt>
                  <c:pt idx="5">
                    <c:v>0.40736843</c:v>
                  </c:pt>
                  <c:pt idx="6">
                    <c:v>0.62171052999999965</c:v>
                  </c:pt>
                  <c:pt idx="7">
                    <c:v>0.61350000000000016</c:v>
                  </c:pt>
                  <c:pt idx="8">
                    <c:v>0.56723684999999868</c:v>
                  </c:pt>
                  <c:pt idx="9">
                    <c:v>1.0018421100000001</c:v>
                  </c:pt>
                  <c:pt idx="10">
                    <c:v>0.4284210599999998</c:v>
                  </c:pt>
                  <c:pt idx="11">
                    <c:v>0.18249999999999922</c:v>
                  </c:pt>
                  <c:pt idx="12">
                    <c:v>0.26934211000000019</c:v>
                  </c:pt>
                  <c:pt idx="13">
                    <c:v>0.37671052631579016</c:v>
                  </c:pt>
                  <c:pt idx="14">
                    <c:v>0.20881578947368418</c:v>
                  </c:pt>
                  <c:pt idx="15">
                    <c:v>0.16328947368421076</c:v>
                  </c:pt>
                  <c:pt idx="16">
                    <c:v>0.60947368421052772</c:v>
                  </c:pt>
                  <c:pt idx="17">
                    <c:v>1.7644736842105253</c:v>
                  </c:pt>
                </c:numCache>
              </c:numRef>
            </c:plus>
            <c:minus>
              <c:numRef>
                <c:f>'Futures Averages'!$P$331:$P$348</c:f>
                <c:numCache>
                  <c:formatCode>General</c:formatCode>
                  <c:ptCount val="18"/>
                  <c:pt idx="0">
                    <c:v>0.22976189999999974</c:v>
                  </c:pt>
                  <c:pt idx="1">
                    <c:v>0.35833332999999978</c:v>
                  </c:pt>
                  <c:pt idx="2">
                    <c:v>0.19424999999999937</c:v>
                  </c:pt>
                  <c:pt idx="3">
                    <c:v>0.82937499999999886</c:v>
                  </c:pt>
                  <c:pt idx="4">
                    <c:v>0.91420453999999918</c:v>
                  </c:pt>
                  <c:pt idx="5">
                    <c:v>0.47784089999999857</c:v>
                  </c:pt>
                  <c:pt idx="6">
                    <c:v>0.76318181000000074</c:v>
                  </c:pt>
                  <c:pt idx="7">
                    <c:v>0.48928570999999899</c:v>
                  </c:pt>
                  <c:pt idx="8">
                    <c:v>0.52712499999999984</c:v>
                  </c:pt>
                  <c:pt idx="9">
                    <c:v>0.20940475999999997</c:v>
                  </c:pt>
                  <c:pt idx="10">
                    <c:v>0.4712499999999995</c:v>
                  </c:pt>
                  <c:pt idx="11">
                    <c:v>0.2592045400000007</c:v>
                  </c:pt>
                  <c:pt idx="12">
                    <c:v>0.33619047000000002</c:v>
                  </c:pt>
                  <c:pt idx="13">
                    <c:v>0.28762500000000202</c:v>
                  </c:pt>
                  <c:pt idx="14">
                    <c:v>0.32424999999999926</c:v>
                  </c:pt>
                  <c:pt idx="15">
                    <c:v>0.44083333333333385</c:v>
                  </c:pt>
                  <c:pt idx="16">
                    <c:v>0.59797619047619044</c:v>
                  </c:pt>
                  <c:pt idx="17">
                    <c:v>0.39737499876190618</c:v>
                  </c:pt>
                </c:numCache>
              </c:numRef>
            </c:minus>
            <c:spPr>
              <a:noFill/>
              <a:ln w="15875" cap="flat" cmpd="sng" algn="ctr">
                <a:solidFill>
                  <a:srgbClr val="000000"/>
                </a:solidFill>
                <a:round/>
              </a:ln>
              <a:effectLst/>
            </c:spPr>
          </c:errBars>
          <c:xVal>
            <c:numRef>
              <c:f>'Balance Sheet Data'!$K$286:$K$303</c:f>
              <c:numCache>
                <c:formatCode>0.0%</c:formatCode>
                <c:ptCount val="18"/>
                <c:pt idx="0">
                  <c:v>0.15613910574875797</c:v>
                </c:pt>
                <c:pt idx="1">
                  <c:v>0.19878223495702005</c:v>
                </c:pt>
                <c:pt idx="2">
                  <c:v>0.1953381483913329</c:v>
                </c:pt>
                <c:pt idx="3">
                  <c:v>5.3244592346089852E-2</c:v>
                </c:pt>
                <c:pt idx="4">
                  <c:v>7.0874114073574079E-2</c:v>
                </c:pt>
                <c:pt idx="5">
                  <c:v>6.3694267515923567E-2</c:v>
                </c:pt>
                <c:pt idx="6">
                  <c:v>4.1728763040238454E-2</c:v>
                </c:pt>
                <c:pt idx="7">
                  <c:v>9.13317834606443E-2</c:v>
                </c:pt>
                <c:pt idx="8">
                  <c:v>4.0584415584415584E-2</c:v>
                </c:pt>
                <c:pt idx="9">
                  <c:v>4.5330915684496827E-2</c:v>
                </c:pt>
                <c:pt idx="10">
                  <c:v>0.10402593893542286</c:v>
                </c:pt>
                <c:pt idx="11">
                  <c:v>0.1215887597946501</c:v>
                </c:pt>
                <c:pt idx="12">
                  <c:v>0.10223953261927946</c:v>
                </c:pt>
                <c:pt idx="13">
                  <c:v>0.1265520534861509</c:v>
                </c:pt>
                <c:pt idx="14">
                  <c:v>0.22238514173998045</c:v>
                </c:pt>
                <c:pt idx="15">
                  <c:v>0.10473139477575161</c:v>
                </c:pt>
                <c:pt idx="16">
                  <c:v>2.6229508196721311E-2</c:v>
                </c:pt>
                <c:pt idx="17">
                  <c:v>6.1473897503912078E-2</c:v>
                </c:pt>
              </c:numCache>
            </c:numRef>
          </c:xVal>
          <c:yVal>
            <c:numRef>
              <c:f>'Futures Averages'!$L$389:$L$406</c:f>
              <c:numCache>
                <c:formatCode>#,##0.00_);[Red]\(#,##0.00\)</c:formatCode>
                <c:ptCount val="18"/>
                <c:pt idx="0">
                  <c:v>5.3775000000000004</c:v>
                </c:pt>
                <c:pt idx="1">
                  <c:v>5.8340789400000004</c:v>
                </c:pt>
                <c:pt idx="2">
                  <c:v>7.5669736800000003</c:v>
                </c:pt>
                <c:pt idx="3">
                  <c:v>13.831375</c:v>
                </c:pt>
                <c:pt idx="4">
                  <c:v>9.2878947299999997</c:v>
                </c:pt>
                <c:pt idx="5">
                  <c:v>9.3801315699999996</c:v>
                </c:pt>
                <c:pt idx="6">
                  <c:v>13.93578947</c:v>
                </c:pt>
                <c:pt idx="7">
                  <c:v>12.561500000000001</c:v>
                </c:pt>
                <c:pt idx="8">
                  <c:v>14.59776315</c:v>
                </c:pt>
                <c:pt idx="9">
                  <c:v>13.520657890000001</c:v>
                </c:pt>
                <c:pt idx="10">
                  <c:v>9.9265789400000006</c:v>
                </c:pt>
                <c:pt idx="11">
                  <c:v>8.7125000000000004</c:v>
                </c:pt>
                <c:pt idx="12">
                  <c:v>10.36565789</c:v>
                </c:pt>
                <c:pt idx="13">
                  <c:v>10.10328947368421</c:v>
                </c:pt>
                <c:pt idx="14">
                  <c:v>9.1036842105263158</c:v>
                </c:pt>
                <c:pt idx="15">
                  <c:v>8.8567105263157888</c:v>
                </c:pt>
                <c:pt idx="16">
                  <c:v>13.820526315789472</c:v>
                </c:pt>
                <c:pt idx="17">
                  <c:v>15.885526315789473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DE2B-438C-958A-B830322DFE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3370360"/>
        <c:axId val="1813367736"/>
      </c:scatterChart>
      <c:valAx>
        <c:axId val="1813370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U.S. Stocks</a:t>
                </a:r>
                <a:r>
                  <a:rPr lang="en-US" sz="1200" baseline="0">
                    <a:solidFill>
                      <a:sysClr val="windowText" lastClr="000000"/>
                    </a:solidFill>
                  </a:rPr>
                  <a:t>-to-Use</a:t>
                </a:r>
                <a:endParaRPr lang="en-US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13367736"/>
        <c:crosses val="autoZero"/>
        <c:crossBetween val="midCat"/>
      </c:valAx>
      <c:valAx>
        <c:axId val="1813367736"/>
        <c:scaling>
          <c:orientation val="minMax"/>
          <c:min val="4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aseline="0">
                    <a:solidFill>
                      <a:sysClr val="windowText" lastClr="000000"/>
                    </a:solidFill>
                  </a:rPr>
                  <a:t>Dollars per Bushel</a:t>
                </a:r>
                <a:endParaRPr lang="en-US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13370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000">
                <a:solidFill>
                  <a:sysClr val="windowText" lastClr="000000"/>
                </a:solidFill>
              </a:rPr>
              <a:t>SK Average Price in March versus Stocks-to-Use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2703558650084797E-2"/>
          <c:y val="0.10587402231223401"/>
          <c:w val="0.86601356709922583"/>
          <c:h val="0.79398020918719137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rgbClr val="AE78D6"/>
              </a:solidFill>
              <a:ln w="15875">
                <a:solidFill>
                  <a:srgbClr val="7030A0"/>
                </a:solidFill>
              </a:ln>
              <a:effectLst/>
            </c:spPr>
          </c:marker>
          <c:dLbls>
            <c:dLbl>
              <c:idx val="0"/>
              <c:tx>
                <c:strRef>
                  <c:f>'Balance Sheet Data'!$A$286</c:f>
                  <c:strCache>
                    <c:ptCount val="1"/>
                    <c:pt idx="0">
                      <c:v>04/05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{9C945232-81D6-48E2-8CD7-57E6B8C61011}</c15:txfldGUID>
                      <c15:f>'Balance Sheet Data'!$A$286</c15:f>
                      <c15:dlblFieldTableCache>
                        <c:ptCount val="1"/>
                        <c:pt idx="0">
                          <c:v>04/05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942D-4A8E-8A23-D38867F56A8F}"/>
                </c:ext>
              </c:extLst>
            </c:dLbl>
            <c:dLbl>
              <c:idx val="1"/>
              <c:tx>
                <c:strRef>
                  <c:f>'Balance Sheet Data'!$A$287</c:f>
                  <c:strCache>
                    <c:ptCount val="1"/>
                    <c:pt idx="0">
                      <c:v>05/06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{D36ED1FE-B42E-484C-BEC7-26102E43A20F}</c15:txfldGUID>
                      <c15:f>'Balance Sheet Data'!$A$287</c15:f>
                      <c15:dlblFieldTableCache>
                        <c:ptCount val="1"/>
                        <c:pt idx="0">
                          <c:v>05/06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942D-4A8E-8A23-D38867F56A8F}"/>
                </c:ext>
              </c:extLst>
            </c:dLbl>
            <c:dLbl>
              <c:idx val="2"/>
              <c:tx>
                <c:strRef>
                  <c:f>'Balance Sheet Data'!$A$288</c:f>
                  <c:strCache>
                    <c:ptCount val="1"/>
                    <c:pt idx="0">
                      <c:v>06/07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{D76AD346-F55B-40A5-A5BA-105D7D901C79}</c15:txfldGUID>
                      <c15:f>'Balance Sheet Data'!$A$288</c15:f>
                      <c15:dlblFieldTableCache>
                        <c:ptCount val="1"/>
                        <c:pt idx="0">
                          <c:v>06/07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942D-4A8E-8A23-D38867F56A8F}"/>
                </c:ext>
              </c:extLst>
            </c:dLbl>
            <c:dLbl>
              <c:idx val="3"/>
              <c:tx>
                <c:strRef>
                  <c:f>'Balance Sheet Data'!$A$289</c:f>
                  <c:strCache>
                    <c:ptCount val="1"/>
                    <c:pt idx="0">
                      <c:v>07/08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{A950977A-5D69-4238-A8A1-5E3602609118}</c15:txfldGUID>
                      <c15:f>'Balance Sheet Data'!$A$289</c15:f>
                      <c15:dlblFieldTableCache>
                        <c:ptCount val="1"/>
                        <c:pt idx="0">
                          <c:v>07/08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942D-4A8E-8A23-D38867F56A8F}"/>
                </c:ext>
              </c:extLst>
            </c:dLbl>
            <c:dLbl>
              <c:idx val="4"/>
              <c:tx>
                <c:strRef>
                  <c:f>'Balance Sheet Data'!$A$290</c:f>
                  <c:strCache>
                    <c:ptCount val="1"/>
                    <c:pt idx="0">
                      <c:v>08/09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{C6F55216-EFE5-45AB-96E2-603511278EC4}</c15:txfldGUID>
                      <c15:f>'Balance Sheet Data'!$A$290</c15:f>
                      <c15:dlblFieldTableCache>
                        <c:ptCount val="1"/>
                        <c:pt idx="0">
                          <c:v>08/09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942D-4A8E-8A23-D38867F56A8F}"/>
                </c:ext>
              </c:extLst>
            </c:dLbl>
            <c:dLbl>
              <c:idx val="5"/>
              <c:tx>
                <c:strRef>
                  <c:f>'Balance Sheet Data'!$A$291</c:f>
                  <c:strCache>
                    <c:ptCount val="1"/>
                    <c:pt idx="0">
                      <c:v>09/10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{442154CE-48B8-4C78-8B29-6576ACFC577A}</c15:txfldGUID>
                      <c15:f>'Balance Sheet Data'!$A$291</c15:f>
                      <c15:dlblFieldTableCache>
                        <c:ptCount val="1"/>
                        <c:pt idx="0">
                          <c:v>09/10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942D-4A8E-8A23-D38867F56A8F}"/>
                </c:ext>
              </c:extLst>
            </c:dLbl>
            <c:dLbl>
              <c:idx val="6"/>
              <c:tx>
                <c:strRef>
                  <c:f>'Balance Sheet Data'!$A$292</c:f>
                  <c:strCache>
                    <c:ptCount val="1"/>
                    <c:pt idx="0">
                      <c:v>10/11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{312D5EF3-D508-4687-A72F-428EC2D31777}</c15:txfldGUID>
                      <c15:f>'Balance Sheet Data'!$A$292</c15:f>
                      <c15:dlblFieldTableCache>
                        <c:ptCount val="1"/>
                        <c:pt idx="0">
                          <c:v>10/11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942D-4A8E-8A23-D38867F56A8F}"/>
                </c:ext>
              </c:extLst>
            </c:dLbl>
            <c:dLbl>
              <c:idx val="7"/>
              <c:tx>
                <c:strRef>
                  <c:f>'Balance Sheet Data'!$A$293</c:f>
                  <c:strCache>
                    <c:ptCount val="1"/>
                    <c:pt idx="0">
                      <c:v>11/12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{AD217BB7-88DE-40EF-823C-360CF99BC5C3}</c15:txfldGUID>
                      <c15:f>'Balance Sheet Data'!$A$293</c15:f>
                      <c15:dlblFieldTableCache>
                        <c:ptCount val="1"/>
                        <c:pt idx="0">
                          <c:v>11/12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942D-4A8E-8A23-D38867F56A8F}"/>
                </c:ext>
              </c:extLst>
            </c:dLbl>
            <c:dLbl>
              <c:idx val="8"/>
              <c:tx>
                <c:strRef>
                  <c:f>'Balance Sheet Data'!$A$294</c:f>
                  <c:strCache>
                    <c:ptCount val="1"/>
                    <c:pt idx="0">
                      <c:v>12/13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{42D539FB-C133-4D4A-92A2-397B5A022801}</c15:txfldGUID>
                      <c15:f>'Balance Sheet Data'!$A$294</c15:f>
                      <c15:dlblFieldTableCache>
                        <c:ptCount val="1"/>
                        <c:pt idx="0">
                          <c:v>12/13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942D-4A8E-8A23-D38867F56A8F}"/>
                </c:ext>
              </c:extLst>
            </c:dLbl>
            <c:dLbl>
              <c:idx val="9"/>
              <c:tx>
                <c:strRef>
                  <c:f>'Balance Sheet Data'!$A$295</c:f>
                  <c:strCache>
                    <c:ptCount val="1"/>
                    <c:pt idx="0">
                      <c:v>13/14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{438F5DB6-A32D-425D-86F0-DDBF6FB8680C}</c15:txfldGUID>
                      <c15:f>'Balance Sheet Data'!$A$295</c15:f>
                      <c15:dlblFieldTableCache>
                        <c:ptCount val="1"/>
                        <c:pt idx="0">
                          <c:v>13/14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942D-4A8E-8A23-D38867F56A8F}"/>
                </c:ext>
              </c:extLst>
            </c:dLbl>
            <c:dLbl>
              <c:idx val="10"/>
              <c:tx>
                <c:strRef>
                  <c:f>'Balance Sheet Data'!$A$296</c:f>
                  <c:strCache>
                    <c:ptCount val="1"/>
                    <c:pt idx="0">
                      <c:v>14/15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{44D675C0-73A6-4C41-B83B-6D8F1BA60BE2}</c15:txfldGUID>
                      <c15:f>'Balance Sheet Data'!$A$296</c15:f>
                      <c15:dlblFieldTableCache>
                        <c:ptCount val="1"/>
                        <c:pt idx="0">
                          <c:v>14/15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942D-4A8E-8A23-D38867F56A8F}"/>
                </c:ext>
              </c:extLst>
            </c:dLbl>
            <c:dLbl>
              <c:idx val="11"/>
              <c:tx>
                <c:strRef>
                  <c:f>'Balance Sheet Data'!$A$297</c:f>
                  <c:strCache>
                    <c:ptCount val="1"/>
                    <c:pt idx="0">
                      <c:v>15/16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{40DE10A3-25E2-4E25-9473-D507618958CF}</c15:txfldGUID>
                      <c15:f>'Balance Sheet Data'!$A$297</c15:f>
                      <c15:dlblFieldTableCache>
                        <c:ptCount val="1"/>
                        <c:pt idx="0">
                          <c:v>15/16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942D-4A8E-8A23-D38867F56A8F}"/>
                </c:ext>
              </c:extLst>
            </c:dLbl>
            <c:dLbl>
              <c:idx val="12"/>
              <c:tx>
                <c:strRef>
                  <c:f>'Balance Sheet Data'!$A$298</c:f>
                  <c:strCache>
                    <c:ptCount val="1"/>
                    <c:pt idx="0">
                      <c:v>16/17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{E67D47F2-B41E-477A-A7C4-B0F42454ED99}</c15:txfldGUID>
                      <c15:f>'Balance Sheet Data'!$A$298</c15:f>
                      <c15:dlblFieldTableCache>
                        <c:ptCount val="1"/>
                        <c:pt idx="0">
                          <c:v>16/17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942D-4A8E-8A23-D38867F56A8F}"/>
                </c:ext>
              </c:extLst>
            </c:dLbl>
            <c:dLbl>
              <c:idx val="13"/>
              <c:tx>
                <c:strRef>
                  <c:f>'Balance Sheet Data'!$A$299</c:f>
                  <c:strCache>
                    <c:ptCount val="1"/>
                    <c:pt idx="0">
                      <c:v>17/18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{BC032EAA-85E0-4724-ABE4-A6CCA23A1F9D}</c15:txfldGUID>
                      <c15:f>'Balance Sheet Data'!$A$299</c15:f>
                      <c15:dlblFieldTableCache>
                        <c:ptCount val="1"/>
                        <c:pt idx="0">
                          <c:v>17/18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942D-4A8E-8A23-D38867F56A8F}"/>
                </c:ext>
              </c:extLst>
            </c:dLbl>
            <c:dLbl>
              <c:idx val="14"/>
              <c:tx>
                <c:strRef>
                  <c:f>'Balance Sheet Data'!$A$300</c:f>
                  <c:strCache>
                    <c:ptCount val="1"/>
                    <c:pt idx="0">
                      <c:v>18/19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{E3C3E204-FCA6-4809-ABF0-3ED253C02FCA}</c15:txfldGUID>
                      <c15:f>'Balance Sheet Data'!$A$300</c15:f>
                      <c15:dlblFieldTableCache>
                        <c:ptCount val="1"/>
                        <c:pt idx="0">
                          <c:v>18/19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942D-4A8E-8A23-D38867F56A8F}"/>
                </c:ext>
              </c:extLst>
            </c:dLbl>
            <c:dLbl>
              <c:idx val="15"/>
              <c:tx>
                <c:strRef>
                  <c:f>'Balance Sheet Data'!$A$301</c:f>
                  <c:strCache>
                    <c:ptCount val="1"/>
                    <c:pt idx="0">
                      <c:v>19/20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{E9B5C158-5042-4561-B7C1-67E3F603D7E4}</c15:txfldGUID>
                      <c15:f>'Balance Sheet Data'!$A$301</c15:f>
                      <c15:dlblFieldTableCache>
                        <c:ptCount val="1"/>
                        <c:pt idx="0">
                          <c:v>19/20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942D-4A8E-8A23-D38867F56A8F}"/>
                </c:ext>
              </c:extLst>
            </c:dLbl>
            <c:dLbl>
              <c:idx val="16"/>
              <c:tx>
                <c:strRef>
                  <c:f>'Balance Sheet Data'!$A$302</c:f>
                  <c:strCache>
                    <c:ptCount val="1"/>
                    <c:pt idx="0">
                      <c:v>20/21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323232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{0EBD3EF3-9A4C-4988-AEC0-2028965493A7}</c15:txfldGUID>
                      <c15:f>'Balance Sheet Data'!$A$302</c15:f>
                      <c15:dlblFieldTableCache>
                        <c:ptCount val="1"/>
                        <c:pt idx="0">
                          <c:v>20/21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942D-4A8E-8A23-D38867F56A8F}"/>
                </c:ext>
              </c:extLst>
            </c:dLbl>
            <c:dLbl>
              <c:idx val="17"/>
              <c:tx>
                <c:strRef>
                  <c:f>'Balance Sheet Data'!$A$303</c:f>
                  <c:strCache>
                    <c:ptCount val="1"/>
                    <c:pt idx="0">
                      <c:v>21/22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AE78D6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{F47C887F-F048-4B56-96DE-BDE5A7EB163B}</c15:txfldGUID>
                      <c15:f>'Balance Sheet Data'!$A$303</c15:f>
                      <c15:dlblFieldTableCache>
                        <c:ptCount val="1"/>
                        <c:pt idx="0">
                          <c:v>21/22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942D-4A8E-8A23-D38867F56A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>
                        <a:lumMod val="6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8575" cap="rnd">
                <a:solidFill>
                  <a:srgbClr val="7030A0"/>
                </a:solidFill>
                <a:prstDash val="solid"/>
              </a:ln>
              <a:effectLst/>
            </c:spPr>
            <c:trendlineType val="power"/>
            <c:dispRSqr val="0"/>
            <c:dispEq val="0"/>
          </c:trendline>
          <c:errBars>
            <c:errDir val="y"/>
            <c:errBarType val="both"/>
            <c:errValType val="cust"/>
            <c:noEndCap val="0"/>
            <c:plus>
              <c:numRef>
                <c:f>'Futures Averages'!$O$621:$O$638</c:f>
                <c:numCache>
                  <c:formatCode>General</c:formatCode>
                  <c:ptCount val="18"/>
                  <c:pt idx="0">
                    <c:v>0.54238637000000001</c:v>
                  </c:pt>
                  <c:pt idx="1">
                    <c:v>0.23249999999999993</c:v>
                  </c:pt>
                  <c:pt idx="2">
                    <c:v>0.28749999999999964</c:v>
                  </c:pt>
                  <c:pt idx="3">
                    <c:v>2.2687500000000007</c:v>
                  </c:pt>
                  <c:pt idx="4">
                    <c:v>0.78068181999999986</c:v>
                  </c:pt>
                  <c:pt idx="5">
                    <c:v>0.24782609000000022</c:v>
                  </c:pt>
                  <c:pt idx="6">
                    <c:v>0.71521740000000023</c:v>
                  </c:pt>
                  <c:pt idx="7">
                    <c:v>0.63625000000000043</c:v>
                  </c:pt>
                  <c:pt idx="8">
                    <c:v>0.3933750000000007</c:v>
                  </c:pt>
                  <c:pt idx="9">
                    <c:v>0.4429761999999986</c:v>
                  </c:pt>
                  <c:pt idx="10">
                    <c:v>0.58250000000000135</c:v>
                  </c:pt>
                  <c:pt idx="11">
                    <c:v>0.23863637000000004</c:v>
                  </c:pt>
                  <c:pt idx="12">
                    <c:v>0.51293479000000097</c:v>
                  </c:pt>
                  <c:pt idx="13">
                    <c:v>0.38773809523809533</c:v>
                  </c:pt>
                  <c:pt idx="14">
                    <c:v>0.23047619047619072</c:v>
                  </c:pt>
                  <c:pt idx="15">
                    <c:v>0.40352272727272798</c:v>
                  </c:pt>
                  <c:pt idx="16">
                    <c:v>0.46271739130434675</c:v>
                  </c:pt>
                  <c:pt idx="17">
                    <c:v>0.63184782608695755</c:v>
                  </c:pt>
                </c:numCache>
              </c:numRef>
            </c:plus>
            <c:minus>
              <c:numRef>
                <c:f>'Futures Averages'!$O$679:$O$696</c:f>
                <c:numCache>
                  <c:formatCode>General</c:formatCode>
                  <c:ptCount val="18"/>
                  <c:pt idx="0">
                    <c:v>0.28511363000000056</c:v>
                  </c:pt>
                  <c:pt idx="1">
                    <c:v>0.13500000000000068</c:v>
                  </c:pt>
                  <c:pt idx="2">
                    <c:v>0.20750000000000046</c:v>
                  </c:pt>
                  <c:pt idx="3">
                    <c:v>1.6237499999999994</c:v>
                  </c:pt>
                  <c:pt idx="4">
                    <c:v>0.64931817999999986</c:v>
                  </c:pt>
                  <c:pt idx="5">
                    <c:v>0.30967391000000077</c:v>
                  </c:pt>
                  <c:pt idx="6">
                    <c:v>0.90478260000000077</c:v>
                  </c:pt>
                  <c:pt idx="7">
                    <c:v>0.46124999999999972</c:v>
                  </c:pt>
                  <c:pt idx="8">
                    <c:v>0.48412499999999881</c:v>
                  </c:pt>
                  <c:pt idx="9">
                    <c:v>0.56702380000000119</c:v>
                  </c:pt>
                  <c:pt idx="10">
                    <c:v>0.29499999999999993</c:v>
                  </c:pt>
                  <c:pt idx="11">
                    <c:v>0.37136362999999939</c:v>
                  </c:pt>
                  <c:pt idx="12">
                    <c:v>0.5670652099999991</c:v>
                  </c:pt>
                  <c:pt idx="13">
                    <c:v>0.3447619047619046</c:v>
                  </c:pt>
                  <c:pt idx="14">
                    <c:v>0.1870238095238097</c:v>
                  </c:pt>
                  <c:pt idx="15">
                    <c:v>0.51147727272727117</c:v>
                  </c:pt>
                  <c:pt idx="16">
                    <c:v>0.49478260869565283</c:v>
                  </c:pt>
                  <c:pt idx="17">
                    <c:v>0.59815217391303932</c:v>
                  </c:pt>
                </c:numCache>
              </c:numRef>
            </c:minus>
            <c:spPr>
              <a:noFill/>
              <a:ln w="15875" cap="flat" cmpd="sng" algn="ctr">
                <a:solidFill>
                  <a:srgbClr val="000000"/>
                </a:solidFill>
                <a:round/>
              </a:ln>
              <a:effectLst/>
            </c:spPr>
          </c:errBars>
          <c:xVal>
            <c:numRef>
              <c:f>'Balance Sheet Data'!$L$286:$L$303</c:f>
              <c:numCache>
                <c:formatCode>0.0%</c:formatCode>
                <c:ptCount val="18"/>
                <c:pt idx="0">
                  <c:v>0.14396067415730338</c:v>
                </c:pt>
                <c:pt idx="1">
                  <c:v>0.20309130122214233</c:v>
                </c:pt>
                <c:pt idx="2">
                  <c:v>0.1953381483913329</c:v>
                </c:pt>
                <c:pt idx="3">
                  <c:v>4.6280991735537187E-2</c:v>
                </c:pt>
                <c:pt idx="4">
                  <c:v>6.1914323962516733E-2</c:v>
                </c:pt>
                <c:pt idx="5">
                  <c:v>5.7194461167971104E-2</c:v>
                </c:pt>
                <c:pt idx="6">
                  <c:v>4.1728763040238454E-2</c:v>
                </c:pt>
                <c:pt idx="7">
                  <c:v>9.13317834606443E-2</c:v>
                </c:pt>
                <c:pt idx="8">
                  <c:v>4.0584415584415584E-2</c:v>
                </c:pt>
                <c:pt idx="9">
                  <c:v>4.3687857788490513E-2</c:v>
                </c:pt>
                <c:pt idx="10">
                  <c:v>0.10402593893542286</c:v>
                </c:pt>
                <c:pt idx="11">
                  <c:v>0.12466124661246612</c:v>
                </c:pt>
                <c:pt idx="12">
                  <c:v>0.10627901294893721</c:v>
                </c:pt>
                <c:pt idx="13">
                  <c:v>0.13331731924093201</c:v>
                </c:pt>
                <c:pt idx="14">
                  <c:v>0.21940516821062897</c:v>
                </c:pt>
                <c:pt idx="15">
                  <c:v>0.10473139477575161</c:v>
                </c:pt>
                <c:pt idx="16">
                  <c:v>2.6229508196721311E-2</c:v>
                </c:pt>
                <c:pt idx="17">
                  <c:v>6.1473897503912078E-2</c:v>
                </c:pt>
              </c:numCache>
            </c:numRef>
          </c:xVal>
          <c:yVal>
            <c:numRef>
              <c:f>'Futures Averages'!$K$563:$K$580</c:f>
              <c:numCache>
                <c:formatCode>#,##0.00_);[Red]\(#,##0.00\)</c:formatCode>
                <c:ptCount val="18"/>
                <c:pt idx="0">
                  <c:v>6.3751136300000004</c:v>
                </c:pt>
                <c:pt idx="1">
                  <c:v>5.8425000000000002</c:v>
                </c:pt>
                <c:pt idx="2">
                  <c:v>7.6025</c:v>
                </c:pt>
                <c:pt idx="3">
                  <c:v>13.59625</c:v>
                </c:pt>
                <c:pt idx="4">
                  <c:v>9.0318181800000001</c:v>
                </c:pt>
                <c:pt idx="5">
                  <c:v>9.5271739100000001</c:v>
                </c:pt>
                <c:pt idx="6">
                  <c:v>13.6047826</c:v>
                </c:pt>
                <c:pt idx="7">
                  <c:v>13.52375</c:v>
                </c:pt>
                <c:pt idx="8">
                  <c:v>14.454124999999999</c:v>
                </c:pt>
                <c:pt idx="9">
                  <c:v>14.222023800000001</c:v>
                </c:pt>
                <c:pt idx="10">
                  <c:v>9.8074999999999992</c:v>
                </c:pt>
                <c:pt idx="11">
                  <c:v>8.9313636299999999</c:v>
                </c:pt>
                <c:pt idx="12">
                  <c:v>10.00956521</c:v>
                </c:pt>
                <c:pt idx="13">
                  <c:v>10.437261904761904</c:v>
                </c:pt>
                <c:pt idx="14">
                  <c:v>9.0170238095238098</c:v>
                </c:pt>
                <c:pt idx="15">
                  <c:v>8.721477272727272</c:v>
                </c:pt>
                <c:pt idx="16">
                  <c:v>14.137282608695653</c:v>
                </c:pt>
                <c:pt idx="17">
                  <c:v>16.733152173913041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942D-4A8E-8A23-D38867F56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3370360"/>
        <c:axId val="1813367736"/>
      </c:scatterChart>
      <c:valAx>
        <c:axId val="1813370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U.S. Stocks</a:t>
                </a:r>
                <a:r>
                  <a:rPr lang="en-US" sz="1200" baseline="0">
                    <a:solidFill>
                      <a:sysClr val="windowText" lastClr="000000"/>
                    </a:solidFill>
                  </a:rPr>
                  <a:t>-to-Use</a:t>
                </a:r>
                <a:endParaRPr lang="en-US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13367736"/>
        <c:crosses val="autoZero"/>
        <c:crossBetween val="midCat"/>
      </c:valAx>
      <c:valAx>
        <c:axId val="1813367736"/>
        <c:scaling>
          <c:orientation val="minMax"/>
          <c:min val="4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aseline="0">
                    <a:solidFill>
                      <a:sysClr val="windowText" lastClr="000000"/>
                    </a:solidFill>
                  </a:rPr>
                  <a:t>Dollars per Bushel</a:t>
                </a:r>
                <a:endParaRPr lang="en-US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13370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000">
                <a:solidFill>
                  <a:sysClr val="windowText" lastClr="000000"/>
                </a:solidFill>
              </a:rPr>
              <a:t>SK Average Price in April versus Stocks-to-Use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2703558650084797E-2"/>
          <c:y val="0.10587402231223401"/>
          <c:w val="0.86601356709922583"/>
          <c:h val="0.79398020918719137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rgbClr val="AE78D6"/>
              </a:solidFill>
              <a:ln w="15875">
                <a:solidFill>
                  <a:srgbClr val="7030A0"/>
                </a:solidFill>
              </a:ln>
              <a:effectLst/>
            </c:spPr>
          </c:marker>
          <c:dLbls>
            <c:dLbl>
              <c:idx val="0"/>
              <c:tx>
                <c:strRef>
                  <c:f>'Balance Sheet Data'!$A$286</c:f>
                  <c:strCache>
                    <c:ptCount val="1"/>
                    <c:pt idx="0">
                      <c:v>04/05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{13B0E50A-AC6F-47C2-AD15-088180D1493F}</c15:txfldGUID>
                      <c15:f>'Balance Sheet Data'!$A$286</c15:f>
                      <c15:dlblFieldTableCache>
                        <c:ptCount val="1"/>
                        <c:pt idx="0">
                          <c:v>04/05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5F11-4FE0-8089-62D9BF52E3D4}"/>
                </c:ext>
              </c:extLst>
            </c:dLbl>
            <c:dLbl>
              <c:idx val="1"/>
              <c:tx>
                <c:strRef>
                  <c:f>'Balance Sheet Data'!$A$287</c:f>
                  <c:strCache>
                    <c:ptCount val="1"/>
                    <c:pt idx="0">
                      <c:v>05/06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{21271CCB-5588-4422-AD74-5055B7E1C26B}</c15:txfldGUID>
                      <c15:f>'Balance Sheet Data'!$A$287</c15:f>
                      <c15:dlblFieldTableCache>
                        <c:ptCount val="1"/>
                        <c:pt idx="0">
                          <c:v>05/06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5F11-4FE0-8089-62D9BF52E3D4}"/>
                </c:ext>
              </c:extLst>
            </c:dLbl>
            <c:dLbl>
              <c:idx val="2"/>
              <c:tx>
                <c:strRef>
                  <c:f>'Balance Sheet Data'!$A$288</c:f>
                  <c:strCache>
                    <c:ptCount val="1"/>
                    <c:pt idx="0">
                      <c:v>06/07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{DEF84C04-2A8D-434A-99A4-5263DA782F06}</c15:txfldGUID>
                      <c15:f>'Balance Sheet Data'!$A$288</c15:f>
                      <c15:dlblFieldTableCache>
                        <c:ptCount val="1"/>
                        <c:pt idx="0">
                          <c:v>06/07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5F11-4FE0-8089-62D9BF52E3D4}"/>
                </c:ext>
              </c:extLst>
            </c:dLbl>
            <c:dLbl>
              <c:idx val="3"/>
              <c:tx>
                <c:strRef>
                  <c:f>'Balance Sheet Data'!$A$289</c:f>
                  <c:strCache>
                    <c:ptCount val="1"/>
                    <c:pt idx="0">
                      <c:v>07/08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{8F5621DA-F864-47F5-99D6-D908C60F28E9}</c15:txfldGUID>
                      <c15:f>'Balance Sheet Data'!$A$289</c15:f>
                      <c15:dlblFieldTableCache>
                        <c:ptCount val="1"/>
                        <c:pt idx="0">
                          <c:v>07/08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5F11-4FE0-8089-62D9BF52E3D4}"/>
                </c:ext>
              </c:extLst>
            </c:dLbl>
            <c:dLbl>
              <c:idx val="4"/>
              <c:tx>
                <c:strRef>
                  <c:f>'Balance Sheet Data'!$A$290</c:f>
                  <c:strCache>
                    <c:ptCount val="1"/>
                    <c:pt idx="0">
                      <c:v>08/09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{B65C762B-9F24-4512-8456-93B66925B1C3}</c15:txfldGUID>
                      <c15:f>'Balance Sheet Data'!$A$290</c15:f>
                      <c15:dlblFieldTableCache>
                        <c:ptCount val="1"/>
                        <c:pt idx="0">
                          <c:v>08/09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5F11-4FE0-8089-62D9BF52E3D4}"/>
                </c:ext>
              </c:extLst>
            </c:dLbl>
            <c:dLbl>
              <c:idx val="5"/>
              <c:tx>
                <c:strRef>
                  <c:f>'Balance Sheet Data'!$A$291</c:f>
                  <c:strCache>
                    <c:ptCount val="1"/>
                    <c:pt idx="0">
                      <c:v>09/10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{E91A0F78-DD08-4867-9042-7E2E6088BCDC}</c15:txfldGUID>
                      <c15:f>'Balance Sheet Data'!$A$291</c15:f>
                      <c15:dlblFieldTableCache>
                        <c:ptCount val="1"/>
                        <c:pt idx="0">
                          <c:v>09/10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5F11-4FE0-8089-62D9BF52E3D4}"/>
                </c:ext>
              </c:extLst>
            </c:dLbl>
            <c:dLbl>
              <c:idx val="6"/>
              <c:tx>
                <c:strRef>
                  <c:f>'Balance Sheet Data'!$A$292</c:f>
                  <c:strCache>
                    <c:ptCount val="1"/>
                    <c:pt idx="0">
                      <c:v>10/11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{B2BC26B9-8882-4F64-9A6F-9DEC4FEC1361}</c15:txfldGUID>
                      <c15:f>'Balance Sheet Data'!$A$292</c15:f>
                      <c15:dlblFieldTableCache>
                        <c:ptCount val="1"/>
                        <c:pt idx="0">
                          <c:v>10/11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5F11-4FE0-8089-62D9BF52E3D4}"/>
                </c:ext>
              </c:extLst>
            </c:dLbl>
            <c:dLbl>
              <c:idx val="7"/>
              <c:tx>
                <c:strRef>
                  <c:f>'Balance Sheet Data'!$A$293</c:f>
                  <c:strCache>
                    <c:ptCount val="1"/>
                    <c:pt idx="0">
                      <c:v>11/12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{6EA5B86E-6BD7-4499-A7BD-5C3311256863}</c15:txfldGUID>
                      <c15:f>'Balance Sheet Data'!$A$293</c15:f>
                      <c15:dlblFieldTableCache>
                        <c:ptCount val="1"/>
                        <c:pt idx="0">
                          <c:v>11/12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5F11-4FE0-8089-62D9BF52E3D4}"/>
                </c:ext>
              </c:extLst>
            </c:dLbl>
            <c:dLbl>
              <c:idx val="8"/>
              <c:tx>
                <c:strRef>
                  <c:f>'Balance Sheet Data'!$A$294</c:f>
                  <c:strCache>
                    <c:ptCount val="1"/>
                    <c:pt idx="0">
                      <c:v>12/13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{05C295A6-45DE-4BA2-9EB3-C99CE8C638D2}</c15:txfldGUID>
                      <c15:f>'Balance Sheet Data'!$A$294</c15:f>
                      <c15:dlblFieldTableCache>
                        <c:ptCount val="1"/>
                        <c:pt idx="0">
                          <c:v>12/13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5F11-4FE0-8089-62D9BF52E3D4}"/>
                </c:ext>
              </c:extLst>
            </c:dLbl>
            <c:dLbl>
              <c:idx val="9"/>
              <c:tx>
                <c:strRef>
                  <c:f>'Balance Sheet Data'!$A$295</c:f>
                  <c:strCache>
                    <c:ptCount val="1"/>
                    <c:pt idx="0">
                      <c:v>13/14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{04E0F88A-0A7F-4CEC-8351-554EA3D13906}</c15:txfldGUID>
                      <c15:f>'Balance Sheet Data'!$A$295</c15:f>
                      <c15:dlblFieldTableCache>
                        <c:ptCount val="1"/>
                        <c:pt idx="0">
                          <c:v>13/14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5F11-4FE0-8089-62D9BF52E3D4}"/>
                </c:ext>
              </c:extLst>
            </c:dLbl>
            <c:dLbl>
              <c:idx val="10"/>
              <c:tx>
                <c:strRef>
                  <c:f>'Balance Sheet Data'!$A$296</c:f>
                  <c:strCache>
                    <c:ptCount val="1"/>
                    <c:pt idx="0">
                      <c:v>14/15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{BDC1A79D-0377-46ED-972E-94B9F542B136}</c15:txfldGUID>
                      <c15:f>'Balance Sheet Data'!$A$296</c15:f>
                      <c15:dlblFieldTableCache>
                        <c:ptCount val="1"/>
                        <c:pt idx="0">
                          <c:v>14/15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5F11-4FE0-8089-62D9BF52E3D4}"/>
                </c:ext>
              </c:extLst>
            </c:dLbl>
            <c:dLbl>
              <c:idx val="11"/>
              <c:tx>
                <c:strRef>
                  <c:f>'Balance Sheet Data'!$A$297</c:f>
                  <c:strCache>
                    <c:ptCount val="1"/>
                    <c:pt idx="0">
                      <c:v>15/16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{164CF8F7-8E70-4CF8-9C24-4B670BBBEBCC}</c15:txfldGUID>
                      <c15:f>'Balance Sheet Data'!$A$297</c15:f>
                      <c15:dlblFieldTableCache>
                        <c:ptCount val="1"/>
                        <c:pt idx="0">
                          <c:v>15/16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5F11-4FE0-8089-62D9BF52E3D4}"/>
                </c:ext>
              </c:extLst>
            </c:dLbl>
            <c:dLbl>
              <c:idx val="12"/>
              <c:tx>
                <c:strRef>
                  <c:f>'Balance Sheet Data'!$A$298</c:f>
                  <c:strCache>
                    <c:ptCount val="1"/>
                    <c:pt idx="0">
                      <c:v>16/17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{D02C26A6-8B61-4C61-92E3-C0B43675A6A0}</c15:txfldGUID>
                      <c15:f>'Balance Sheet Data'!$A$298</c15:f>
                      <c15:dlblFieldTableCache>
                        <c:ptCount val="1"/>
                        <c:pt idx="0">
                          <c:v>16/17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5F11-4FE0-8089-62D9BF52E3D4}"/>
                </c:ext>
              </c:extLst>
            </c:dLbl>
            <c:dLbl>
              <c:idx val="13"/>
              <c:tx>
                <c:strRef>
                  <c:f>'Balance Sheet Data'!$A$299</c:f>
                  <c:strCache>
                    <c:ptCount val="1"/>
                    <c:pt idx="0">
                      <c:v>17/18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{2E0E6F88-9811-46E8-9CCC-1B573C9B61C5}</c15:txfldGUID>
                      <c15:f>'Balance Sheet Data'!$A$299</c15:f>
                      <c15:dlblFieldTableCache>
                        <c:ptCount val="1"/>
                        <c:pt idx="0">
                          <c:v>17/18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5F11-4FE0-8089-62D9BF52E3D4}"/>
                </c:ext>
              </c:extLst>
            </c:dLbl>
            <c:dLbl>
              <c:idx val="14"/>
              <c:tx>
                <c:strRef>
                  <c:f>'Balance Sheet Data'!$A$300</c:f>
                  <c:strCache>
                    <c:ptCount val="1"/>
                    <c:pt idx="0">
                      <c:v>18/19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{8E45A307-9887-4013-ADAE-344D04C7EC85}</c15:txfldGUID>
                      <c15:f>'Balance Sheet Data'!$A$300</c15:f>
                      <c15:dlblFieldTableCache>
                        <c:ptCount val="1"/>
                        <c:pt idx="0">
                          <c:v>18/19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5F11-4FE0-8089-62D9BF52E3D4}"/>
                </c:ext>
              </c:extLst>
            </c:dLbl>
            <c:dLbl>
              <c:idx val="15"/>
              <c:tx>
                <c:strRef>
                  <c:f>'Balance Sheet Data'!$A$301</c:f>
                  <c:strCache>
                    <c:ptCount val="1"/>
                    <c:pt idx="0">
                      <c:v>19/20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{15E296B7-CC2D-4B41-B8BD-8D22D8F1191C}</c15:txfldGUID>
                      <c15:f>'Balance Sheet Data'!$A$301</c15:f>
                      <c15:dlblFieldTableCache>
                        <c:ptCount val="1"/>
                        <c:pt idx="0">
                          <c:v>19/20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5F11-4FE0-8089-62D9BF52E3D4}"/>
                </c:ext>
              </c:extLst>
            </c:dLbl>
            <c:dLbl>
              <c:idx val="16"/>
              <c:tx>
                <c:strRef>
                  <c:f>'Balance Sheet Data'!$A$302</c:f>
                  <c:strCache>
                    <c:ptCount val="1"/>
                    <c:pt idx="0">
                      <c:v>20/21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323232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{2F75D772-DC45-47D1-AB83-ED9B775D4EB7}</c15:txfldGUID>
                      <c15:f>'Balance Sheet Data'!$A$302</c15:f>
                      <c15:dlblFieldTableCache>
                        <c:ptCount val="1"/>
                        <c:pt idx="0">
                          <c:v>20/21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5F11-4FE0-8089-62D9BF52E3D4}"/>
                </c:ext>
              </c:extLst>
            </c:dLbl>
            <c:dLbl>
              <c:idx val="17"/>
              <c:tx>
                <c:strRef>
                  <c:f>'Balance Sheet Data'!$A$303</c:f>
                  <c:strCache>
                    <c:ptCount val="1"/>
                    <c:pt idx="0">
                      <c:v>21/22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AE78D6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{DA41FDCA-8E84-4842-9D8D-F57287463152}</c15:txfldGUID>
                      <c15:f>'Balance Sheet Data'!$A$303</c15:f>
                      <c15:dlblFieldTableCache>
                        <c:ptCount val="1"/>
                        <c:pt idx="0">
                          <c:v>21/22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5F11-4FE0-8089-62D9BF52E3D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>
                        <a:lumMod val="6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8575" cap="rnd">
                <a:solidFill>
                  <a:srgbClr val="7030A0"/>
                </a:solidFill>
                <a:prstDash val="solid"/>
              </a:ln>
              <a:effectLst/>
            </c:spPr>
            <c:trendlineType val="power"/>
            <c:dispRSqr val="0"/>
            <c:dispEq val="0"/>
          </c:trendline>
          <c:errBars>
            <c:errDir val="y"/>
            <c:errBarType val="both"/>
            <c:errValType val="cust"/>
            <c:noEndCap val="0"/>
            <c:plus>
              <c:numRef>
                <c:f>'Futures Averages'!$P$621:$P$638</c:f>
                <c:numCache>
                  <c:formatCode>General</c:formatCode>
                  <c:ptCount val="18"/>
                  <c:pt idx="0">
                    <c:v>0.26904762000000026</c:v>
                  </c:pt>
                  <c:pt idx="1">
                    <c:v>0.29460527000000081</c:v>
                  </c:pt>
                  <c:pt idx="2">
                    <c:v>0.51112499999999983</c:v>
                  </c:pt>
                  <c:pt idx="3">
                    <c:v>0.84056819000000083</c:v>
                  </c:pt>
                  <c:pt idx="4">
                    <c:v>0.53869047999999964</c:v>
                  </c:pt>
                  <c:pt idx="5">
                    <c:v>0.36166666999999997</c:v>
                  </c:pt>
                  <c:pt idx="6">
                    <c:v>0.51724999999999888</c:v>
                  </c:pt>
                  <c:pt idx="7">
                    <c:v>0.68149999999999977</c:v>
                  </c:pt>
                  <c:pt idx="8">
                    <c:v>0.79556818999999912</c:v>
                  </c:pt>
                  <c:pt idx="9">
                    <c:v>0.42797619999999981</c:v>
                  </c:pt>
                  <c:pt idx="10">
                    <c:v>0.25857142999999994</c:v>
                  </c:pt>
                  <c:pt idx="11">
                    <c:v>0.73857143000000036</c:v>
                  </c:pt>
                  <c:pt idx="12">
                    <c:v>0.15526316000000051</c:v>
                  </c:pt>
                  <c:pt idx="13">
                    <c:v>0.29607142857142854</c:v>
                  </c:pt>
                  <c:pt idx="14">
                    <c:v>0.24773809523809476</c:v>
                  </c:pt>
                  <c:pt idx="15">
                    <c:v>0.43912500000000065</c:v>
                  </c:pt>
                  <c:pt idx="16">
                    <c:v>1.4324999999999992</c:v>
                  </c:pt>
                  <c:pt idx="17">
                    <c:v>0</c:v>
                  </c:pt>
                </c:numCache>
              </c:numRef>
            </c:plus>
            <c:minus>
              <c:numRef>
                <c:f>'Futures Averages'!$P$679:$P$696</c:f>
                <c:numCache>
                  <c:formatCode>General</c:formatCode>
                  <c:ptCount val="18"/>
                  <c:pt idx="0">
                    <c:v>0.20595238000000027</c:v>
                  </c:pt>
                  <c:pt idx="1">
                    <c:v>0.15289472999999987</c:v>
                  </c:pt>
                  <c:pt idx="2">
                    <c:v>0.27387500000000031</c:v>
                  </c:pt>
                  <c:pt idx="3">
                    <c:v>2.0744318100000001</c:v>
                  </c:pt>
                  <c:pt idx="4">
                    <c:v>0.76130952000000107</c:v>
                  </c:pt>
                  <c:pt idx="5">
                    <c:v>0.40833333000000138</c:v>
                  </c:pt>
                  <c:pt idx="6">
                    <c:v>0.48275000000000112</c:v>
                  </c:pt>
                  <c:pt idx="7">
                    <c:v>0.37100000000000044</c:v>
                  </c:pt>
                  <c:pt idx="8">
                    <c:v>0.54693181000000024</c:v>
                  </c:pt>
                  <c:pt idx="9">
                    <c:v>0.33202379999999998</c:v>
                  </c:pt>
                  <c:pt idx="10">
                    <c:v>0.26892856999999992</c:v>
                  </c:pt>
                  <c:pt idx="11">
                    <c:v>0.61892856999999957</c:v>
                  </c:pt>
                  <c:pt idx="12">
                    <c:v>0.16973684000000056</c:v>
                  </c:pt>
                  <c:pt idx="13">
                    <c:v>0.54142857142857004</c:v>
                  </c:pt>
                  <c:pt idx="14">
                    <c:v>0.43976190476190524</c:v>
                  </c:pt>
                  <c:pt idx="15">
                    <c:v>0.35087500000000027</c:v>
                  </c:pt>
                  <c:pt idx="16">
                    <c:v>0.875</c:v>
                  </c:pt>
                  <c:pt idx="17">
                    <c:v>0.82536046323809664</c:v>
                  </c:pt>
                </c:numCache>
              </c:numRef>
            </c:minus>
            <c:spPr>
              <a:noFill/>
              <a:ln w="15875" cap="flat" cmpd="sng" algn="ctr">
                <a:solidFill>
                  <a:srgbClr val="000000"/>
                </a:solidFill>
                <a:round/>
              </a:ln>
              <a:effectLst/>
            </c:spPr>
          </c:errBars>
          <c:xVal>
            <c:numRef>
              <c:f>'Balance Sheet Data'!$M$286:$M$303</c:f>
              <c:numCache>
                <c:formatCode>0.0%</c:formatCode>
                <c:ptCount val="18"/>
                <c:pt idx="0">
                  <c:v>0.13007284079084286</c:v>
                </c:pt>
                <c:pt idx="1">
                  <c:v>0.20309130122214233</c:v>
                </c:pt>
                <c:pt idx="2">
                  <c:v>0.20317145688800792</c:v>
                </c:pt>
                <c:pt idx="3">
                  <c:v>5.3173811897640415E-2</c:v>
                </c:pt>
                <c:pt idx="4">
                  <c:v>5.3138492195283958E-2</c:v>
                </c:pt>
                <c:pt idx="5">
                  <c:v>5.7177249473367442E-2</c:v>
                </c:pt>
                <c:pt idx="6">
                  <c:v>4.1728763040238454E-2</c:v>
                </c:pt>
                <c:pt idx="7">
                  <c:v>8.2345191040843216E-2</c:v>
                </c:pt>
                <c:pt idx="8">
                  <c:v>4.0584415584415584E-2</c:v>
                </c:pt>
                <c:pt idx="9">
                  <c:v>4.0178571428571432E-2</c:v>
                </c:pt>
                <c:pt idx="10">
                  <c:v>9.943563558183284E-2</c:v>
                </c:pt>
                <c:pt idx="11">
                  <c:v>0.12010796221322537</c:v>
                </c:pt>
                <c:pt idx="12">
                  <c:v>0.10898848885623316</c:v>
                </c:pt>
                <c:pt idx="13">
                  <c:v>0.13195777351247601</c:v>
                </c:pt>
                <c:pt idx="14">
                  <c:v>0.21807992202729046</c:v>
                </c:pt>
                <c:pt idx="15">
                  <c:v>0.1199400299850075</c:v>
                </c:pt>
                <c:pt idx="16">
                  <c:v>2.6229508196721311E-2</c:v>
                </c:pt>
                <c:pt idx="17">
                  <c:v>6.1473897503912078E-2</c:v>
                </c:pt>
              </c:numCache>
            </c:numRef>
          </c:xVal>
          <c:yVal>
            <c:numRef>
              <c:f>'Futures Averages'!$L$563:$L$580</c:f>
              <c:numCache>
                <c:formatCode>#,##0.00_);[Red]\(#,##0.00\)</c:formatCode>
                <c:ptCount val="18"/>
                <c:pt idx="0">
                  <c:v>6.2259523799999998</c:v>
                </c:pt>
                <c:pt idx="1">
                  <c:v>5.6853947299999996</c:v>
                </c:pt>
                <c:pt idx="2">
                  <c:v>7.3588750000000003</c:v>
                </c:pt>
                <c:pt idx="3">
                  <c:v>13.13943181</c:v>
                </c:pt>
                <c:pt idx="4">
                  <c:v>10.191309520000001</c:v>
                </c:pt>
                <c:pt idx="5">
                  <c:v>9.7333333300000007</c:v>
                </c:pt>
                <c:pt idx="6">
                  <c:v>13.64775</c:v>
                </c:pt>
                <c:pt idx="7">
                  <c:v>14.4085</c:v>
                </c:pt>
                <c:pt idx="8">
                  <c:v>14.09193181</c:v>
                </c:pt>
                <c:pt idx="9">
                  <c:v>14.8920238</c:v>
                </c:pt>
                <c:pt idx="10">
                  <c:v>9.7139285700000002</c:v>
                </c:pt>
                <c:pt idx="11">
                  <c:v>9.6289285699999994</c:v>
                </c:pt>
                <c:pt idx="12">
                  <c:v>9.46723684</c:v>
                </c:pt>
                <c:pt idx="13">
                  <c:v>10.376428571428571</c:v>
                </c:pt>
                <c:pt idx="14">
                  <c:v>8.824761904761905</c:v>
                </c:pt>
                <c:pt idx="15">
                  <c:v>8.4333749999999998</c:v>
                </c:pt>
                <c:pt idx="16">
                  <c:v>14.654999999999999</c:v>
                </c:pt>
                <c:pt idx="17" formatCode="_(* #,##0.00_);_(* \(#,##0.00\);_(* &quot;-&quot;??_);_(@_)">
                  <c:v>16.823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5F11-4FE0-8089-62D9BF52E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3370360"/>
        <c:axId val="1813367736"/>
      </c:scatterChart>
      <c:valAx>
        <c:axId val="1813370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U.S. Stocks</a:t>
                </a:r>
                <a:r>
                  <a:rPr lang="en-US" sz="1200" baseline="0">
                    <a:solidFill>
                      <a:sysClr val="windowText" lastClr="000000"/>
                    </a:solidFill>
                  </a:rPr>
                  <a:t>-to-Use</a:t>
                </a:r>
                <a:endParaRPr lang="en-US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13367736"/>
        <c:crosses val="autoZero"/>
        <c:crossBetween val="midCat"/>
      </c:valAx>
      <c:valAx>
        <c:axId val="1813367736"/>
        <c:scaling>
          <c:orientation val="minMax"/>
          <c:min val="4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aseline="0">
                    <a:solidFill>
                      <a:sysClr val="windowText" lastClr="000000"/>
                    </a:solidFill>
                  </a:rPr>
                  <a:t>Dollars per Bushel</a:t>
                </a:r>
                <a:endParaRPr lang="en-US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13370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000">
                <a:solidFill>
                  <a:sysClr val="windowText" lastClr="000000"/>
                </a:solidFill>
              </a:rPr>
              <a:t>SN Average Price in May versus Stocks-to-Use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2703558650084797E-2"/>
          <c:y val="0.10587402231223401"/>
          <c:w val="0.86601356709922583"/>
          <c:h val="0.79398020918719137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rgbClr val="D7BA2F"/>
              </a:solidFill>
              <a:ln w="15875">
                <a:solidFill>
                  <a:srgbClr val="C4722E"/>
                </a:solidFill>
              </a:ln>
              <a:effectLst/>
            </c:spPr>
          </c:marker>
          <c:dLbls>
            <c:dLbl>
              <c:idx val="0"/>
              <c:tx>
                <c:strRef>
                  <c:f>'Balance Sheet Data'!$A$286</c:f>
                  <c:strCache>
                    <c:ptCount val="1"/>
                    <c:pt idx="0">
                      <c:v>04/05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{31D6B81F-DFB9-4DA6-928D-13FEEAD50E2E}</c15:txfldGUID>
                      <c15:f>'Balance Sheet Data'!$A$286</c15:f>
                      <c15:dlblFieldTableCache>
                        <c:ptCount val="1"/>
                        <c:pt idx="0">
                          <c:v>04/05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9574-4C14-934A-6926CC2BEEFB}"/>
                </c:ext>
              </c:extLst>
            </c:dLbl>
            <c:dLbl>
              <c:idx val="1"/>
              <c:tx>
                <c:strRef>
                  <c:f>'Balance Sheet Data'!$A$287</c:f>
                  <c:strCache>
                    <c:ptCount val="1"/>
                    <c:pt idx="0">
                      <c:v>05/06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{0CDD5D50-6140-4594-947E-E18C0F1727F4}</c15:txfldGUID>
                      <c15:f>'Balance Sheet Data'!$A$287</c15:f>
                      <c15:dlblFieldTableCache>
                        <c:ptCount val="1"/>
                        <c:pt idx="0">
                          <c:v>05/06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9574-4C14-934A-6926CC2BEEFB}"/>
                </c:ext>
              </c:extLst>
            </c:dLbl>
            <c:dLbl>
              <c:idx val="2"/>
              <c:tx>
                <c:strRef>
                  <c:f>'Balance Sheet Data'!$A$288</c:f>
                  <c:strCache>
                    <c:ptCount val="1"/>
                    <c:pt idx="0">
                      <c:v>06/07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{D93BDBDE-E80A-483B-B94B-5A9EE6EBB99C}</c15:txfldGUID>
                      <c15:f>'Balance Sheet Data'!$A$288</c15:f>
                      <c15:dlblFieldTableCache>
                        <c:ptCount val="1"/>
                        <c:pt idx="0">
                          <c:v>06/07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9574-4C14-934A-6926CC2BEEFB}"/>
                </c:ext>
              </c:extLst>
            </c:dLbl>
            <c:dLbl>
              <c:idx val="3"/>
              <c:tx>
                <c:strRef>
                  <c:f>'Balance Sheet Data'!$A$289</c:f>
                  <c:strCache>
                    <c:ptCount val="1"/>
                    <c:pt idx="0">
                      <c:v>07/08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{12E34AD3-F468-440F-816A-922CC816B418}</c15:txfldGUID>
                      <c15:f>'Balance Sheet Data'!$A$289</c15:f>
                      <c15:dlblFieldTableCache>
                        <c:ptCount val="1"/>
                        <c:pt idx="0">
                          <c:v>07/08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9574-4C14-934A-6926CC2BEEFB}"/>
                </c:ext>
              </c:extLst>
            </c:dLbl>
            <c:dLbl>
              <c:idx val="4"/>
              <c:tx>
                <c:strRef>
                  <c:f>'Balance Sheet Data'!$A$290</c:f>
                  <c:strCache>
                    <c:ptCount val="1"/>
                    <c:pt idx="0">
                      <c:v>08/09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{A7B72C65-07A9-4750-8E3B-FBBD3126C29A}</c15:txfldGUID>
                      <c15:f>'Balance Sheet Data'!$A$290</c15:f>
                      <c15:dlblFieldTableCache>
                        <c:ptCount val="1"/>
                        <c:pt idx="0">
                          <c:v>08/09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9574-4C14-934A-6926CC2BEEFB}"/>
                </c:ext>
              </c:extLst>
            </c:dLbl>
            <c:dLbl>
              <c:idx val="5"/>
              <c:tx>
                <c:strRef>
                  <c:f>'Balance Sheet Data'!$A$291</c:f>
                  <c:strCache>
                    <c:ptCount val="1"/>
                    <c:pt idx="0">
                      <c:v>09/10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{3247BAED-96B2-48CF-9FF9-FF7D915A33DD}</c15:txfldGUID>
                      <c15:f>'Balance Sheet Data'!$A$291</c15:f>
                      <c15:dlblFieldTableCache>
                        <c:ptCount val="1"/>
                        <c:pt idx="0">
                          <c:v>09/10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9574-4C14-934A-6926CC2BEEFB}"/>
                </c:ext>
              </c:extLst>
            </c:dLbl>
            <c:dLbl>
              <c:idx val="6"/>
              <c:tx>
                <c:strRef>
                  <c:f>'Balance Sheet Data'!$A$292</c:f>
                  <c:strCache>
                    <c:ptCount val="1"/>
                    <c:pt idx="0">
                      <c:v>10/11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{383C3D16-59C9-4F5F-A94B-DEC94570E688}</c15:txfldGUID>
                      <c15:f>'Balance Sheet Data'!$A$292</c15:f>
                      <c15:dlblFieldTableCache>
                        <c:ptCount val="1"/>
                        <c:pt idx="0">
                          <c:v>10/11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9574-4C14-934A-6926CC2BEEFB}"/>
                </c:ext>
              </c:extLst>
            </c:dLbl>
            <c:dLbl>
              <c:idx val="7"/>
              <c:tx>
                <c:strRef>
                  <c:f>'Balance Sheet Data'!$A$293</c:f>
                  <c:strCache>
                    <c:ptCount val="1"/>
                    <c:pt idx="0">
                      <c:v>11/12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{04BAC589-0B4F-4557-8CAD-AB6A62E8E08E}</c15:txfldGUID>
                      <c15:f>'Balance Sheet Data'!$A$293</c15:f>
                      <c15:dlblFieldTableCache>
                        <c:ptCount val="1"/>
                        <c:pt idx="0">
                          <c:v>11/12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9574-4C14-934A-6926CC2BEEFB}"/>
                </c:ext>
              </c:extLst>
            </c:dLbl>
            <c:dLbl>
              <c:idx val="8"/>
              <c:tx>
                <c:strRef>
                  <c:f>'Balance Sheet Data'!$A$294</c:f>
                  <c:strCache>
                    <c:ptCount val="1"/>
                    <c:pt idx="0">
                      <c:v>12/13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{326EFD7D-B25B-4A5E-8F30-6CFC0650DA5E}</c15:txfldGUID>
                      <c15:f>'Balance Sheet Data'!$A$294</c15:f>
                      <c15:dlblFieldTableCache>
                        <c:ptCount val="1"/>
                        <c:pt idx="0">
                          <c:v>12/13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9574-4C14-934A-6926CC2BEEFB}"/>
                </c:ext>
              </c:extLst>
            </c:dLbl>
            <c:dLbl>
              <c:idx val="9"/>
              <c:tx>
                <c:strRef>
                  <c:f>'Balance Sheet Data'!$A$295</c:f>
                  <c:strCache>
                    <c:ptCount val="1"/>
                    <c:pt idx="0">
                      <c:v>13/14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{777494B7-81B6-4C0E-B8D5-EF0AFE0E792A}</c15:txfldGUID>
                      <c15:f>'Balance Sheet Data'!$A$295</c15:f>
                      <c15:dlblFieldTableCache>
                        <c:ptCount val="1"/>
                        <c:pt idx="0">
                          <c:v>13/14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9574-4C14-934A-6926CC2BEEFB}"/>
                </c:ext>
              </c:extLst>
            </c:dLbl>
            <c:dLbl>
              <c:idx val="10"/>
              <c:tx>
                <c:strRef>
                  <c:f>'Balance Sheet Data'!$A$296</c:f>
                  <c:strCache>
                    <c:ptCount val="1"/>
                    <c:pt idx="0">
                      <c:v>14/15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{C860EE58-9440-4AB6-ACE6-4DAE19FEA305}</c15:txfldGUID>
                      <c15:f>'Balance Sheet Data'!$A$296</c15:f>
                      <c15:dlblFieldTableCache>
                        <c:ptCount val="1"/>
                        <c:pt idx="0">
                          <c:v>14/15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9574-4C14-934A-6926CC2BEEFB}"/>
                </c:ext>
              </c:extLst>
            </c:dLbl>
            <c:dLbl>
              <c:idx val="11"/>
              <c:tx>
                <c:strRef>
                  <c:f>'Balance Sheet Data'!$A$297</c:f>
                  <c:strCache>
                    <c:ptCount val="1"/>
                    <c:pt idx="0">
                      <c:v>15/16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{5C3E975A-97BF-42CD-B089-8C1677604FA0}</c15:txfldGUID>
                      <c15:f>'Balance Sheet Data'!$A$297</c15:f>
                      <c15:dlblFieldTableCache>
                        <c:ptCount val="1"/>
                        <c:pt idx="0">
                          <c:v>15/16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9574-4C14-934A-6926CC2BEEFB}"/>
                </c:ext>
              </c:extLst>
            </c:dLbl>
            <c:dLbl>
              <c:idx val="12"/>
              <c:tx>
                <c:strRef>
                  <c:f>'Balance Sheet Data'!$A$298</c:f>
                  <c:strCache>
                    <c:ptCount val="1"/>
                    <c:pt idx="0">
                      <c:v>16/17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{5EE4F79C-A340-4ACB-A41B-C07E4798DFBF}</c15:txfldGUID>
                      <c15:f>'Balance Sheet Data'!$A$298</c15:f>
                      <c15:dlblFieldTableCache>
                        <c:ptCount val="1"/>
                        <c:pt idx="0">
                          <c:v>16/17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9574-4C14-934A-6926CC2BEEFB}"/>
                </c:ext>
              </c:extLst>
            </c:dLbl>
            <c:dLbl>
              <c:idx val="13"/>
              <c:tx>
                <c:strRef>
                  <c:f>'Balance Sheet Data'!$A$299</c:f>
                  <c:strCache>
                    <c:ptCount val="1"/>
                    <c:pt idx="0">
                      <c:v>17/18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{6B115BDD-3DC5-4006-AF59-01957C1D4C75}</c15:txfldGUID>
                      <c15:f>'Balance Sheet Data'!$A$299</c15:f>
                      <c15:dlblFieldTableCache>
                        <c:ptCount val="1"/>
                        <c:pt idx="0">
                          <c:v>17/18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9574-4C14-934A-6926CC2BEEFB}"/>
                </c:ext>
              </c:extLst>
            </c:dLbl>
            <c:dLbl>
              <c:idx val="14"/>
              <c:tx>
                <c:strRef>
                  <c:f>'Balance Sheet Data'!$A$300</c:f>
                  <c:strCache>
                    <c:ptCount val="1"/>
                    <c:pt idx="0">
                      <c:v>18/19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{CC151C8D-B3D5-47AF-B655-1DFB700A1465}</c15:txfldGUID>
                      <c15:f>'Balance Sheet Data'!$A$300</c15:f>
                      <c15:dlblFieldTableCache>
                        <c:ptCount val="1"/>
                        <c:pt idx="0">
                          <c:v>18/19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9574-4C14-934A-6926CC2BEEFB}"/>
                </c:ext>
              </c:extLst>
            </c:dLbl>
            <c:dLbl>
              <c:idx val="15"/>
              <c:tx>
                <c:strRef>
                  <c:f>'Balance Sheet Data'!$A$301</c:f>
                  <c:strCache>
                    <c:ptCount val="1"/>
                    <c:pt idx="0">
                      <c:v>19/20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{83415BEE-39CD-49B7-B9AB-F521BE7A930C}</c15:txfldGUID>
                      <c15:f>'Balance Sheet Data'!$A$301</c15:f>
                      <c15:dlblFieldTableCache>
                        <c:ptCount val="1"/>
                        <c:pt idx="0">
                          <c:v>19/20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9574-4C14-934A-6926CC2BEEFB}"/>
                </c:ext>
              </c:extLst>
            </c:dLbl>
            <c:dLbl>
              <c:idx val="16"/>
              <c:tx>
                <c:strRef>
                  <c:f>'Balance Sheet Data'!$A$302</c:f>
                  <c:strCache>
                    <c:ptCount val="1"/>
                    <c:pt idx="0">
                      <c:v>20/21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rgbClr val="C4722E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{B1945670-9BEA-4D68-B1E2-FF3A16B9E292}</c15:txfldGUID>
                      <c15:f>'Balance Sheet Data'!$A$302</c15:f>
                      <c15:dlblFieldTableCache>
                        <c:ptCount val="1"/>
                        <c:pt idx="0">
                          <c:v>20/21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9574-4C14-934A-6926CC2BEEFB}"/>
                </c:ext>
              </c:extLst>
            </c:dLbl>
            <c:dLbl>
              <c:idx val="17"/>
              <c:tx>
                <c:strRef>
                  <c:f>'Balance Sheet Data'!$A$303</c:f>
                  <c:strCache>
                    <c:ptCount val="1"/>
                    <c:pt idx="0">
                      <c:v>21/22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rgbClr val="C4722E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{0CA316DD-DC24-4DC1-B4B3-6068854ABEC1}</c15:txfldGUID>
                      <c15:f>'Balance Sheet Data'!$A$303</c15:f>
                      <c15:dlblFieldTableCache>
                        <c:ptCount val="1"/>
                        <c:pt idx="0">
                          <c:v>21/22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9574-4C14-934A-6926CC2BEEF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8575" cap="rnd">
                <a:solidFill>
                  <a:srgbClr val="C4722E"/>
                </a:solidFill>
                <a:prstDash val="solid"/>
              </a:ln>
              <a:effectLst/>
            </c:spPr>
            <c:trendlineType val="power"/>
            <c:dispRSqr val="0"/>
            <c:dispEq val="0"/>
          </c:trendline>
          <c:errBars>
            <c:errDir val="y"/>
            <c:errBarType val="both"/>
            <c:errValType val="cust"/>
            <c:noEndCap val="0"/>
            <c:plus>
              <c:numRef>
                <c:f>'Futures Averages'!$O$796:$O$813</c:f>
                <c:numCache>
                  <c:formatCode>General</c:formatCode>
                  <c:ptCount val="18"/>
                  <c:pt idx="0">
                    <c:v>0.48821429000000016</c:v>
                  </c:pt>
                  <c:pt idx="1">
                    <c:v>0.22761364000000039</c:v>
                  </c:pt>
                  <c:pt idx="2">
                    <c:v>0.3927272799999999</c:v>
                  </c:pt>
                  <c:pt idx="3">
                    <c:v>0.66023809999999905</c:v>
                  </c:pt>
                  <c:pt idx="4">
                    <c:v>0.59725000000000072</c:v>
                  </c:pt>
                  <c:pt idx="5">
                    <c:v>0.48825000000000074</c:v>
                  </c:pt>
                  <c:pt idx="6">
                    <c:v>0.45178572000000017</c:v>
                  </c:pt>
                  <c:pt idx="7">
                    <c:v>0.93590909999999994</c:v>
                  </c:pt>
                  <c:pt idx="8">
                    <c:v>1.0880681899999995</c:v>
                  </c:pt>
                  <c:pt idx="9">
                    <c:v>0.55726190999999936</c:v>
                  </c:pt>
                  <c:pt idx="10">
                    <c:v>0.3696249999999992</c:v>
                  </c:pt>
                  <c:pt idx="11">
                    <c:v>0.36583334000000001</c:v>
                  </c:pt>
                  <c:pt idx="12">
                    <c:v>0.31613637000000061</c:v>
                  </c:pt>
                  <c:pt idx="13">
                    <c:v>0.3130681818181813</c:v>
                  </c:pt>
                  <c:pt idx="14">
                    <c:v>0.56079545454545432</c:v>
                  </c:pt>
                  <c:pt idx="15">
                    <c:v>0.18225000000000158</c:v>
                  </c:pt>
                  <c:pt idx="16">
                    <c:v>1.1031250000000004</c:v>
                  </c:pt>
                  <c:pt idx="17">
                    <c:v>0.74507500127272763</c:v>
                  </c:pt>
                </c:numCache>
              </c:numRef>
            </c:plus>
            <c:minus>
              <c:numRef>
                <c:f>'Futures Averages'!$O$855:$O$872</c:f>
                <c:numCache>
                  <c:formatCode>General</c:formatCode>
                  <c:ptCount val="18"/>
                  <c:pt idx="0">
                    <c:v>0.31678570999999955</c:v>
                  </c:pt>
                  <c:pt idx="1">
                    <c:v>0.19738635999999943</c:v>
                  </c:pt>
                  <c:pt idx="2">
                    <c:v>0.42727272000000038</c:v>
                  </c:pt>
                  <c:pt idx="3">
                    <c:v>0.91976190000000102</c:v>
                  </c:pt>
                  <c:pt idx="4">
                    <c:v>0.97025000000000006</c:v>
                  </c:pt>
                  <c:pt idx="5">
                    <c:v>0.26424999999999876</c:v>
                  </c:pt>
                  <c:pt idx="6">
                    <c:v>0.50821428000000068</c:v>
                  </c:pt>
                  <c:pt idx="7">
                    <c:v>0.79409090000000049</c:v>
                  </c:pt>
                  <c:pt idx="8">
                    <c:v>0.72443181000000045</c:v>
                  </c:pt>
                  <c:pt idx="9">
                    <c:v>0.39273808999999993</c:v>
                  </c:pt>
                  <c:pt idx="10">
                    <c:v>0.33037500000000009</c:v>
                  </c:pt>
                  <c:pt idx="11">
                    <c:v>0.52916665999999957</c:v>
                  </c:pt>
                  <c:pt idx="12">
                    <c:v>0.47886362999999932</c:v>
                  </c:pt>
                  <c:pt idx="13">
                    <c:v>0.3169318181818177</c:v>
                  </c:pt>
                  <c:pt idx="14">
                    <c:v>0.45670454545454575</c:v>
                  </c:pt>
                  <c:pt idx="15">
                    <c:v>0.14524999999999899</c:v>
                  </c:pt>
                  <c:pt idx="16">
                    <c:v>0.67937500000000028</c:v>
                  </c:pt>
                  <c:pt idx="17">
                    <c:v>0.66542499872727134</c:v>
                  </c:pt>
                </c:numCache>
              </c:numRef>
            </c:minus>
            <c:spPr>
              <a:noFill/>
              <a:ln w="15875" cap="flat" cmpd="sng" algn="ctr">
                <a:solidFill>
                  <a:srgbClr val="000000"/>
                </a:solidFill>
                <a:round/>
              </a:ln>
              <a:effectLst/>
            </c:spPr>
          </c:errBars>
          <c:xVal>
            <c:numRef>
              <c:f>'Balance Sheet Data'!$N$286:$N$303</c:f>
              <c:numCache>
                <c:formatCode>0.0%</c:formatCode>
                <c:ptCount val="18"/>
                <c:pt idx="0">
                  <c:v>0.12228728901136755</c:v>
                </c:pt>
                <c:pt idx="1">
                  <c:v>0.20309130122214233</c:v>
                </c:pt>
                <c:pt idx="2">
                  <c:v>0.20118733509234829</c:v>
                </c:pt>
                <c:pt idx="3">
                  <c:v>4.7949735449735451E-2</c:v>
                </c:pt>
                <c:pt idx="4">
                  <c:v>4.2678923177938283E-2</c:v>
                </c:pt>
                <c:pt idx="5">
                  <c:v>5.7177249473367442E-2</c:v>
                </c:pt>
                <c:pt idx="6">
                  <c:v>5.1127819548872182E-2</c:v>
                </c:pt>
                <c:pt idx="7">
                  <c:v>6.8270481144343309E-2</c:v>
                </c:pt>
                <c:pt idx="8">
                  <c:v>4.0584415584415584E-2</c:v>
                </c:pt>
                <c:pt idx="9">
                  <c:v>3.8348082595870206E-2</c:v>
                </c:pt>
                <c:pt idx="10">
                  <c:v>9.3557872226677358E-2</c:v>
                </c:pt>
                <c:pt idx="11">
                  <c:v>0.10666666666666667</c:v>
                </c:pt>
                <c:pt idx="12">
                  <c:v>0.10627901294893721</c:v>
                </c:pt>
                <c:pt idx="13">
                  <c:v>0.1265520534861509</c:v>
                </c:pt>
                <c:pt idx="14">
                  <c:v>0.2485014985014985</c:v>
                </c:pt>
                <c:pt idx="15">
                  <c:v>0.14867982568572161</c:v>
                </c:pt>
                <c:pt idx="16">
                  <c:v>2.6229508196721311E-2</c:v>
                </c:pt>
                <c:pt idx="17">
                  <c:v>6.1473897503912078E-2</c:v>
                </c:pt>
              </c:numCache>
            </c:numRef>
          </c:xVal>
          <c:yVal>
            <c:numRef>
              <c:f>'Futures Averages'!$K$737:$K$754</c:f>
              <c:numCache>
                <c:formatCode>#,##0.00_);[Red]\(#,##0.00\)</c:formatCode>
                <c:ptCount val="18"/>
                <c:pt idx="0">
                  <c:v>6.3817857099999999</c:v>
                </c:pt>
                <c:pt idx="1">
                  <c:v>5.9723863599999998</c:v>
                </c:pt>
                <c:pt idx="2">
                  <c:v>7.7672727200000002</c:v>
                </c:pt>
                <c:pt idx="3">
                  <c:v>13.359761900000001</c:v>
                </c:pt>
                <c:pt idx="4">
                  <c:v>11.41025</c:v>
                </c:pt>
                <c:pt idx="5">
                  <c:v>9.5392499999999991</c:v>
                </c:pt>
                <c:pt idx="6">
                  <c:v>13.57321428</c:v>
                </c:pt>
                <c:pt idx="7">
                  <c:v>14.1890909</c:v>
                </c:pt>
                <c:pt idx="8">
                  <c:v>14.37943181</c:v>
                </c:pt>
                <c:pt idx="9">
                  <c:v>14.81023809</c:v>
                </c:pt>
                <c:pt idx="10">
                  <c:v>9.5353750000000002</c:v>
                </c:pt>
                <c:pt idx="11">
                  <c:v>10.61416666</c:v>
                </c:pt>
                <c:pt idx="12">
                  <c:v>9.57386363</c:v>
                </c:pt>
                <c:pt idx="13">
                  <c:v>10.241931818181818</c:v>
                </c:pt>
                <c:pt idx="14">
                  <c:v>8.3667045454545459</c:v>
                </c:pt>
                <c:pt idx="15">
                  <c:v>8.4302499999999991</c:v>
                </c:pt>
                <c:pt idx="16">
                  <c:v>15.571875</c:v>
                </c:pt>
                <c:pt idx="17" formatCode="_(* #,##0.00_);_(* \(#,##0.00\);_(* &quot;-&quot;??_);_(@_)">
                  <c:v>16.770238095238096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9574-4C14-934A-6926CC2BEE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3370360"/>
        <c:axId val="1813367736"/>
      </c:scatterChart>
      <c:valAx>
        <c:axId val="1813370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U.S. Stocks</a:t>
                </a:r>
                <a:r>
                  <a:rPr lang="en-US" sz="1200" baseline="0">
                    <a:solidFill>
                      <a:sysClr val="windowText" lastClr="000000"/>
                    </a:solidFill>
                  </a:rPr>
                  <a:t>-to-Use</a:t>
                </a:r>
                <a:endParaRPr lang="en-US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13367736"/>
        <c:crosses val="autoZero"/>
        <c:crossBetween val="midCat"/>
      </c:valAx>
      <c:valAx>
        <c:axId val="1813367736"/>
        <c:scaling>
          <c:orientation val="minMax"/>
          <c:min val="4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aseline="0">
                    <a:solidFill>
                      <a:sysClr val="windowText" lastClr="000000"/>
                    </a:solidFill>
                  </a:rPr>
                  <a:t>Dollars per Bushel</a:t>
                </a:r>
                <a:endParaRPr lang="en-US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13370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000">
                <a:solidFill>
                  <a:sysClr val="windowText" lastClr="000000"/>
                </a:solidFill>
              </a:rPr>
              <a:t>SN Average Price in June versus Stocks-to-Use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2703558650084797E-2"/>
          <c:y val="0.10587402231223401"/>
          <c:w val="0.86601356709922583"/>
          <c:h val="0.79398020918719137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rgbClr val="D7BA2F"/>
              </a:solidFill>
              <a:ln w="15875">
                <a:solidFill>
                  <a:srgbClr val="C4722E"/>
                </a:solidFill>
              </a:ln>
              <a:effectLst/>
            </c:spPr>
          </c:marker>
          <c:dLbls>
            <c:dLbl>
              <c:idx val="0"/>
              <c:tx>
                <c:strRef>
                  <c:f>'Balance Sheet Data'!$A$286</c:f>
                  <c:strCache>
                    <c:ptCount val="1"/>
                    <c:pt idx="0">
                      <c:v>04/05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{C432C9FD-AD22-4B54-B2EC-CE4498BDDDAE}</c15:txfldGUID>
                      <c15:f>'Balance Sheet Data'!$A$286</c15:f>
                      <c15:dlblFieldTableCache>
                        <c:ptCount val="1"/>
                        <c:pt idx="0">
                          <c:v>04/05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7ED5-4033-9BCF-91EEE5300F96}"/>
                </c:ext>
              </c:extLst>
            </c:dLbl>
            <c:dLbl>
              <c:idx val="1"/>
              <c:tx>
                <c:strRef>
                  <c:f>'Balance Sheet Data'!$A$287</c:f>
                  <c:strCache>
                    <c:ptCount val="1"/>
                    <c:pt idx="0">
                      <c:v>05/06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{D18F07BE-7811-44A6-AC8C-DAE00B639E92}</c15:txfldGUID>
                      <c15:f>'Balance Sheet Data'!$A$287</c15:f>
                      <c15:dlblFieldTableCache>
                        <c:ptCount val="1"/>
                        <c:pt idx="0">
                          <c:v>05/06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7ED5-4033-9BCF-91EEE5300F96}"/>
                </c:ext>
              </c:extLst>
            </c:dLbl>
            <c:dLbl>
              <c:idx val="2"/>
              <c:tx>
                <c:strRef>
                  <c:f>'Balance Sheet Data'!$A$288</c:f>
                  <c:strCache>
                    <c:ptCount val="1"/>
                    <c:pt idx="0">
                      <c:v>06/07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{F9F3456C-AEB3-4861-9DF1-851936188171}</c15:txfldGUID>
                      <c15:f>'Balance Sheet Data'!$A$288</c15:f>
                      <c15:dlblFieldTableCache>
                        <c:ptCount val="1"/>
                        <c:pt idx="0">
                          <c:v>06/07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7ED5-4033-9BCF-91EEE5300F96}"/>
                </c:ext>
              </c:extLst>
            </c:dLbl>
            <c:dLbl>
              <c:idx val="3"/>
              <c:tx>
                <c:strRef>
                  <c:f>'Balance Sheet Data'!$A$289</c:f>
                  <c:strCache>
                    <c:ptCount val="1"/>
                    <c:pt idx="0">
                      <c:v>07/08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{B41EABA5-5BAF-4BF2-91F5-EABF4E94957A}</c15:txfldGUID>
                      <c15:f>'Balance Sheet Data'!$A$289</c15:f>
                      <c15:dlblFieldTableCache>
                        <c:ptCount val="1"/>
                        <c:pt idx="0">
                          <c:v>07/08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7ED5-4033-9BCF-91EEE5300F96}"/>
                </c:ext>
              </c:extLst>
            </c:dLbl>
            <c:dLbl>
              <c:idx val="4"/>
              <c:tx>
                <c:strRef>
                  <c:f>'Balance Sheet Data'!$A$290</c:f>
                  <c:strCache>
                    <c:ptCount val="1"/>
                    <c:pt idx="0">
                      <c:v>08/09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{C33A259E-1F73-433A-BEC8-036E02C2E2E1}</c15:txfldGUID>
                      <c15:f>'Balance Sheet Data'!$A$290</c15:f>
                      <c15:dlblFieldTableCache>
                        <c:ptCount val="1"/>
                        <c:pt idx="0">
                          <c:v>08/09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7ED5-4033-9BCF-91EEE5300F96}"/>
                </c:ext>
              </c:extLst>
            </c:dLbl>
            <c:dLbl>
              <c:idx val="5"/>
              <c:tx>
                <c:strRef>
                  <c:f>'Balance Sheet Data'!$A$291</c:f>
                  <c:strCache>
                    <c:ptCount val="1"/>
                    <c:pt idx="0">
                      <c:v>09/10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{A3CD8AD9-2CD9-4A3A-A66D-836F360394EB}</c15:txfldGUID>
                      <c15:f>'Balance Sheet Data'!$A$291</c15:f>
                      <c15:dlblFieldTableCache>
                        <c:ptCount val="1"/>
                        <c:pt idx="0">
                          <c:v>09/10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7ED5-4033-9BCF-91EEE5300F96}"/>
                </c:ext>
              </c:extLst>
            </c:dLbl>
            <c:dLbl>
              <c:idx val="6"/>
              <c:tx>
                <c:strRef>
                  <c:f>'Balance Sheet Data'!$A$292</c:f>
                  <c:strCache>
                    <c:ptCount val="1"/>
                    <c:pt idx="0">
                      <c:v>10/11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{78442700-565D-4B7C-AFB4-F39BFFF6A854}</c15:txfldGUID>
                      <c15:f>'Balance Sheet Data'!$A$292</c15:f>
                      <c15:dlblFieldTableCache>
                        <c:ptCount val="1"/>
                        <c:pt idx="0">
                          <c:v>10/11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7ED5-4033-9BCF-91EEE5300F96}"/>
                </c:ext>
              </c:extLst>
            </c:dLbl>
            <c:dLbl>
              <c:idx val="7"/>
              <c:tx>
                <c:strRef>
                  <c:f>'Balance Sheet Data'!$A$293</c:f>
                  <c:strCache>
                    <c:ptCount val="1"/>
                    <c:pt idx="0">
                      <c:v>11/12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{902E8EB5-F458-4125-A5CE-E715EC619414}</c15:txfldGUID>
                      <c15:f>'Balance Sheet Data'!$A$293</c15:f>
                      <c15:dlblFieldTableCache>
                        <c:ptCount val="1"/>
                        <c:pt idx="0">
                          <c:v>11/12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7ED5-4033-9BCF-91EEE5300F96}"/>
                </c:ext>
              </c:extLst>
            </c:dLbl>
            <c:dLbl>
              <c:idx val="8"/>
              <c:tx>
                <c:strRef>
                  <c:f>'Balance Sheet Data'!$A$294</c:f>
                  <c:strCache>
                    <c:ptCount val="1"/>
                    <c:pt idx="0">
                      <c:v>12/13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{E7CFDDD4-648F-4D8C-A06C-CA1D6E11BEAA}</c15:txfldGUID>
                      <c15:f>'Balance Sheet Data'!$A$294</c15:f>
                      <c15:dlblFieldTableCache>
                        <c:ptCount val="1"/>
                        <c:pt idx="0">
                          <c:v>12/13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7ED5-4033-9BCF-91EEE5300F96}"/>
                </c:ext>
              </c:extLst>
            </c:dLbl>
            <c:dLbl>
              <c:idx val="9"/>
              <c:tx>
                <c:strRef>
                  <c:f>'Balance Sheet Data'!$A$295</c:f>
                  <c:strCache>
                    <c:ptCount val="1"/>
                    <c:pt idx="0">
                      <c:v>13/14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{942E1EE9-D222-44E7-B4D5-9C59222224FF}</c15:txfldGUID>
                      <c15:f>'Balance Sheet Data'!$A$295</c15:f>
                      <c15:dlblFieldTableCache>
                        <c:ptCount val="1"/>
                        <c:pt idx="0">
                          <c:v>13/14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7ED5-4033-9BCF-91EEE5300F96}"/>
                </c:ext>
              </c:extLst>
            </c:dLbl>
            <c:dLbl>
              <c:idx val="10"/>
              <c:tx>
                <c:strRef>
                  <c:f>'Balance Sheet Data'!$A$296</c:f>
                  <c:strCache>
                    <c:ptCount val="1"/>
                    <c:pt idx="0">
                      <c:v>14/15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{D4CAB5A4-33D6-4AE9-85A7-37D7A4617F96}</c15:txfldGUID>
                      <c15:f>'Balance Sheet Data'!$A$296</c15:f>
                      <c15:dlblFieldTableCache>
                        <c:ptCount val="1"/>
                        <c:pt idx="0">
                          <c:v>14/15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7ED5-4033-9BCF-91EEE5300F96}"/>
                </c:ext>
              </c:extLst>
            </c:dLbl>
            <c:dLbl>
              <c:idx val="11"/>
              <c:tx>
                <c:strRef>
                  <c:f>'Balance Sheet Data'!$A$297</c:f>
                  <c:strCache>
                    <c:ptCount val="1"/>
                    <c:pt idx="0">
                      <c:v>15/16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{9B8C38CB-343A-4D8E-BA1E-2606B8CBFEFE}</c15:txfldGUID>
                      <c15:f>'Balance Sheet Data'!$A$297</c15:f>
                      <c15:dlblFieldTableCache>
                        <c:ptCount val="1"/>
                        <c:pt idx="0">
                          <c:v>15/16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7ED5-4033-9BCF-91EEE5300F96}"/>
                </c:ext>
              </c:extLst>
            </c:dLbl>
            <c:dLbl>
              <c:idx val="12"/>
              <c:tx>
                <c:strRef>
                  <c:f>'Balance Sheet Data'!$A$298</c:f>
                  <c:strCache>
                    <c:ptCount val="1"/>
                    <c:pt idx="0">
                      <c:v>16/17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{57567D69-2B7F-4459-9D3B-AEA839BD1C1E}</c15:txfldGUID>
                      <c15:f>'Balance Sheet Data'!$A$298</c15:f>
                      <c15:dlblFieldTableCache>
                        <c:ptCount val="1"/>
                        <c:pt idx="0">
                          <c:v>16/17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7ED5-4033-9BCF-91EEE5300F96}"/>
                </c:ext>
              </c:extLst>
            </c:dLbl>
            <c:dLbl>
              <c:idx val="13"/>
              <c:tx>
                <c:strRef>
                  <c:f>'Balance Sheet Data'!$A$299</c:f>
                  <c:strCache>
                    <c:ptCount val="1"/>
                    <c:pt idx="0">
                      <c:v>17/18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{4DCFA14F-C71F-4A80-9435-6961C5E1F2FE}</c15:txfldGUID>
                      <c15:f>'Balance Sheet Data'!$A$299</c15:f>
                      <c15:dlblFieldTableCache>
                        <c:ptCount val="1"/>
                        <c:pt idx="0">
                          <c:v>17/18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7ED5-4033-9BCF-91EEE5300F96}"/>
                </c:ext>
              </c:extLst>
            </c:dLbl>
            <c:dLbl>
              <c:idx val="14"/>
              <c:tx>
                <c:strRef>
                  <c:f>'Balance Sheet Data'!$A$300</c:f>
                  <c:strCache>
                    <c:ptCount val="1"/>
                    <c:pt idx="0">
                      <c:v>18/19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{D814AD38-C3B9-4E49-98A7-AC0A69E17489}</c15:txfldGUID>
                      <c15:f>'Balance Sheet Data'!$A$300</c15:f>
                      <c15:dlblFieldTableCache>
                        <c:ptCount val="1"/>
                        <c:pt idx="0">
                          <c:v>18/19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7ED5-4033-9BCF-91EEE5300F96}"/>
                </c:ext>
              </c:extLst>
            </c:dLbl>
            <c:dLbl>
              <c:idx val="15"/>
              <c:tx>
                <c:strRef>
                  <c:f>'Balance Sheet Data'!$A$301</c:f>
                  <c:strCache>
                    <c:ptCount val="1"/>
                    <c:pt idx="0">
                      <c:v>19/20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{A074CFC6-4F76-4FD9-B3DF-419CC2D59E7D}</c15:txfldGUID>
                      <c15:f>'Balance Sheet Data'!$A$301</c15:f>
                      <c15:dlblFieldTableCache>
                        <c:ptCount val="1"/>
                        <c:pt idx="0">
                          <c:v>19/20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7ED5-4033-9BCF-91EEE5300F96}"/>
                </c:ext>
              </c:extLst>
            </c:dLbl>
            <c:dLbl>
              <c:idx val="16"/>
              <c:tx>
                <c:strRef>
                  <c:f>'Balance Sheet Data'!$A$302</c:f>
                  <c:strCache>
                    <c:ptCount val="1"/>
                    <c:pt idx="0">
                      <c:v>20/21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C4722E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{50EACB9A-E082-486E-B81A-C0D7D6FD4F9B}</c15:txfldGUID>
                      <c15:f>'Balance Sheet Data'!$A$302</c15:f>
                      <c15:dlblFieldTableCache>
                        <c:ptCount val="1"/>
                        <c:pt idx="0">
                          <c:v>20/21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7ED5-4033-9BCF-91EEE5300F96}"/>
                </c:ext>
              </c:extLst>
            </c:dLbl>
            <c:dLbl>
              <c:idx val="17"/>
              <c:tx>
                <c:strRef>
                  <c:f>'Balance Sheet Data'!$A$303</c:f>
                  <c:strCache>
                    <c:ptCount val="1"/>
                    <c:pt idx="0">
                      <c:v>21/22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C4722E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{4196D13D-ABE5-4099-A895-B18343A01838}</c15:txfldGUID>
                      <c15:f>'Balance Sheet Data'!$A$303</c15:f>
                      <c15:dlblFieldTableCache>
                        <c:ptCount val="1"/>
                        <c:pt idx="0">
                          <c:v>21/22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7ED5-4033-9BCF-91EEE5300F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8575" cap="rnd">
                <a:solidFill>
                  <a:srgbClr val="C4722E"/>
                </a:solidFill>
                <a:prstDash val="solid"/>
              </a:ln>
              <a:effectLst/>
            </c:spPr>
            <c:trendlineType val="power"/>
            <c:dispRSqr val="0"/>
            <c:dispEq val="0"/>
          </c:trendline>
          <c:errBars>
            <c:errDir val="y"/>
            <c:errBarType val="both"/>
            <c:errValType val="cust"/>
            <c:noEndCap val="0"/>
            <c:plus>
              <c:numRef>
                <c:f>'Futures Averages'!$P$796:$P$813</c:f>
                <c:numCache>
                  <c:formatCode>General</c:formatCode>
                  <c:ptCount val="18"/>
                  <c:pt idx="0">
                    <c:v>0.64204546000000029</c:v>
                  </c:pt>
                  <c:pt idx="1">
                    <c:v>0.21772728000000008</c:v>
                  </c:pt>
                  <c:pt idx="2">
                    <c:v>0.54333334000000022</c:v>
                  </c:pt>
                  <c:pt idx="3">
                    <c:v>1.0366666700000007</c:v>
                  </c:pt>
                  <c:pt idx="4">
                    <c:v>0.79863636999999876</c:v>
                  </c:pt>
                  <c:pt idx="5">
                    <c:v>0.24500000000000099</c:v>
                  </c:pt>
                  <c:pt idx="6">
                    <c:v>0.59340910000000058</c:v>
                  </c:pt>
                  <c:pt idx="7">
                    <c:v>0.96202380999999981</c:v>
                  </c:pt>
                  <c:pt idx="8">
                    <c:v>0.5</c:v>
                  </c:pt>
                  <c:pt idx="9">
                    <c:v>0.74761904999999906</c:v>
                  </c:pt>
                  <c:pt idx="10">
                    <c:v>0.93579545999999958</c:v>
                  </c:pt>
                  <c:pt idx="11">
                    <c:v>0.62102272999999997</c:v>
                  </c:pt>
                  <c:pt idx="12">
                    <c:v>0.22909091000000004</c:v>
                  </c:pt>
                  <c:pt idx="13">
                    <c:v>1.0128571428571433</c:v>
                  </c:pt>
                  <c:pt idx="14">
                    <c:v>0.32600000000000051</c:v>
                  </c:pt>
                  <c:pt idx="15">
                    <c:v>0.14107142857142918</c:v>
                  </c:pt>
                  <c:pt idx="16">
                    <c:v>1.6046428571428564</c:v>
                  </c:pt>
                  <c:pt idx="17">
                    <c:v>0.91273246771428873</c:v>
                  </c:pt>
                </c:numCache>
              </c:numRef>
            </c:plus>
            <c:minus>
              <c:numRef>
                <c:f>'Futures Averages'!$P$855:$P$872</c:f>
                <c:numCache>
                  <c:formatCode>General</c:formatCode>
                  <c:ptCount val="18"/>
                  <c:pt idx="0">
                    <c:v>0.46295454000000014</c:v>
                  </c:pt>
                  <c:pt idx="1">
                    <c:v>0.22727272000000021</c:v>
                  </c:pt>
                  <c:pt idx="2">
                    <c:v>0.3241666599999995</c:v>
                  </c:pt>
                  <c:pt idx="3">
                    <c:v>1.570833330000001</c:v>
                  </c:pt>
                  <c:pt idx="4">
                    <c:v>0.6088636300000001</c:v>
                  </c:pt>
                  <c:pt idx="5">
                    <c:v>0.22499999999999964</c:v>
                  </c:pt>
                  <c:pt idx="6">
                    <c:v>0.70159089999999935</c:v>
                  </c:pt>
                  <c:pt idx="7">
                    <c:v>1.0404761899999997</c:v>
                  </c:pt>
                  <c:pt idx="8">
                    <c:v>0.38999999999999879</c:v>
                  </c:pt>
                  <c:pt idx="9">
                    <c:v>0.6423809500000015</c:v>
                  </c:pt>
                  <c:pt idx="10">
                    <c:v>0.44170453999999992</c:v>
                  </c:pt>
                  <c:pt idx="11">
                    <c:v>0.78397727000000117</c:v>
                  </c:pt>
                  <c:pt idx="12">
                    <c:v>0.24340909000000011</c:v>
                  </c:pt>
                  <c:pt idx="13">
                    <c:v>0.83714285714285808</c:v>
                  </c:pt>
                  <c:pt idx="14">
                    <c:v>0.40649999999999942</c:v>
                  </c:pt>
                  <c:pt idx="15">
                    <c:v>0.32392857142857068</c:v>
                  </c:pt>
                  <c:pt idx="16">
                    <c:v>1.3953571428571436</c:v>
                  </c:pt>
                  <c:pt idx="17">
                    <c:v>0.89126753228571332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'Balance Sheet Data'!$O$286:$O$303</c:f>
              <c:numCache>
                <c:formatCode>0.0%</c:formatCode>
                <c:ptCount val="18"/>
                <c:pt idx="0">
                  <c:v>0.10891763104152484</c:v>
                </c:pt>
                <c:pt idx="1">
                  <c:v>0.20525747209218581</c:v>
                </c:pt>
                <c:pt idx="2">
                  <c:v>0.20118733509234829</c:v>
                </c:pt>
                <c:pt idx="3">
                  <c:v>4.1064388961892247E-2</c:v>
                </c:pt>
                <c:pt idx="4">
                  <c:v>3.587736464448793E-2</c:v>
                </c:pt>
                <c:pt idx="5">
                  <c:v>5.5588942307692304E-2</c:v>
                </c:pt>
                <c:pt idx="6">
                  <c:v>5.4298642533936653E-2</c:v>
                </c:pt>
                <c:pt idx="7">
                  <c:v>5.6252009000321443E-2</c:v>
                </c:pt>
                <c:pt idx="8">
                  <c:v>4.0518638573743923E-2</c:v>
                </c:pt>
                <c:pt idx="9">
                  <c:v>3.6818851251840944E-2</c:v>
                </c:pt>
                <c:pt idx="10">
                  <c:v>8.7742621643180002E-2</c:v>
                </c:pt>
                <c:pt idx="11">
                  <c:v>9.2592592592592587E-2</c:v>
                </c:pt>
                <c:pt idx="12">
                  <c:v>0.11034820990681707</c:v>
                </c:pt>
                <c:pt idx="13">
                  <c:v>0.11986707809162117</c:v>
                </c:pt>
                <c:pt idx="14">
                  <c:v>0.27233392720794097</c:v>
                </c:pt>
                <c:pt idx="15">
                  <c:v>0.15034695451040864</c:v>
                </c:pt>
                <c:pt idx="16">
                  <c:v>5.705916963488384E-2</c:v>
                </c:pt>
                <c:pt idx="17">
                  <c:v>6.1473897503912078E-2</c:v>
                </c:pt>
              </c:numCache>
            </c:numRef>
          </c:xVal>
          <c:yVal>
            <c:numRef>
              <c:f>'Futures Averages'!$L$737:$L$754</c:f>
              <c:numCache>
                <c:formatCode>#,##0.00_);[Red]\(#,##0.00\)</c:formatCode>
                <c:ptCount val="18"/>
                <c:pt idx="0">
                  <c:v>6.9329545399999999</c:v>
                </c:pt>
                <c:pt idx="1">
                  <c:v>5.8922727200000002</c:v>
                </c:pt>
                <c:pt idx="2">
                  <c:v>8.2416666599999999</c:v>
                </c:pt>
                <c:pt idx="3">
                  <c:v>15.035833330000001</c:v>
                </c:pt>
                <c:pt idx="4">
                  <c:v>12.113863630000001</c:v>
                </c:pt>
                <c:pt idx="5">
                  <c:v>9.4849999999999994</c:v>
                </c:pt>
                <c:pt idx="6">
                  <c:v>13.6015909</c:v>
                </c:pt>
                <c:pt idx="7">
                  <c:v>14.21547619</c:v>
                </c:pt>
                <c:pt idx="8">
                  <c:v>15.244999999999999</c:v>
                </c:pt>
                <c:pt idx="9">
                  <c:v>14.369880950000001</c:v>
                </c:pt>
                <c:pt idx="10">
                  <c:v>9.6567045399999998</c:v>
                </c:pt>
                <c:pt idx="11">
                  <c:v>11.463977270000001</c:v>
                </c:pt>
                <c:pt idx="12">
                  <c:v>9.2459090899999996</c:v>
                </c:pt>
                <c:pt idx="13">
                  <c:v>9.2521428571428572</c:v>
                </c:pt>
                <c:pt idx="14">
                  <c:v>8.8889999999999993</c:v>
                </c:pt>
                <c:pt idx="15">
                  <c:v>8.6639285714285705</c:v>
                </c:pt>
                <c:pt idx="16">
                  <c:v>14.630357142857143</c:v>
                </c:pt>
                <c:pt idx="17" formatCode="_(* #,##0.00_);_(* \(#,##0.00\);_(* &quot;-&quot;??_);_(@_)">
                  <c:v>16.900833333333331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ED5-4033-9BCF-91EEE5300F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3370360"/>
        <c:axId val="1813367736"/>
      </c:scatterChart>
      <c:valAx>
        <c:axId val="1813370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U.S. Stocks</a:t>
                </a:r>
                <a:r>
                  <a:rPr lang="en-US" sz="1200" baseline="0">
                    <a:solidFill>
                      <a:sysClr val="windowText" lastClr="000000"/>
                    </a:solidFill>
                  </a:rPr>
                  <a:t>-to-Use</a:t>
                </a:r>
                <a:endParaRPr lang="en-US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13367736"/>
        <c:crosses val="autoZero"/>
        <c:crossBetween val="midCat"/>
      </c:valAx>
      <c:valAx>
        <c:axId val="1813367736"/>
        <c:scaling>
          <c:orientation val="minMax"/>
          <c:min val="4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aseline="0">
                    <a:solidFill>
                      <a:sysClr val="windowText" lastClr="000000"/>
                    </a:solidFill>
                  </a:rPr>
                  <a:t>Dollars per Bushel</a:t>
                </a:r>
                <a:endParaRPr lang="en-US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13370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000">
                <a:solidFill>
                  <a:sysClr val="windowText" lastClr="000000"/>
                </a:solidFill>
              </a:rPr>
              <a:t>SQ Average Price in July versus Stocks-to-Use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2703558650084797E-2"/>
          <c:y val="0.10587402231223401"/>
          <c:w val="0.86601356709922583"/>
          <c:h val="0.79398020918719137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rgbClr val="AE78D6"/>
              </a:solidFill>
              <a:ln w="15875">
                <a:solidFill>
                  <a:srgbClr val="6F0791"/>
                </a:solidFill>
              </a:ln>
              <a:effectLst/>
            </c:spPr>
          </c:marker>
          <c:dLbls>
            <c:dLbl>
              <c:idx val="0"/>
              <c:tx>
                <c:strRef>
                  <c:f>'Balance Sheet Data'!$A$286</c:f>
                  <c:strCache>
                    <c:ptCount val="1"/>
                    <c:pt idx="0">
                      <c:v>04/05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{70F8E74F-AE45-41F3-B682-74BC9B285FE4}</c15:txfldGUID>
                      <c15:f>'Balance Sheet Data'!$A$286</c15:f>
                      <c15:dlblFieldTableCache>
                        <c:ptCount val="1"/>
                        <c:pt idx="0">
                          <c:v>04/05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251C-4283-B134-7D44C9CB7160}"/>
                </c:ext>
              </c:extLst>
            </c:dLbl>
            <c:dLbl>
              <c:idx val="1"/>
              <c:tx>
                <c:strRef>
                  <c:f>'Balance Sheet Data'!$A$287</c:f>
                  <c:strCache>
                    <c:ptCount val="1"/>
                    <c:pt idx="0">
                      <c:v>05/06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{FD582731-69AB-4F9D-8BCE-FF4B9A55E51E}</c15:txfldGUID>
                      <c15:f>'Balance Sheet Data'!$A$287</c15:f>
                      <c15:dlblFieldTableCache>
                        <c:ptCount val="1"/>
                        <c:pt idx="0">
                          <c:v>05/06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251C-4283-B134-7D44C9CB7160}"/>
                </c:ext>
              </c:extLst>
            </c:dLbl>
            <c:dLbl>
              <c:idx val="2"/>
              <c:tx>
                <c:strRef>
                  <c:f>'Balance Sheet Data'!$A$288</c:f>
                  <c:strCache>
                    <c:ptCount val="1"/>
                    <c:pt idx="0">
                      <c:v>06/07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{DCF446D4-28CF-4AAE-85EE-D05BB55DC0C9}</c15:txfldGUID>
                      <c15:f>'Balance Sheet Data'!$A$288</c15:f>
                      <c15:dlblFieldTableCache>
                        <c:ptCount val="1"/>
                        <c:pt idx="0">
                          <c:v>06/07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251C-4283-B134-7D44C9CB7160}"/>
                </c:ext>
              </c:extLst>
            </c:dLbl>
            <c:dLbl>
              <c:idx val="3"/>
              <c:tx>
                <c:strRef>
                  <c:f>'Balance Sheet Data'!$A$289</c:f>
                  <c:strCache>
                    <c:ptCount val="1"/>
                    <c:pt idx="0">
                      <c:v>07/08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{A39B7610-21FC-41AB-BC69-09FDF36531B8}</c15:txfldGUID>
                      <c15:f>'Balance Sheet Data'!$A$289</c15:f>
                      <c15:dlblFieldTableCache>
                        <c:ptCount val="1"/>
                        <c:pt idx="0">
                          <c:v>07/08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251C-4283-B134-7D44C9CB7160}"/>
                </c:ext>
              </c:extLst>
            </c:dLbl>
            <c:dLbl>
              <c:idx val="4"/>
              <c:tx>
                <c:strRef>
                  <c:f>'Balance Sheet Data'!$A$290</c:f>
                  <c:strCache>
                    <c:ptCount val="1"/>
                    <c:pt idx="0">
                      <c:v>08/09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{2AF93C67-A1C6-49C5-8EF1-35CC51837F9C}</c15:txfldGUID>
                      <c15:f>'Balance Sheet Data'!$A$290</c15:f>
                      <c15:dlblFieldTableCache>
                        <c:ptCount val="1"/>
                        <c:pt idx="0">
                          <c:v>08/09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251C-4283-B134-7D44C9CB7160}"/>
                </c:ext>
              </c:extLst>
            </c:dLbl>
            <c:dLbl>
              <c:idx val="5"/>
              <c:tx>
                <c:strRef>
                  <c:f>'Balance Sheet Data'!$A$291</c:f>
                  <c:strCache>
                    <c:ptCount val="1"/>
                    <c:pt idx="0">
                      <c:v>09/10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{D76D3FD9-69D0-4FAF-B9BA-5AA0FF49749B}</c15:txfldGUID>
                      <c15:f>'Balance Sheet Data'!$A$291</c15:f>
                      <c15:dlblFieldTableCache>
                        <c:ptCount val="1"/>
                        <c:pt idx="0">
                          <c:v>09/10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251C-4283-B134-7D44C9CB7160}"/>
                </c:ext>
              </c:extLst>
            </c:dLbl>
            <c:dLbl>
              <c:idx val="6"/>
              <c:tx>
                <c:strRef>
                  <c:f>'Balance Sheet Data'!$A$292</c:f>
                  <c:strCache>
                    <c:ptCount val="1"/>
                    <c:pt idx="0">
                      <c:v>10/11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{28B8BDBD-9757-4E92-9CEC-A361C9EB85CF}</c15:txfldGUID>
                      <c15:f>'Balance Sheet Data'!$A$292</c15:f>
                      <c15:dlblFieldTableCache>
                        <c:ptCount val="1"/>
                        <c:pt idx="0">
                          <c:v>10/11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251C-4283-B134-7D44C9CB7160}"/>
                </c:ext>
              </c:extLst>
            </c:dLbl>
            <c:dLbl>
              <c:idx val="7"/>
              <c:tx>
                <c:strRef>
                  <c:f>'Balance Sheet Data'!$A$293</c:f>
                  <c:strCache>
                    <c:ptCount val="1"/>
                    <c:pt idx="0">
                      <c:v>11/12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{623123E6-8407-42B1-8484-91C555244AB9}</c15:txfldGUID>
                      <c15:f>'Balance Sheet Data'!$A$293</c15:f>
                      <c15:dlblFieldTableCache>
                        <c:ptCount val="1"/>
                        <c:pt idx="0">
                          <c:v>11/12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251C-4283-B134-7D44C9CB7160}"/>
                </c:ext>
              </c:extLst>
            </c:dLbl>
            <c:dLbl>
              <c:idx val="8"/>
              <c:tx>
                <c:strRef>
                  <c:f>'Balance Sheet Data'!$A$294</c:f>
                  <c:strCache>
                    <c:ptCount val="1"/>
                    <c:pt idx="0">
                      <c:v>12/13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{906DB6E8-FAF8-4EDB-9461-75272250947D}</c15:txfldGUID>
                      <c15:f>'Balance Sheet Data'!$A$294</c15:f>
                      <c15:dlblFieldTableCache>
                        <c:ptCount val="1"/>
                        <c:pt idx="0">
                          <c:v>12/13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251C-4283-B134-7D44C9CB7160}"/>
                </c:ext>
              </c:extLst>
            </c:dLbl>
            <c:dLbl>
              <c:idx val="9"/>
              <c:tx>
                <c:strRef>
                  <c:f>'Balance Sheet Data'!$A$295</c:f>
                  <c:strCache>
                    <c:ptCount val="1"/>
                    <c:pt idx="0">
                      <c:v>13/14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{E18036DA-0133-499A-8ADE-493B32B491BB}</c15:txfldGUID>
                      <c15:f>'Balance Sheet Data'!$A$295</c15:f>
                      <c15:dlblFieldTableCache>
                        <c:ptCount val="1"/>
                        <c:pt idx="0">
                          <c:v>13/14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251C-4283-B134-7D44C9CB7160}"/>
                </c:ext>
              </c:extLst>
            </c:dLbl>
            <c:dLbl>
              <c:idx val="10"/>
              <c:tx>
                <c:strRef>
                  <c:f>'Balance Sheet Data'!$A$296</c:f>
                  <c:strCache>
                    <c:ptCount val="1"/>
                    <c:pt idx="0">
                      <c:v>14/15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{52E40DC6-24BF-48DC-884D-40A910A595BE}</c15:txfldGUID>
                      <c15:f>'Balance Sheet Data'!$A$296</c15:f>
                      <c15:dlblFieldTableCache>
                        <c:ptCount val="1"/>
                        <c:pt idx="0">
                          <c:v>14/15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251C-4283-B134-7D44C9CB7160}"/>
                </c:ext>
              </c:extLst>
            </c:dLbl>
            <c:dLbl>
              <c:idx val="11"/>
              <c:tx>
                <c:strRef>
                  <c:f>'Balance Sheet Data'!$A$297</c:f>
                  <c:strCache>
                    <c:ptCount val="1"/>
                    <c:pt idx="0">
                      <c:v>15/16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{A57CC921-F877-4A6E-A309-E5252A5EA32B}</c15:txfldGUID>
                      <c15:f>'Balance Sheet Data'!$A$297</c15:f>
                      <c15:dlblFieldTableCache>
                        <c:ptCount val="1"/>
                        <c:pt idx="0">
                          <c:v>15/16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251C-4283-B134-7D44C9CB7160}"/>
                </c:ext>
              </c:extLst>
            </c:dLbl>
            <c:dLbl>
              <c:idx val="12"/>
              <c:tx>
                <c:strRef>
                  <c:f>'Balance Sheet Data'!$A$298</c:f>
                  <c:strCache>
                    <c:ptCount val="1"/>
                    <c:pt idx="0">
                      <c:v>16/17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{0E1D7B7D-3F0D-4FCF-9871-32643428E603}</c15:txfldGUID>
                      <c15:f>'Balance Sheet Data'!$A$298</c15:f>
                      <c15:dlblFieldTableCache>
                        <c:ptCount val="1"/>
                        <c:pt idx="0">
                          <c:v>16/17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251C-4283-B134-7D44C9CB7160}"/>
                </c:ext>
              </c:extLst>
            </c:dLbl>
            <c:dLbl>
              <c:idx val="13"/>
              <c:tx>
                <c:strRef>
                  <c:f>'Balance Sheet Data'!$A$299</c:f>
                  <c:strCache>
                    <c:ptCount val="1"/>
                    <c:pt idx="0">
                      <c:v>17/18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{20B084D1-F963-463A-B258-5E47BDCAF13B}</c15:txfldGUID>
                      <c15:f>'Balance Sheet Data'!$A$299</c15:f>
                      <c15:dlblFieldTableCache>
                        <c:ptCount val="1"/>
                        <c:pt idx="0">
                          <c:v>17/18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251C-4283-B134-7D44C9CB7160}"/>
                </c:ext>
              </c:extLst>
            </c:dLbl>
            <c:dLbl>
              <c:idx val="14"/>
              <c:tx>
                <c:strRef>
                  <c:f>'Balance Sheet Data'!$A$300</c:f>
                  <c:strCache>
                    <c:ptCount val="1"/>
                    <c:pt idx="0">
                      <c:v>18/19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{CCD54527-A530-4CC2-AFFE-90C07E68882A}</c15:txfldGUID>
                      <c15:f>'Balance Sheet Data'!$A$300</c15:f>
                      <c15:dlblFieldTableCache>
                        <c:ptCount val="1"/>
                        <c:pt idx="0">
                          <c:v>18/19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251C-4283-B134-7D44C9CB7160}"/>
                </c:ext>
              </c:extLst>
            </c:dLbl>
            <c:dLbl>
              <c:idx val="15"/>
              <c:tx>
                <c:strRef>
                  <c:f>'Balance Sheet Data'!$A$301</c:f>
                  <c:strCache>
                    <c:ptCount val="1"/>
                    <c:pt idx="0">
                      <c:v>19/20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{6D59BF4E-0C36-4E48-AF45-E6EF465032AE}</c15:txfldGUID>
                      <c15:f>'Balance Sheet Data'!$A$301</c15:f>
                      <c15:dlblFieldTableCache>
                        <c:ptCount val="1"/>
                        <c:pt idx="0">
                          <c:v>19/20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251C-4283-B134-7D44C9CB7160}"/>
                </c:ext>
              </c:extLst>
            </c:dLbl>
            <c:dLbl>
              <c:idx val="16"/>
              <c:tx>
                <c:strRef>
                  <c:f>'Balance Sheet Data'!$A$302</c:f>
                  <c:strCache>
                    <c:ptCount val="1"/>
                    <c:pt idx="0">
                      <c:v>20/21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6F079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{FE7BB351-DD6D-44A1-A28D-BD8AFC06A846}</c15:txfldGUID>
                      <c15:f>'Balance Sheet Data'!$A$302</c15:f>
                      <c15:dlblFieldTableCache>
                        <c:ptCount val="1"/>
                        <c:pt idx="0">
                          <c:v>20/21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251C-4283-B134-7D44C9CB7160}"/>
                </c:ext>
              </c:extLst>
            </c:dLbl>
            <c:dLbl>
              <c:idx val="17"/>
              <c:tx>
                <c:strRef>
                  <c:f>'Balance Sheet Data'!$A$303</c:f>
                  <c:strCache>
                    <c:ptCount val="1"/>
                    <c:pt idx="0">
                      <c:v>21/22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6F079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{5140D893-2C49-4EF6-866A-7FA98EABE019}</c15:txfldGUID>
                      <c15:f>'Balance Sheet Data'!$A$303</c15:f>
                      <c15:dlblFieldTableCache>
                        <c:ptCount val="1"/>
                        <c:pt idx="0">
                          <c:v>21/22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251C-4283-B134-7D44C9CB71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>
                        <a:lumMod val="6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8575" cap="rnd">
                <a:solidFill>
                  <a:srgbClr val="6F0791"/>
                </a:solidFill>
                <a:prstDash val="solid"/>
              </a:ln>
              <a:effectLst/>
            </c:spPr>
            <c:trendlineType val="power"/>
            <c:dispRSqr val="0"/>
            <c:dispEq val="0"/>
          </c:trendline>
          <c:errBars>
            <c:errDir val="y"/>
            <c:errBarType val="both"/>
            <c:errValType val="cust"/>
            <c:noEndCap val="0"/>
            <c:plus>
              <c:numRef>
                <c:f>'Futures Averages'!$O$973:$O$990</c:f>
                <c:numCache>
                  <c:formatCode>General</c:formatCode>
                  <c:ptCount val="18"/>
                  <c:pt idx="0">
                    <c:v>0.49650000000000016</c:v>
                  </c:pt>
                  <c:pt idx="1">
                    <c:v>0.25825000000000031</c:v>
                  </c:pt>
                  <c:pt idx="2">
                    <c:v>0.67500000000000071</c:v>
                  </c:pt>
                  <c:pt idx="3">
                    <c:v>1.4972727299999988</c:v>
                  </c:pt>
                  <c:pt idx="4">
                    <c:v>1.1832954600000001</c:v>
                  </c:pt>
                  <c:pt idx="5">
                    <c:v>0.57190476999999973</c:v>
                  </c:pt>
                  <c:pt idx="6">
                    <c:v>0.46049999999999969</c:v>
                  </c:pt>
                  <c:pt idx="7">
                    <c:v>1.403095239999999</c:v>
                  </c:pt>
                  <c:pt idx="8">
                    <c:v>0.91215909999999845</c:v>
                  </c:pt>
                  <c:pt idx="9">
                    <c:v>1.1028409099999994</c:v>
                  </c:pt>
                  <c:pt idx="10">
                    <c:v>0.4490909099999989</c:v>
                  </c:pt>
                  <c:pt idx="11">
                    <c:v>1.1951250000000009</c:v>
                  </c:pt>
                  <c:pt idx="12">
                    <c:v>0.35899999999999821</c:v>
                  </c:pt>
                  <c:pt idx="13">
                    <c:v>0.53654761904761905</c:v>
                  </c:pt>
                  <c:pt idx="14">
                    <c:v>0.30681818181818166</c:v>
                  </c:pt>
                  <c:pt idx="15">
                    <c:v>0.15702380952380857</c:v>
                  </c:pt>
                  <c:pt idx="16">
                    <c:v>0.51090292207792309</c:v>
                  </c:pt>
                  <c:pt idx="17">
                    <c:v>1.1240585064935082</c:v>
                  </c:pt>
                </c:numCache>
              </c:numRef>
            </c:plus>
            <c:minus>
              <c:numRef>
                <c:f>'Futures Averages'!$O$1032:$O$1049</c:f>
                <c:numCache>
                  <c:formatCode>General</c:formatCode>
                  <c:ptCount val="18"/>
                  <c:pt idx="0">
                    <c:v>0.32350000000000012</c:v>
                  </c:pt>
                  <c:pt idx="1">
                    <c:v>0.22175000000000011</c:v>
                  </c:pt>
                  <c:pt idx="2">
                    <c:v>0.46749999999999936</c:v>
                  </c:pt>
                  <c:pt idx="3">
                    <c:v>1.5002272699999999</c:v>
                  </c:pt>
                  <c:pt idx="4">
                    <c:v>0.82420454000000021</c:v>
                  </c:pt>
                  <c:pt idx="5">
                    <c:v>0.71309523000000041</c:v>
                  </c:pt>
                  <c:pt idx="6">
                    <c:v>0.62450000000000117</c:v>
                  </c:pt>
                  <c:pt idx="7">
                    <c:v>1.5244047600000012</c:v>
                  </c:pt>
                  <c:pt idx="8">
                    <c:v>1.0628409000000012</c:v>
                  </c:pt>
                  <c:pt idx="9">
                    <c:v>0.71465908999999961</c:v>
                  </c:pt>
                  <c:pt idx="10">
                    <c:v>0.50090909000000039</c:v>
                  </c:pt>
                  <c:pt idx="11">
                    <c:v>0.78487499999999955</c:v>
                  </c:pt>
                  <c:pt idx="12">
                    <c:v>0.41600000000000037</c:v>
                  </c:pt>
                  <c:pt idx="13">
                    <c:v>0.41845238095238102</c:v>
                  </c:pt>
                  <c:pt idx="14">
                    <c:v>0.24568181818181856</c:v>
                  </c:pt>
                  <c:pt idx="15">
                    <c:v>0.23797619047619101</c:v>
                  </c:pt>
                  <c:pt idx="16">
                    <c:v>0.42059707792207846</c:v>
                  </c:pt>
                  <c:pt idx="17">
                    <c:v>1.0977414935064935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'Balance Sheet Data'!$P$286:$P$303</c:f>
              <c:numCache>
                <c:formatCode>0.0%</c:formatCode>
                <c:ptCount val="18"/>
                <c:pt idx="0">
                  <c:v>9.7675985180195352E-2</c:v>
                </c:pt>
                <c:pt idx="1">
                  <c:v>0.19450392576730907</c:v>
                </c:pt>
                <c:pt idx="2">
                  <c:v>0.19730351857941467</c:v>
                </c:pt>
                <c:pt idx="3">
                  <c:v>4.1064388961892247E-2</c:v>
                </c:pt>
                <c:pt idx="4">
                  <c:v>3.5830618892508145E-2</c:v>
                </c:pt>
                <c:pt idx="5">
                  <c:v>5.2426602756141402E-2</c:v>
                </c:pt>
                <c:pt idx="6">
                  <c:v>6.0698027314112293E-2</c:v>
                </c:pt>
                <c:pt idx="7">
                  <c:v>5.4557124518613609E-2</c:v>
                </c:pt>
                <c:pt idx="8">
                  <c:v>4.0518638573743923E-2</c:v>
                </c:pt>
                <c:pt idx="9">
                  <c:v>4.1493775933609957E-2</c:v>
                </c:pt>
                <c:pt idx="10">
                  <c:v>6.6475495307612098E-2</c:v>
                </c:pt>
                <c:pt idx="11">
                  <c:v>9.752240379546652E-2</c:v>
                </c:pt>
                <c:pt idx="12">
                  <c:v>9.9562894609033517E-2</c:v>
                </c:pt>
                <c:pt idx="13">
                  <c:v>0.10938602681721948</c:v>
                </c:pt>
                <c:pt idx="14">
                  <c:v>0.26589009875917952</c:v>
                </c:pt>
                <c:pt idx="15">
                  <c:v>0.16074669432201191</c:v>
                </c:pt>
                <c:pt idx="16">
                  <c:v>5.705916963488384E-2</c:v>
                </c:pt>
                <c:pt idx="17">
                  <c:v>6.1473897503912078E-2</c:v>
                </c:pt>
              </c:numCache>
            </c:numRef>
          </c:xVal>
          <c:yVal>
            <c:numRef>
              <c:f>'Futures Averages'!$L$914:$L$931</c:f>
              <c:numCache>
                <c:formatCode>#,##0.00_);[Red]\(#,##0.00\)</c:formatCode>
                <c:ptCount val="18"/>
                <c:pt idx="0">
                  <c:v>6.9035000000000002</c:v>
                </c:pt>
                <c:pt idx="1">
                  <c:v>5.9317500000000001</c:v>
                </c:pt>
                <c:pt idx="2">
                  <c:v>8.5549999999999997</c:v>
                </c:pt>
                <c:pt idx="3">
                  <c:v>15.04272727</c:v>
                </c:pt>
                <c:pt idx="4">
                  <c:v>10.526704540000001</c:v>
                </c:pt>
                <c:pt idx="5">
                  <c:v>9.9755952299999997</c:v>
                </c:pt>
                <c:pt idx="6">
                  <c:v>13.6195</c:v>
                </c:pt>
                <c:pt idx="7">
                  <c:v>16.374404760000001</c:v>
                </c:pt>
                <c:pt idx="8">
                  <c:v>14.350340900000001</c:v>
                </c:pt>
                <c:pt idx="9">
                  <c:v>12.24715909</c:v>
                </c:pt>
                <c:pt idx="10">
                  <c:v>10.098409090000001</c:v>
                </c:pt>
                <c:pt idx="11">
                  <c:v>10.589874999999999</c:v>
                </c:pt>
                <c:pt idx="12">
                  <c:v>9.9660000000000011</c:v>
                </c:pt>
                <c:pt idx="13">
                  <c:v>8.5234523809523814</c:v>
                </c:pt>
                <c:pt idx="14">
                  <c:v>8.8731818181818181</c:v>
                </c:pt>
                <c:pt idx="15">
                  <c:v>8.9429761904761911</c:v>
                </c:pt>
                <c:pt idx="16">
                  <c:v>14.249285714285714</c:v>
                </c:pt>
                <c:pt idx="17" formatCode="_(* #,##0.00_);_(* \(#,##0.00\);_(* &quot;-&quot;??_);_(@_)">
                  <c:v>15.504124999999998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51C-4283-B134-7D44C9CB71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3370360"/>
        <c:axId val="1813367736"/>
      </c:scatterChart>
      <c:valAx>
        <c:axId val="1813370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U.S. Stocks</a:t>
                </a:r>
                <a:r>
                  <a:rPr lang="en-US" sz="1200" baseline="0">
                    <a:solidFill>
                      <a:sysClr val="windowText" lastClr="000000"/>
                    </a:solidFill>
                  </a:rPr>
                  <a:t>-to-Use</a:t>
                </a:r>
                <a:endParaRPr lang="en-US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13367736"/>
        <c:crosses val="autoZero"/>
        <c:crossBetween val="midCat"/>
      </c:valAx>
      <c:valAx>
        <c:axId val="1813367736"/>
        <c:scaling>
          <c:orientation val="minMax"/>
          <c:min val="4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aseline="0">
                    <a:solidFill>
                      <a:sysClr val="windowText" lastClr="000000"/>
                    </a:solidFill>
                  </a:rPr>
                  <a:t>Dollars per Bushel</a:t>
                </a:r>
                <a:endParaRPr lang="en-US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13370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000">
                <a:solidFill>
                  <a:sysClr val="windowText" lastClr="000000"/>
                </a:solidFill>
              </a:rPr>
              <a:t>SN-SX Average Price in May versus Stocks-to-Use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9526287492932E-2"/>
          <c:y val="8.4614178474436016E-2"/>
          <c:w val="0.88876449700001747"/>
          <c:h val="0.81524005302498936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rgbClr val="D7BA2F"/>
              </a:solidFill>
              <a:ln w="15875">
                <a:solidFill>
                  <a:srgbClr val="C4722E"/>
                </a:solidFill>
              </a:ln>
              <a:effectLst/>
            </c:spPr>
          </c:marker>
          <c:dLbls>
            <c:dLbl>
              <c:idx val="0"/>
              <c:tx>
                <c:strRef>
                  <c:f>'Balance Sheet Data'!$A$286</c:f>
                  <c:strCache>
                    <c:ptCount val="1"/>
                    <c:pt idx="0">
                      <c:v>04/05 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{EE9D1C43-A09B-4D05-815E-758983E63258}</c15:txfldGUID>
                      <c15:f>'Balance Sheet Data'!$A$286</c15:f>
                      <c15:dlblFieldTableCache>
                        <c:ptCount val="1"/>
                        <c:pt idx="0">
                          <c:v>04/05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0C49-423C-AF5E-F0E24416D891}"/>
                </c:ext>
              </c:extLst>
            </c:dLbl>
            <c:dLbl>
              <c:idx val="1"/>
              <c:tx>
                <c:strRef>
                  <c:f>'Balance Sheet Data'!$A$287</c:f>
                  <c:strCache>
                    <c:ptCount val="1"/>
                    <c:pt idx="0">
                      <c:v>05/06 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{D2A3E5E7-D399-4CE9-B34A-788246759ADA}</c15:txfldGUID>
                      <c15:f>'Balance Sheet Data'!$A$287</c15:f>
                      <c15:dlblFieldTableCache>
                        <c:ptCount val="1"/>
                        <c:pt idx="0">
                          <c:v>05/06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0C49-423C-AF5E-F0E24416D891}"/>
                </c:ext>
              </c:extLst>
            </c:dLbl>
            <c:dLbl>
              <c:idx val="2"/>
              <c:tx>
                <c:strRef>
                  <c:f>'Balance Sheet Data'!$A$288</c:f>
                  <c:strCache>
                    <c:ptCount val="1"/>
                    <c:pt idx="0">
                      <c:v>06/07 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{A4D09783-80C2-46C4-92DF-4BD57DF677D8}</c15:txfldGUID>
                      <c15:f>'Balance Sheet Data'!$A$288</c15:f>
                      <c15:dlblFieldTableCache>
                        <c:ptCount val="1"/>
                        <c:pt idx="0">
                          <c:v>06/07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0C49-423C-AF5E-F0E24416D891}"/>
                </c:ext>
              </c:extLst>
            </c:dLbl>
            <c:dLbl>
              <c:idx val="3"/>
              <c:tx>
                <c:strRef>
                  <c:f>'Balance Sheet Data'!$A$289</c:f>
                  <c:strCache>
                    <c:ptCount val="1"/>
                    <c:pt idx="0">
                      <c:v>07/08 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{4D989A3A-75A3-4C74-B749-982848ADE68E}</c15:txfldGUID>
                      <c15:f>'Balance Sheet Data'!$A$289</c15:f>
                      <c15:dlblFieldTableCache>
                        <c:ptCount val="1"/>
                        <c:pt idx="0">
                          <c:v>07/08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0C49-423C-AF5E-F0E24416D891}"/>
                </c:ext>
              </c:extLst>
            </c:dLbl>
            <c:dLbl>
              <c:idx val="4"/>
              <c:tx>
                <c:strRef>
                  <c:f>'Balance Sheet Data'!$A$290</c:f>
                  <c:strCache>
                    <c:ptCount val="1"/>
                    <c:pt idx="0">
                      <c:v>08/09 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{FCDD9B45-C7C3-4B7A-8954-D76053AA697D}</c15:txfldGUID>
                      <c15:f>'Balance Sheet Data'!$A$290</c15:f>
                      <c15:dlblFieldTableCache>
                        <c:ptCount val="1"/>
                        <c:pt idx="0">
                          <c:v>08/09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0C49-423C-AF5E-F0E24416D891}"/>
                </c:ext>
              </c:extLst>
            </c:dLbl>
            <c:dLbl>
              <c:idx val="5"/>
              <c:tx>
                <c:strRef>
                  <c:f>'Balance Sheet Data'!$A$291</c:f>
                  <c:strCache>
                    <c:ptCount val="1"/>
                    <c:pt idx="0">
                      <c:v>09/10 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{DC8ED11C-3595-4D58-BE62-A300DACB9E8F}</c15:txfldGUID>
                      <c15:f>'Balance Sheet Data'!$A$291</c15:f>
                      <c15:dlblFieldTableCache>
                        <c:ptCount val="1"/>
                        <c:pt idx="0">
                          <c:v>09/10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0C49-423C-AF5E-F0E24416D891}"/>
                </c:ext>
              </c:extLst>
            </c:dLbl>
            <c:dLbl>
              <c:idx val="6"/>
              <c:tx>
                <c:strRef>
                  <c:f>'Balance Sheet Data'!$A$292</c:f>
                  <c:strCache>
                    <c:ptCount val="1"/>
                    <c:pt idx="0">
                      <c:v>10/11 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{7615F502-34DB-4837-A2ED-24CB31A36B23}</c15:txfldGUID>
                      <c15:f>'Balance Sheet Data'!$A$292</c15:f>
                      <c15:dlblFieldTableCache>
                        <c:ptCount val="1"/>
                        <c:pt idx="0">
                          <c:v>10/11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0C49-423C-AF5E-F0E24416D891}"/>
                </c:ext>
              </c:extLst>
            </c:dLbl>
            <c:dLbl>
              <c:idx val="7"/>
              <c:tx>
                <c:strRef>
                  <c:f>'Balance Sheet Data'!$A$293</c:f>
                  <c:strCache>
                    <c:ptCount val="1"/>
                    <c:pt idx="0">
                      <c:v>11/12 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{5F13ECF1-EE99-4852-B23B-5683FE6C6A06}</c15:txfldGUID>
                      <c15:f>'Balance Sheet Data'!$A$293</c15:f>
                      <c15:dlblFieldTableCache>
                        <c:ptCount val="1"/>
                        <c:pt idx="0">
                          <c:v>11/12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0C49-423C-AF5E-F0E24416D891}"/>
                </c:ext>
              </c:extLst>
            </c:dLbl>
            <c:dLbl>
              <c:idx val="8"/>
              <c:tx>
                <c:strRef>
                  <c:f>'Balance Sheet Data'!$A$294</c:f>
                  <c:strCache>
                    <c:ptCount val="1"/>
                    <c:pt idx="0">
                      <c:v>12/13 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{D4308EDE-A427-4B84-8187-4B7F600337A4}</c15:txfldGUID>
                      <c15:f>'Balance Sheet Data'!$A$294</c15:f>
                      <c15:dlblFieldTableCache>
                        <c:ptCount val="1"/>
                        <c:pt idx="0">
                          <c:v>12/13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0C49-423C-AF5E-F0E24416D891}"/>
                </c:ext>
              </c:extLst>
            </c:dLbl>
            <c:dLbl>
              <c:idx val="9"/>
              <c:tx>
                <c:strRef>
                  <c:f>'Balance Sheet Data'!$A$295</c:f>
                  <c:strCache>
                    <c:ptCount val="1"/>
                    <c:pt idx="0">
                      <c:v>13/14 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{E6ADC104-3AD6-4463-952D-D9C33C17C041}</c15:txfldGUID>
                      <c15:f>'Balance Sheet Data'!$A$295</c15:f>
                      <c15:dlblFieldTableCache>
                        <c:ptCount val="1"/>
                        <c:pt idx="0">
                          <c:v>13/14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0C49-423C-AF5E-F0E24416D891}"/>
                </c:ext>
              </c:extLst>
            </c:dLbl>
            <c:dLbl>
              <c:idx val="10"/>
              <c:tx>
                <c:strRef>
                  <c:f>'Balance Sheet Data'!$A$296</c:f>
                  <c:strCache>
                    <c:ptCount val="1"/>
                    <c:pt idx="0">
                      <c:v>14/15 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{7963A7E4-516F-4157-BF5F-7A5EDA4B566B}</c15:txfldGUID>
                      <c15:f>'Balance Sheet Data'!$A$296</c15:f>
                      <c15:dlblFieldTableCache>
                        <c:ptCount val="1"/>
                        <c:pt idx="0">
                          <c:v>14/15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0C49-423C-AF5E-F0E24416D891}"/>
                </c:ext>
              </c:extLst>
            </c:dLbl>
            <c:dLbl>
              <c:idx val="11"/>
              <c:tx>
                <c:strRef>
                  <c:f>'Balance Sheet Data'!$A$297</c:f>
                  <c:strCache>
                    <c:ptCount val="1"/>
                    <c:pt idx="0">
                      <c:v>15/16 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{CE5DEA19-958A-4E72-8F89-43A49A642A5B}</c15:txfldGUID>
                      <c15:f>'Balance Sheet Data'!$A$297</c15:f>
                      <c15:dlblFieldTableCache>
                        <c:ptCount val="1"/>
                        <c:pt idx="0">
                          <c:v>15/16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0C49-423C-AF5E-F0E24416D891}"/>
                </c:ext>
              </c:extLst>
            </c:dLbl>
            <c:dLbl>
              <c:idx val="12"/>
              <c:tx>
                <c:strRef>
                  <c:f>'Balance Sheet Data'!$A$298</c:f>
                  <c:strCache>
                    <c:ptCount val="1"/>
                    <c:pt idx="0">
                      <c:v>16/17 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{97EE45C8-F272-42A0-B23F-B77B724466FC}</c15:txfldGUID>
                      <c15:f>'Balance Sheet Data'!$A$298</c15:f>
                      <c15:dlblFieldTableCache>
                        <c:ptCount val="1"/>
                        <c:pt idx="0">
                          <c:v>16/17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0C49-423C-AF5E-F0E24416D891}"/>
                </c:ext>
              </c:extLst>
            </c:dLbl>
            <c:dLbl>
              <c:idx val="13"/>
              <c:tx>
                <c:strRef>
                  <c:f>'Balance Sheet Data'!$A$299</c:f>
                  <c:strCache>
                    <c:ptCount val="1"/>
                    <c:pt idx="0">
                      <c:v>17/18 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{0E3AC1A2-2B0E-40CF-81C7-185DA89D80E6}</c15:txfldGUID>
                      <c15:f>'Balance Sheet Data'!$A$299</c15:f>
                      <c15:dlblFieldTableCache>
                        <c:ptCount val="1"/>
                        <c:pt idx="0">
                          <c:v>17/18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0C49-423C-AF5E-F0E24416D891}"/>
                </c:ext>
              </c:extLst>
            </c:dLbl>
            <c:dLbl>
              <c:idx val="14"/>
              <c:tx>
                <c:strRef>
                  <c:f>'Balance Sheet Data'!$A$300</c:f>
                  <c:strCache>
                    <c:ptCount val="1"/>
                    <c:pt idx="0">
                      <c:v>18/19 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{92771CFD-DC38-4E1A-B4C9-75ACE76A7F76}</c15:txfldGUID>
                      <c15:f>'Balance Sheet Data'!$A$300</c15:f>
                      <c15:dlblFieldTableCache>
                        <c:ptCount val="1"/>
                        <c:pt idx="0">
                          <c:v>18/19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0C49-423C-AF5E-F0E24416D891}"/>
                </c:ext>
              </c:extLst>
            </c:dLbl>
            <c:dLbl>
              <c:idx val="15"/>
              <c:tx>
                <c:strRef>
                  <c:f>'Balance Sheet Data'!$A$301</c:f>
                  <c:strCache>
                    <c:ptCount val="1"/>
                    <c:pt idx="0">
                      <c:v>19/20 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{CF60EBD8-AC9D-4846-BE38-9AAA06C81420}</c15:txfldGUID>
                      <c15:f>'Balance Sheet Data'!$A$301</c15:f>
                      <c15:dlblFieldTableCache>
                        <c:ptCount val="1"/>
                        <c:pt idx="0">
                          <c:v>19/20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0C49-423C-AF5E-F0E24416D891}"/>
                </c:ext>
              </c:extLst>
            </c:dLbl>
            <c:dLbl>
              <c:idx val="16"/>
              <c:tx>
                <c:strRef>
                  <c:f>'Balance Sheet Data'!$A$302</c:f>
                  <c:strCache>
                    <c:ptCount val="1"/>
                    <c:pt idx="0">
                      <c:v>20/21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C4722E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{336C495D-12C2-4346-8683-47514D4FA600}</c15:txfldGUID>
                      <c15:f>'Balance Sheet Data'!$A$302</c15:f>
                      <c15:dlblFieldTableCache>
                        <c:ptCount val="1"/>
                        <c:pt idx="0">
                          <c:v>20/21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0C49-423C-AF5E-F0E24416D891}"/>
                </c:ext>
              </c:extLst>
            </c:dLbl>
            <c:dLbl>
              <c:idx val="17"/>
              <c:tx>
                <c:strRef>
                  <c:f>'Balance Sheet Data'!$A$303</c:f>
                  <c:strCache>
                    <c:ptCount val="1"/>
                    <c:pt idx="0">
                      <c:v>21/22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C4722E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{27576BA2-0F67-422C-A992-ADD2C2F8092B}</c15:txfldGUID>
                      <c15:f>'Balance Sheet Data'!$A$303</c15:f>
                      <c15:dlblFieldTableCache>
                        <c:ptCount val="1"/>
                        <c:pt idx="0">
                          <c:v>21/22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0C49-423C-AF5E-F0E24416D8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>
                        <a:lumMod val="6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8575" cap="rnd">
                <a:solidFill>
                  <a:srgbClr val="C4722E"/>
                </a:solidFill>
                <a:prstDash val="solid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rgbClr val="C4722E"/>
                </a:solidFill>
                <a:prstDash val="solid"/>
              </a:ln>
              <a:effectLst/>
            </c:spPr>
            <c:trendlineType val="poly"/>
            <c:order val="4"/>
            <c:dispRSqr val="0"/>
            <c:dispEq val="0"/>
          </c:trendline>
          <c:errBars>
            <c:errDir val="y"/>
            <c:errBarType val="both"/>
            <c:errValType val="cust"/>
            <c:noEndCap val="0"/>
            <c:plus>
              <c:numRef>
                <c:f>'Spreads Averages'!$O$95:$O$112</c:f>
                <c:numCache>
                  <c:formatCode>General</c:formatCode>
                  <c:ptCount val="18"/>
                  <c:pt idx="0">
                    <c:v>10.595238999999999</c:v>
                  </c:pt>
                  <c:pt idx="1">
                    <c:v>3.2727269999999997</c:v>
                  </c:pt>
                  <c:pt idx="2">
                    <c:v>1.75</c:v>
                  </c:pt>
                  <c:pt idx="3">
                    <c:v>50.559524000000003</c:v>
                  </c:pt>
                  <c:pt idx="4">
                    <c:v>25.162499999999994</c:v>
                  </c:pt>
                  <c:pt idx="5">
                    <c:v>8.3500000000000014</c:v>
                  </c:pt>
                  <c:pt idx="6">
                    <c:v>12.309524</c:v>
                  </c:pt>
                  <c:pt idx="7">
                    <c:v>29.318181999999993</c:v>
                  </c:pt>
                  <c:pt idx="8">
                    <c:v>52.261363999999986</c:v>
                  </c:pt>
                  <c:pt idx="9">
                    <c:v>16.202381000000003</c:v>
                  </c:pt>
                  <c:pt idx="10">
                    <c:v>7.3249999999999993</c:v>
                  </c:pt>
                  <c:pt idx="11">
                    <c:v>14.297619047619047</c:v>
                  </c:pt>
                  <c:pt idx="12">
                    <c:v>6.4886363636363633</c:v>
                  </c:pt>
                  <c:pt idx="13">
                    <c:v>11.443181818181818</c:v>
                  </c:pt>
                  <c:pt idx="14">
                    <c:v>3.9772727272727266</c:v>
                  </c:pt>
                  <c:pt idx="15">
                    <c:v>5.0125000000000002</c:v>
                  </c:pt>
                  <c:pt idx="16">
                    <c:v>8.2438419913419807</c:v>
                  </c:pt>
                  <c:pt idx="17">
                    <c:v>7.0330865800866036</c:v>
                  </c:pt>
                </c:numCache>
              </c:numRef>
            </c:plus>
            <c:minus>
              <c:numRef>
                <c:f>'Spreads Averages'!$O$151:$O$168</c:f>
                <c:numCache>
                  <c:formatCode>General</c:formatCode>
                  <c:ptCount val="18"/>
                  <c:pt idx="0">
                    <c:v>6.1547609999999997</c:v>
                  </c:pt>
                  <c:pt idx="1">
                    <c:v>3.9772730000000003</c:v>
                  </c:pt>
                  <c:pt idx="2">
                    <c:v>1</c:v>
                  </c:pt>
                  <c:pt idx="3">
                    <c:v>41.440475999999997</c:v>
                  </c:pt>
                  <c:pt idx="4">
                    <c:v>20.837500000000006</c:v>
                  </c:pt>
                  <c:pt idx="5">
                    <c:v>7.6499999999999986</c:v>
                  </c:pt>
                  <c:pt idx="6">
                    <c:v>8.1904760000000003</c:v>
                  </c:pt>
                  <c:pt idx="7">
                    <c:v>32.431818000000007</c:v>
                  </c:pt>
                  <c:pt idx="8">
                    <c:v>43.238636000000014</c:v>
                  </c:pt>
                  <c:pt idx="9">
                    <c:v>19.547618999999997</c:v>
                  </c:pt>
                  <c:pt idx="10">
                    <c:v>5.6750000000000007</c:v>
                  </c:pt>
                  <c:pt idx="11">
                    <c:v>11.202380952380953</c:v>
                  </c:pt>
                  <c:pt idx="12">
                    <c:v>10.511363636363637</c:v>
                  </c:pt>
                  <c:pt idx="13">
                    <c:v>8.5568181818181817</c:v>
                  </c:pt>
                  <c:pt idx="14">
                    <c:v>2.2727272727272734</c:v>
                  </c:pt>
                  <c:pt idx="15">
                    <c:v>4.9874999999999998</c:v>
                  </c:pt>
                  <c:pt idx="16">
                    <c:v>7.5061580086580193</c:v>
                  </c:pt>
                  <c:pt idx="17">
                    <c:v>6.7669134199134078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'Balance Sheet Data'!$N$286:$N$303</c:f>
              <c:numCache>
                <c:formatCode>0.0%</c:formatCode>
                <c:ptCount val="18"/>
                <c:pt idx="0">
                  <c:v>0.12228728901136755</c:v>
                </c:pt>
                <c:pt idx="1">
                  <c:v>0.20309130122214233</c:v>
                </c:pt>
                <c:pt idx="2">
                  <c:v>0.20118733509234829</c:v>
                </c:pt>
                <c:pt idx="3">
                  <c:v>4.7949735449735451E-2</c:v>
                </c:pt>
                <c:pt idx="4">
                  <c:v>4.2678923177938283E-2</c:v>
                </c:pt>
                <c:pt idx="5">
                  <c:v>5.7177249473367442E-2</c:v>
                </c:pt>
                <c:pt idx="6">
                  <c:v>5.1127819548872182E-2</c:v>
                </c:pt>
                <c:pt idx="7">
                  <c:v>6.8270481144343309E-2</c:v>
                </c:pt>
                <c:pt idx="8">
                  <c:v>4.0584415584415584E-2</c:v>
                </c:pt>
                <c:pt idx="9">
                  <c:v>3.8348082595870206E-2</c:v>
                </c:pt>
                <c:pt idx="10">
                  <c:v>9.3557872226677358E-2</c:v>
                </c:pt>
                <c:pt idx="11">
                  <c:v>0.10666666666666667</c:v>
                </c:pt>
                <c:pt idx="12">
                  <c:v>0.10627901294893721</c:v>
                </c:pt>
                <c:pt idx="13">
                  <c:v>0.1265520534861509</c:v>
                </c:pt>
                <c:pt idx="14">
                  <c:v>0.2485014985014985</c:v>
                </c:pt>
                <c:pt idx="15">
                  <c:v>0.14867982568572161</c:v>
                </c:pt>
                <c:pt idx="16">
                  <c:v>2.6229508196721311E-2</c:v>
                </c:pt>
                <c:pt idx="17">
                  <c:v>6.1473897503912078E-2</c:v>
                </c:pt>
              </c:numCache>
            </c:numRef>
          </c:xVal>
          <c:yVal>
            <c:numRef>
              <c:f>'Spreads Averages'!$K$95:$K$112</c:f>
              <c:numCache>
                <c:formatCode>#,##0</c:formatCode>
                <c:ptCount val="18"/>
                <c:pt idx="0">
                  <c:v>15</c:v>
                </c:pt>
                <c:pt idx="1">
                  <c:v>-18.25</c:v>
                </c:pt>
                <c:pt idx="2">
                  <c:v>-27.25</c:v>
                </c:pt>
                <c:pt idx="3">
                  <c:v>86</c:v>
                </c:pt>
                <c:pt idx="4">
                  <c:v>166</c:v>
                </c:pt>
                <c:pt idx="5">
                  <c:v>36</c:v>
                </c:pt>
                <c:pt idx="6">
                  <c:v>30</c:v>
                </c:pt>
                <c:pt idx="7">
                  <c:v>131.5</c:v>
                </c:pt>
                <c:pt idx="8">
                  <c:v>257.5</c:v>
                </c:pt>
                <c:pt idx="9">
                  <c:v>264.75</c:v>
                </c:pt>
                <c:pt idx="10">
                  <c:v>30.25</c:v>
                </c:pt>
                <c:pt idx="11">
                  <c:v>33</c:v>
                </c:pt>
                <c:pt idx="12">
                  <c:v>9.25</c:v>
                </c:pt>
                <c:pt idx="13">
                  <c:v>4</c:v>
                </c:pt>
                <c:pt idx="14">
                  <c:v>-20.75</c:v>
                </c:pt>
                <c:pt idx="15">
                  <c:v>-2.25</c:v>
                </c:pt>
                <c:pt idx="16">
                  <c:v>179.35634199134188</c:v>
                </c:pt>
                <c:pt idx="17">
                  <c:v>324.05689610389601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0C49-423C-AF5E-F0E24416D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3370360"/>
        <c:axId val="1813367736"/>
      </c:scatterChart>
      <c:valAx>
        <c:axId val="1813370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U.S. Stocks</a:t>
                </a:r>
                <a:r>
                  <a:rPr lang="en-US" sz="1200" baseline="0">
                    <a:solidFill>
                      <a:sysClr val="windowText" lastClr="000000"/>
                    </a:solidFill>
                  </a:rPr>
                  <a:t>-to-Use</a:t>
                </a:r>
                <a:endParaRPr lang="en-US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13367736"/>
        <c:crosses val="autoZero"/>
        <c:crossBetween val="midCat"/>
      </c:valAx>
      <c:valAx>
        <c:axId val="1813367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aseline="0">
                    <a:solidFill>
                      <a:sysClr val="windowText" lastClr="000000"/>
                    </a:solidFill>
                  </a:rPr>
                  <a:t>Dollars per Bushel</a:t>
                </a:r>
                <a:endParaRPr lang="en-US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13370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000">
                <a:solidFill>
                  <a:sysClr val="windowText" lastClr="000000"/>
                </a:solidFill>
              </a:rPr>
              <a:t>SN-SX Average Price in June versus Stocks-to-Use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664407872011425E-2"/>
          <c:y val="8.4614178474436016E-2"/>
          <c:w val="0.88207304702919642"/>
          <c:h val="0.81524005302498936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rgbClr val="D7BA2F"/>
              </a:solidFill>
              <a:ln w="15875">
                <a:solidFill>
                  <a:srgbClr val="C4722E"/>
                </a:solidFill>
              </a:ln>
              <a:effectLst/>
            </c:spPr>
          </c:marker>
          <c:dLbls>
            <c:dLbl>
              <c:idx val="0"/>
              <c:tx>
                <c:strRef>
                  <c:f>'Balance Sheet Data'!$A$286</c:f>
                  <c:strCache>
                    <c:ptCount val="1"/>
                    <c:pt idx="0">
                      <c:v>04/05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{BEEC4F99-9457-44D5-A836-E907DB5207DA}</c15:txfldGUID>
                      <c15:f>'Balance Sheet Data'!$A$286</c15:f>
                      <c15:dlblFieldTableCache>
                        <c:ptCount val="1"/>
                        <c:pt idx="0">
                          <c:v>04/05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C9E0-4AC9-8809-3779FD1FD89A}"/>
                </c:ext>
              </c:extLst>
            </c:dLbl>
            <c:dLbl>
              <c:idx val="1"/>
              <c:tx>
                <c:strRef>
                  <c:f>'Balance Sheet Data'!$A$287</c:f>
                  <c:strCache>
                    <c:ptCount val="1"/>
                    <c:pt idx="0">
                      <c:v>05/06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{1FE174E9-3F78-4086-BFE6-E586DD1EBCEF}</c15:txfldGUID>
                      <c15:f>'Balance Sheet Data'!$A$287</c15:f>
                      <c15:dlblFieldTableCache>
                        <c:ptCount val="1"/>
                        <c:pt idx="0">
                          <c:v>05/06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C9E0-4AC9-8809-3779FD1FD89A}"/>
                </c:ext>
              </c:extLst>
            </c:dLbl>
            <c:dLbl>
              <c:idx val="2"/>
              <c:tx>
                <c:strRef>
                  <c:f>'Balance Sheet Data'!$A$288</c:f>
                  <c:strCache>
                    <c:ptCount val="1"/>
                    <c:pt idx="0">
                      <c:v>06/07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{5E5EA170-BF44-4B35-9EDD-24B01DC76A74}</c15:txfldGUID>
                      <c15:f>'Balance Sheet Data'!$A$288</c15:f>
                      <c15:dlblFieldTableCache>
                        <c:ptCount val="1"/>
                        <c:pt idx="0">
                          <c:v>06/07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C9E0-4AC9-8809-3779FD1FD89A}"/>
                </c:ext>
              </c:extLst>
            </c:dLbl>
            <c:dLbl>
              <c:idx val="3"/>
              <c:tx>
                <c:strRef>
                  <c:f>'Balance Sheet Data'!$A$289</c:f>
                  <c:strCache>
                    <c:ptCount val="1"/>
                    <c:pt idx="0">
                      <c:v>07/08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{E0F5A537-291B-47B9-A95F-9783E4B82A2C}</c15:txfldGUID>
                      <c15:f>'Balance Sheet Data'!$A$289</c15:f>
                      <c15:dlblFieldTableCache>
                        <c:ptCount val="1"/>
                        <c:pt idx="0">
                          <c:v>07/08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C9E0-4AC9-8809-3779FD1FD89A}"/>
                </c:ext>
              </c:extLst>
            </c:dLbl>
            <c:dLbl>
              <c:idx val="4"/>
              <c:tx>
                <c:strRef>
                  <c:f>'Balance Sheet Data'!$A$290</c:f>
                  <c:strCache>
                    <c:ptCount val="1"/>
                    <c:pt idx="0">
                      <c:v>08/09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{FA0525F0-4CC6-4127-8152-1E9C0A957280}</c15:txfldGUID>
                      <c15:f>'Balance Sheet Data'!$A$290</c15:f>
                      <c15:dlblFieldTableCache>
                        <c:ptCount val="1"/>
                        <c:pt idx="0">
                          <c:v>08/09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C9E0-4AC9-8809-3779FD1FD89A}"/>
                </c:ext>
              </c:extLst>
            </c:dLbl>
            <c:dLbl>
              <c:idx val="5"/>
              <c:tx>
                <c:strRef>
                  <c:f>'Balance Sheet Data'!$A$291</c:f>
                  <c:strCache>
                    <c:ptCount val="1"/>
                    <c:pt idx="0">
                      <c:v>09/10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{0A33238D-ACC8-4372-B212-0B84C0C3C5A1}</c15:txfldGUID>
                      <c15:f>'Balance Sheet Data'!$A$291</c15:f>
                      <c15:dlblFieldTableCache>
                        <c:ptCount val="1"/>
                        <c:pt idx="0">
                          <c:v>09/10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C9E0-4AC9-8809-3779FD1FD89A}"/>
                </c:ext>
              </c:extLst>
            </c:dLbl>
            <c:dLbl>
              <c:idx val="6"/>
              <c:tx>
                <c:strRef>
                  <c:f>'Balance Sheet Data'!$A$292</c:f>
                  <c:strCache>
                    <c:ptCount val="1"/>
                    <c:pt idx="0">
                      <c:v>10/11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{F43669FF-2C52-47B9-8686-724455C8DDBE}</c15:txfldGUID>
                      <c15:f>'Balance Sheet Data'!$A$292</c15:f>
                      <c15:dlblFieldTableCache>
                        <c:ptCount val="1"/>
                        <c:pt idx="0">
                          <c:v>10/11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C9E0-4AC9-8809-3779FD1FD89A}"/>
                </c:ext>
              </c:extLst>
            </c:dLbl>
            <c:dLbl>
              <c:idx val="7"/>
              <c:tx>
                <c:strRef>
                  <c:f>'Balance Sheet Data'!$A$293</c:f>
                  <c:strCache>
                    <c:ptCount val="1"/>
                    <c:pt idx="0">
                      <c:v>11/12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{017414DC-8A7B-4A69-9D47-1F71DAFE8F22}</c15:txfldGUID>
                      <c15:f>'Balance Sheet Data'!$A$293</c15:f>
                      <c15:dlblFieldTableCache>
                        <c:ptCount val="1"/>
                        <c:pt idx="0">
                          <c:v>11/12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C9E0-4AC9-8809-3779FD1FD89A}"/>
                </c:ext>
              </c:extLst>
            </c:dLbl>
            <c:dLbl>
              <c:idx val="8"/>
              <c:tx>
                <c:strRef>
                  <c:f>'Balance Sheet Data'!$A$294</c:f>
                  <c:strCache>
                    <c:ptCount val="1"/>
                    <c:pt idx="0">
                      <c:v>12/13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{F51A1B71-8B63-4EB5-A5B3-A713D8A93989}</c15:txfldGUID>
                      <c15:f>'Balance Sheet Data'!$A$294</c15:f>
                      <c15:dlblFieldTableCache>
                        <c:ptCount val="1"/>
                        <c:pt idx="0">
                          <c:v>12/13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C9E0-4AC9-8809-3779FD1FD89A}"/>
                </c:ext>
              </c:extLst>
            </c:dLbl>
            <c:dLbl>
              <c:idx val="9"/>
              <c:tx>
                <c:strRef>
                  <c:f>'Balance Sheet Data'!$A$295</c:f>
                  <c:strCache>
                    <c:ptCount val="1"/>
                    <c:pt idx="0">
                      <c:v>13/14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{DF683A99-BF8B-4814-A1A4-805C2BC34E45}</c15:txfldGUID>
                      <c15:f>'Balance Sheet Data'!$A$295</c15:f>
                      <c15:dlblFieldTableCache>
                        <c:ptCount val="1"/>
                        <c:pt idx="0">
                          <c:v>13/14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C9E0-4AC9-8809-3779FD1FD89A}"/>
                </c:ext>
              </c:extLst>
            </c:dLbl>
            <c:dLbl>
              <c:idx val="10"/>
              <c:tx>
                <c:strRef>
                  <c:f>'Balance Sheet Data'!$A$296</c:f>
                  <c:strCache>
                    <c:ptCount val="1"/>
                    <c:pt idx="0">
                      <c:v>14/15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{97E17DC0-61D5-45C6-8AC4-8A5344E088A8}</c15:txfldGUID>
                      <c15:f>'Balance Sheet Data'!$A$296</c15:f>
                      <c15:dlblFieldTableCache>
                        <c:ptCount val="1"/>
                        <c:pt idx="0">
                          <c:v>14/15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C9E0-4AC9-8809-3779FD1FD89A}"/>
                </c:ext>
              </c:extLst>
            </c:dLbl>
            <c:dLbl>
              <c:idx val="11"/>
              <c:tx>
                <c:strRef>
                  <c:f>'Balance Sheet Data'!$A$297</c:f>
                  <c:strCache>
                    <c:ptCount val="1"/>
                    <c:pt idx="0">
                      <c:v>15/16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{04CC20DA-DF32-4C8D-A20C-A8351A520EEA}</c15:txfldGUID>
                      <c15:f>'Balance Sheet Data'!$A$297</c15:f>
                      <c15:dlblFieldTableCache>
                        <c:ptCount val="1"/>
                        <c:pt idx="0">
                          <c:v>15/16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C9E0-4AC9-8809-3779FD1FD89A}"/>
                </c:ext>
              </c:extLst>
            </c:dLbl>
            <c:dLbl>
              <c:idx val="12"/>
              <c:tx>
                <c:strRef>
                  <c:f>'Balance Sheet Data'!$A$298</c:f>
                  <c:strCache>
                    <c:ptCount val="1"/>
                    <c:pt idx="0">
                      <c:v>16/17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{75008560-BCD7-44B5-B393-20623003951C}</c15:txfldGUID>
                      <c15:f>'Balance Sheet Data'!$A$298</c15:f>
                      <c15:dlblFieldTableCache>
                        <c:ptCount val="1"/>
                        <c:pt idx="0">
                          <c:v>16/17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C9E0-4AC9-8809-3779FD1FD89A}"/>
                </c:ext>
              </c:extLst>
            </c:dLbl>
            <c:dLbl>
              <c:idx val="13"/>
              <c:tx>
                <c:strRef>
                  <c:f>'Balance Sheet Data'!$A$299</c:f>
                  <c:strCache>
                    <c:ptCount val="1"/>
                    <c:pt idx="0">
                      <c:v>17/18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{CCE5F262-2068-4196-91DF-DF526B69B6B0}</c15:txfldGUID>
                      <c15:f>'Balance Sheet Data'!$A$299</c15:f>
                      <c15:dlblFieldTableCache>
                        <c:ptCount val="1"/>
                        <c:pt idx="0">
                          <c:v>17/18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C9E0-4AC9-8809-3779FD1FD89A}"/>
                </c:ext>
              </c:extLst>
            </c:dLbl>
            <c:dLbl>
              <c:idx val="14"/>
              <c:tx>
                <c:strRef>
                  <c:f>'Balance Sheet Data'!$A$300</c:f>
                  <c:strCache>
                    <c:ptCount val="1"/>
                    <c:pt idx="0">
                      <c:v>18/19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{4CAC2885-9A34-44F1-AE62-27AC26BB7416}</c15:txfldGUID>
                      <c15:f>'Balance Sheet Data'!$A$300</c15:f>
                      <c15:dlblFieldTableCache>
                        <c:ptCount val="1"/>
                        <c:pt idx="0">
                          <c:v>18/19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C9E0-4AC9-8809-3779FD1FD89A}"/>
                </c:ext>
              </c:extLst>
            </c:dLbl>
            <c:dLbl>
              <c:idx val="15"/>
              <c:tx>
                <c:strRef>
                  <c:f>'Balance Sheet Data'!$A$301</c:f>
                  <c:strCache>
                    <c:ptCount val="1"/>
                    <c:pt idx="0">
                      <c:v>19/20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{BAE5FFA6-C7DC-475A-BB5A-BBDA97E7E2CE}</c15:txfldGUID>
                      <c15:f>'Balance Sheet Data'!$A$301</c15:f>
                      <c15:dlblFieldTableCache>
                        <c:ptCount val="1"/>
                        <c:pt idx="0">
                          <c:v>19/20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C9E0-4AC9-8809-3779FD1FD89A}"/>
                </c:ext>
              </c:extLst>
            </c:dLbl>
            <c:dLbl>
              <c:idx val="16"/>
              <c:tx>
                <c:strRef>
                  <c:f>'Balance Sheet Data'!$A$302</c:f>
                  <c:strCache>
                    <c:ptCount val="1"/>
                    <c:pt idx="0">
                      <c:v>20/21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C4722E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{2CF26F4A-F092-43D9-BB1F-DF70985C9175}</c15:txfldGUID>
                      <c15:f>'Balance Sheet Data'!$A$302</c15:f>
                      <c15:dlblFieldTableCache>
                        <c:ptCount val="1"/>
                        <c:pt idx="0">
                          <c:v>20/21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C9E0-4AC9-8809-3779FD1FD89A}"/>
                </c:ext>
              </c:extLst>
            </c:dLbl>
            <c:dLbl>
              <c:idx val="17"/>
              <c:tx>
                <c:strRef>
                  <c:f>'Balance Sheet Data'!$A$303</c:f>
                  <c:strCache>
                    <c:ptCount val="1"/>
                    <c:pt idx="0">
                      <c:v>21/22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C4722E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{8BBB9355-DE7C-4B98-8CD0-B5F39753D370}</c15:txfldGUID>
                      <c15:f>'Balance Sheet Data'!$A$303</c15:f>
                      <c15:dlblFieldTableCache>
                        <c:ptCount val="1"/>
                        <c:pt idx="0">
                          <c:v>21/22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C9E0-4AC9-8809-3779FD1FD89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>
                        <a:lumMod val="6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8575" cap="rnd">
                <a:solidFill>
                  <a:srgbClr val="C4722E"/>
                </a:solidFill>
                <a:prstDash val="solid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rgbClr val="C4722E"/>
                </a:solidFill>
                <a:prstDash val="solid"/>
              </a:ln>
              <a:effectLst/>
            </c:spPr>
            <c:trendlineType val="poly"/>
            <c:order val="4"/>
            <c:dispRSqr val="0"/>
            <c:dispEq val="0"/>
          </c:trendline>
          <c:errBars>
            <c:errDir val="y"/>
            <c:errBarType val="both"/>
            <c:errValType val="cust"/>
            <c:noEndCap val="0"/>
            <c:plus>
              <c:numRef>
                <c:f>'Spreads Averages'!$O$95:$O$112</c:f>
                <c:numCache>
                  <c:formatCode>General</c:formatCode>
                  <c:ptCount val="18"/>
                  <c:pt idx="0">
                    <c:v>10.595238999999999</c:v>
                  </c:pt>
                  <c:pt idx="1">
                    <c:v>3.2727269999999997</c:v>
                  </c:pt>
                  <c:pt idx="2">
                    <c:v>1.75</c:v>
                  </c:pt>
                  <c:pt idx="3">
                    <c:v>50.559524000000003</c:v>
                  </c:pt>
                  <c:pt idx="4">
                    <c:v>25.162499999999994</c:v>
                  </c:pt>
                  <c:pt idx="5">
                    <c:v>8.3500000000000014</c:v>
                  </c:pt>
                  <c:pt idx="6">
                    <c:v>12.309524</c:v>
                  </c:pt>
                  <c:pt idx="7">
                    <c:v>29.318181999999993</c:v>
                  </c:pt>
                  <c:pt idx="8">
                    <c:v>52.261363999999986</c:v>
                  </c:pt>
                  <c:pt idx="9">
                    <c:v>16.202381000000003</c:v>
                  </c:pt>
                  <c:pt idx="10">
                    <c:v>7.3249999999999993</c:v>
                  </c:pt>
                  <c:pt idx="11">
                    <c:v>14.297619047619047</c:v>
                  </c:pt>
                  <c:pt idx="12">
                    <c:v>6.4886363636363633</c:v>
                  </c:pt>
                  <c:pt idx="13">
                    <c:v>11.443181818181818</c:v>
                  </c:pt>
                  <c:pt idx="14">
                    <c:v>3.9772727272727266</c:v>
                  </c:pt>
                  <c:pt idx="15">
                    <c:v>5.0125000000000002</c:v>
                  </c:pt>
                  <c:pt idx="16">
                    <c:v>8.2438419913419807</c:v>
                  </c:pt>
                  <c:pt idx="17">
                    <c:v>7.0330865800866036</c:v>
                  </c:pt>
                </c:numCache>
              </c:numRef>
            </c:plus>
            <c:minus>
              <c:numRef>
                <c:f>'Spreads Averages'!$O$151:$O$168</c:f>
                <c:numCache>
                  <c:formatCode>General</c:formatCode>
                  <c:ptCount val="18"/>
                  <c:pt idx="0">
                    <c:v>6.1547609999999997</c:v>
                  </c:pt>
                  <c:pt idx="1">
                    <c:v>3.9772730000000003</c:v>
                  </c:pt>
                  <c:pt idx="2">
                    <c:v>1</c:v>
                  </c:pt>
                  <c:pt idx="3">
                    <c:v>41.440475999999997</c:v>
                  </c:pt>
                  <c:pt idx="4">
                    <c:v>20.837500000000006</c:v>
                  </c:pt>
                  <c:pt idx="5">
                    <c:v>7.6499999999999986</c:v>
                  </c:pt>
                  <c:pt idx="6">
                    <c:v>8.1904760000000003</c:v>
                  </c:pt>
                  <c:pt idx="7">
                    <c:v>32.431818000000007</c:v>
                  </c:pt>
                  <c:pt idx="8">
                    <c:v>43.238636000000014</c:v>
                  </c:pt>
                  <c:pt idx="9">
                    <c:v>19.547618999999997</c:v>
                  </c:pt>
                  <c:pt idx="10">
                    <c:v>5.6750000000000007</c:v>
                  </c:pt>
                  <c:pt idx="11">
                    <c:v>11.202380952380953</c:v>
                  </c:pt>
                  <c:pt idx="12">
                    <c:v>10.511363636363637</c:v>
                  </c:pt>
                  <c:pt idx="13">
                    <c:v>8.5568181818181817</c:v>
                  </c:pt>
                  <c:pt idx="14">
                    <c:v>2.2727272727272734</c:v>
                  </c:pt>
                  <c:pt idx="15">
                    <c:v>4.9874999999999998</c:v>
                  </c:pt>
                  <c:pt idx="16">
                    <c:v>7.5061580086580193</c:v>
                  </c:pt>
                  <c:pt idx="17">
                    <c:v>6.7669134199134078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'Balance Sheet Data'!$O$286:$O$303</c:f>
              <c:numCache>
                <c:formatCode>0.0%</c:formatCode>
                <c:ptCount val="18"/>
                <c:pt idx="0">
                  <c:v>0.10891763104152484</c:v>
                </c:pt>
                <c:pt idx="1">
                  <c:v>0.20525747209218581</c:v>
                </c:pt>
                <c:pt idx="2">
                  <c:v>0.20118733509234829</c:v>
                </c:pt>
                <c:pt idx="3">
                  <c:v>4.1064388961892247E-2</c:v>
                </c:pt>
                <c:pt idx="4">
                  <c:v>3.587736464448793E-2</c:v>
                </c:pt>
                <c:pt idx="5">
                  <c:v>5.5588942307692304E-2</c:v>
                </c:pt>
                <c:pt idx="6">
                  <c:v>5.4298642533936653E-2</c:v>
                </c:pt>
                <c:pt idx="7">
                  <c:v>5.6252009000321443E-2</c:v>
                </c:pt>
                <c:pt idx="8">
                  <c:v>4.0518638573743923E-2</c:v>
                </c:pt>
                <c:pt idx="9">
                  <c:v>3.6818851251840944E-2</c:v>
                </c:pt>
                <c:pt idx="10">
                  <c:v>8.7742621643180002E-2</c:v>
                </c:pt>
                <c:pt idx="11">
                  <c:v>9.2592592592592587E-2</c:v>
                </c:pt>
                <c:pt idx="12">
                  <c:v>0.11034820990681707</c:v>
                </c:pt>
                <c:pt idx="13">
                  <c:v>0.11986707809162117</c:v>
                </c:pt>
                <c:pt idx="14">
                  <c:v>0.27233392720794097</c:v>
                </c:pt>
                <c:pt idx="15">
                  <c:v>0.15034695451040864</c:v>
                </c:pt>
                <c:pt idx="16">
                  <c:v>5.705916963488384E-2</c:v>
                </c:pt>
                <c:pt idx="17">
                  <c:v>6.1473897503912078E-2</c:v>
                </c:pt>
              </c:numCache>
            </c:numRef>
          </c:xVal>
          <c:yVal>
            <c:numRef>
              <c:f>'Spreads Averages'!$L$95:$L$112</c:f>
              <c:numCache>
                <c:formatCode>#,##0</c:formatCode>
                <c:ptCount val="18"/>
                <c:pt idx="0">
                  <c:v>-4</c:v>
                </c:pt>
                <c:pt idx="1">
                  <c:v>-24.25</c:v>
                </c:pt>
                <c:pt idx="2">
                  <c:v>-29.75</c:v>
                </c:pt>
                <c:pt idx="3">
                  <c:v>31</c:v>
                </c:pt>
                <c:pt idx="4">
                  <c:v>245.25</c:v>
                </c:pt>
                <c:pt idx="5">
                  <c:v>47</c:v>
                </c:pt>
                <c:pt idx="6">
                  <c:v>17.5</c:v>
                </c:pt>
                <c:pt idx="7">
                  <c:v>98</c:v>
                </c:pt>
                <c:pt idx="8">
                  <c:v>312.5</c:v>
                </c:pt>
                <c:pt idx="9">
                  <c:v>270.75</c:v>
                </c:pt>
                <c:pt idx="10">
                  <c:v>35.75</c:v>
                </c:pt>
                <c:pt idx="11">
                  <c:v>75</c:v>
                </c:pt>
                <c:pt idx="12">
                  <c:v>-3</c:v>
                </c:pt>
                <c:pt idx="13">
                  <c:v>-15.5</c:v>
                </c:pt>
                <c:pt idx="14">
                  <c:v>-23.25</c:v>
                </c:pt>
                <c:pt idx="15">
                  <c:v>4.5</c:v>
                </c:pt>
                <c:pt idx="16">
                  <c:v>110.48949134199137</c:v>
                </c:pt>
                <c:pt idx="17">
                  <c:v>347.70730303030285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C9E0-4AC9-8809-3779FD1FD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3370360"/>
        <c:axId val="1813367736"/>
      </c:scatterChart>
      <c:valAx>
        <c:axId val="1813370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U.S. Stocks</a:t>
                </a:r>
                <a:r>
                  <a:rPr lang="en-US" sz="1200" baseline="0">
                    <a:solidFill>
                      <a:sysClr val="windowText" lastClr="000000"/>
                    </a:solidFill>
                  </a:rPr>
                  <a:t>-to-Use</a:t>
                </a:r>
                <a:endParaRPr lang="en-US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13367736"/>
        <c:crosses val="autoZero"/>
        <c:crossBetween val="midCat"/>
      </c:valAx>
      <c:valAx>
        <c:axId val="1813367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aseline="0">
                    <a:solidFill>
                      <a:sysClr val="windowText" lastClr="000000"/>
                    </a:solidFill>
                  </a:rPr>
                  <a:t>Dollars per Bushel</a:t>
                </a:r>
                <a:endParaRPr lang="en-US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13370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chart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chart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chart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chart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chart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chart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chart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4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A09DD89-DC71-4771-ADC1-A3694B2F3AB2}">
  <sheetPr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9C2818C-2352-4419-941E-1FE8D246B0A6}">
  <sheetPr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4F2F78F-A645-4333-8B80-552E7CB55211}">
  <sheetPr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AFA6A48-7905-48A5-84AB-4CF032E739E6}">
  <sheetPr/>
  <sheetViews>
    <sheetView tabSelected="1" zoomScale="115" workbookViewId="0"/>
  </sheetViews>
  <pageMargins left="0.25" right="0.25" top="1.25" bottom="1.25" header="0.3" footer="0.3"/>
  <pageSetup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B7E6CA7-6025-499B-B69D-C6519C76F670}">
  <sheetPr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4F0AF4D-5E96-4CCD-A405-D8E3DC131B66}">
  <sheetPr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8578BC9-2B62-4B38-9451-FBF927CAF436}">
  <sheetPr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C299348-6674-4AAB-B32A-A546248E8380}">
  <sheetPr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18ABB97-3761-4840-8E3B-EC2712C62BCD}">
  <sheetPr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56EB8FF-1985-45CB-BC4F-67244AF7C65B}">
  <sheetPr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3F2E786-440A-4B45-B7E0-CCB14533D20D}">
  <sheetPr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15DA424-2853-4AA5-8F86-28613FD7A05F}">
  <sheetPr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3C115E8-8D3E-4897-96C5-2E93C63FC95E}">
  <sheetPr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6E85195-EE42-4780-8D87-5A8480C0BFE0}">
  <sheetPr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C10557-51C3-F172-35D2-88CF2845F89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02369A-6E68-2279-F1EE-A87C3AD853D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34382D-915A-B8EE-138A-CEFB4A62252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0.95686</cdr:y>
    </cdr:from>
    <cdr:to>
      <cdr:x>0.29232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B55DD4D-EDBF-4422-98AC-B74BFD3BD369}"/>
            </a:ext>
          </a:extLst>
        </cdr:cNvPr>
        <cdr:cNvSpPr txBox="1"/>
      </cdr:nvSpPr>
      <cdr:spPr>
        <a:xfrm xmlns:a="http://schemas.openxmlformats.org/drawingml/2006/main">
          <a:off x="0" y="5143501"/>
          <a:ext cx="2774674" cy="2319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CME, The Jacobsen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D065DB-AD84-0674-BF12-A5A327A75A0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87A005-1C54-D334-14B2-31E0AD298BD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5565B0-52FE-7D3E-AFF0-837F3C7AD82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B0FB3C-5A58-3D17-7F9A-7F709A0E2B5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051678-AFA7-5AF1-A92A-FB26F133A23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9BEF5D-762F-CC67-6256-6A2ED24221A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24B957-9CDB-870B-ABF6-8F71413C213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873CD7-679B-6357-7271-E6657831334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1EBDFB-E2D1-8668-BB9D-6C396D959D3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6FBE2D-AA41-C570-3B33-AF68EDF1B8C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FA9C11-C510-CDB8-12A9-E26607FBB6C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RLC%20Documents\Models\Oilseeds\US%20Oilseed%20Balance%20Sheets.xlsx" TargetMode="External"/><Relationship Id="rId1" Type="http://schemas.openxmlformats.org/officeDocument/2006/relationships/externalLinkPath" Target="US%20Oilseed%20Balance%20Sheet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World%20Soybean%20Balance%20Sheet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RLC%20Documents\Models\Oilseeds\Soybean%20Price%20Model.xlsx" TargetMode="External"/><Relationship Id="rId1" Type="http://schemas.openxmlformats.org/officeDocument/2006/relationships/externalLinkPath" Target="Soybean%20Price%20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SDA Comp"/>
      <sheetName val="Long-Term Comparison"/>
      <sheetName val="Sheet2"/>
      <sheetName val="VO CY Balance Sheets"/>
      <sheetName val="VO MY Balance Sheets"/>
      <sheetName val="Soy Complex"/>
      <sheetName val="Soy Complex-old"/>
      <sheetName val="Acreage-Yield Scenario"/>
      <sheetName val="Slaughter"/>
      <sheetName val="Crop Progress"/>
      <sheetName val="Soy Monthly Bal"/>
      <sheetName val="Meal Monthly Bal"/>
      <sheetName val="Meal Domestic Use"/>
      <sheetName val="Chart2"/>
      <sheetName val="Meal and Co-Product Dom Use"/>
      <sheetName val="Oil Monthly Bal"/>
      <sheetName val="Oil Domestic Supply"/>
      <sheetName val="Veg Oil Imports"/>
      <sheetName val="Sun Complex"/>
      <sheetName val="Sunflower Meal Monthly Bal"/>
      <sheetName val="Sunflower Oil Monthly Bal"/>
      <sheetName val="Canola USDA Comp"/>
      <sheetName val="Canola Complex"/>
      <sheetName val="Canola State Production"/>
      <sheetName val="Canola Meal Monthly Bal"/>
      <sheetName val="Canola Oil Monthly Bal"/>
      <sheetName val="Cottonseed Complex"/>
      <sheetName val="Peanut Complex"/>
      <sheetName val="Flaxseed Complex"/>
      <sheetName val="Safflower Complex"/>
      <sheetName val="Chart1"/>
      <sheetName val="Protein Meal and Animal Units"/>
      <sheetName val="US Oilseed Balance Sheets"/>
    </sheetNames>
    <sheetDataSet>
      <sheetData sheetId="0"/>
      <sheetData sheetId="1"/>
      <sheetData sheetId="2"/>
      <sheetData sheetId="3"/>
      <sheetData sheetId="4"/>
      <sheetData sheetId="5">
        <row r="2">
          <cell r="K2"/>
          <cell r="L2"/>
          <cell r="M2"/>
          <cell r="N2"/>
          <cell r="O2"/>
          <cell r="P2"/>
          <cell r="Q2"/>
          <cell r="R2"/>
          <cell r="S2"/>
          <cell r="T2"/>
          <cell r="U2"/>
          <cell r="V2"/>
          <cell r="W2"/>
          <cell r="X2"/>
          <cell r="Y2"/>
          <cell r="Z2"/>
          <cell r="AA2"/>
          <cell r="AB2"/>
          <cell r="AC2"/>
          <cell r="AD2"/>
          <cell r="AE2"/>
          <cell r="AF2"/>
          <cell r="AG2"/>
          <cell r="AH2"/>
          <cell r="AI2"/>
          <cell r="AJ2"/>
          <cell r="AK2"/>
          <cell r="AL2"/>
          <cell r="AM2"/>
          <cell r="AN2"/>
          <cell r="AO2"/>
          <cell r="AP2"/>
          <cell r="AQ2"/>
          <cell r="AR2"/>
          <cell r="AS2"/>
          <cell r="AT2"/>
          <cell r="AU2"/>
          <cell r="AV2"/>
          <cell r="AW2"/>
          <cell r="AX2"/>
          <cell r="AY2"/>
          <cell r="AZ2"/>
          <cell r="BA2"/>
          <cell r="BB2"/>
          <cell r="BC2"/>
          <cell r="BD2"/>
          <cell r="BE2"/>
          <cell r="BF2"/>
          <cell r="BG2"/>
          <cell r="BH2"/>
          <cell r="BI2"/>
          <cell r="BJ2"/>
          <cell r="BK2"/>
        </row>
        <row r="4">
          <cell r="AX4">
            <v>75.718000000000004</v>
          </cell>
          <cell r="AY4">
            <v>77.450999999999993</v>
          </cell>
          <cell r="AZ4">
            <v>77.403999999999996</v>
          </cell>
          <cell r="BA4">
            <v>75.046000000000006</v>
          </cell>
          <cell r="BB4">
            <v>77.197999999999993</v>
          </cell>
          <cell r="BC4">
            <v>76.84</v>
          </cell>
          <cell r="BD4">
            <v>83.275999999999996</v>
          </cell>
          <cell r="BE4">
            <v>82.65</v>
          </cell>
          <cell r="BF4">
            <v>83.453000000000003</v>
          </cell>
          <cell r="BG4">
            <v>90.162000000000006</v>
          </cell>
          <cell r="BH4">
            <v>89.167000000000002</v>
          </cell>
          <cell r="BI4">
            <v>76.099999999999994</v>
          </cell>
          <cell r="BJ4">
            <v>83.353999999999999</v>
          </cell>
          <cell r="BK4">
            <v>87.194999999999993</v>
          </cell>
        </row>
        <row r="5">
          <cell r="AX5">
            <v>74.680999999999997</v>
          </cell>
          <cell r="AY5">
            <v>76.372</v>
          </cell>
          <cell r="AZ5">
            <v>76.61</v>
          </cell>
          <cell r="BA5">
            <v>73.775999999999996</v>
          </cell>
          <cell r="BB5">
            <v>76.144000000000005</v>
          </cell>
          <cell r="BC5">
            <v>76.253</v>
          </cell>
          <cell r="BD5">
            <v>82.590999999999994</v>
          </cell>
          <cell r="BE5">
            <v>81.731999999999999</v>
          </cell>
          <cell r="BF5">
            <v>82.706000000000003</v>
          </cell>
          <cell r="BG5">
            <v>89.542000000000002</v>
          </cell>
          <cell r="BH5">
            <v>87.593999999999994</v>
          </cell>
          <cell r="BI5">
            <v>74.938999999999993</v>
          </cell>
          <cell r="BJ5">
            <v>82.602999999999994</v>
          </cell>
          <cell r="BK5">
            <v>86.292000000000002</v>
          </cell>
        </row>
        <row r="7">
          <cell r="AX7">
            <v>39.729074329481399</v>
          </cell>
          <cell r="AY7">
            <v>44.007371811658722</v>
          </cell>
          <cell r="AZ7">
            <v>43.483957707871035</v>
          </cell>
          <cell r="BA7">
            <v>41.98084743005856</v>
          </cell>
          <cell r="BB7">
            <v>39.951197730615668</v>
          </cell>
          <cell r="BC7">
            <v>44.024549853776243</v>
          </cell>
          <cell r="BD7">
            <v>47.560509014299384</v>
          </cell>
          <cell r="BE7">
            <v>48.044572505261101</v>
          </cell>
          <cell r="BF7">
            <v>51.949024254588544</v>
          </cell>
          <cell r="BG7">
            <v>49.268868240602174</v>
          </cell>
          <cell r="BH7">
            <v>50.553120076717583</v>
          </cell>
          <cell r="BI7">
            <v>47.397323156167019</v>
          </cell>
          <cell r="BJ7">
            <v>51.042964541239421</v>
          </cell>
          <cell r="BK7">
            <v>51.737032401613128</v>
          </cell>
        </row>
        <row r="8">
          <cell r="AX8">
            <v>205.03399999999999</v>
          </cell>
          <cell r="AY8">
            <v>138.19800000000001</v>
          </cell>
          <cell r="AZ8">
            <v>150.88499999999999</v>
          </cell>
          <cell r="BA8">
            <v>215.01300000000001</v>
          </cell>
          <cell r="BB8">
            <v>169.37</v>
          </cell>
          <cell r="BC8">
            <v>140.55699999999999</v>
          </cell>
          <cell r="BD8">
            <v>91.991</v>
          </cell>
          <cell r="BE8">
            <v>190.61</v>
          </cell>
          <cell r="BF8">
            <v>196.72900000000001</v>
          </cell>
          <cell r="BG8">
            <v>301.59500000000003</v>
          </cell>
          <cell r="BH8">
            <v>438.10500000000002</v>
          </cell>
          <cell r="BI8">
            <v>909.05200000000002</v>
          </cell>
          <cell r="BJ8">
            <v>524.54100000000005</v>
          </cell>
          <cell r="BK8">
            <v>256.97899999999998</v>
          </cell>
        </row>
        <row r="9">
          <cell r="AX9">
            <v>2967.0070000000001</v>
          </cell>
          <cell r="AY9">
            <v>3360.931</v>
          </cell>
          <cell r="AZ9">
            <v>3331.306</v>
          </cell>
          <cell r="BA9">
            <v>3097.1790000000001</v>
          </cell>
          <cell r="BB9">
            <v>3042.0439999999999</v>
          </cell>
          <cell r="BC9">
            <v>3357.0039999999999</v>
          </cell>
          <cell r="BD9">
            <v>3928.07</v>
          </cell>
          <cell r="BE9">
            <v>3926.779</v>
          </cell>
          <cell r="BF9">
            <v>4296.4960000000001</v>
          </cell>
          <cell r="BG9">
            <v>4411.6329999999998</v>
          </cell>
          <cell r="BH9">
            <v>4428.1499999999996</v>
          </cell>
          <cell r="BI9">
            <v>3551.9079999999999</v>
          </cell>
          <cell r="BJ9">
            <v>4216.3019999999997</v>
          </cell>
          <cell r="BK9">
            <v>4464.4920000000002</v>
          </cell>
        </row>
        <row r="10">
          <cell r="AX10">
            <v>13.272</v>
          </cell>
          <cell r="AY10">
            <v>14.590999999999998</v>
          </cell>
          <cell r="AZ10">
            <v>14.45</v>
          </cell>
          <cell r="BA10">
            <v>16.132000000000001</v>
          </cell>
          <cell r="BB10">
            <v>40.518000000000001</v>
          </cell>
          <cell r="BC10">
            <v>71.775000000000006</v>
          </cell>
          <cell r="BD10">
            <v>33.204999999999998</v>
          </cell>
          <cell r="BE10">
            <v>21.376160893910001</v>
          </cell>
          <cell r="BF10">
            <v>23.073195142023351</v>
          </cell>
          <cell r="BG10">
            <v>22.918877295211352</v>
          </cell>
          <cell r="BH10">
            <v>14.057999999999996</v>
          </cell>
          <cell r="BI10">
            <v>15.417108588320001</v>
          </cell>
          <cell r="BJ10">
            <v>19.864351540759994</v>
          </cell>
          <cell r="BK10">
            <v>16.508540229299996</v>
          </cell>
        </row>
        <row r="11">
          <cell r="AX11">
            <v>3185.3130000000001</v>
          </cell>
          <cell r="AY11">
            <v>3513.72</v>
          </cell>
          <cell r="AZ11">
            <v>3496.6409999999996</v>
          </cell>
          <cell r="BA11">
            <v>3328.3240000000001</v>
          </cell>
          <cell r="BB11">
            <v>3251.9319999999998</v>
          </cell>
          <cell r="BC11">
            <v>3569.3359999999998</v>
          </cell>
          <cell r="BD11">
            <v>4053.2660000000001</v>
          </cell>
          <cell r="BE11">
            <v>4138.7651608939104</v>
          </cell>
          <cell r="BF11">
            <v>4516.2981951420234</v>
          </cell>
          <cell r="BG11">
            <v>4736.1468772952112</v>
          </cell>
          <cell r="BH11">
            <v>4880.3129999999992</v>
          </cell>
          <cell r="BI11">
            <v>4476.37710858832</v>
          </cell>
          <cell r="BJ11">
            <v>4760.7073515407601</v>
          </cell>
          <cell r="BK11">
            <v>4737.9795402293003</v>
          </cell>
        </row>
        <row r="12">
          <cell r="AX12">
            <v>1661.917551</v>
          </cell>
          <cell r="AY12">
            <v>1751.6824099999999</v>
          </cell>
          <cell r="AZ12">
            <v>1647.991689</v>
          </cell>
          <cell r="BA12">
            <v>1702.9970080000001</v>
          </cell>
          <cell r="BB12">
            <v>1688.997658</v>
          </cell>
          <cell r="BC12">
            <v>1734.0086899999999</v>
          </cell>
          <cell r="BD12">
            <v>1873.0101079999999</v>
          </cell>
          <cell r="BE12">
            <v>1886.23784</v>
          </cell>
          <cell r="BF12">
            <v>1901.1980666666664</v>
          </cell>
          <cell r="BG12">
            <v>2054.9320000000002</v>
          </cell>
          <cell r="BH12">
            <v>2091.9902666666667</v>
          </cell>
          <cell r="BI12">
            <v>2164.5542333333337</v>
          </cell>
          <cell r="BJ12">
            <v>2140.5846666666666</v>
          </cell>
          <cell r="BK12">
            <v>2203.8721666666665</v>
          </cell>
        </row>
        <row r="13">
          <cell r="AX13">
            <v>1279.3054030000001</v>
          </cell>
          <cell r="AY13">
            <v>1499.069473</v>
          </cell>
          <cell r="AZ13">
            <v>1504.9852080000001</v>
          </cell>
          <cell r="BA13">
            <v>1366.351228</v>
          </cell>
          <cell r="BB13">
            <v>1327.5131369999999</v>
          </cell>
          <cell r="BC13">
            <v>1638.548558</v>
          </cell>
          <cell r="BD13">
            <v>1842.439349</v>
          </cell>
          <cell r="BE13">
            <v>1942.271982</v>
          </cell>
          <cell r="BF13">
            <v>2173.6470610000001</v>
          </cell>
          <cell r="BG13">
            <v>2139.6039930184129</v>
          </cell>
          <cell r="BH13">
            <v>1757.5601175994966</v>
          </cell>
          <cell r="BI13">
            <v>1684.0215011639295</v>
          </cell>
          <cell r="BJ13">
            <v>2269.4096088117353</v>
          </cell>
          <cell r="BK13">
            <v>2156.8531532599654</v>
          </cell>
        </row>
        <row r="14">
          <cell r="AX14">
            <v>90</v>
          </cell>
          <cell r="AY14">
            <v>90</v>
          </cell>
          <cell r="AZ14">
            <v>87</v>
          </cell>
          <cell r="BA14">
            <v>90</v>
          </cell>
          <cell r="BB14">
            <v>89</v>
          </cell>
          <cell r="BC14">
            <v>97</v>
          </cell>
          <cell r="BD14">
            <v>96</v>
          </cell>
          <cell r="BE14">
            <v>97</v>
          </cell>
          <cell r="BF14">
            <v>98.73</v>
          </cell>
          <cell r="BG14">
            <v>99.22</v>
          </cell>
          <cell r="BH14">
            <v>76.12</v>
          </cell>
          <cell r="BI14">
            <v>93.61</v>
          </cell>
          <cell r="BJ14">
            <v>82.77</v>
          </cell>
          <cell r="BK14">
            <v>75</v>
          </cell>
        </row>
        <row r="15">
          <cell r="AX15">
            <v>15.892046000000164</v>
          </cell>
          <cell r="AY15">
            <v>22.083117000000129</v>
          </cell>
          <cell r="AZ15">
            <v>41.651102999999694</v>
          </cell>
          <cell r="BA15">
            <v>-0.39423599999986436</v>
          </cell>
          <cell r="BB15">
            <v>5.8642050000000836</v>
          </cell>
          <cell r="BC15">
            <v>7.7877519999999549</v>
          </cell>
          <cell r="BD15">
            <v>51.206543000000011</v>
          </cell>
          <cell r="BE15">
            <v>16.526338893910633</v>
          </cell>
          <cell r="BF15">
            <v>41.128067475357057</v>
          </cell>
          <cell r="BG15">
            <v>4.2858842767973329</v>
          </cell>
          <cell r="BH15">
            <v>45.590615733835875</v>
          </cell>
          <cell r="BI15">
            <v>9.6503740910561646</v>
          </cell>
          <cell r="BJ15">
            <v>10.964076062357435</v>
          </cell>
          <cell r="BK15">
            <v>27.86022030266804</v>
          </cell>
        </row>
        <row r="16">
          <cell r="AX16">
            <v>3047.1150000000002</v>
          </cell>
          <cell r="AY16">
            <v>3362.835</v>
          </cell>
          <cell r="AZ16">
            <v>3281.6279999999997</v>
          </cell>
          <cell r="BA16">
            <v>3158.9540000000002</v>
          </cell>
          <cell r="BB16">
            <v>3111.375</v>
          </cell>
          <cell r="BC16">
            <v>3477.3449999999998</v>
          </cell>
          <cell r="BD16">
            <v>3862.6559999999999</v>
          </cell>
          <cell r="BE16">
            <v>3942.0361608939106</v>
          </cell>
          <cell r="BF16">
            <v>4214.7031951420231</v>
          </cell>
          <cell r="BG16">
            <v>4298.0418772952107</v>
          </cell>
          <cell r="BH16">
            <v>3971.2609999999991</v>
          </cell>
          <cell r="BI16">
            <v>3951.8361085883198</v>
          </cell>
          <cell r="BJ16">
            <v>4503.7283515407598</v>
          </cell>
          <cell r="BK16">
            <v>4463.5855402293</v>
          </cell>
        </row>
        <row r="17">
          <cell r="AX17">
            <v>138.19800000000001</v>
          </cell>
          <cell r="AY17">
            <v>150.88499999999999</v>
          </cell>
          <cell r="AZ17">
            <v>215.01300000000001</v>
          </cell>
          <cell r="BA17">
            <v>169.37</v>
          </cell>
          <cell r="BB17">
            <v>140.55699999999999</v>
          </cell>
          <cell r="BC17">
            <v>91.991</v>
          </cell>
          <cell r="BD17">
            <v>190.61</v>
          </cell>
          <cell r="BE17">
            <v>196.72900000000001</v>
          </cell>
          <cell r="BF17">
            <v>301.59500000000003</v>
          </cell>
          <cell r="BG17">
            <v>438.10500000000002</v>
          </cell>
          <cell r="BH17">
            <v>909.05200000000002</v>
          </cell>
          <cell r="BI17">
            <v>524.54100000000005</v>
          </cell>
          <cell r="BJ17">
            <v>256.97899999999998</v>
          </cell>
          <cell r="BK17">
            <v>274.39400000000001</v>
          </cell>
        </row>
        <row r="19">
          <cell r="AX19">
            <v>10.235776937712362</v>
          </cell>
          <cell r="AY19">
            <v>9.7797765290820937</v>
          </cell>
          <cell r="AZ19">
            <v>13.123063715159111</v>
          </cell>
          <cell r="BA19">
            <v>13.586029918752743</v>
          </cell>
          <cell r="BB19">
            <v>14.772544643373093</v>
          </cell>
          <cell r="BC19">
            <v>13.502861646664421</v>
          </cell>
          <cell r="BD19">
            <v>9.8799524812525377</v>
          </cell>
          <cell r="BE19">
            <v>9.4980071869396809</v>
          </cell>
          <cell r="BF19">
            <v>9.8274037539500938</v>
          </cell>
          <cell r="BG19">
            <v>9.6751040897905192</v>
          </cell>
          <cell r="BH19">
            <v>8.7743874820037586</v>
          </cell>
          <cell r="BI19">
            <v>8.8702767547574481</v>
          </cell>
          <cell r="BJ19">
            <v>13.224020978727287</v>
          </cell>
          <cell r="BK19">
            <v>14.893778655197778</v>
          </cell>
        </row>
        <row r="20">
          <cell r="AI20"/>
          <cell r="AJ20" t="e">
            <v>#REF!</v>
          </cell>
          <cell r="AK20" t="e">
            <v>#REF!</v>
          </cell>
          <cell r="AL20" t="e">
            <v>#REF!</v>
          </cell>
          <cell r="AM20" t="e">
            <v>#REF!</v>
          </cell>
          <cell r="AN20" t="e">
            <v>#REF!</v>
          </cell>
          <cell r="AO20" t="e">
            <v>#REF!</v>
          </cell>
          <cell r="AP20" t="e">
            <v>#REF!</v>
          </cell>
          <cell r="AQ20" t="e">
            <v>#REF!</v>
          </cell>
          <cell r="AR20" t="e">
            <v>#REF!</v>
          </cell>
          <cell r="AS20" t="e">
            <v>#REF!</v>
          </cell>
          <cell r="AT20" t="e">
            <v>#REF!</v>
          </cell>
          <cell r="AU20" t="e">
            <v>#REF!</v>
          </cell>
          <cell r="AV20" t="e">
            <v>#REF!</v>
          </cell>
          <cell r="AW20" t="e">
            <v>#REF!</v>
          </cell>
          <cell r="AX20" t="e">
            <v>#REF!</v>
          </cell>
          <cell r="AY20" t="e">
            <v>#REF!</v>
          </cell>
          <cell r="AZ20" t="e">
            <v>#REF!</v>
          </cell>
          <cell r="BA20" t="e">
            <v>#REF!</v>
          </cell>
          <cell r="BB20" t="e">
            <v>#REF!</v>
          </cell>
          <cell r="BC20" t="e">
            <v>#REF!</v>
          </cell>
          <cell r="BD20" t="e">
            <v>#REF!</v>
          </cell>
          <cell r="BE20" t="e">
            <v>#REF!</v>
          </cell>
          <cell r="BF20" t="e">
            <v>#REF!</v>
          </cell>
          <cell r="BG20" t="e">
            <v>#REF!</v>
          </cell>
          <cell r="BH20" t="e">
            <v>#REF!</v>
          </cell>
          <cell r="BI20" t="e">
            <v>#REF!</v>
          </cell>
          <cell r="BJ20" t="e">
            <v>#REF!</v>
          </cell>
          <cell r="BK20" t="e">
            <v>#REF!</v>
          </cell>
        </row>
        <row r="54">
          <cell r="AX54">
            <v>2.7709999999999999</v>
          </cell>
          <cell r="AY54">
            <v>3.1719999999999997</v>
          </cell>
          <cell r="AZ54">
            <v>3.738</v>
          </cell>
          <cell r="BA54">
            <v>2.843</v>
          </cell>
          <cell r="BB54">
            <v>4.2859999999999996</v>
          </cell>
          <cell r="BC54">
            <v>7.4890000000000008</v>
          </cell>
          <cell r="BD54">
            <v>7.625</v>
          </cell>
          <cell r="BE54">
            <v>4.3373061922190015</v>
          </cell>
          <cell r="BF54">
            <v>5.4253432566899988</v>
          </cell>
          <cell r="BG54">
            <v>5.7241180273970045</v>
          </cell>
          <cell r="BH54">
            <v>3.6420000000000003</v>
          </cell>
          <cell r="BI54">
            <v>3.5880000000000001</v>
          </cell>
          <cell r="BJ54">
            <v>3.0836011170299997</v>
          </cell>
          <cell r="BK54">
            <v>2.9653121236199995</v>
          </cell>
        </row>
        <row r="55">
          <cell r="AX55">
            <v>3174.8120000000004</v>
          </cell>
          <cell r="AY55">
            <v>3502.3009999999999</v>
          </cell>
          <cell r="AZ55">
            <v>3485.9289999999996</v>
          </cell>
          <cell r="BA55">
            <v>3315.0349999999999</v>
          </cell>
          <cell r="BB55">
            <v>3215.7</v>
          </cell>
          <cell r="BC55">
            <v>3505.0499999999997</v>
          </cell>
          <cell r="BD55">
            <v>4027.6860000000001</v>
          </cell>
          <cell r="BE55">
            <v>4121.7263061922195</v>
          </cell>
          <cell r="BF55">
            <v>4498.6503432566906</v>
          </cell>
          <cell r="BG55">
            <v>4718.9521180273969</v>
          </cell>
          <cell r="BH55">
            <v>4869.896999999999</v>
          </cell>
          <cell r="BI55">
            <v>4464.5479999999998</v>
          </cell>
          <cell r="BJ55">
            <v>4743.9266011170303</v>
          </cell>
          <cell r="BK55">
            <v>4724.4363121236202</v>
          </cell>
        </row>
        <row r="58">
          <cell r="AX58">
            <v>386.93372163179993</v>
          </cell>
          <cell r="AY58">
            <v>535.9782575091001</v>
          </cell>
          <cell r="AZ58">
            <v>622.06349225999998</v>
          </cell>
          <cell r="BA58">
            <v>424.83150450509999</v>
          </cell>
          <cell r="BB58">
            <v>626.17815580741512</v>
          </cell>
          <cell r="BC58">
            <v>676.50578762861915</v>
          </cell>
          <cell r="BD58">
            <v>812.5689497103416</v>
          </cell>
          <cell r="BE58">
            <v>793.09179560528332</v>
          </cell>
          <cell r="BF58">
            <v>926.21874757811327</v>
          </cell>
          <cell r="BG58">
            <v>858.12332432097412</v>
          </cell>
          <cell r="BH58">
            <v>505.2324498086474</v>
          </cell>
          <cell r="BI58">
            <v>611.49504297830356</v>
          </cell>
          <cell r="BJ58">
            <v>1090.6883929083006</v>
          </cell>
          <cell r="BK58">
            <v>863.69616827878008</v>
          </cell>
        </row>
        <row r="59"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</row>
        <row r="60">
          <cell r="Q60"/>
          <cell r="R60"/>
          <cell r="S60"/>
          <cell r="T60"/>
          <cell r="U60"/>
          <cell r="V60"/>
          <cell r="W60"/>
          <cell r="X60"/>
          <cell r="Y60"/>
          <cell r="Z60"/>
          <cell r="AA60"/>
          <cell r="AB60"/>
          <cell r="AC60"/>
          <cell r="AD60"/>
          <cell r="AE60"/>
          <cell r="AF60"/>
          <cell r="AG60"/>
          <cell r="AH60"/>
          <cell r="AI60"/>
          <cell r="AJ60">
            <v>-154.04831877253355</v>
          </cell>
          <cell r="AK60">
            <v>93.889157719433001</v>
          </cell>
          <cell r="AL60">
            <v>88.319380847499929</v>
          </cell>
          <cell r="AM60">
            <v>58.744980296833319</v>
          </cell>
          <cell r="AN60">
            <v>76.935670118933558</v>
          </cell>
          <cell r="AO60">
            <v>97.17053671833321</v>
          </cell>
          <cell r="AP60">
            <v>71.978728454033217</v>
          </cell>
          <cell r="AQ60">
            <v>87.496624568399511</v>
          </cell>
          <cell r="AR60">
            <v>112.33748187543347</v>
          </cell>
          <cell r="AS60">
            <v>142.86335777036652</v>
          </cell>
          <cell r="AT60">
            <v>99.394408237866855</v>
          </cell>
          <cell r="AU60">
            <v>68.258787625600007</v>
          </cell>
          <cell r="AV60">
            <v>113.19087893916696</v>
          </cell>
          <cell r="AW60">
            <v>96.70983231090031</v>
          </cell>
          <cell r="AX60">
            <v>92.022945034867234</v>
          </cell>
          <cell r="AY60">
            <v>182.70940915756637</v>
          </cell>
          <cell r="AZ60">
            <v>143.14750807333303</v>
          </cell>
          <cell r="BA60">
            <v>108.4867022300657</v>
          </cell>
          <cell r="BB60">
            <v>171.85609777315017</v>
          </cell>
          <cell r="BC60">
            <v>228.46861725411964</v>
          </cell>
          <cell r="BD60">
            <v>248.25457227906668</v>
          </cell>
          <cell r="BE60">
            <v>144.07617725360251</v>
          </cell>
          <cell r="BF60">
            <v>188.49356234524384</v>
          </cell>
          <cell r="BG60">
            <v>205.5142603730892</v>
          </cell>
          <cell r="BH60">
            <v>87.53101685801812</v>
          </cell>
          <cell r="BI60">
            <v>76.394890355029702</v>
          </cell>
          <cell r="BJ60">
            <v>147.83317487539671</v>
          </cell>
          <cell r="BK60">
            <v>172.52701051150689</v>
          </cell>
        </row>
        <row r="63">
          <cell r="AX63">
            <v>0.52253813781295166</v>
          </cell>
          <cell r="AY63">
            <v>0.52575313762801734</v>
          </cell>
          <cell r="AZ63">
            <v>0.47891122539818554</v>
          </cell>
          <cell r="BA63">
            <v>0.48061403823392268</v>
          </cell>
          <cell r="BB63">
            <v>0.46283086685169728</v>
          </cell>
          <cell r="BC63">
            <v>0.44343921237766531</v>
          </cell>
          <cell r="BD63">
            <v>0.48185259266761188</v>
          </cell>
          <cell r="BE63">
            <v>0.48211601955287187</v>
          </cell>
          <cell r="BF63">
            <v>0.46049472655926621</v>
          </cell>
          <cell r="BG63">
            <v>0.46983575364660568</v>
          </cell>
          <cell r="BH63">
            <v>0.51657525820753991</v>
          </cell>
          <cell r="BI63">
            <v>0.46718081665481936</v>
          </cell>
          <cell r="BJ63">
            <v>0.44405003495388129</v>
          </cell>
          <cell r="BK63">
            <v>0.48525055124717681</v>
          </cell>
        </row>
        <row r="65">
          <cell r="AX65">
            <v>1086.4319999999998</v>
          </cell>
          <cell r="AY65">
            <v>1109.0500000000002</v>
          </cell>
          <cell r="AZ65">
            <v>1187.0839999999998</v>
          </cell>
          <cell r="BA65">
            <v>1230.8850000000002</v>
          </cell>
          <cell r="BB65">
            <v>1056.1610000000001</v>
          </cell>
          <cell r="BC65">
            <v>1198.6210000000001</v>
          </cell>
          <cell r="BD65">
            <v>1309.7440000000001</v>
          </cell>
          <cell r="BE65">
            <v>1405.5770000000002</v>
          </cell>
          <cell r="BF65">
            <v>1564.056</v>
          </cell>
          <cell r="BG65">
            <v>1675.6790000000001</v>
          </cell>
          <cell r="BH65">
            <v>1810.8240000000001</v>
          </cell>
          <cell r="BI65">
            <v>1732.9879999999998</v>
          </cell>
          <cell r="BJ65">
            <v>1638.2399999999998</v>
          </cell>
          <cell r="BK65">
            <v>1614.5239999999999</v>
          </cell>
        </row>
        <row r="66">
          <cell r="AX66" t="e">
            <v>#REF!</v>
          </cell>
          <cell r="AY66" t="e">
            <v>#REF!</v>
          </cell>
          <cell r="AZ66" t="e">
            <v>#REF!</v>
          </cell>
          <cell r="BA66" t="e">
            <v>#REF!</v>
          </cell>
          <cell r="BB66" t="e">
            <v>#REF!</v>
          </cell>
          <cell r="BC66" t="e">
            <v>#REF!</v>
          </cell>
          <cell r="BD66" t="e">
            <v>#REF!</v>
          </cell>
          <cell r="BE66" t="e">
            <v>#REF!</v>
          </cell>
          <cell r="BF66" t="e">
            <v>#REF!</v>
          </cell>
          <cell r="BG66" t="e">
            <v>#REF!</v>
          </cell>
          <cell r="BH66" t="e">
            <v>#REF!</v>
          </cell>
          <cell r="BI66" t="e">
            <v>#REF!</v>
          </cell>
          <cell r="BJ66" t="e">
            <v>#REF!</v>
          </cell>
          <cell r="BK66" t="e">
            <v>#REF!</v>
          </cell>
        </row>
        <row r="67">
          <cell r="AX67"/>
          <cell r="AY67"/>
          <cell r="AZ67"/>
          <cell r="BA67"/>
          <cell r="BB67"/>
          <cell r="BC67"/>
          <cell r="BD67"/>
          <cell r="BE67"/>
          <cell r="BF67"/>
          <cell r="BG67"/>
          <cell r="BH67"/>
          <cell r="BI67"/>
          <cell r="BJ67"/>
          <cell r="BK67"/>
        </row>
        <row r="70">
          <cell r="AX70">
            <v>2280.0279999999998</v>
          </cell>
          <cell r="AY70">
            <v>2344.1610000000001</v>
          </cell>
          <cell r="AZ70">
            <v>2282.9579999999996</v>
          </cell>
          <cell r="BA70">
            <v>2373.029</v>
          </cell>
          <cell r="BB70">
            <v>1970.8790000000001</v>
          </cell>
          <cell r="BC70">
            <v>2162.0350000000003</v>
          </cell>
          <cell r="BD70">
            <v>2536.4430000000002</v>
          </cell>
          <cell r="BE70">
            <v>2720.3266808164813</v>
          </cell>
          <cell r="BF70">
            <v>2905.7209918956019</v>
          </cell>
          <cell r="BG70">
            <v>3165.679145952065</v>
          </cell>
          <cell r="BH70">
            <v>3749.44</v>
          </cell>
          <cell r="BI70">
            <v>3256.538</v>
          </cell>
          <cell r="BJ70">
            <v>2949.1739688266598</v>
          </cell>
          <cell r="BK70">
            <v>3140.1850357112698</v>
          </cell>
        </row>
        <row r="73">
          <cell r="AX73">
            <v>482.87527018920008</v>
          </cell>
          <cell r="AY73">
            <v>622.28715116189994</v>
          </cell>
          <cell r="AZ73">
            <v>550.53500913810001</v>
          </cell>
          <cell r="BA73">
            <v>479.45793078500697</v>
          </cell>
          <cell r="BB73">
            <v>522.18690794231998</v>
          </cell>
          <cell r="BC73">
            <v>712.22904658936204</v>
          </cell>
          <cell r="BD73">
            <v>725.40655222957105</v>
          </cell>
          <cell r="BE73">
            <v>680.67420759015522</v>
          </cell>
          <cell r="BF73">
            <v>715.95024371790907</v>
          </cell>
          <cell r="BG73">
            <v>598.49668918127782</v>
          </cell>
          <cell r="BH73">
            <v>490.14703164110978</v>
          </cell>
          <cell r="BI73">
            <v>506.60356778482139</v>
          </cell>
          <cell r="BJ73">
            <v>883.55008295073867</v>
          </cell>
          <cell r="BK73">
            <v>673.56993653017105</v>
          </cell>
        </row>
        <row r="74"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</row>
        <row r="75">
          <cell r="Q75"/>
          <cell r="R75"/>
          <cell r="S75"/>
          <cell r="T75"/>
          <cell r="U75"/>
          <cell r="V75"/>
          <cell r="W75"/>
          <cell r="X75"/>
          <cell r="Y75"/>
          <cell r="Z75"/>
          <cell r="AA75"/>
          <cell r="AB75"/>
          <cell r="AC75"/>
          <cell r="AD75"/>
          <cell r="AE75"/>
          <cell r="AF75"/>
          <cell r="AG75"/>
          <cell r="AH75"/>
          <cell r="AI75"/>
          <cell r="AJ75">
            <v>76.263983584866992</v>
          </cell>
          <cell r="AK75">
            <v>6.7734228181001299</v>
          </cell>
          <cell r="AL75">
            <v>35.43824876406677</v>
          </cell>
          <cell r="AM75">
            <v>47.177923293833146</v>
          </cell>
          <cell r="AN75">
            <v>79.768022923999979</v>
          </cell>
          <cell r="AO75">
            <v>63.873055662833622</v>
          </cell>
          <cell r="AP75">
            <v>82.656240869433304</v>
          </cell>
          <cell r="AQ75">
            <v>70.224033130333282</v>
          </cell>
          <cell r="AR75">
            <v>66.938677446799829</v>
          </cell>
          <cell r="AS75">
            <v>27.187740677333409</v>
          </cell>
          <cell r="AT75">
            <v>77.78314540813335</v>
          </cell>
          <cell r="AU75">
            <v>90.620705669333461</v>
          </cell>
          <cell r="AV75">
            <v>70.255182518500078</v>
          </cell>
          <cell r="AW75">
            <v>27.780753322133478</v>
          </cell>
          <cell r="AX75">
            <v>73.436429810799837</v>
          </cell>
          <cell r="AY75">
            <v>-42.401457828566663</v>
          </cell>
          <cell r="AZ75">
            <v>52.694662528566369</v>
          </cell>
          <cell r="BA75">
            <v>73.893203722138537</v>
          </cell>
          <cell r="BB75">
            <v>-25.831430779016955</v>
          </cell>
          <cell r="BC75">
            <v>-30.365165916759906</v>
          </cell>
          <cell r="BD75">
            <v>-13.2317670580303</v>
          </cell>
          <cell r="BE75">
            <v>26.612106559659424</v>
          </cell>
          <cell r="BF75">
            <v>-40.946751822307306</v>
          </cell>
          <cell r="BG75">
            <v>-58.081009895879333</v>
          </cell>
          <cell r="BH75">
            <v>2.5964016922234805</v>
          </cell>
          <cell r="BI75">
            <v>-53.762701118154837</v>
          </cell>
          <cell r="BJ75">
            <v>-50.063180790745491</v>
          </cell>
          <cell r="BK75">
            <v>-32.156867485568</v>
          </cell>
        </row>
        <row r="78">
          <cell r="AX78">
            <v>1.3307473940417427</v>
          </cell>
          <cell r="AY78">
            <v>1.1824562677533508</v>
          </cell>
          <cell r="AZ78">
            <v>1.207552424291066</v>
          </cell>
          <cell r="BA78">
            <v>1.3764963081135377</v>
          </cell>
          <cell r="BB78">
            <v>1.0258629462234505</v>
          </cell>
          <cell r="BC78">
            <v>0.85072936560044554</v>
          </cell>
          <cell r="BD78">
            <v>1.0965041773980775</v>
          </cell>
          <cell r="BE78">
            <v>1.2871022210149441</v>
          </cell>
          <cell r="BF78">
            <v>1.4903590130156146</v>
          </cell>
          <cell r="BG78">
            <v>1.9967347881553861</v>
          </cell>
          <cell r="BH78">
            <v>2.6673966691152229</v>
          </cell>
          <cell r="BI78">
            <v>2.2511540888288994</v>
          </cell>
          <cell r="BJ78">
            <v>1.1255461553503328</v>
          </cell>
          <cell r="BK78">
            <v>1.5986991900715857</v>
          </cell>
        </row>
        <row r="80">
          <cell r="AX80">
            <v>645.28899999999999</v>
          </cell>
          <cell r="AY80">
            <v>660.86799999999994</v>
          </cell>
          <cell r="AZ80">
            <v>743.8</v>
          </cell>
          <cell r="BA80">
            <v>819.48800000000006</v>
          </cell>
          <cell r="BB80">
            <v>541.31999999999994</v>
          </cell>
          <cell r="BC80">
            <v>611.928</v>
          </cell>
          <cell r="BD80">
            <v>717.39899999999989</v>
          </cell>
          <cell r="BE80">
            <v>803.40599999999995</v>
          </cell>
          <cell r="BF80">
            <v>1070.433</v>
          </cell>
          <cell r="BG80">
            <v>1254.3029999999999</v>
          </cell>
          <cell r="BH80">
            <v>1457.069</v>
          </cell>
          <cell r="BI80">
            <v>1243.3820000000001</v>
          </cell>
          <cell r="BJ80">
            <v>967.68399999999997</v>
          </cell>
          <cell r="BK80">
            <v>1181.817</v>
          </cell>
        </row>
        <row r="81">
          <cell r="AX81" t="e">
            <v>#REF!</v>
          </cell>
          <cell r="AY81" t="e">
            <v>#REF!</v>
          </cell>
          <cell r="AZ81" t="e">
            <v>#REF!</v>
          </cell>
          <cell r="BA81" t="e">
            <v>#REF!</v>
          </cell>
          <cell r="BB81" t="e">
            <v>#REF!</v>
          </cell>
          <cell r="BC81" t="e">
            <v>#REF!</v>
          </cell>
          <cell r="BD81" t="e">
            <v>#REF!</v>
          </cell>
          <cell r="BE81" t="e">
            <v>#REF!</v>
          </cell>
          <cell r="BF81" t="e">
            <v>#REF!</v>
          </cell>
          <cell r="BG81" t="e">
            <v>#REF!</v>
          </cell>
          <cell r="BH81" t="e">
            <v>#REF!</v>
          </cell>
          <cell r="BI81" t="e">
            <v>#REF!</v>
          </cell>
          <cell r="BJ81" t="e">
            <v>#REF!</v>
          </cell>
          <cell r="BK81" t="e">
            <v>#REF!</v>
          </cell>
        </row>
        <row r="82">
          <cell r="AX82"/>
          <cell r="AY82"/>
          <cell r="AZ82"/>
          <cell r="BA82"/>
          <cell r="BB82"/>
          <cell r="BC82"/>
          <cell r="BD82"/>
          <cell r="BE82"/>
          <cell r="BF82"/>
          <cell r="BG82"/>
          <cell r="BH82"/>
          <cell r="BI82"/>
          <cell r="BJ82"/>
          <cell r="BK82"/>
        </row>
        <row r="85">
          <cell r="AX85">
            <v>1305.559</v>
          </cell>
          <cell r="AY85">
            <v>1273.25</v>
          </cell>
          <cell r="AZ85">
            <v>1251.7329999999999</v>
          </cell>
          <cell r="BA85">
            <v>1379.819</v>
          </cell>
          <cell r="BB85">
            <v>1005.86</v>
          </cell>
          <cell r="BC85">
            <v>1019.414</v>
          </cell>
          <cell r="BD85">
            <v>1334.818</v>
          </cell>
          <cell r="BE85">
            <v>1536.0598918241999</v>
          </cell>
          <cell r="BF85">
            <v>1745.6034316147664</v>
          </cell>
          <cell r="BG85">
            <v>2116.5145873402944</v>
          </cell>
          <cell r="BH85">
            <v>2730.7550000000001</v>
          </cell>
          <cell r="BI85">
            <v>2258.511</v>
          </cell>
          <cell r="BJ85">
            <v>1566.5632767591401</v>
          </cell>
          <cell r="BK85">
            <v>1936.3748612433901</v>
          </cell>
        </row>
        <row r="88">
          <cell r="AX88">
            <v>243.68337329490004</v>
          </cell>
          <cell r="AY88">
            <v>218.9407168704</v>
          </cell>
          <cell r="AZ88">
            <v>226.8531787158</v>
          </cell>
          <cell r="BA88">
            <v>258.06294680249999</v>
          </cell>
          <cell r="BB88">
            <v>128.66467350026429</v>
          </cell>
          <cell r="BC88">
            <v>192.04426508751783</v>
          </cell>
          <cell r="BD88">
            <v>187.76604864404939</v>
          </cell>
          <cell r="BE88">
            <v>179.94439623038997</v>
          </cell>
          <cell r="BF88">
            <v>263.05131462876955</v>
          </cell>
          <cell r="BG88">
            <v>314.23251532747099</v>
          </cell>
          <cell r="BH88">
            <v>323.39202784829627</v>
          </cell>
          <cell r="BI88">
            <v>244.14320082205825</v>
          </cell>
          <cell r="BJ88">
            <v>183.02428356543658</v>
          </cell>
          <cell r="BK88">
            <v>332.61334803272302</v>
          </cell>
        </row>
        <row r="89">
          <cell r="AX89">
            <v>4.2428571428571429</v>
          </cell>
          <cell r="AY89">
            <v>10.671428571428573</v>
          </cell>
          <cell r="AZ89">
            <v>2.3614285714285717</v>
          </cell>
          <cell r="BA89">
            <v>12.342857142857142</v>
          </cell>
          <cell r="BB89">
            <v>0.50857142857142856</v>
          </cell>
          <cell r="BC89">
            <v>3.7414285714285711</v>
          </cell>
          <cell r="BD89">
            <v>7.9542857142857137</v>
          </cell>
          <cell r="BE89">
            <v>7.0671428571428567</v>
          </cell>
          <cell r="BF89">
            <v>9.8730000000000011</v>
          </cell>
          <cell r="BG89">
            <v>6.3784285714285724</v>
          </cell>
          <cell r="BH89">
            <v>2.9360571428571429</v>
          </cell>
          <cell r="BI89">
            <v>15.512514285714284</v>
          </cell>
          <cell r="BJ89">
            <v>16.081028571428572</v>
          </cell>
          <cell r="BK89">
            <v>8.5714285714285712</v>
          </cell>
        </row>
        <row r="90">
          <cell r="AX90">
            <v>30.617102895576068</v>
          </cell>
          <cell r="AY90">
            <v>47.046316224838051</v>
          </cell>
          <cell r="AZ90">
            <v>6.941526046104741</v>
          </cell>
          <cell r="BA90">
            <v>11.516451722578836</v>
          </cell>
          <cell r="BB90">
            <v>43.736880326600726</v>
          </cell>
          <cell r="BC90">
            <v>-16.804479754462591</v>
          </cell>
          <cell r="BD90">
            <v>27.839958480716291</v>
          </cell>
          <cell r="BE90">
            <v>-8.1509472633329096</v>
          </cell>
          <cell r="BF90">
            <v>37.762750319330166</v>
          </cell>
          <cell r="BG90">
            <v>50.293743441394895</v>
          </cell>
          <cell r="BH90">
            <v>104.92418167551341</v>
          </cell>
          <cell r="BI90">
            <v>62.353751558894146</v>
          </cell>
          <cell r="BJ90">
            <v>66.838264622275005</v>
          </cell>
          <cell r="BK90">
            <v>72.997384639238589</v>
          </cell>
        </row>
        <row r="93">
          <cell r="AX93">
            <v>0.8403707358330984</v>
          </cell>
          <cell r="AY93">
            <v>0.81341837018089336</v>
          </cell>
          <cell r="AZ93">
            <v>0.97918096292197021</v>
          </cell>
          <cell r="BA93">
            <v>0.93698498218582349</v>
          </cell>
          <cell r="BB93">
            <v>0.76097171548820364</v>
          </cell>
          <cell r="BC93">
            <v>0.65928619445317072</v>
          </cell>
          <cell r="BD93">
            <v>0.88600211939244078</v>
          </cell>
          <cell r="BE93">
            <v>1.3123719731722485</v>
          </cell>
          <cell r="BF93">
            <v>1.2386780139818152</v>
          </cell>
          <cell r="BG93">
            <v>1.3590599505891521</v>
          </cell>
          <cell r="BH93">
            <v>1.881531115625082</v>
          </cell>
          <cell r="BI93">
            <v>1.5749255800537443</v>
          </cell>
          <cell r="BJ93">
            <v>0.96428533487463042</v>
          </cell>
          <cell r="BK93">
            <v>0.9986325422582093</v>
          </cell>
        </row>
        <row r="95">
          <cell r="AX95">
            <v>369.85899999999998</v>
          </cell>
          <cell r="AY95">
            <v>338.52300000000002</v>
          </cell>
          <cell r="AZ95">
            <v>401.58300000000003</v>
          </cell>
          <cell r="BA95">
            <v>488.46500000000003</v>
          </cell>
          <cell r="BB95">
            <v>263.56399999999996</v>
          </cell>
          <cell r="BC95">
            <v>295.94500000000005</v>
          </cell>
          <cell r="BD95">
            <v>380.76799999999997</v>
          </cell>
          <cell r="BE95">
            <v>590.48099999999999</v>
          </cell>
          <cell r="BF95">
            <v>633.35599999999999</v>
          </cell>
          <cell r="BG95">
            <v>842.32899999999995</v>
          </cell>
          <cell r="BH95">
            <v>1053.08</v>
          </cell>
          <cell r="BI95">
            <v>748.39400000000001</v>
          </cell>
          <cell r="BJ95">
            <v>549.14</v>
          </cell>
          <cell r="BK95">
            <v>636.125</v>
          </cell>
        </row>
        <row r="96">
          <cell r="AX96" t="e">
            <v>#REF!</v>
          </cell>
          <cell r="AY96" t="e">
            <v>#REF!</v>
          </cell>
          <cell r="AZ96" t="e">
            <v>#REF!</v>
          </cell>
          <cell r="BA96" t="e">
            <v>#REF!</v>
          </cell>
          <cell r="BB96" t="e">
            <v>#REF!</v>
          </cell>
          <cell r="BC96" t="e">
            <v>#REF!</v>
          </cell>
          <cell r="BD96" t="e">
            <v>#REF!</v>
          </cell>
          <cell r="BE96" t="e">
            <v>#REF!</v>
          </cell>
          <cell r="BF96" t="e">
            <v>#REF!</v>
          </cell>
          <cell r="BG96" t="e">
            <v>#REF!</v>
          </cell>
          <cell r="BH96" t="e">
            <v>#REF!</v>
          </cell>
          <cell r="BI96" t="e">
            <v>#REF!</v>
          </cell>
          <cell r="BJ96" t="e">
            <v>#REF!</v>
          </cell>
          <cell r="BK96" t="e">
            <v>#REF!</v>
          </cell>
        </row>
        <row r="97">
          <cell r="AX97">
            <v>0.3795967183251448</v>
          </cell>
          <cell r="AY97">
            <v>0.40726778644880346</v>
          </cell>
          <cell r="AZ97">
            <v>0.35153556613050896</v>
          </cell>
          <cell r="BA97">
            <v>0.26817885582015533</v>
          </cell>
          <cell r="BB97">
            <v>0.39363738427843115</v>
          </cell>
          <cell r="BC97">
            <v>0.26935278796183137</v>
          </cell>
          <cell r="BD97">
            <v>0.39278036831731172</v>
          </cell>
          <cell r="BE97">
            <v>0.32267278135219746</v>
          </cell>
          <cell r="BF97">
            <v>0.3442542159493755</v>
          </cell>
          <cell r="BG97">
            <v>0.30918644598791634</v>
          </cell>
          <cell r="BH97">
            <v>0.40940395271103935</v>
          </cell>
          <cell r="BI97">
            <v>0.4582327706649949</v>
          </cell>
          <cell r="BJ97">
            <v>0.28594091334650995</v>
          </cell>
          <cell r="BK97">
            <v>0.34252344900648563</v>
          </cell>
        </row>
        <row r="100">
          <cell r="AX100">
            <v>598.29399999999998</v>
          </cell>
          <cell r="AY100">
            <v>573.74900000000002</v>
          </cell>
          <cell r="AZ100">
            <v>622.18799999999999</v>
          </cell>
          <cell r="BA100">
            <v>672.279</v>
          </cell>
          <cell r="BB100">
            <v>458.33799999999997</v>
          </cell>
          <cell r="BC100">
            <v>435.33100000000002</v>
          </cell>
          <cell r="BD100">
            <v>635.73</v>
          </cell>
          <cell r="BE100">
            <v>877.41628206100995</v>
          </cell>
          <cell r="BF100">
            <v>970.16842837496529</v>
          </cell>
          <cell r="BG100">
            <v>1224.3120259754548</v>
          </cell>
          <cell r="BH100">
            <v>1786.194</v>
          </cell>
          <cell r="BI100">
            <v>1385.5441085883201</v>
          </cell>
          <cell r="BJ100">
            <v>779.50750483793001</v>
          </cell>
          <cell r="BK100">
            <v>972.84933115102001</v>
          </cell>
        </row>
        <row r="103">
          <cell r="AX103">
            <v>165.80120631270003</v>
          </cell>
          <cell r="AY103">
            <v>121.84199896889999</v>
          </cell>
          <cell r="AZ103">
            <v>105.52595898390001</v>
          </cell>
          <cell r="BA103">
            <v>203.98231809300239</v>
          </cell>
          <cell r="BB103">
            <v>50.496374213726696</v>
          </cell>
          <cell r="BC103">
            <v>57.779840463680998</v>
          </cell>
          <cell r="BD103">
            <v>116.68114200892801</v>
          </cell>
          <cell r="BE103">
            <v>289.8424799124233</v>
          </cell>
          <cell r="BF103">
            <v>262.30422674530087</v>
          </cell>
          <cell r="BG103">
            <v>368.75146418869031</v>
          </cell>
          <cell r="BH103">
            <v>438.78860830144305</v>
          </cell>
          <cell r="BI103">
            <v>321.77968957874668</v>
          </cell>
          <cell r="BJ103">
            <v>112.1468493872601</v>
          </cell>
          <cell r="BK103">
            <v>286.97370041829089</v>
          </cell>
        </row>
        <row r="104">
          <cell r="AX104">
            <v>85.757142857142853</v>
          </cell>
          <cell r="AY104">
            <v>79.328571428571422</v>
          </cell>
          <cell r="AZ104">
            <v>84.638571428571424</v>
          </cell>
          <cell r="BA104">
            <v>77.657142857142858</v>
          </cell>
          <cell r="BB104">
            <v>88.491428571428571</v>
          </cell>
          <cell r="BC104">
            <v>93.258571428571429</v>
          </cell>
          <cell r="BD104">
            <v>88.045714285714283</v>
          </cell>
          <cell r="BE104">
            <v>89.932857142857145</v>
          </cell>
          <cell r="BF104">
            <v>88.856999999999999</v>
          </cell>
          <cell r="BG104">
            <v>92.841571428571427</v>
          </cell>
          <cell r="BH104">
            <v>73.183942857142867</v>
          </cell>
          <cell r="BI104">
            <v>78.09748571428571</v>
          </cell>
          <cell r="BJ104">
            <v>66.688971428571421</v>
          </cell>
          <cell r="BK104">
            <v>66.428571428571431</v>
          </cell>
        </row>
        <row r="105">
          <cell r="AX105">
            <v>-180.17901583650951</v>
          </cell>
          <cell r="AY105">
            <v>-165.2537603974713</v>
          </cell>
          <cell r="AZ105">
            <v>-161.13306645247144</v>
          </cell>
          <cell r="BA105">
            <v>-194.27406586039285</v>
          </cell>
          <cell r="BB105">
            <v>-183.91031678445995</v>
          </cell>
          <cell r="BC105">
            <v>-173.5216013520768</v>
          </cell>
          <cell r="BD105">
            <v>-211.58565629464226</v>
          </cell>
          <cell r="BE105">
            <v>-147.2908549942706</v>
          </cell>
          <cell r="BF105">
            <v>-138.05896503700228</v>
          </cell>
          <cell r="BG105">
            <v>-193.44110964180697</v>
          </cell>
          <cell r="BH105">
            <v>-149.46098449191925</v>
          </cell>
          <cell r="BI105">
            <v>-75.335566704712278</v>
          </cell>
          <cell r="BJ105">
            <v>-152.6441826445681</v>
          </cell>
          <cell r="BK105">
            <v>-185.50730736250898</v>
          </cell>
        </row>
        <row r="108">
          <cell r="AX108">
            <v>0.30036774933926835</v>
          </cell>
          <cell r="AY108">
            <v>0.35681684891596349</v>
          </cell>
          <cell r="AZ108">
            <v>0.5280604162829251</v>
          </cell>
          <cell r="BA108">
            <v>0.33678061040864254</v>
          </cell>
          <cell r="BB108">
            <v>0.44230775282348539</v>
          </cell>
          <cell r="BC108">
            <v>0.26792974893691385</v>
          </cell>
          <cell r="BD108">
            <v>0.42822160316319197</v>
          </cell>
          <cell r="BE108">
            <v>0.28901524265935563</v>
          </cell>
          <cell r="BF108">
            <v>0.45110228315991696</v>
          </cell>
          <cell r="BG108">
            <v>0.55723872405800345</v>
          </cell>
          <cell r="BH108">
            <v>1.0363795143773757</v>
          </cell>
          <cell r="BI108">
            <v>0.60922079696091325</v>
          </cell>
          <cell r="BJ108">
            <v>0.49179900736650878</v>
          </cell>
          <cell r="BK108">
            <v>0.39285833719360719</v>
          </cell>
        </row>
        <row r="110">
          <cell r="AX110">
            <v>103.09800000000001</v>
          </cell>
          <cell r="AY110">
            <v>115.48499999999999</v>
          </cell>
          <cell r="AZ110">
            <v>166.51300000000001</v>
          </cell>
          <cell r="BA110">
            <v>131.12</v>
          </cell>
          <cell r="BB110">
            <v>101.00699999999999</v>
          </cell>
          <cell r="BC110">
            <v>70.665999999999997</v>
          </cell>
          <cell r="BD110">
            <v>140.91000000000003</v>
          </cell>
          <cell r="BE110">
            <v>155.16900000000001</v>
          </cell>
          <cell r="BF110">
            <v>213.69500000000002</v>
          </cell>
          <cell r="BG110">
            <v>337.10500000000002</v>
          </cell>
          <cell r="BH110">
            <v>644.05200000000002</v>
          </cell>
          <cell r="BI110">
            <v>383.34100000000007</v>
          </cell>
          <cell r="BJ110">
            <v>188.87899999999999</v>
          </cell>
          <cell r="BK110">
            <v>211.464</v>
          </cell>
        </row>
        <row r="111">
          <cell r="AX111" t="e">
            <v>#REF!</v>
          </cell>
          <cell r="AY111" t="e">
            <v>#REF!</v>
          </cell>
          <cell r="AZ111" t="e">
            <v>#REF!</v>
          </cell>
          <cell r="BA111" t="e">
            <v>#REF!</v>
          </cell>
          <cell r="BB111" t="e">
            <v>#REF!</v>
          </cell>
          <cell r="BC111" t="e">
            <v>#REF!</v>
          </cell>
          <cell r="BD111" t="e">
            <v>#REF!</v>
          </cell>
          <cell r="BE111" t="e">
            <v>#REF!</v>
          </cell>
          <cell r="BF111" t="e">
            <v>#REF!</v>
          </cell>
          <cell r="BG111" t="e">
            <v>#REF!</v>
          </cell>
          <cell r="BH111" t="e">
            <v>#REF!</v>
          </cell>
          <cell r="BI111" t="e">
            <v>#REF!</v>
          </cell>
          <cell r="BJ111" t="e">
            <v>#REF!</v>
          </cell>
          <cell r="BK111" t="e">
            <v>#REF!</v>
          </cell>
        </row>
        <row r="112">
          <cell r="AX112"/>
          <cell r="AY112"/>
          <cell r="AZ112"/>
          <cell r="BA112"/>
          <cell r="BB112"/>
          <cell r="BC112"/>
          <cell r="BD112"/>
          <cell r="BE112"/>
          <cell r="BF112"/>
          <cell r="BG112"/>
          <cell r="BH112"/>
          <cell r="BI112"/>
          <cell r="BJ112"/>
          <cell r="BK112"/>
        </row>
        <row r="498">
          <cell r="BF498">
            <v>28.768678094275472</v>
          </cell>
          <cell r="BG498">
            <v>23.625378130774202</v>
          </cell>
          <cell r="BH498">
            <v>29.978690417988499</v>
          </cell>
          <cell r="BI498">
            <v>26.442909073749451</v>
          </cell>
          <cell r="BJ498">
            <v>27.887987405935291</v>
          </cell>
          <cell r="BK498">
            <v>34.756941164666294</v>
          </cell>
        </row>
        <row r="499">
          <cell r="BG499">
            <v>26.213908236365775</v>
          </cell>
          <cell r="BH499">
            <v>25.423264775247365</v>
          </cell>
          <cell r="BI499">
            <v>27.237047487240211</v>
          </cell>
          <cell r="BJ499">
            <v>30.550977781346429</v>
          </cell>
          <cell r="BK499">
            <v>32.080731469576222</v>
          </cell>
        </row>
        <row r="500">
          <cell r="BG500">
            <v>33.851087096671606</v>
          </cell>
          <cell r="BH500">
            <v>28.263058268621975</v>
          </cell>
          <cell r="BI500">
            <v>34.954809580014704</v>
          </cell>
          <cell r="BJ500">
            <v>28.887550683426138</v>
          </cell>
          <cell r="BK500">
            <v>33.296656954706073</v>
          </cell>
        </row>
        <row r="501">
          <cell r="BG501">
            <v>40.166307906471381</v>
          </cell>
          <cell r="BH501">
            <v>29.767643797703794</v>
          </cell>
          <cell r="BI501">
            <v>37.162529157157067</v>
          </cell>
          <cell r="BJ501">
            <v>33.522342968796899</v>
          </cell>
          <cell r="BK501">
            <v>34.296142287258448</v>
          </cell>
        </row>
        <row r="502">
          <cell r="BG502">
            <v>38.909928558694212</v>
          </cell>
          <cell r="BH502">
            <v>33.728206721586098</v>
          </cell>
          <cell r="BI502">
            <v>34.34891169539295</v>
          </cell>
          <cell r="BJ502">
            <v>33.177955693534997</v>
          </cell>
          <cell r="BK502">
            <v>35.579619609426338</v>
          </cell>
        </row>
        <row r="503">
          <cell r="BG503">
            <v>36.410938204004047</v>
          </cell>
          <cell r="BH503">
            <v>33.914199486535537</v>
          </cell>
          <cell r="BI503">
            <v>31.702404496753008</v>
          </cell>
          <cell r="BJ503">
            <v>30.206270270299957</v>
          </cell>
          <cell r="BK503">
            <v>31.020371543188766</v>
          </cell>
        </row>
        <row r="504">
          <cell r="BG504">
            <v>46.110589559075095</v>
          </cell>
          <cell r="BH504">
            <v>35.107219660825464</v>
          </cell>
          <cell r="BI504">
            <v>42.172574865781023</v>
          </cell>
          <cell r="BJ504">
            <v>31.406252808071947</v>
          </cell>
          <cell r="BK504">
            <v>33.419469278242246</v>
          </cell>
        </row>
        <row r="505">
          <cell r="BG505">
            <v>31.785997101711043</v>
          </cell>
          <cell r="BH505">
            <v>28.587773257271305</v>
          </cell>
          <cell r="BI505">
            <v>33.886028074460732</v>
          </cell>
          <cell r="BJ505">
            <v>31.843452021149599</v>
          </cell>
          <cell r="BK505">
            <v>33.240463896407086</v>
          </cell>
        </row>
        <row r="506">
          <cell r="BG506">
            <v>33.927710585334822</v>
          </cell>
          <cell r="BH506">
            <v>32.652986982215111</v>
          </cell>
          <cell r="BI506">
            <v>30.479214950129503</v>
          </cell>
          <cell r="BJ506">
            <v>31.810049428407879</v>
          </cell>
          <cell r="BK506">
            <v>32.131988980218772</v>
          </cell>
        </row>
        <row r="507">
          <cell r="BG507">
            <v>36.997719675417891</v>
          </cell>
          <cell r="BH507">
            <v>30.084290192356104</v>
          </cell>
          <cell r="BI507">
            <v>28.642270547853684</v>
          </cell>
          <cell r="BJ507">
            <v>30.505348702561797</v>
          </cell>
          <cell r="BK507">
            <v>30.309136849446279</v>
          </cell>
        </row>
        <row r="508">
          <cell r="BG508">
            <v>32.119984182387867</v>
          </cell>
          <cell r="BH508">
            <v>24.172719933950894</v>
          </cell>
          <cell r="BI508">
            <v>27.237047487240211</v>
          </cell>
          <cell r="BJ508">
            <v>34.135297884904674</v>
          </cell>
          <cell r="BK508">
            <v>27.681605422044157</v>
          </cell>
        </row>
        <row r="509">
          <cell r="BG509">
            <v>27.508831727625893</v>
          </cell>
          <cell r="BH509">
            <v>27.218406842492197</v>
          </cell>
          <cell r="BI509">
            <v>26.709859650284514</v>
          </cell>
          <cell r="BJ509">
            <v>31.567406791050761</v>
          </cell>
          <cell r="BK509">
            <v>28.253139135168141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448">
          <cell r="BL448">
            <v>59.847999999999999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n_crush_margin_data"/>
      <sheetName val="World Soybean Bal Sheet"/>
      <sheetName val="SB World-Major"/>
      <sheetName val="USDA Comp "/>
      <sheetName val="Historic WASDE MY 202425"/>
      <sheetName val="Historic Fastmarkets MY 202425"/>
      <sheetName val="Historic Fastmarkets MY 202324"/>
      <sheetName val="Historic WASDE MY 202324"/>
      <sheetName val="USDA Comp1"/>
      <sheetName val="SBMeal_premium"/>
      <sheetName val="Argentina Prod by state"/>
      <sheetName val="Brazil Planting Pace"/>
      <sheetName val="World Soy Breakdown"/>
      <sheetName val="Major Soybean Exports"/>
      <sheetName val="Major Qrtly Meal Exports chart"/>
      <sheetName val="Major Soybean Meal Exports"/>
      <sheetName val="Major Exporting Quarterly S&amp;D"/>
      <sheetName val="Soybean Trade Matrix"/>
      <sheetName val="Soybean Meal Trade Matrix"/>
      <sheetName val="Soybean Oil Trade Matrix"/>
      <sheetName val="Major Soy Crush"/>
      <sheetName val="US Soy Complex"/>
      <sheetName val="Major Soy Oil"/>
      <sheetName val="China Soy Complex"/>
      <sheetName val="Sheet1"/>
      <sheetName val="Brazil area by state "/>
      <sheetName val="Brazil Soy Complex"/>
      <sheetName val="Brazil  yield by state"/>
      <sheetName val="La Nina and Yields"/>
      <sheetName val="Brazil Soymeal"/>
      <sheetName val="Brazil Soyoil"/>
      <sheetName val="Argentina Soy Complex"/>
      <sheetName val="Argentina Biodiesel Cal Yrs"/>
      <sheetName val="Argentina Soymeal"/>
      <sheetName val="Argentina Soyoil"/>
      <sheetName val="Paraguay Soy Complex"/>
      <sheetName val="SoAm Soy"/>
      <sheetName val="Uruguay Soy Complex"/>
      <sheetName val="EU Soy Complex"/>
      <sheetName val="EU-27"/>
      <sheetName val="UK"/>
      <sheetName val="Canada Soy Complex"/>
      <sheetName val="Canada SBO CY Balance Sheet"/>
      <sheetName val="Ukraine Soy Complex"/>
      <sheetName val="Russia Soybean Complex"/>
      <sheetName val="India Soy Complex"/>
      <sheetName val="Japan Soy Complex"/>
      <sheetName val="Mexico Soy Complex"/>
      <sheetName val="Complex Temp(3)"/>
      <sheetName val="World Soybean Balance Shee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5">
          <cell r="F5" t="e">
            <v>#REF!</v>
          </cell>
          <cell r="K5">
            <v>78.150854957469122</v>
          </cell>
          <cell r="P5">
            <v>71.288494173851987</v>
          </cell>
          <cell r="U5">
            <v>76.390168950783135</v>
          </cell>
          <cell r="Z5">
            <v>84.792021907122447</v>
          </cell>
          <cell r="AE5">
            <v>82.176135708358444</v>
          </cell>
          <cell r="AJ5">
            <v>86.174353823958199</v>
          </cell>
          <cell r="AO5">
            <v>87.615120005303723</v>
          </cell>
          <cell r="AT5">
            <v>90.113080399375804</v>
          </cell>
          <cell r="AY5">
            <v>96.249777874420218</v>
          </cell>
          <cell r="BD5">
            <v>86.341783376601896</v>
          </cell>
          <cell r="BI5">
            <v>113.68923845863608</v>
          </cell>
          <cell r="BN5">
            <v>106.01001594597531</v>
          </cell>
          <cell r="BS5">
            <v>117.14004635705913</v>
          </cell>
          <cell r="BX5">
            <v>107.34094820082468</v>
          </cell>
          <cell r="CC5">
            <v>126.20670890821411</v>
          </cell>
          <cell r="CH5">
            <v>133.06662951132975</v>
          </cell>
          <cell r="CM5">
            <v>104.26469910376198</v>
          </cell>
          <cell r="CR5">
            <v>129.36473553459047</v>
          </cell>
          <cell r="CW5">
            <v>125.71893690343659</v>
          </cell>
          <cell r="DB5">
            <v>130.80571140273213</v>
          </cell>
          <cell r="DG5">
            <v>147.7387723880077</v>
          </cell>
          <cell r="DL5">
            <v>152.48253745020483</v>
          </cell>
          <cell r="DQ5">
            <v>173.56293470035001</v>
          </cell>
          <cell r="DV5">
            <v>183.49970778365295</v>
          </cell>
          <cell r="EA5">
            <v>192.12441793892262</v>
          </cell>
          <cell r="EF5">
            <v>142.47279067373111</v>
          </cell>
          <cell r="EK5">
            <v>155.83526176934063</v>
          </cell>
          <cell r="EP5" t="e">
            <v>#REF!</v>
          </cell>
        </row>
        <row r="8">
          <cell r="F8" t="e">
            <v>#REF!</v>
          </cell>
          <cell r="K8">
            <v>147.06194617008506</v>
          </cell>
          <cell r="P8">
            <v>139.84469222349136</v>
          </cell>
          <cell r="U8">
            <v>146.34281517970933</v>
          </cell>
          <cell r="Z8">
            <v>162.04606359157839</v>
          </cell>
          <cell r="AE8">
            <v>162.37662827024576</v>
          </cell>
          <cell r="AJ8">
            <v>168.0755289561649</v>
          </cell>
          <cell r="AO8">
            <v>170.8627153446927</v>
          </cell>
          <cell r="AT8">
            <v>176.03952041626437</v>
          </cell>
          <cell r="AY8">
            <v>177.3389404669214</v>
          </cell>
          <cell r="BD8">
            <v>158.3932006405777</v>
          </cell>
          <cell r="BI8">
            <v>202.03975619217621</v>
          </cell>
          <cell r="BN8">
            <v>196.67892789746361</v>
          </cell>
          <cell r="BS8">
            <v>216.67417098057828</v>
          </cell>
          <cell r="BX8">
            <v>196.40157607885007</v>
          </cell>
          <cell r="CC8">
            <v>213.17929353167887</v>
          </cell>
          <cell r="CH8">
            <v>228.51674678382543</v>
          </cell>
          <cell r="CM8">
            <v>199.25226239490851</v>
          </cell>
          <cell r="CR8">
            <v>219.69631572798963</v>
          </cell>
          <cell r="CW8">
            <v>213.53321348831778</v>
          </cell>
          <cell r="DB8">
            <v>226.45819175065574</v>
          </cell>
          <cell r="DG8">
            <v>257.59028617600944</v>
          </cell>
          <cell r="DL8">
            <v>264.815682486985</v>
          </cell>
          <cell r="DQ8">
            <v>296.32722919453488</v>
          </cell>
          <cell r="DV8">
            <v>312.52516323468257</v>
          </cell>
          <cell r="EA8">
            <v>326.48162326786809</v>
          </cell>
          <cell r="EF8">
            <v>264.43648989406256</v>
          </cell>
          <cell r="EK8">
            <v>286.42745717886385</v>
          </cell>
          <cell r="EP8" t="e">
            <v>#REF!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utures Price Forecasts"/>
      <sheetName val="Forecasts"/>
      <sheetName val="Sheet1"/>
      <sheetName val="Prices"/>
    </sheetNames>
    <sheetDataSet>
      <sheetData sheetId="0" refreshError="1"/>
      <sheetData sheetId="1" refreshError="1"/>
      <sheetData sheetId="2" refreshError="1"/>
      <sheetData sheetId="3">
        <row r="11">
          <cell r="J11">
            <v>2.75</v>
          </cell>
        </row>
        <row r="12">
          <cell r="J12">
            <v>2.9</v>
          </cell>
        </row>
        <row r="13">
          <cell r="J13">
            <v>2.97</v>
          </cell>
        </row>
        <row r="14">
          <cell r="J14">
            <v>2.88</v>
          </cell>
        </row>
        <row r="15">
          <cell r="J15">
            <v>2.99</v>
          </cell>
        </row>
        <row r="16">
          <cell r="J16">
            <v>3.01</v>
          </cell>
        </row>
        <row r="17">
          <cell r="J17">
            <v>3</v>
          </cell>
        </row>
        <row r="18">
          <cell r="J18">
            <v>2.91</v>
          </cell>
        </row>
        <row r="19">
          <cell r="J19">
            <v>2.99</v>
          </cell>
        </row>
        <row r="20">
          <cell r="J20">
            <v>3.12</v>
          </cell>
        </row>
        <row r="21">
          <cell r="J21">
            <v>3.3</v>
          </cell>
        </row>
        <row r="22">
          <cell r="J22">
            <v>3.23</v>
          </cell>
        </row>
        <row r="23">
          <cell r="J23">
            <v>3.01</v>
          </cell>
        </row>
        <row r="24">
          <cell r="J24">
            <v>3.01</v>
          </cell>
        </row>
        <row r="25">
          <cell r="J25">
            <v>2.98</v>
          </cell>
        </row>
        <row r="26">
          <cell r="J26">
            <v>3.06</v>
          </cell>
        </row>
        <row r="27">
          <cell r="J27">
            <v>3.05</v>
          </cell>
        </row>
        <row r="28">
          <cell r="J28">
            <v>3.14</v>
          </cell>
        </row>
        <row r="29">
          <cell r="J29">
            <v>3.35</v>
          </cell>
        </row>
        <row r="30">
          <cell r="J30">
            <v>3.47</v>
          </cell>
        </row>
        <row r="31">
          <cell r="J31">
            <v>3.47</v>
          </cell>
        </row>
        <row r="32">
          <cell r="J32">
            <v>3.44</v>
          </cell>
        </row>
        <row r="33">
          <cell r="J33">
            <v>3.48</v>
          </cell>
        </row>
        <row r="34">
          <cell r="J34">
            <v>3.45</v>
          </cell>
        </row>
        <row r="35">
          <cell r="J35">
            <v>3.42</v>
          </cell>
        </row>
        <row r="36">
          <cell r="J36">
            <v>3</v>
          </cell>
        </row>
        <row r="37">
          <cell r="J37">
            <v>3.61</v>
          </cell>
        </row>
        <row r="38">
          <cell r="J38">
            <v>4.07</v>
          </cell>
        </row>
        <row r="39">
          <cell r="J39">
            <v>4.46</v>
          </cell>
        </row>
        <row r="40">
          <cell r="J40">
            <v>5.8</v>
          </cell>
        </row>
        <row r="41">
          <cell r="J41">
            <v>6.15</v>
          </cell>
        </row>
        <row r="42">
          <cell r="J42">
            <v>6.52</v>
          </cell>
        </row>
        <row r="43">
          <cell r="J43">
            <v>8.94</v>
          </cell>
        </row>
        <row r="44">
          <cell r="J44">
            <v>10.84</v>
          </cell>
        </row>
        <row r="45">
          <cell r="J45">
            <v>8.4700000000000006</v>
          </cell>
        </row>
        <row r="46">
          <cell r="J46">
            <v>9</v>
          </cell>
        </row>
        <row r="47">
          <cell r="J47">
            <v>6.1</v>
          </cell>
        </row>
        <row r="48">
          <cell r="J48">
            <v>5.62</v>
          </cell>
        </row>
        <row r="49">
          <cell r="J49">
            <v>5.57</v>
          </cell>
        </row>
        <row r="50">
          <cell r="J50">
            <v>5.92</v>
          </cell>
        </row>
        <row r="51">
          <cell r="J51">
            <v>6.19</v>
          </cell>
        </row>
        <row r="52">
          <cell r="J52">
            <v>6.35</v>
          </cell>
        </row>
        <row r="53">
          <cell r="J53">
            <v>6.29</v>
          </cell>
        </row>
        <row r="54">
          <cell r="J54">
            <v>5.59</v>
          </cell>
        </row>
        <row r="55">
          <cell r="J55">
            <v>5.47</v>
          </cell>
        </row>
        <row r="56">
          <cell r="J56">
            <v>5.51</v>
          </cell>
        </row>
        <row r="57">
          <cell r="J57">
            <v>7.11</v>
          </cell>
        </row>
        <row r="58">
          <cell r="J58">
            <v>7.76</v>
          </cell>
        </row>
        <row r="59">
          <cell r="J59">
            <v>7.64</v>
          </cell>
        </row>
        <row r="60">
          <cell r="J60">
            <v>8.3000000000000007</v>
          </cell>
        </row>
        <row r="61">
          <cell r="J61">
            <v>7.54</v>
          </cell>
        </row>
        <row r="62">
          <cell r="J62">
            <v>7.23</v>
          </cell>
        </row>
        <row r="63">
          <cell r="J63">
            <v>6.38</v>
          </cell>
        </row>
        <row r="64">
          <cell r="J64">
            <v>5.69</v>
          </cell>
        </row>
        <row r="65">
          <cell r="J65">
            <v>5.6</v>
          </cell>
        </row>
        <row r="66">
          <cell r="J66">
            <v>5.55</v>
          </cell>
        </row>
        <row r="67">
          <cell r="J67">
            <v>5.23</v>
          </cell>
        </row>
        <row r="68">
          <cell r="J68">
            <v>5.16</v>
          </cell>
        </row>
        <row r="69">
          <cell r="J69">
            <v>5.6</v>
          </cell>
        </row>
        <row r="70">
          <cell r="J70">
            <v>6.02</v>
          </cell>
        </row>
        <row r="71">
          <cell r="J71">
            <v>5.57</v>
          </cell>
        </row>
        <row r="72">
          <cell r="J72">
            <v>5.01</v>
          </cell>
        </row>
        <row r="73">
          <cell r="J73">
            <v>4.71</v>
          </cell>
        </row>
        <row r="74">
          <cell r="J74">
            <v>4.58</v>
          </cell>
        </row>
        <row r="75">
          <cell r="J75">
            <v>4.6399999999999997</v>
          </cell>
        </row>
        <row r="76">
          <cell r="J76">
            <v>4.75</v>
          </cell>
        </row>
        <row r="77">
          <cell r="J77">
            <v>4.72</v>
          </cell>
        </row>
        <row r="78">
          <cell r="J78">
            <v>4.75</v>
          </cell>
        </row>
        <row r="79">
          <cell r="J79">
            <v>5.23</v>
          </cell>
        </row>
        <row r="80">
          <cell r="J80">
            <v>6.23</v>
          </cell>
        </row>
        <row r="81">
          <cell r="J81">
            <v>6.66</v>
          </cell>
        </row>
        <row r="82">
          <cell r="J82">
            <v>6.31</v>
          </cell>
        </row>
        <row r="83">
          <cell r="J83">
            <v>6.59</v>
          </cell>
        </row>
        <row r="84">
          <cell r="J84">
            <v>6.22</v>
          </cell>
        </row>
        <row r="85">
          <cell r="J85">
            <v>6.55</v>
          </cell>
        </row>
        <row r="86">
          <cell r="J86">
            <v>6.86</v>
          </cell>
        </row>
        <row r="87">
          <cell r="J87">
            <v>7.06</v>
          </cell>
        </row>
        <row r="88">
          <cell r="J88">
            <v>7.26</v>
          </cell>
        </row>
        <row r="89">
          <cell r="J89">
            <v>8.25</v>
          </cell>
        </row>
        <row r="90">
          <cell r="J90">
            <v>9.6</v>
          </cell>
        </row>
        <row r="91">
          <cell r="J91">
            <v>9.42</v>
          </cell>
        </row>
        <row r="92">
          <cell r="J92">
            <v>8.25</v>
          </cell>
        </row>
        <row r="93">
          <cell r="J93">
            <v>6.4</v>
          </cell>
        </row>
        <row r="94">
          <cell r="J94">
            <v>5.49</v>
          </cell>
        </row>
        <row r="95">
          <cell r="J95">
            <v>5.16</v>
          </cell>
        </row>
        <row r="96">
          <cell r="J96">
            <v>5.07</v>
          </cell>
        </row>
        <row r="97">
          <cell r="J97">
            <v>5.84</v>
          </cell>
        </row>
        <row r="98">
          <cell r="J98">
            <v>5.94</v>
          </cell>
        </row>
        <row r="99">
          <cell r="J99">
            <v>5.73</v>
          </cell>
        </row>
        <row r="100">
          <cell r="J100">
            <v>5.65</v>
          </cell>
        </row>
        <row r="101">
          <cell r="J101">
            <v>6.58</v>
          </cell>
        </row>
        <row r="102">
          <cell r="J102">
            <v>6.81</v>
          </cell>
        </row>
        <row r="103">
          <cell r="J103">
            <v>7.01</v>
          </cell>
        </row>
        <row r="104">
          <cell r="J104">
            <v>6.76</v>
          </cell>
        </row>
        <row r="105">
          <cell r="J105">
            <v>6.62</v>
          </cell>
        </row>
        <row r="106">
          <cell r="J106">
            <v>6.47</v>
          </cell>
        </row>
        <row r="107">
          <cell r="J107">
            <v>6.42</v>
          </cell>
        </row>
        <row r="108">
          <cell r="J108">
            <v>6.72</v>
          </cell>
        </row>
        <row r="109">
          <cell r="J109">
            <v>6.68</v>
          </cell>
        </row>
        <row r="110">
          <cell r="J110">
            <v>6.81</v>
          </cell>
        </row>
        <row r="111">
          <cell r="J111">
            <v>6.89</v>
          </cell>
        </row>
        <row r="112">
          <cell r="J112">
            <v>7.28</v>
          </cell>
        </row>
        <row r="113">
          <cell r="J113">
            <v>7.45</v>
          </cell>
        </row>
        <row r="114">
          <cell r="J114">
            <v>7.27</v>
          </cell>
        </row>
        <row r="115">
          <cell r="J115">
            <v>7.21</v>
          </cell>
        </row>
        <row r="116">
          <cell r="J116">
            <v>7.68</v>
          </cell>
        </row>
        <row r="117">
          <cell r="J117">
            <v>7.64</v>
          </cell>
        </row>
        <row r="118">
          <cell r="J118">
            <v>7.28</v>
          </cell>
        </row>
        <row r="119">
          <cell r="J119">
            <v>7.04</v>
          </cell>
        </row>
        <row r="120">
          <cell r="J120">
            <v>6.56</v>
          </cell>
        </row>
        <row r="121">
          <cell r="J121">
            <v>6.52</v>
          </cell>
        </row>
        <row r="122">
          <cell r="J122">
            <v>6.53</v>
          </cell>
        </row>
        <row r="123">
          <cell r="J123">
            <v>6.36</v>
          </cell>
        </row>
        <row r="124">
          <cell r="J124">
            <v>6.42</v>
          </cell>
        </row>
        <row r="125">
          <cell r="J125">
            <v>6.07</v>
          </cell>
        </row>
        <row r="126">
          <cell r="J126">
            <v>5.8</v>
          </cell>
        </row>
        <row r="127">
          <cell r="J127">
            <v>6.04</v>
          </cell>
        </row>
        <row r="128">
          <cell r="J128">
            <v>6.1</v>
          </cell>
        </row>
        <row r="129">
          <cell r="J129">
            <v>7.22</v>
          </cell>
        </row>
        <row r="130">
          <cell r="J130">
            <v>7.45</v>
          </cell>
        </row>
        <row r="131">
          <cell r="J131">
            <v>8.1300000000000008</v>
          </cell>
        </row>
        <row r="132">
          <cell r="J132">
            <v>8.27</v>
          </cell>
        </row>
        <row r="133">
          <cell r="J133">
            <v>8.91</v>
          </cell>
        </row>
        <row r="134">
          <cell r="J134">
            <v>7.73</v>
          </cell>
        </row>
        <row r="135">
          <cell r="J135">
            <v>7.57</v>
          </cell>
        </row>
        <row r="136">
          <cell r="J136">
            <v>7.34</v>
          </cell>
        </row>
        <row r="137">
          <cell r="J137">
            <v>7.37</v>
          </cell>
        </row>
        <row r="138">
          <cell r="J138">
            <v>7.72</v>
          </cell>
        </row>
        <row r="139">
          <cell r="J139">
            <v>7.58</v>
          </cell>
        </row>
        <row r="140">
          <cell r="J140">
            <v>7.13</v>
          </cell>
        </row>
        <row r="141">
          <cell r="J141">
            <v>7.36</v>
          </cell>
        </row>
        <row r="142">
          <cell r="J142">
            <v>6.94</v>
          </cell>
        </row>
        <row r="143">
          <cell r="J143">
            <v>6.44</v>
          </cell>
        </row>
        <row r="144">
          <cell r="J144">
            <v>6.3</v>
          </cell>
        </row>
        <row r="145">
          <cell r="J145">
            <v>6.28</v>
          </cell>
        </row>
        <row r="146">
          <cell r="J146">
            <v>6.23</v>
          </cell>
        </row>
        <row r="147">
          <cell r="J147">
            <v>6.3</v>
          </cell>
        </row>
        <row r="148">
          <cell r="J148">
            <v>6.24</v>
          </cell>
        </row>
        <row r="149">
          <cell r="J149">
            <v>6.16</v>
          </cell>
        </row>
        <row r="150">
          <cell r="J150">
            <v>6.42</v>
          </cell>
        </row>
        <row r="151">
          <cell r="J151">
            <v>6.56</v>
          </cell>
        </row>
        <row r="152">
          <cell r="J152">
            <v>6.31</v>
          </cell>
        </row>
        <row r="153">
          <cell r="J153">
            <v>6.2</v>
          </cell>
        </row>
        <row r="154">
          <cell r="J154">
            <v>5.73</v>
          </cell>
        </row>
        <row r="155">
          <cell r="J155">
            <v>5.4</v>
          </cell>
        </row>
        <row r="156">
          <cell r="J156">
            <v>5.26</v>
          </cell>
        </row>
        <row r="157">
          <cell r="J157">
            <v>5.7</v>
          </cell>
        </row>
        <row r="158">
          <cell r="J158">
            <v>5.73</v>
          </cell>
        </row>
        <row r="159">
          <cell r="J159">
            <v>5.81</v>
          </cell>
        </row>
        <row r="160">
          <cell r="J160">
            <v>5.86</v>
          </cell>
        </row>
        <row r="161">
          <cell r="J161">
            <v>5.98</v>
          </cell>
        </row>
        <row r="162">
          <cell r="J162">
            <v>6.35</v>
          </cell>
        </row>
        <row r="163">
          <cell r="J163">
            <v>6.27</v>
          </cell>
        </row>
        <row r="164">
          <cell r="J164">
            <v>6.06</v>
          </cell>
        </row>
        <row r="165">
          <cell r="J165">
            <v>6.59</v>
          </cell>
        </row>
        <row r="166">
          <cell r="J166">
            <v>8.4600000000000009</v>
          </cell>
        </row>
        <row r="167">
          <cell r="J167">
            <v>8.93</v>
          </cell>
        </row>
        <row r="168">
          <cell r="J168">
            <v>8.4600000000000009</v>
          </cell>
        </row>
        <row r="169">
          <cell r="J169">
            <v>8.1999999999999993</v>
          </cell>
        </row>
        <row r="170">
          <cell r="J170">
            <v>7.77</v>
          </cell>
        </row>
        <row r="171">
          <cell r="J171">
            <v>7.67</v>
          </cell>
        </row>
        <row r="172">
          <cell r="J172">
            <v>7.37</v>
          </cell>
        </row>
        <row r="173">
          <cell r="J173">
            <v>7.94</v>
          </cell>
        </row>
        <row r="174">
          <cell r="J174">
            <v>7.98</v>
          </cell>
        </row>
        <row r="175">
          <cell r="J175">
            <v>8.61</v>
          </cell>
        </row>
        <row r="176">
          <cell r="J176">
            <v>7.91</v>
          </cell>
        </row>
        <row r="177">
          <cell r="J177">
            <v>6.85</v>
          </cell>
        </row>
        <row r="178">
          <cell r="J178">
            <v>6.63</v>
          </cell>
        </row>
        <row r="179">
          <cell r="J179">
            <v>6.21</v>
          </cell>
        </row>
        <row r="180">
          <cell r="J180">
            <v>6.27</v>
          </cell>
        </row>
        <row r="181">
          <cell r="J181">
            <v>6.25</v>
          </cell>
        </row>
        <row r="182">
          <cell r="J182">
            <v>6.07</v>
          </cell>
        </row>
        <row r="183">
          <cell r="J183">
            <v>6.04</v>
          </cell>
        </row>
        <row r="184">
          <cell r="J184">
            <v>5.97</v>
          </cell>
        </row>
        <row r="185">
          <cell r="J185">
            <v>6.08</v>
          </cell>
        </row>
        <row r="186">
          <cell r="J186">
            <v>6.13</v>
          </cell>
        </row>
        <row r="187">
          <cell r="J187">
            <v>5.95</v>
          </cell>
        </row>
        <row r="188">
          <cell r="J188">
            <v>5.88</v>
          </cell>
        </row>
        <row r="189">
          <cell r="J189">
            <v>5.65</v>
          </cell>
        </row>
        <row r="190">
          <cell r="J190">
            <v>5.28</v>
          </cell>
        </row>
        <row r="191">
          <cell r="J191">
            <v>5.19</v>
          </cell>
        </row>
        <row r="192">
          <cell r="J192">
            <v>5.05</v>
          </cell>
        </row>
        <row r="193">
          <cell r="J193">
            <v>5.19</v>
          </cell>
        </row>
        <row r="194">
          <cell r="J194">
            <v>5.32</v>
          </cell>
        </row>
        <row r="195">
          <cell r="J195">
            <v>5.45</v>
          </cell>
        </row>
        <row r="196">
          <cell r="J196">
            <v>5.38</v>
          </cell>
        </row>
        <row r="197">
          <cell r="J197">
            <v>5.47</v>
          </cell>
        </row>
        <row r="198">
          <cell r="J198">
            <v>5.4</v>
          </cell>
        </row>
        <row r="199">
          <cell r="J199">
            <v>5.44</v>
          </cell>
        </row>
        <row r="200">
          <cell r="J200">
            <v>5.43</v>
          </cell>
        </row>
        <row r="201">
          <cell r="J201">
            <v>5.33</v>
          </cell>
        </row>
        <row r="202">
          <cell r="J202">
            <v>5</v>
          </cell>
        </row>
        <row r="203">
          <cell r="J203">
            <v>4.96</v>
          </cell>
        </row>
        <row r="204">
          <cell r="J204">
            <v>4.8899999999999997</v>
          </cell>
        </row>
        <row r="205">
          <cell r="J205">
            <v>5.08</v>
          </cell>
        </row>
        <row r="206">
          <cell r="J206">
            <v>4.96</v>
          </cell>
        </row>
        <row r="207">
          <cell r="J207">
            <v>4.9800000000000004</v>
          </cell>
        </row>
        <row r="208">
          <cell r="J208">
            <v>4.8899999999999997</v>
          </cell>
        </row>
        <row r="209">
          <cell r="J209">
            <v>4.92</v>
          </cell>
        </row>
        <row r="210">
          <cell r="J210">
            <v>5.12</v>
          </cell>
        </row>
        <row r="211">
          <cell r="J211">
            <v>5.52</v>
          </cell>
        </row>
        <row r="212">
          <cell r="J212">
            <v>5.63</v>
          </cell>
        </row>
        <row r="213">
          <cell r="J213">
            <v>5.47</v>
          </cell>
        </row>
        <row r="214">
          <cell r="J214">
            <v>5.28</v>
          </cell>
        </row>
        <row r="215">
          <cell r="J215">
            <v>5.27</v>
          </cell>
        </row>
        <row r="216">
          <cell r="J216">
            <v>5.32</v>
          </cell>
        </row>
        <row r="217">
          <cell r="J217">
            <v>5.64</v>
          </cell>
        </row>
        <row r="218">
          <cell r="J218">
            <v>5.94</v>
          </cell>
        </row>
        <row r="219">
          <cell r="J219">
            <v>6.17</v>
          </cell>
        </row>
        <row r="220">
          <cell r="J220">
            <v>6.21</v>
          </cell>
        </row>
        <row r="221">
          <cell r="J221">
            <v>6.3</v>
          </cell>
        </row>
        <row r="222">
          <cell r="J222">
            <v>6.71</v>
          </cell>
        </row>
        <row r="223">
          <cell r="J223">
            <v>7.31</v>
          </cell>
        </row>
        <row r="224">
          <cell r="J224">
            <v>9.1300000000000008</v>
          </cell>
        </row>
        <row r="225">
          <cell r="J225">
            <v>8.59</v>
          </cell>
        </row>
        <row r="226">
          <cell r="J226">
            <v>8.52</v>
          </cell>
        </row>
        <row r="227">
          <cell r="J227">
            <v>8.52</v>
          </cell>
        </row>
        <row r="228">
          <cell r="J228">
            <v>7.92</v>
          </cell>
        </row>
        <row r="229">
          <cell r="J229">
            <v>7.67</v>
          </cell>
        </row>
        <row r="230">
          <cell r="J230">
            <v>7.83</v>
          </cell>
        </row>
        <row r="231">
          <cell r="J231">
            <v>7.83</v>
          </cell>
        </row>
        <row r="232">
          <cell r="J232">
            <v>7.6</v>
          </cell>
        </row>
        <row r="233">
          <cell r="J233">
            <v>7.78</v>
          </cell>
        </row>
        <row r="234">
          <cell r="J234">
            <v>7.39</v>
          </cell>
        </row>
        <row r="235">
          <cell r="J235">
            <v>7.4</v>
          </cell>
        </row>
        <row r="236">
          <cell r="J236">
            <v>7.25</v>
          </cell>
        </row>
        <row r="237">
          <cell r="J237">
            <v>7.08</v>
          </cell>
        </row>
        <row r="238">
          <cell r="J238">
            <v>6.06</v>
          </cell>
        </row>
        <row r="239">
          <cell r="J239">
            <v>6</v>
          </cell>
        </row>
        <row r="240">
          <cell r="J240">
            <v>5.64</v>
          </cell>
        </row>
        <row r="241">
          <cell r="J241">
            <v>5.7</v>
          </cell>
        </row>
        <row r="242">
          <cell r="J242">
            <v>5.82</v>
          </cell>
        </row>
        <row r="243">
          <cell r="J243">
            <v>5.72</v>
          </cell>
        </row>
        <row r="244">
          <cell r="J244">
            <v>5.85</v>
          </cell>
        </row>
        <row r="245">
          <cell r="J245">
            <v>5.89</v>
          </cell>
        </row>
        <row r="246">
          <cell r="J246">
            <v>6</v>
          </cell>
        </row>
        <row r="247">
          <cell r="J247">
            <v>6.2</v>
          </cell>
        </row>
        <row r="248">
          <cell r="J248">
            <v>6.09</v>
          </cell>
        </row>
        <row r="249">
          <cell r="J249">
            <v>6.19</v>
          </cell>
        </row>
        <row r="250">
          <cell r="J250">
            <v>6.26</v>
          </cell>
        </row>
        <row r="251">
          <cell r="J251">
            <v>6.28</v>
          </cell>
        </row>
        <row r="252">
          <cell r="J252">
            <v>6.14</v>
          </cell>
        </row>
        <row r="253">
          <cell r="J253">
            <v>5.87</v>
          </cell>
        </row>
        <row r="254">
          <cell r="J254">
            <v>5.91</v>
          </cell>
        </row>
        <row r="255">
          <cell r="J255">
            <v>5.76</v>
          </cell>
        </row>
        <row r="256">
          <cell r="J256">
            <v>5.85</v>
          </cell>
        </row>
        <row r="257">
          <cell r="J257">
            <v>5.92</v>
          </cell>
        </row>
        <row r="258">
          <cell r="J258">
            <v>6.01</v>
          </cell>
        </row>
        <row r="259">
          <cell r="J259">
            <v>5.89</v>
          </cell>
        </row>
        <row r="260">
          <cell r="J260">
            <v>5.83</v>
          </cell>
        </row>
        <row r="261">
          <cell r="J261">
            <v>5.54</v>
          </cell>
        </row>
        <row r="262">
          <cell r="J262">
            <v>5.78</v>
          </cell>
        </row>
        <row r="263">
          <cell r="J263">
            <v>5.98</v>
          </cell>
        </row>
        <row r="264">
          <cell r="J264">
            <v>5.68</v>
          </cell>
        </row>
        <row r="265">
          <cell r="J265">
            <v>5.71</v>
          </cell>
        </row>
        <row r="266">
          <cell r="J266">
            <v>5.68</v>
          </cell>
        </row>
        <row r="267">
          <cell r="J267">
            <v>5.77</v>
          </cell>
        </row>
        <row r="268">
          <cell r="J268">
            <v>5.81</v>
          </cell>
        </row>
        <row r="269">
          <cell r="J269">
            <v>5.93</v>
          </cell>
        </row>
        <row r="270">
          <cell r="J270">
            <v>5.85</v>
          </cell>
        </row>
        <row r="271">
          <cell r="J271">
            <v>6.09</v>
          </cell>
        </row>
        <row r="272">
          <cell r="J272">
            <v>6.19</v>
          </cell>
        </row>
        <row r="273">
          <cell r="J273">
            <v>5.8</v>
          </cell>
        </row>
        <row r="274">
          <cell r="J274">
            <v>5.64</v>
          </cell>
        </row>
        <row r="275">
          <cell r="J275">
            <v>5.54</v>
          </cell>
        </row>
        <row r="276">
          <cell r="J276">
            <v>5.35</v>
          </cell>
        </row>
        <row r="277">
          <cell r="J277">
            <v>5.6</v>
          </cell>
        </row>
        <row r="278">
          <cell r="J278">
            <v>5.72</v>
          </cell>
        </row>
        <row r="279">
          <cell r="J279">
            <v>5.82</v>
          </cell>
        </row>
        <row r="280">
          <cell r="J280">
            <v>5.75</v>
          </cell>
        </row>
        <row r="281">
          <cell r="J281">
            <v>5.87</v>
          </cell>
        </row>
        <row r="282">
          <cell r="J282">
            <v>5.97</v>
          </cell>
        </row>
        <row r="283">
          <cell r="J283">
            <v>6.07</v>
          </cell>
        </row>
        <row r="284">
          <cell r="J284">
            <v>6.06</v>
          </cell>
        </row>
        <row r="285">
          <cell r="J285">
            <v>6.89</v>
          </cell>
        </row>
        <row r="286">
          <cell r="J286">
            <v>6.79</v>
          </cell>
        </row>
        <row r="287">
          <cell r="J287">
            <v>6.43</v>
          </cell>
        </row>
        <row r="288">
          <cell r="J288">
            <v>6.06</v>
          </cell>
        </row>
        <row r="289">
          <cell r="J289">
            <v>6.64</v>
          </cell>
        </row>
        <row r="290">
          <cell r="J290">
            <v>6.94</v>
          </cell>
        </row>
        <row r="291">
          <cell r="J291">
            <v>7.01</v>
          </cell>
        </row>
        <row r="292">
          <cell r="J292">
            <v>6.86</v>
          </cell>
        </row>
        <row r="293">
          <cell r="J293">
            <v>6.92</v>
          </cell>
        </row>
        <row r="294">
          <cell r="J294">
            <v>6.7</v>
          </cell>
        </row>
        <row r="295">
          <cell r="J295">
            <v>6.89</v>
          </cell>
        </row>
        <row r="296">
          <cell r="J296">
            <v>6.85</v>
          </cell>
        </row>
        <row r="297">
          <cell r="J297">
            <v>6.03</v>
          </cell>
        </row>
        <row r="298">
          <cell r="J298">
            <v>5.76</v>
          </cell>
        </row>
        <row r="299">
          <cell r="J299">
            <v>5.57</v>
          </cell>
        </row>
        <row r="300">
          <cell r="J300">
            <v>5.31</v>
          </cell>
        </row>
        <row r="301">
          <cell r="J301">
            <v>5.66</v>
          </cell>
        </row>
        <row r="302">
          <cell r="J302">
            <v>5.67</v>
          </cell>
        </row>
        <row r="303">
          <cell r="J303">
            <v>5.58</v>
          </cell>
        </row>
        <row r="304">
          <cell r="J304">
            <v>5.6</v>
          </cell>
        </row>
        <row r="305">
          <cell r="J305">
            <v>5.74</v>
          </cell>
        </row>
        <row r="306">
          <cell r="J306">
            <v>5.78</v>
          </cell>
        </row>
        <row r="307">
          <cell r="J307">
            <v>5.8</v>
          </cell>
        </row>
        <row r="308">
          <cell r="J308">
            <v>5.91</v>
          </cell>
        </row>
        <row r="309">
          <cell r="J309">
            <v>6.23</v>
          </cell>
        </row>
        <row r="310">
          <cell r="J310">
            <v>6.02</v>
          </cell>
        </row>
        <row r="311">
          <cell r="J311">
            <v>6.32</v>
          </cell>
        </row>
        <row r="312">
          <cell r="J312">
            <v>6.56</v>
          </cell>
        </row>
        <row r="313">
          <cell r="J313">
            <v>6.86</v>
          </cell>
        </row>
        <row r="314">
          <cell r="J314">
            <v>7.19</v>
          </cell>
        </row>
        <row r="315">
          <cell r="J315">
            <v>7.37</v>
          </cell>
        </row>
        <row r="316">
          <cell r="J316">
            <v>7.3</v>
          </cell>
        </row>
        <row r="317">
          <cell r="J317">
            <v>7.26</v>
          </cell>
        </row>
        <row r="318">
          <cell r="J318">
            <v>7.91</v>
          </cell>
        </row>
        <row r="319">
          <cell r="J319">
            <v>8.08</v>
          </cell>
        </row>
        <row r="320">
          <cell r="J320">
            <v>7.78</v>
          </cell>
        </row>
        <row r="321">
          <cell r="J321">
            <v>7.95</v>
          </cell>
        </row>
        <row r="322">
          <cell r="J322">
            <v>8.16</v>
          </cell>
        </row>
        <row r="323">
          <cell r="J323">
            <v>8.1999999999999993</v>
          </cell>
        </row>
        <row r="324">
          <cell r="J324">
            <v>7.11</v>
          </cell>
        </row>
        <row r="325">
          <cell r="J325">
            <v>7.03</v>
          </cell>
        </row>
        <row r="326">
          <cell r="J326">
            <v>7.08</v>
          </cell>
        </row>
        <row r="327">
          <cell r="J327">
            <v>7.37</v>
          </cell>
        </row>
        <row r="328">
          <cell r="J328">
            <v>7.69</v>
          </cell>
        </row>
        <row r="329">
          <cell r="J329">
            <v>8.33</v>
          </cell>
        </row>
        <row r="330">
          <cell r="J330">
            <v>8.5399999999999991</v>
          </cell>
        </row>
        <row r="331">
          <cell r="J331">
            <v>8.7799999999999994</v>
          </cell>
        </row>
        <row r="332">
          <cell r="J332">
            <v>8.3699999999999992</v>
          </cell>
        </row>
        <row r="333">
          <cell r="J333">
            <v>7.69</v>
          </cell>
        </row>
        <row r="334">
          <cell r="J334">
            <v>7.41</v>
          </cell>
        </row>
        <row r="335">
          <cell r="J335">
            <v>7.03</v>
          </cell>
        </row>
        <row r="336">
          <cell r="J336">
            <v>6.84</v>
          </cell>
        </row>
        <row r="337">
          <cell r="J337">
            <v>7.27</v>
          </cell>
        </row>
        <row r="338">
          <cell r="J338">
            <v>6.99</v>
          </cell>
        </row>
        <row r="339">
          <cell r="J339">
            <v>6.79</v>
          </cell>
        </row>
        <row r="340">
          <cell r="J340">
            <v>6.8</v>
          </cell>
        </row>
        <row r="341">
          <cell r="J341">
            <v>6.62</v>
          </cell>
        </row>
        <row r="342">
          <cell r="J342">
            <v>6.49</v>
          </cell>
        </row>
        <row r="343">
          <cell r="J343">
            <v>6.49</v>
          </cell>
        </row>
        <row r="344">
          <cell r="J344">
            <v>6.4</v>
          </cell>
        </row>
        <row r="345">
          <cell r="J345">
            <v>6.4</v>
          </cell>
        </row>
        <row r="346">
          <cell r="J346">
            <v>5.57</v>
          </cell>
        </row>
        <row r="347">
          <cell r="J347">
            <v>5.33</v>
          </cell>
        </row>
        <row r="348">
          <cell r="J348">
            <v>5.36</v>
          </cell>
        </row>
        <row r="349">
          <cell r="J349">
            <v>5.72</v>
          </cell>
        </row>
        <row r="350">
          <cell r="J350">
            <v>5.58</v>
          </cell>
        </row>
        <row r="351">
          <cell r="J351">
            <v>5.32</v>
          </cell>
        </row>
        <row r="352">
          <cell r="J352">
            <v>4.9000000000000004</v>
          </cell>
        </row>
        <row r="353">
          <cell r="J353">
            <v>4.75</v>
          </cell>
        </row>
        <row r="354">
          <cell r="J354">
            <v>4.8</v>
          </cell>
        </row>
        <row r="355">
          <cell r="J355">
            <v>4.68</v>
          </cell>
        </row>
        <row r="356">
          <cell r="J356">
            <v>4.62</v>
          </cell>
        </row>
        <row r="357">
          <cell r="J357">
            <v>4.25</v>
          </cell>
        </row>
        <row r="358">
          <cell r="J358">
            <v>4.6500000000000004</v>
          </cell>
        </row>
        <row r="359">
          <cell r="J359">
            <v>4.8499999999999996</v>
          </cell>
        </row>
        <row r="360">
          <cell r="J360">
            <v>4.7</v>
          </cell>
        </row>
        <row r="361">
          <cell r="J361">
            <v>4.6399999999999997</v>
          </cell>
        </row>
        <row r="362">
          <cell r="J362">
            <v>4.5999999999999996</v>
          </cell>
        </row>
        <row r="363">
          <cell r="J363">
            <v>4.8600000000000003</v>
          </cell>
        </row>
        <row r="364">
          <cell r="J364">
            <v>5</v>
          </cell>
        </row>
        <row r="365">
          <cell r="J365">
            <v>5.13</v>
          </cell>
        </row>
        <row r="366">
          <cell r="J366">
            <v>5.29</v>
          </cell>
        </row>
        <row r="367">
          <cell r="J367">
            <v>5.42</v>
          </cell>
        </row>
        <row r="368">
          <cell r="J368">
            <v>5.0999999999999996</v>
          </cell>
        </row>
        <row r="369">
          <cell r="J369">
            <v>4.74</v>
          </cell>
        </row>
        <row r="370">
          <cell r="J370">
            <v>4.63</v>
          </cell>
        </row>
        <row r="371">
          <cell r="J371">
            <v>4.84</v>
          </cell>
        </row>
        <row r="372">
          <cell r="J372">
            <v>4.68</v>
          </cell>
        </row>
        <row r="373">
          <cell r="J373">
            <v>4.83</v>
          </cell>
        </row>
        <row r="374">
          <cell r="J374">
            <v>5.0599999999999996</v>
          </cell>
        </row>
        <row r="375">
          <cell r="J375">
            <v>4.78</v>
          </cell>
        </row>
        <row r="376">
          <cell r="J376">
            <v>4.57</v>
          </cell>
        </row>
        <row r="377">
          <cell r="J377">
            <v>4.51</v>
          </cell>
        </row>
        <row r="378">
          <cell r="J378">
            <v>4.41</v>
          </cell>
        </row>
        <row r="379">
          <cell r="J379">
            <v>4.57</v>
          </cell>
        </row>
        <row r="380">
          <cell r="J380">
            <v>4.74</v>
          </cell>
        </row>
        <row r="381">
          <cell r="J381">
            <v>5.17</v>
          </cell>
        </row>
        <row r="382">
          <cell r="J382">
            <v>5.0999999999999996</v>
          </cell>
        </row>
        <row r="383">
          <cell r="J383">
            <v>4.6900000000000004</v>
          </cell>
        </row>
        <row r="384">
          <cell r="J384">
            <v>4.3</v>
          </cell>
        </row>
        <row r="385">
          <cell r="J385">
            <v>4.41</v>
          </cell>
        </row>
        <row r="386">
          <cell r="J386">
            <v>4.38</v>
          </cell>
        </row>
        <row r="387">
          <cell r="J387">
            <v>4.37</v>
          </cell>
        </row>
        <row r="388">
          <cell r="J388">
            <v>4.4000000000000004</v>
          </cell>
        </row>
        <row r="389">
          <cell r="J389">
            <v>4.6399999999999997</v>
          </cell>
        </row>
        <row r="390">
          <cell r="J390">
            <v>4.71</v>
          </cell>
        </row>
        <row r="391">
          <cell r="J391">
            <v>4.92</v>
          </cell>
        </row>
        <row r="392">
          <cell r="J392">
            <v>5.19</v>
          </cell>
        </row>
        <row r="393">
          <cell r="J393">
            <v>5.75</v>
          </cell>
        </row>
        <row r="394">
          <cell r="J394">
            <v>5.8</v>
          </cell>
        </row>
        <row r="395">
          <cell r="J395">
            <v>5.79</v>
          </cell>
        </row>
        <row r="396">
          <cell r="J396">
            <v>5.41</v>
          </cell>
        </row>
        <row r="397">
          <cell r="J397">
            <v>5.75</v>
          </cell>
        </row>
        <row r="398">
          <cell r="J398">
            <v>5.66</v>
          </cell>
        </row>
        <row r="399">
          <cell r="J399">
            <v>5.7</v>
          </cell>
        </row>
        <row r="400">
          <cell r="J400">
            <v>5.78</v>
          </cell>
        </row>
        <row r="401">
          <cell r="J401">
            <v>5.8</v>
          </cell>
        </row>
        <row r="402">
          <cell r="J402">
            <v>6.11</v>
          </cell>
        </row>
        <row r="403">
          <cell r="J403">
            <v>6.4</v>
          </cell>
        </row>
        <row r="404">
          <cell r="J404">
            <v>6.35</v>
          </cell>
        </row>
        <row r="405">
          <cell r="J405">
            <v>6.01</v>
          </cell>
        </row>
        <row r="406">
          <cell r="J406">
            <v>5.89</v>
          </cell>
        </row>
        <row r="407">
          <cell r="J407">
            <v>6.39</v>
          </cell>
        </row>
        <row r="408">
          <cell r="J408">
            <v>7.29</v>
          </cell>
        </row>
        <row r="409">
          <cell r="J409">
            <v>7.63</v>
          </cell>
        </row>
        <row r="410">
          <cell r="J410">
            <v>7.72</v>
          </cell>
        </row>
        <row r="411">
          <cell r="J411">
            <v>8.23</v>
          </cell>
        </row>
        <row r="412">
          <cell r="J412">
            <v>8.73</v>
          </cell>
        </row>
        <row r="413">
          <cell r="J413">
            <v>9.89</v>
          </cell>
        </row>
        <row r="414">
          <cell r="J414">
            <v>9.93</v>
          </cell>
        </row>
        <row r="415">
          <cell r="J415">
            <v>9.58</v>
          </cell>
        </row>
        <row r="416">
          <cell r="J416">
            <v>8.91</v>
          </cell>
        </row>
        <row r="417">
          <cell r="J417">
            <v>8.1</v>
          </cell>
        </row>
        <row r="418">
          <cell r="J418">
            <v>6.42</v>
          </cell>
        </row>
        <row r="419">
          <cell r="J419">
            <v>5.62</v>
          </cell>
        </row>
        <row r="420">
          <cell r="J420">
            <v>5.19</v>
          </cell>
        </row>
        <row r="421">
          <cell r="J421">
            <v>5.34</v>
          </cell>
        </row>
        <row r="422">
          <cell r="J422">
            <v>5.45</v>
          </cell>
        </row>
        <row r="423">
          <cell r="J423">
            <v>5.39</v>
          </cell>
        </row>
        <row r="424">
          <cell r="J424">
            <v>5.45</v>
          </cell>
        </row>
        <row r="425">
          <cell r="J425">
            <v>6.28</v>
          </cell>
        </row>
        <row r="426">
          <cell r="J426">
            <v>6.22</v>
          </cell>
        </row>
        <row r="427">
          <cell r="J427">
            <v>6.44</v>
          </cell>
        </row>
        <row r="428">
          <cell r="J428">
            <v>7.01</v>
          </cell>
        </row>
        <row r="429">
          <cell r="J429">
            <v>7.03</v>
          </cell>
        </row>
        <row r="430">
          <cell r="J430">
            <v>6.39</v>
          </cell>
        </row>
        <row r="431">
          <cell r="J431">
            <v>5.66</v>
          </cell>
        </row>
        <row r="432">
          <cell r="J432">
            <v>5.53</v>
          </cell>
        </row>
        <row r="433">
          <cell r="J433">
            <v>5.75</v>
          </cell>
        </row>
        <row r="434">
          <cell r="J434">
            <v>5.92</v>
          </cell>
        </row>
        <row r="435">
          <cell r="J435">
            <v>5.79</v>
          </cell>
        </row>
        <row r="436">
          <cell r="J436">
            <v>5.75</v>
          </cell>
        </row>
        <row r="437">
          <cell r="J437">
            <v>5.68</v>
          </cell>
        </row>
        <row r="438">
          <cell r="J438">
            <v>5.62</v>
          </cell>
        </row>
        <row r="439">
          <cell r="J439">
            <v>5.81</v>
          </cell>
        </row>
        <row r="440">
          <cell r="J440">
            <v>5.77</v>
          </cell>
        </row>
        <row r="441">
          <cell r="J441">
            <v>5.77</v>
          </cell>
        </row>
        <row r="442">
          <cell r="J442">
            <v>5.42</v>
          </cell>
        </row>
        <row r="443">
          <cell r="J443">
            <v>5.35</v>
          </cell>
        </row>
        <row r="444">
          <cell r="J444">
            <v>5.83</v>
          </cell>
        </row>
        <row r="445">
          <cell r="J445">
            <v>6.61</v>
          </cell>
        </row>
        <row r="446">
          <cell r="J446">
            <v>6.58</v>
          </cell>
        </row>
        <row r="447">
          <cell r="J447">
            <v>6.83</v>
          </cell>
        </row>
        <row r="448">
          <cell r="J448">
            <v>7.35</v>
          </cell>
        </row>
        <row r="449">
          <cell r="J449">
            <v>7.31</v>
          </cell>
        </row>
        <row r="450">
          <cell r="J450">
            <v>7.19</v>
          </cell>
        </row>
        <row r="451">
          <cell r="J451">
            <v>7.5</v>
          </cell>
        </row>
        <row r="452">
          <cell r="J452">
            <v>7.94</v>
          </cell>
        </row>
        <row r="453">
          <cell r="J453">
            <v>8</v>
          </cell>
        </row>
        <row r="454">
          <cell r="J454">
            <v>8.06</v>
          </cell>
        </row>
        <row r="455">
          <cell r="J455">
            <v>9.08</v>
          </cell>
        </row>
        <row r="456">
          <cell r="J456">
            <v>9.4700000000000006</v>
          </cell>
        </row>
        <row r="457">
          <cell r="J457">
            <v>10.34</v>
          </cell>
        </row>
        <row r="458">
          <cell r="J458">
            <v>11.23</v>
          </cell>
        </row>
        <row r="459">
          <cell r="J459">
            <v>12.18</v>
          </cell>
        </row>
        <row r="460">
          <cell r="J460">
            <v>13.43</v>
          </cell>
        </row>
        <row r="461">
          <cell r="J461">
            <v>13.13</v>
          </cell>
        </row>
        <row r="462">
          <cell r="J462">
            <v>12.93</v>
          </cell>
        </row>
        <row r="463">
          <cell r="J463">
            <v>13.25</v>
          </cell>
        </row>
        <row r="464">
          <cell r="J464">
            <v>15</v>
          </cell>
        </row>
        <row r="465">
          <cell r="J465">
            <v>15.16</v>
          </cell>
        </row>
        <row r="466">
          <cell r="J466">
            <v>12.89</v>
          </cell>
        </row>
        <row r="467">
          <cell r="J467">
            <v>11.74</v>
          </cell>
        </row>
        <row r="468">
          <cell r="J468">
            <v>9.0399999999999991</v>
          </cell>
        </row>
        <row r="469">
          <cell r="J469">
            <v>8.93</v>
          </cell>
        </row>
        <row r="470">
          <cell r="J470">
            <v>8.68</v>
          </cell>
        </row>
        <row r="471">
          <cell r="J471">
            <v>9.91</v>
          </cell>
        </row>
        <row r="472">
          <cell r="J472">
            <v>9.39</v>
          </cell>
        </row>
        <row r="473">
          <cell r="J473">
            <v>9.17</v>
          </cell>
        </row>
        <row r="474">
          <cell r="J474">
            <v>10.26</v>
          </cell>
        </row>
        <row r="475">
          <cell r="J475">
            <v>11.67</v>
          </cell>
        </row>
        <row r="476">
          <cell r="J476">
            <v>12.37</v>
          </cell>
        </row>
        <row r="477">
          <cell r="J477">
            <v>10.96</v>
          </cell>
        </row>
        <row r="478">
          <cell r="J478">
            <v>11.36</v>
          </cell>
        </row>
        <row r="479">
          <cell r="J479">
            <v>10.119999999999999</v>
          </cell>
        </row>
        <row r="480">
          <cell r="J480">
            <v>9.7899999999999991</v>
          </cell>
        </row>
        <row r="481">
          <cell r="J481">
            <v>10.09</v>
          </cell>
        </row>
        <row r="482">
          <cell r="J482">
            <v>10.34</v>
          </cell>
        </row>
        <row r="483">
          <cell r="J483">
            <v>9.84</v>
          </cell>
        </row>
        <row r="484">
          <cell r="J484">
            <v>9.44</v>
          </cell>
        </row>
        <row r="485">
          <cell r="J485">
            <v>9.49</v>
          </cell>
        </row>
        <row r="486">
          <cell r="J486">
            <v>9.75</v>
          </cell>
        </row>
        <row r="487">
          <cell r="J487">
            <v>9.5500000000000007</v>
          </cell>
        </row>
        <row r="488">
          <cell r="J488">
            <v>9.7200000000000006</v>
          </cell>
        </row>
        <row r="489">
          <cell r="J489">
            <v>10.31</v>
          </cell>
        </row>
        <row r="490">
          <cell r="J490">
            <v>10.66</v>
          </cell>
        </row>
        <row r="491">
          <cell r="J491">
            <v>10.65</v>
          </cell>
        </row>
        <row r="492">
          <cell r="J492">
            <v>11.48</v>
          </cell>
        </row>
        <row r="493">
          <cell r="J493">
            <v>12.52</v>
          </cell>
        </row>
        <row r="494">
          <cell r="J494">
            <v>13.11</v>
          </cell>
        </row>
        <row r="495">
          <cell r="J495">
            <v>13.78</v>
          </cell>
        </row>
        <row r="496">
          <cell r="J496">
            <v>13.86</v>
          </cell>
        </row>
        <row r="497">
          <cell r="J497">
            <v>13.5</v>
          </cell>
        </row>
        <row r="498">
          <cell r="J498">
            <v>13.64</v>
          </cell>
        </row>
        <row r="499">
          <cell r="J499">
            <v>13.68</v>
          </cell>
        </row>
        <row r="500">
          <cell r="J500">
            <v>13.82</v>
          </cell>
        </row>
        <row r="501">
          <cell r="J501">
            <v>13.84</v>
          </cell>
        </row>
        <row r="502">
          <cell r="J502">
            <v>13.81</v>
          </cell>
        </row>
        <row r="503">
          <cell r="J503">
            <v>13.33</v>
          </cell>
        </row>
        <row r="504">
          <cell r="J504">
            <v>12.08</v>
          </cell>
        </row>
        <row r="505">
          <cell r="J505">
            <v>11.79</v>
          </cell>
        </row>
        <row r="506">
          <cell r="J506">
            <v>11.43</v>
          </cell>
        </row>
        <row r="507">
          <cell r="J507">
            <v>12.02</v>
          </cell>
        </row>
        <row r="508">
          <cell r="J508">
            <v>12.63</v>
          </cell>
        </row>
        <row r="509">
          <cell r="J509">
            <v>13.58</v>
          </cell>
        </row>
        <row r="510">
          <cell r="J510">
            <v>14.47</v>
          </cell>
        </row>
        <row r="511">
          <cell r="J511">
            <v>14.29</v>
          </cell>
        </row>
        <row r="512">
          <cell r="J512">
            <v>14.45</v>
          </cell>
        </row>
        <row r="513">
          <cell r="J513">
            <v>16.86</v>
          </cell>
        </row>
        <row r="514">
          <cell r="J514">
            <v>17.350000000000001</v>
          </cell>
        </row>
        <row r="515">
          <cell r="J515">
            <v>16.95</v>
          </cell>
        </row>
        <row r="516">
          <cell r="J516">
            <v>15.49</v>
          </cell>
        </row>
        <row r="517">
          <cell r="J517">
            <v>14.64</v>
          </cell>
        </row>
        <row r="518">
          <cell r="J518">
            <v>14.74</v>
          </cell>
        </row>
        <row r="519">
          <cell r="J519">
            <v>14.54</v>
          </cell>
        </row>
        <row r="520">
          <cell r="J520">
            <v>14.91</v>
          </cell>
        </row>
        <row r="521">
          <cell r="J521">
            <v>14.88</v>
          </cell>
        </row>
        <row r="522">
          <cell r="J522">
            <v>14.58</v>
          </cell>
        </row>
        <row r="523">
          <cell r="J523">
            <v>15.38</v>
          </cell>
        </row>
        <row r="524">
          <cell r="J524">
            <v>15.76</v>
          </cell>
        </row>
        <row r="525">
          <cell r="J525">
            <v>15.39</v>
          </cell>
        </row>
        <row r="526">
          <cell r="J526">
            <v>14.25</v>
          </cell>
        </row>
        <row r="527">
          <cell r="J527">
            <v>13.91</v>
          </cell>
        </row>
        <row r="528">
          <cell r="J528">
            <v>12.94</v>
          </cell>
        </row>
        <row r="529">
          <cell r="J529">
            <v>13.07</v>
          </cell>
        </row>
        <row r="530">
          <cell r="J530">
            <v>13.4</v>
          </cell>
        </row>
        <row r="531">
          <cell r="J531">
            <v>13.03</v>
          </cell>
        </row>
        <row r="532">
          <cell r="J532">
            <v>13.672599999999999</v>
          </cell>
        </row>
        <row r="533">
          <cell r="J533">
            <v>14.407400000000001</v>
          </cell>
        </row>
        <row r="534">
          <cell r="J534">
            <v>15.1296</v>
          </cell>
        </row>
        <row r="535">
          <cell r="J535">
            <v>15.221399999999999</v>
          </cell>
        </row>
        <row r="536">
          <cell r="J536">
            <v>14.674799999999999</v>
          </cell>
        </row>
        <row r="537">
          <cell r="J537">
            <v>13.146699999999999</v>
          </cell>
        </row>
        <row r="538">
          <cell r="J538">
            <v>12.868</v>
          </cell>
        </row>
        <row r="539">
          <cell r="J539">
            <v>11.0825</v>
          </cell>
        </row>
        <row r="540">
          <cell r="J540">
            <v>9.6265000000000001</v>
          </cell>
        </row>
        <row r="541">
          <cell r="J541">
            <v>10.310600000000001</v>
          </cell>
        </row>
        <row r="542">
          <cell r="J542">
            <v>10.363099999999999</v>
          </cell>
        </row>
        <row r="543">
          <cell r="J543">
            <v>10.081300000000001</v>
          </cell>
        </row>
        <row r="544">
          <cell r="J544">
            <v>10.0418</v>
          </cell>
        </row>
        <row r="545">
          <cell r="J545">
            <v>9.9026999999999994</v>
          </cell>
        </row>
        <row r="546">
          <cell r="J546">
            <v>9.8794000000000004</v>
          </cell>
        </row>
        <row r="547">
          <cell r="J547">
            <v>9.7929999999999993</v>
          </cell>
        </row>
        <row r="548">
          <cell r="J548">
            <v>9.9380000000000006</v>
          </cell>
        </row>
        <row r="549">
          <cell r="J549">
            <v>10.465199999999999</v>
          </cell>
        </row>
        <row r="550">
          <cell r="J550">
            <v>9.7520000000000007</v>
          </cell>
        </row>
        <row r="551">
          <cell r="J551">
            <v>8.9094999999999995</v>
          </cell>
        </row>
        <row r="552">
          <cell r="J552">
            <v>8.9295000000000009</v>
          </cell>
        </row>
        <row r="553">
          <cell r="J553">
            <v>8.8308</v>
          </cell>
        </row>
        <row r="554">
          <cell r="J554">
            <v>8.9018999999999995</v>
          </cell>
        </row>
        <row r="555">
          <cell r="J555">
            <v>8.8101000000000003</v>
          </cell>
        </row>
        <row r="556">
          <cell r="J556">
            <v>8.8223000000000003</v>
          </cell>
        </row>
        <row r="557">
          <cell r="J557">
            <v>8.9623000000000008</v>
          </cell>
        </row>
        <row r="558">
          <cell r="J558">
            <v>9.6096000000000004</v>
          </cell>
        </row>
        <row r="559">
          <cell r="J559">
            <v>10.490399999999999</v>
          </cell>
        </row>
        <row r="560">
          <cell r="J560">
            <v>11.396699999999999</v>
          </cell>
        </row>
        <row r="561">
          <cell r="J561">
            <v>10.5861</v>
          </cell>
        </row>
        <row r="562">
          <cell r="J562">
            <v>10.236700000000001</v>
          </cell>
        </row>
        <row r="563">
          <cell r="J563">
            <v>9.7814999999999994</v>
          </cell>
        </row>
        <row r="564">
          <cell r="J564">
            <v>9.5573999999999995</v>
          </cell>
        </row>
        <row r="565">
          <cell r="J565">
            <v>9.9392999999999994</v>
          </cell>
        </row>
        <row r="566">
          <cell r="J566">
            <v>10.157500000000001</v>
          </cell>
        </row>
        <row r="567">
          <cell r="J567">
            <v>10.2578</v>
          </cell>
        </row>
        <row r="568">
          <cell r="J568">
            <v>10.225099999999999</v>
          </cell>
        </row>
        <row r="569">
          <cell r="J569">
            <v>9.8597999999999999</v>
          </cell>
        </row>
        <row r="570">
          <cell r="J570">
            <v>9.3741000000000003</v>
          </cell>
        </row>
        <row r="571">
          <cell r="J571">
            <v>9.4849999999999994</v>
          </cell>
        </row>
        <row r="572">
          <cell r="J572">
            <v>9.2249999999999996</v>
          </cell>
        </row>
        <row r="573">
          <cell r="J573">
            <v>9.9064999999999994</v>
          </cell>
        </row>
        <row r="574">
          <cell r="J574">
            <v>9.3912999999999993</v>
          </cell>
        </row>
        <row r="575">
          <cell r="J575">
            <v>9.5036000000000005</v>
          </cell>
        </row>
        <row r="576">
          <cell r="J576">
            <v>9.4732000000000003</v>
          </cell>
        </row>
        <row r="577">
          <cell r="J577">
            <v>9.7018000000000004</v>
          </cell>
        </row>
        <row r="578">
          <cell r="J578">
            <v>9.5958000000000006</v>
          </cell>
        </row>
        <row r="579">
          <cell r="J579">
            <v>9.6257000000000001</v>
          </cell>
        </row>
        <row r="580">
          <cell r="J580">
            <v>9.9928000000000008</v>
          </cell>
        </row>
        <row r="581">
          <cell r="J581">
            <v>10.1708</v>
          </cell>
        </row>
        <row r="582">
          <cell r="J582">
            <v>10.230700000000001</v>
          </cell>
        </row>
        <row r="583">
          <cell r="J583">
            <v>10.0608</v>
          </cell>
        </row>
        <row r="584">
          <cell r="J584">
            <v>9.1473999999999993</v>
          </cell>
        </row>
        <row r="585">
          <cell r="J585">
            <v>8.5058000000000007</v>
          </cell>
        </row>
        <row r="586">
          <cell r="J586">
            <v>8.3978000000000002</v>
          </cell>
        </row>
        <row r="587">
          <cell r="J587">
            <v>7.8539000000000003</v>
          </cell>
        </row>
        <row r="588">
          <cell r="J588">
            <v>8.1292000000000009</v>
          </cell>
        </row>
        <row r="589">
          <cell r="J589">
            <v>8.4626000000000001</v>
          </cell>
        </row>
        <row r="590">
          <cell r="J590">
            <v>8.7370000000000001</v>
          </cell>
        </row>
        <row r="591">
          <cell r="J591">
            <v>8.8101000000000003</v>
          </cell>
        </row>
        <row r="592">
          <cell r="J592">
            <v>8.8405000000000005</v>
          </cell>
        </row>
        <row r="593">
          <cell r="J593">
            <v>8.6904000000000003</v>
          </cell>
        </row>
        <row r="594">
          <cell r="J594">
            <v>8.5669000000000004</v>
          </cell>
        </row>
        <row r="595">
          <cell r="J595">
            <v>8.0755999999999997</v>
          </cell>
        </row>
        <row r="596">
          <cell r="J596">
            <v>8.7926000000000002</v>
          </cell>
        </row>
        <row r="597">
          <cell r="J597">
            <v>8.9088999999999992</v>
          </cell>
        </row>
        <row r="598">
          <cell r="J598">
            <v>8.5381</v>
          </cell>
        </row>
        <row r="599">
          <cell r="J599">
            <v>8.5745000000000005</v>
          </cell>
        </row>
        <row r="600">
          <cell r="J600">
            <v>9.0675000000000008</v>
          </cell>
        </row>
        <row r="601">
          <cell r="J601">
            <v>9.1286000000000005</v>
          </cell>
        </row>
        <row r="602">
          <cell r="J602">
            <v>9.2477</v>
          </cell>
        </row>
        <row r="603">
          <cell r="J603">
            <v>9.2695000000000007</v>
          </cell>
        </row>
        <row r="604">
          <cell r="J604">
            <v>8.9598999999999993</v>
          </cell>
        </row>
        <row r="605">
          <cell r="J605">
            <v>8.1080000000000005</v>
          </cell>
        </row>
        <row r="606">
          <cell r="J606">
            <v>8.5437999999999992</v>
          </cell>
        </row>
        <row r="607">
          <cell r="J607">
            <v>8.4844000000000008</v>
          </cell>
        </row>
        <row r="608">
          <cell r="J608">
            <v>8.7416</v>
          </cell>
        </row>
        <row r="609">
          <cell r="J609">
            <v>8.9525000000000006</v>
          </cell>
        </row>
        <row r="610">
          <cell r="J610">
            <v>8.8757000000000001</v>
          </cell>
        </row>
        <row r="611">
          <cell r="J611">
            <v>9.9734523809523825</v>
          </cell>
        </row>
        <row r="612">
          <cell r="J612">
            <v>10.551619047619049</v>
          </cell>
        </row>
        <row r="613">
          <cell r="J613">
            <v>11.476749999999997</v>
          </cell>
        </row>
        <row r="614">
          <cell r="J614">
            <v>12.160095238095236</v>
          </cell>
        </row>
        <row r="615">
          <cell r="J615">
            <v>13.835552631578947</v>
          </cell>
        </row>
        <row r="616">
          <cell r="J616">
            <v>13.957578947368422</v>
          </cell>
        </row>
        <row r="617">
          <cell r="J617">
            <v>14.358934782608696</v>
          </cell>
        </row>
        <row r="618">
          <cell r="J618">
            <v>15.006809523809526</v>
          </cell>
        </row>
        <row r="619">
          <cell r="J619">
            <v>15.997674999999996</v>
          </cell>
        </row>
        <row r="620">
          <cell r="J620">
            <v>14.820886363636362</v>
          </cell>
        </row>
        <row r="621">
          <cell r="J621">
            <v>14.56816666666667</v>
          </cell>
        </row>
        <row r="622">
          <cell r="J622">
            <v>13.825909090909089</v>
          </cell>
        </row>
        <row r="623">
          <cell r="J623">
            <v>12.773809523809524</v>
          </cell>
        </row>
        <row r="624">
          <cell r="J624">
            <v>12.302200000000003</v>
          </cell>
        </row>
        <row r="625">
          <cell r="J625">
            <v>12.536175</v>
          </cell>
        </row>
        <row r="626">
          <cell r="J626">
            <v>13.033547619047621</v>
          </cell>
        </row>
        <row r="627">
          <cell r="J627">
            <v>14.089400000000001</v>
          </cell>
        </row>
        <row r="628">
          <cell r="J628">
            <v>15.946368421052631</v>
          </cell>
        </row>
        <row r="629">
          <cell r="J629">
            <v>16.723239130434784</v>
          </cell>
        </row>
        <row r="630">
          <cell r="B630">
            <v>16.823</v>
          </cell>
          <cell r="J630">
            <v>16.978199999999994</v>
          </cell>
        </row>
        <row r="631">
          <cell r="B631">
            <v>16.770238095238096</v>
          </cell>
          <cell r="J631">
            <v>17.025976190476189</v>
          </cell>
        </row>
        <row r="632">
          <cell r="B632">
            <v>16.900833333333331</v>
          </cell>
          <cell r="J632">
            <v>17.427842857142849</v>
          </cell>
        </row>
        <row r="633">
          <cell r="B633">
            <v>15.504124999999998</v>
          </cell>
          <cell r="J633">
            <v>16.031424999999999</v>
          </cell>
        </row>
        <row r="634">
          <cell r="J634">
            <v>16.011630434782614</v>
          </cell>
        </row>
        <row r="635">
          <cell r="B635">
            <v>14.607142857142858</v>
          </cell>
        </row>
        <row r="636">
          <cell r="B636">
            <v>13.813095238095238</v>
          </cell>
        </row>
        <row r="637">
          <cell r="B637">
            <v>14.420119047619048</v>
          </cell>
        </row>
        <row r="638">
          <cell r="B638">
            <v>14.744166666666667</v>
          </cell>
        </row>
        <row r="639">
          <cell r="B639">
            <v>15.101500000000001</v>
          </cell>
        </row>
        <row r="640">
          <cell r="B640">
            <v>15.276052631578947</v>
          </cell>
        </row>
        <row r="641">
          <cell r="B641">
            <v>14.89304347826087</v>
          </cell>
        </row>
        <row r="642">
          <cell r="B642">
            <v>14.881315789473684</v>
          </cell>
        </row>
        <row r="643">
          <cell r="B643">
            <v>13.855909090909091</v>
          </cell>
        </row>
        <row r="644">
          <cell r="B644">
            <v>14.307142857142857</v>
          </cell>
        </row>
        <row r="645">
          <cell r="B645">
            <v>15.082125000000001</v>
          </cell>
        </row>
        <row r="647">
          <cell r="B647">
            <v>13.242875</v>
          </cell>
        </row>
        <row r="648">
          <cell r="B648">
            <v>12.843863636363638</v>
          </cell>
        </row>
        <row r="649">
          <cell r="B649">
            <v>13.448690476190476</v>
          </cell>
        </row>
        <row r="650">
          <cell r="B650">
            <v>13.109249999999999</v>
          </cell>
        </row>
        <row r="651">
          <cell r="B651">
            <v>12.30154761904762</v>
          </cell>
        </row>
        <row r="652">
          <cell r="B652">
            <v>11.693875</v>
          </cell>
        </row>
        <row r="653">
          <cell r="B653">
            <v>11.792874999999999</v>
          </cell>
        </row>
        <row r="654">
          <cell r="B654">
            <v>11.646136363636362</v>
          </cell>
        </row>
        <row r="655">
          <cell r="B655">
            <v>12.165113636363637</v>
          </cell>
        </row>
        <row r="656">
          <cell r="B656">
            <v>11.728552631578948</v>
          </cell>
        </row>
        <row r="657">
          <cell r="B657">
            <v>11.16159090909091</v>
          </cell>
        </row>
        <row r="658">
          <cell r="B658">
            <v>9.8473863636363639</v>
          </cell>
        </row>
        <row r="659">
          <cell r="B659">
            <v>10.142125</v>
          </cell>
        </row>
        <row r="660">
          <cell r="B660">
            <v>10.028695652173912</v>
          </cell>
        </row>
        <row r="661">
          <cell r="B661">
            <v>9.9507500000000011</v>
          </cell>
        </row>
        <row r="662">
          <cell r="B662">
            <v>9.8350000000000009</v>
          </cell>
        </row>
        <row r="663">
          <cell r="B663">
            <v>10.295119047619048</v>
          </cell>
        </row>
        <row r="665">
          <cell r="B665">
            <v>9.9499999999999975</v>
          </cell>
        </row>
        <row r="666">
          <cell r="B666">
            <v>9.9000000000000021</v>
          </cell>
        </row>
        <row r="667">
          <cell r="B667">
            <v>10.099999999999998</v>
          </cell>
        </row>
        <row r="668">
          <cell r="B668">
            <v>10.149999999999999</v>
          </cell>
        </row>
        <row r="670">
          <cell r="B670">
            <v>9.9499999999999993</v>
          </cell>
        </row>
        <row r="671">
          <cell r="B671">
            <v>10.25</v>
          </cell>
        </row>
        <row r="672">
          <cell r="B672">
            <v>10</v>
          </cell>
        </row>
        <row r="673">
          <cell r="B673">
            <v>11</v>
          </cell>
        </row>
        <row r="675">
          <cell r="B675">
            <v>11.75</v>
          </cell>
        </row>
        <row r="676">
          <cell r="B676">
            <v>12.100000000000001</v>
          </cell>
        </row>
        <row r="677">
          <cell r="B677">
            <v>12.200000000000001</v>
          </cell>
        </row>
        <row r="678">
          <cell r="B678">
            <v>12.25</v>
          </cell>
        </row>
        <row r="679">
          <cell r="B679">
            <v>12.4</v>
          </cell>
        </row>
        <row r="680">
          <cell r="B680">
            <v>12.200000000000001</v>
          </cell>
        </row>
        <row r="681">
          <cell r="B681">
            <v>11.850000000000001</v>
          </cell>
        </row>
        <row r="682">
          <cell r="B682">
            <v>11.25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3492F-9B26-4265-B53F-066878BACDC0}">
  <dimension ref="A1:BB303"/>
  <sheetViews>
    <sheetView zoomScale="85" zoomScaleNormal="85" workbookViewId="0">
      <pane xSplit="1" ySplit="2" topLeftCell="V3" activePane="bottomRight" state="frozen"/>
      <selection pane="topRight" activeCell="B288" activeCellId="1" sqref="K701:K718 B288:B303"/>
      <selection pane="bottomLeft" activeCell="B288" activeCellId="1" sqref="K701:K718 B288:B303"/>
      <selection pane="bottomRight" activeCell="BA46" sqref="BA46"/>
    </sheetView>
  </sheetViews>
  <sheetFormatPr defaultRowHeight="12.75" x14ac:dyDescent="0.2"/>
  <cols>
    <col min="1" max="1" width="55.5" customWidth="1"/>
    <col min="2" max="25" width="9.33203125" customWidth="1"/>
  </cols>
  <sheetData>
    <row r="1" spans="1:54" ht="13.5" thickBot="1" x14ac:dyDescent="0.25">
      <c r="A1" s="1" t="s">
        <v>0</v>
      </c>
    </row>
    <row r="2" spans="1:54" ht="13.5" thickBot="1" x14ac:dyDescent="0.25">
      <c r="A2" s="2"/>
      <c r="B2" s="3">
        <f>'[1]Soy Complex'!K$2</f>
        <v>0</v>
      </c>
      <c r="C2" s="3">
        <f>'[1]Soy Complex'!L$2</f>
        <v>0</v>
      </c>
      <c r="D2" s="3">
        <f>'[1]Soy Complex'!M$2</f>
        <v>0</v>
      </c>
      <c r="E2" s="3">
        <f>'[1]Soy Complex'!N$2</f>
        <v>0</v>
      </c>
      <c r="F2" s="3">
        <f>'[1]Soy Complex'!O$2</f>
        <v>0</v>
      </c>
      <c r="G2" s="3">
        <f>'[1]Soy Complex'!P$2</f>
        <v>0</v>
      </c>
      <c r="H2" s="3">
        <f>'[1]Soy Complex'!Q$2</f>
        <v>0</v>
      </c>
      <c r="I2" s="3">
        <f>'[1]Soy Complex'!R$2</f>
        <v>0</v>
      </c>
      <c r="J2" s="3">
        <f>'[1]Soy Complex'!S$2</f>
        <v>0</v>
      </c>
      <c r="K2" s="3">
        <f>'[1]Soy Complex'!T$2</f>
        <v>0</v>
      </c>
      <c r="L2" s="3">
        <f>'[1]Soy Complex'!U$2</f>
        <v>0</v>
      </c>
      <c r="M2" s="3">
        <f>'[1]Soy Complex'!V$2</f>
        <v>0</v>
      </c>
      <c r="N2" s="3">
        <f>'[1]Soy Complex'!W$2</f>
        <v>0</v>
      </c>
      <c r="O2" s="3">
        <f>'[1]Soy Complex'!X$2</f>
        <v>0</v>
      </c>
      <c r="P2" s="3">
        <f>'[1]Soy Complex'!Y$2</f>
        <v>0</v>
      </c>
      <c r="Q2" s="3">
        <f>'[1]Soy Complex'!Z$2</f>
        <v>0</v>
      </c>
      <c r="R2" s="3">
        <f>'[1]Soy Complex'!AA$2</f>
        <v>0</v>
      </c>
      <c r="S2" s="3">
        <f>'[1]Soy Complex'!AB$2</f>
        <v>0</v>
      </c>
      <c r="T2" s="3">
        <f>'[1]Soy Complex'!AC$2</f>
        <v>0</v>
      </c>
      <c r="U2" s="3">
        <f>'[1]Soy Complex'!AD$2</f>
        <v>0</v>
      </c>
      <c r="V2" s="3">
        <f>'[1]Soy Complex'!AE$2</f>
        <v>0</v>
      </c>
      <c r="W2" s="3">
        <f>'[1]Soy Complex'!AF$2</f>
        <v>0</v>
      </c>
      <c r="X2" s="3">
        <f>'[1]Soy Complex'!AG$2</f>
        <v>0</v>
      </c>
      <c r="Y2" s="3">
        <f>'[1]Soy Complex'!AH$2</f>
        <v>0</v>
      </c>
      <c r="Z2" s="3">
        <f>'[1]Soy Complex'!AI$2</f>
        <v>0</v>
      </c>
      <c r="AA2" s="3">
        <f>'[1]Soy Complex'!AJ$2</f>
        <v>0</v>
      </c>
      <c r="AB2" s="3">
        <f>'[1]Soy Complex'!AK$2</f>
        <v>0</v>
      </c>
      <c r="AC2" s="3">
        <f>'[1]Soy Complex'!AL$2</f>
        <v>0</v>
      </c>
      <c r="AD2" s="3">
        <f>'[1]Soy Complex'!AM$2</f>
        <v>0</v>
      </c>
      <c r="AE2" s="3">
        <f>'[1]Soy Complex'!AN$2</f>
        <v>0</v>
      </c>
      <c r="AF2" s="3">
        <f>'[1]Soy Complex'!AO$2</f>
        <v>0</v>
      </c>
      <c r="AG2" s="3">
        <f>'[1]Soy Complex'!AP$2</f>
        <v>0</v>
      </c>
      <c r="AH2" s="3">
        <f>'[1]Soy Complex'!AQ$2</f>
        <v>0</v>
      </c>
      <c r="AI2" s="3">
        <f>'[1]Soy Complex'!AR$2</f>
        <v>0</v>
      </c>
      <c r="AJ2" s="3">
        <f>'[1]Soy Complex'!AS$2</f>
        <v>0</v>
      </c>
      <c r="AK2" s="3">
        <f>'[1]Soy Complex'!AT$2</f>
        <v>0</v>
      </c>
      <c r="AL2" s="3">
        <f>'[1]Soy Complex'!AU$2</f>
        <v>0</v>
      </c>
      <c r="AM2" s="3">
        <f>'[1]Soy Complex'!AV$2</f>
        <v>0</v>
      </c>
      <c r="AN2" s="3">
        <f>'[1]Soy Complex'!AW$2</f>
        <v>0</v>
      </c>
      <c r="AO2" s="3">
        <f>'[1]Soy Complex'!AX$2</f>
        <v>0</v>
      </c>
      <c r="AP2" s="3">
        <f>'[1]Soy Complex'!AY$2</f>
        <v>0</v>
      </c>
      <c r="AQ2" s="3">
        <f>'[1]Soy Complex'!AZ$2</f>
        <v>0</v>
      </c>
      <c r="AR2" s="3">
        <f>'[1]Soy Complex'!BA$2</f>
        <v>0</v>
      </c>
      <c r="AS2" s="3">
        <f>'[1]Soy Complex'!BB$2</f>
        <v>0</v>
      </c>
      <c r="AT2" s="3">
        <f>'[1]Soy Complex'!BC$2</f>
        <v>0</v>
      </c>
      <c r="AU2" s="3">
        <f>'[1]Soy Complex'!BD$2</f>
        <v>0</v>
      </c>
      <c r="AV2" s="3">
        <f>'[1]Soy Complex'!BE$2</f>
        <v>0</v>
      </c>
      <c r="AW2" s="3">
        <f>'[1]Soy Complex'!BF$2</f>
        <v>0</v>
      </c>
      <c r="AX2" s="3">
        <f>'[1]Soy Complex'!BG$2</f>
        <v>0</v>
      </c>
      <c r="AY2" s="3">
        <f>'[1]Soy Complex'!BH$2</f>
        <v>0</v>
      </c>
      <c r="AZ2" s="3">
        <f>'[1]Soy Complex'!BI$2</f>
        <v>0</v>
      </c>
      <c r="BA2" s="3">
        <f>'[1]Soy Complex'!BJ$2</f>
        <v>0</v>
      </c>
      <c r="BB2" s="3">
        <f>'[1]Soy Complex'!BK$2</f>
        <v>0</v>
      </c>
    </row>
    <row r="3" spans="1:54" x14ac:dyDescent="0.2">
      <c r="A3" t="s">
        <v>1</v>
      </c>
      <c r="B3" s="4">
        <v>42.533999999999999</v>
      </c>
      <c r="C3" s="4">
        <v>43.082000000000001</v>
      </c>
      <c r="D3" s="4">
        <v>43.475999999999999</v>
      </c>
      <c r="E3" s="4">
        <v>46.866</v>
      </c>
      <c r="F3" s="4">
        <v>56.548999999999999</v>
      </c>
      <c r="G3" s="4">
        <v>52.478999999999999</v>
      </c>
      <c r="H3" s="4">
        <v>54.59</v>
      </c>
      <c r="I3" s="4">
        <v>50.268999999999998</v>
      </c>
      <c r="J3" s="4">
        <v>58.978000000000002</v>
      </c>
      <c r="K3" s="4">
        <v>64.707999999999998</v>
      </c>
      <c r="L3" s="4">
        <v>71.411000000000001</v>
      </c>
      <c r="M3" s="4">
        <v>69.930000000000007</v>
      </c>
      <c r="N3" s="4">
        <v>67.543000000000006</v>
      </c>
      <c r="O3" s="4">
        <v>70.884</v>
      </c>
      <c r="P3" s="4">
        <v>63.779000000000003</v>
      </c>
      <c r="Q3" s="4">
        <v>67.754999999999995</v>
      </c>
      <c r="R3" s="4">
        <v>63.145000000000003</v>
      </c>
      <c r="S3" s="4">
        <v>60.405000000000001</v>
      </c>
      <c r="T3" s="4">
        <v>58.18</v>
      </c>
      <c r="U3" s="4">
        <v>58.84</v>
      </c>
      <c r="V3" s="4">
        <v>60.82</v>
      </c>
      <c r="W3" s="4">
        <v>57.795000000000002</v>
      </c>
      <c r="X3" s="4">
        <v>59.18</v>
      </c>
      <c r="Y3" s="4">
        <v>59.18</v>
      </c>
      <c r="Z3" s="4">
        <v>60.085000000000001</v>
      </c>
      <c r="AA3" s="4">
        <v>61.62</v>
      </c>
      <c r="AB3" s="4">
        <v>62.494999999999997</v>
      </c>
      <c r="AC3" s="4">
        <v>64.194999999999993</v>
      </c>
      <c r="AD3" s="4">
        <v>70.004999999999995</v>
      </c>
      <c r="AE3" s="4">
        <v>72.025000000000006</v>
      </c>
      <c r="AF3" s="4">
        <v>73.73</v>
      </c>
      <c r="AG3" s="4">
        <v>74.266000000000005</v>
      </c>
      <c r="AH3" s="4">
        <v>74.075000000000003</v>
      </c>
      <c r="AI3" s="4">
        <v>73.962999999999994</v>
      </c>
      <c r="AJ3" s="4">
        <v>73.403999999999996</v>
      </c>
      <c r="AK3" s="4">
        <v>75.207999999999998</v>
      </c>
      <c r="AL3" s="4">
        <v>72.031999999999996</v>
      </c>
      <c r="AM3" s="4">
        <v>75.522000000000006</v>
      </c>
      <c r="AN3" s="4">
        <v>64.741</v>
      </c>
      <c r="AO3" s="4">
        <f>'[1]Soy Complex'!AX$4</f>
        <v>75.718000000000004</v>
      </c>
      <c r="AP3" s="4">
        <f>'[1]Soy Complex'!AY$4</f>
        <v>77.450999999999993</v>
      </c>
      <c r="AQ3" s="4">
        <f>'[1]Soy Complex'!AZ$4</f>
        <v>77.403999999999996</v>
      </c>
      <c r="AR3" s="4">
        <f>'[1]Soy Complex'!BA$4</f>
        <v>75.046000000000006</v>
      </c>
      <c r="AS3" s="4">
        <f>'[1]Soy Complex'!BB$4</f>
        <v>77.197999999999993</v>
      </c>
      <c r="AT3" s="4">
        <f>'[1]Soy Complex'!BC$4</f>
        <v>76.84</v>
      </c>
      <c r="AU3" s="4">
        <f>'[1]Soy Complex'!BD$4</f>
        <v>83.275999999999996</v>
      </c>
      <c r="AV3" s="4">
        <f>'[1]Soy Complex'!BE$4</f>
        <v>82.65</v>
      </c>
      <c r="AW3" s="4">
        <f>'[1]Soy Complex'!BF$4</f>
        <v>83.453000000000003</v>
      </c>
      <c r="AX3" s="4">
        <f>'[1]Soy Complex'!BG$4</f>
        <v>90.162000000000006</v>
      </c>
      <c r="AY3" s="4">
        <f>'[1]Soy Complex'!BH$4</f>
        <v>89.167000000000002</v>
      </c>
      <c r="AZ3" s="4">
        <f>'[1]Soy Complex'!BI$4</f>
        <v>76.099999999999994</v>
      </c>
      <c r="BA3" s="4">
        <f>'[1]Soy Complex'!BJ$4</f>
        <v>83.353999999999999</v>
      </c>
      <c r="BB3" s="4">
        <f>'[1]Soy Complex'!BK$4</f>
        <v>87.194999999999993</v>
      </c>
    </row>
    <row r="4" spans="1:54" x14ac:dyDescent="0.2">
      <c r="A4" t="s">
        <v>2</v>
      </c>
      <c r="B4" s="4">
        <v>41.337000000000003</v>
      </c>
      <c r="C4" s="4">
        <v>42.249000000000002</v>
      </c>
      <c r="D4" s="4">
        <v>42.704999999999998</v>
      </c>
      <c r="E4" s="4">
        <v>45.683</v>
      </c>
      <c r="F4" s="4">
        <v>55.667000000000002</v>
      </c>
      <c r="G4" s="4">
        <v>51.341000000000001</v>
      </c>
      <c r="H4" s="4">
        <v>53.617000000000004</v>
      </c>
      <c r="I4" s="4">
        <v>49.401000000000003</v>
      </c>
      <c r="J4" s="4">
        <v>57.83</v>
      </c>
      <c r="K4" s="4">
        <v>63.663000000000004</v>
      </c>
      <c r="L4" s="4">
        <v>70.343000000000004</v>
      </c>
      <c r="M4" s="4">
        <v>67.813000000000002</v>
      </c>
      <c r="N4" s="4">
        <v>66.162999999999997</v>
      </c>
      <c r="O4" s="4">
        <v>69.442000000000007</v>
      </c>
      <c r="P4" s="4">
        <v>62.524999999999999</v>
      </c>
      <c r="Q4" s="4">
        <v>66.113</v>
      </c>
      <c r="R4" s="4">
        <v>61.599000000000004</v>
      </c>
      <c r="S4" s="4">
        <v>58.312000000000005</v>
      </c>
      <c r="T4" s="4">
        <v>57.172000000000004</v>
      </c>
      <c r="U4" s="4">
        <v>57.373000000000005</v>
      </c>
      <c r="V4" s="4">
        <v>59.538000000000004</v>
      </c>
      <c r="W4" s="4">
        <v>56.512</v>
      </c>
      <c r="X4" s="4">
        <v>58.011000000000003</v>
      </c>
      <c r="Y4" s="4">
        <v>58.233000000000004</v>
      </c>
      <c r="Z4" s="4">
        <v>57.307000000000002</v>
      </c>
      <c r="AA4" s="4">
        <v>60.808999999999997</v>
      </c>
      <c r="AB4" s="4">
        <v>61.543999999999997</v>
      </c>
      <c r="AC4" s="4">
        <v>63.348999999999997</v>
      </c>
      <c r="AD4" s="4">
        <v>69.11</v>
      </c>
      <c r="AE4" s="4">
        <v>70.441000000000003</v>
      </c>
      <c r="AF4" s="4">
        <v>72.445999999999998</v>
      </c>
      <c r="AG4" s="4">
        <v>72.408000000000001</v>
      </c>
      <c r="AH4" s="4">
        <v>72.974999999999994</v>
      </c>
      <c r="AI4" s="4">
        <v>72.497</v>
      </c>
      <c r="AJ4" s="4">
        <v>72.475999999999999</v>
      </c>
      <c r="AK4" s="4">
        <v>73.957999999999998</v>
      </c>
      <c r="AL4" s="4">
        <v>71.251000000000005</v>
      </c>
      <c r="AM4" s="4">
        <v>74.602000000000004</v>
      </c>
      <c r="AN4" s="4">
        <v>64.146000000000001</v>
      </c>
      <c r="AO4" s="4">
        <f>'[1]Soy Complex'!AX$5</f>
        <v>74.680999999999997</v>
      </c>
      <c r="AP4" s="4">
        <f>'[1]Soy Complex'!AY$5</f>
        <v>76.372</v>
      </c>
      <c r="AQ4" s="4">
        <f>'[1]Soy Complex'!AZ$5</f>
        <v>76.61</v>
      </c>
      <c r="AR4" s="4">
        <f>'[1]Soy Complex'!BA$5</f>
        <v>73.775999999999996</v>
      </c>
      <c r="AS4" s="4">
        <f>'[1]Soy Complex'!BB$5</f>
        <v>76.144000000000005</v>
      </c>
      <c r="AT4" s="4">
        <f>'[1]Soy Complex'!BC$5</f>
        <v>76.253</v>
      </c>
      <c r="AU4" s="4">
        <f>'[1]Soy Complex'!BD$5</f>
        <v>82.590999999999994</v>
      </c>
      <c r="AV4" s="4">
        <f>'[1]Soy Complex'!BE$5</f>
        <v>81.731999999999999</v>
      </c>
      <c r="AW4" s="4">
        <f>'[1]Soy Complex'!BF$5</f>
        <v>82.706000000000003</v>
      </c>
      <c r="AX4" s="4">
        <f>'[1]Soy Complex'!BG$5</f>
        <v>89.542000000000002</v>
      </c>
      <c r="AY4" s="4">
        <f>'[1]Soy Complex'!BH$5</f>
        <v>87.593999999999994</v>
      </c>
      <c r="AZ4" s="4">
        <f>'[1]Soy Complex'!BI$5</f>
        <v>74.938999999999993</v>
      </c>
      <c r="BA4" s="4">
        <f>'[1]Soy Complex'!BJ$5</f>
        <v>82.602999999999994</v>
      </c>
      <c r="BB4" s="4">
        <f>'[1]Soy Complex'!BK$5</f>
        <v>86.292000000000002</v>
      </c>
    </row>
    <row r="5" spans="1:54" x14ac:dyDescent="0.2">
      <c r="A5" t="s">
        <v>3</v>
      </c>
      <c r="B5" s="5">
        <v>27.411761859835011</v>
      </c>
      <c r="C5" s="5">
        <v>26.677554498331318</v>
      </c>
      <c r="D5" s="5">
        <v>27.540124107247397</v>
      </c>
      <c r="E5" s="5">
        <v>27.813584922181118</v>
      </c>
      <c r="F5" s="5">
        <v>27.800007185585713</v>
      </c>
      <c r="G5" s="5">
        <v>23.690364426092206</v>
      </c>
      <c r="H5" s="5">
        <v>28.877855903911072</v>
      </c>
      <c r="I5" s="5">
        <v>26.084654156798443</v>
      </c>
      <c r="J5" s="5">
        <v>30.559692201279613</v>
      </c>
      <c r="K5" s="5">
        <v>29.353847603788701</v>
      </c>
      <c r="L5" s="5">
        <v>32.137739362836385</v>
      </c>
      <c r="M5" s="5">
        <v>26.507351097872089</v>
      </c>
      <c r="N5" s="5">
        <v>30.063781872043286</v>
      </c>
      <c r="O5" s="5">
        <v>31.541387056824398</v>
      </c>
      <c r="P5" s="5">
        <v>26.161887245101958</v>
      </c>
      <c r="Q5" s="5">
        <v>28.146703371500312</v>
      </c>
      <c r="R5" s="5">
        <v>34.076137599636354</v>
      </c>
      <c r="S5" s="5">
        <v>33.313177390588557</v>
      </c>
      <c r="T5" s="5">
        <v>33.89284964668019</v>
      </c>
      <c r="U5" s="5">
        <v>26.995991145660852</v>
      </c>
      <c r="V5" s="5">
        <v>32.309886123148239</v>
      </c>
      <c r="W5" s="5">
        <v>34.080319224235559</v>
      </c>
      <c r="X5" s="5">
        <v>34.244177828342899</v>
      </c>
      <c r="Y5" s="5">
        <v>37.613621142651077</v>
      </c>
      <c r="Z5" s="5">
        <v>32.626345821627375</v>
      </c>
      <c r="AA5" s="5">
        <v>41.356855070795447</v>
      </c>
      <c r="AB5" s="5">
        <v>35.328447939685425</v>
      </c>
      <c r="AC5" s="5">
        <v>37.573979068335724</v>
      </c>
      <c r="AD5" s="5">
        <v>38.905368253508897</v>
      </c>
      <c r="AE5" s="5">
        <v>38.912196022202977</v>
      </c>
      <c r="AF5" s="5">
        <v>36.630842282527674</v>
      </c>
      <c r="AG5" s="5">
        <v>38.0870898243288</v>
      </c>
      <c r="AH5" s="5">
        <v>39.61194929770469</v>
      </c>
      <c r="AI5" s="5">
        <v>38.017393823192684</v>
      </c>
      <c r="AJ5" s="5">
        <v>33.857345880015451</v>
      </c>
      <c r="AK5" s="5">
        <v>42.237350928905599</v>
      </c>
      <c r="AL5" s="5">
        <v>43.06384471796887</v>
      </c>
      <c r="AM5" s="5">
        <v>42.850406155330958</v>
      </c>
      <c r="AN5" s="5">
        <v>41.734745736289092</v>
      </c>
      <c r="AO5" s="5">
        <f>'[1]Soy Complex'!AX$7</f>
        <v>39.729074329481399</v>
      </c>
      <c r="AP5" s="5">
        <f>'[1]Soy Complex'!AY$7</f>
        <v>44.007371811658722</v>
      </c>
      <c r="AQ5" s="5">
        <f>'[1]Soy Complex'!AZ$7</f>
        <v>43.483957707871035</v>
      </c>
      <c r="AR5" s="5">
        <f>'[1]Soy Complex'!BA$7</f>
        <v>41.98084743005856</v>
      </c>
      <c r="AS5" s="5">
        <f>'[1]Soy Complex'!BB$7</f>
        <v>39.951197730615668</v>
      </c>
      <c r="AT5" s="5">
        <f>'[1]Soy Complex'!BC$7</f>
        <v>44.024549853776243</v>
      </c>
      <c r="AU5" s="5">
        <f>'[1]Soy Complex'!BD$7</f>
        <v>47.560509014299384</v>
      </c>
      <c r="AV5" s="5">
        <f>'[1]Soy Complex'!BE$7</f>
        <v>48.044572505261101</v>
      </c>
      <c r="AW5" s="5">
        <f>'[1]Soy Complex'!BF$7</f>
        <v>51.949024254588544</v>
      </c>
      <c r="AX5" s="5">
        <f>'[1]Soy Complex'!BG$7</f>
        <v>49.268868240602174</v>
      </c>
      <c r="AY5" s="5">
        <f>'[1]Soy Complex'!BH$7</f>
        <v>50.553120076717583</v>
      </c>
      <c r="AZ5" s="5">
        <f>'[1]Soy Complex'!BI$7</f>
        <v>47.397323156167019</v>
      </c>
      <c r="BA5" s="5">
        <f>'[1]Soy Complex'!BJ$7</f>
        <v>51.042964541239421</v>
      </c>
      <c r="BB5" s="5">
        <f>'[1]Soy Complex'!BK$7</f>
        <v>51.737032401613128</v>
      </c>
    </row>
    <row r="6" spans="1:54" x14ac:dyDescent="0.2">
      <c r="A6" s="6" t="s">
        <v>4</v>
      </c>
      <c r="B6" s="7">
        <v>326.84399999999999</v>
      </c>
      <c r="C6" s="7">
        <v>229.83600000000001</v>
      </c>
      <c r="D6" s="7">
        <v>98.778999999999996</v>
      </c>
      <c r="E6" s="7">
        <v>71.962000000000003</v>
      </c>
      <c r="F6" s="7">
        <v>59.634</v>
      </c>
      <c r="G6" s="7">
        <v>170.751</v>
      </c>
      <c r="H6" s="7">
        <v>188.15100000000001</v>
      </c>
      <c r="I6" s="7">
        <v>244.94</v>
      </c>
      <c r="J6" s="7">
        <v>102.92400000000001</v>
      </c>
      <c r="K6" s="7">
        <v>161.17599999999999</v>
      </c>
      <c r="L6" s="7">
        <v>175.58799999999999</v>
      </c>
      <c r="M6" s="7">
        <v>358.476</v>
      </c>
      <c r="N6" s="7">
        <v>313.00700000000001</v>
      </c>
      <c r="O6" s="7">
        <v>254.48099999999999</v>
      </c>
      <c r="P6" s="7">
        <v>344.63400000000001</v>
      </c>
      <c r="Q6" s="7">
        <v>175.696</v>
      </c>
      <c r="R6" s="7">
        <v>316.05700000000002</v>
      </c>
      <c r="S6" s="7">
        <v>536.36500000000001</v>
      </c>
      <c r="T6" s="7">
        <v>436.447</v>
      </c>
      <c r="U6" s="7">
        <v>302.476</v>
      </c>
      <c r="V6" s="7">
        <v>182.029</v>
      </c>
      <c r="W6" s="7">
        <v>239.13900000000001</v>
      </c>
      <c r="X6" s="7">
        <v>329.04199999999997</v>
      </c>
      <c r="Y6" s="7">
        <v>278.43700000000001</v>
      </c>
      <c r="Z6" s="7">
        <v>292.28399999999999</v>
      </c>
      <c r="AA6" s="7">
        <v>209.11699999999999</v>
      </c>
      <c r="AB6" s="7">
        <v>334.81400000000002</v>
      </c>
      <c r="AC6" s="7">
        <v>183.458</v>
      </c>
      <c r="AD6" s="7">
        <v>131.833</v>
      </c>
      <c r="AE6" s="7">
        <v>199.79900000000001</v>
      </c>
      <c r="AF6" s="7">
        <v>348.48200000000003</v>
      </c>
      <c r="AG6" s="7">
        <v>290.16199999999998</v>
      </c>
      <c r="AH6" s="7">
        <v>247.74700000000001</v>
      </c>
      <c r="AI6" s="7">
        <v>208.06100000000001</v>
      </c>
      <c r="AJ6" s="7">
        <v>178.32900000000001</v>
      </c>
      <c r="AK6" s="7">
        <v>112.414</v>
      </c>
      <c r="AL6" s="7">
        <v>255.738</v>
      </c>
      <c r="AM6" s="7">
        <v>449.32600000000002</v>
      </c>
      <c r="AN6" s="7">
        <v>573.80999999999995</v>
      </c>
      <c r="AO6" s="7">
        <f>'[1]Soy Complex'!AX$8</f>
        <v>205.03399999999999</v>
      </c>
      <c r="AP6" s="7">
        <f>'[1]Soy Complex'!AY$8</f>
        <v>138.19800000000001</v>
      </c>
      <c r="AQ6" s="7">
        <f>'[1]Soy Complex'!AZ$8</f>
        <v>150.88499999999999</v>
      </c>
      <c r="AR6" s="7">
        <f>'[1]Soy Complex'!BA$8</f>
        <v>215.01300000000001</v>
      </c>
      <c r="AS6" s="7">
        <f>'[1]Soy Complex'!BB$8</f>
        <v>169.37</v>
      </c>
      <c r="AT6" s="7">
        <f>'[1]Soy Complex'!BC$8</f>
        <v>140.55699999999999</v>
      </c>
      <c r="AU6" s="7">
        <f>'[1]Soy Complex'!BD$8</f>
        <v>91.991</v>
      </c>
      <c r="AV6" s="7">
        <f>'[1]Soy Complex'!BE$8</f>
        <v>190.61</v>
      </c>
      <c r="AW6" s="7">
        <f>'[1]Soy Complex'!BF$8</f>
        <v>196.72900000000001</v>
      </c>
      <c r="AX6" s="7">
        <f>'[1]Soy Complex'!BG$8</f>
        <v>301.59500000000003</v>
      </c>
      <c r="AY6" s="7">
        <f>'[1]Soy Complex'!BH$8</f>
        <v>438.10500000000002</v>
      </c>
      <c r="AZ6" s="7">
        <f>'[1]Soy Complex'!BI$8</f>
        <v>909.05200000000002</v>
      </c>
      <c r="BA6" s="7">
        <f>'[1]Soy Complex'!BJ$8</f>
        <v>524.54100000000005</v>
      </c>
      <c r="BB6" s="7">
        <f>'[1]Soy Complex'!BK$8</f>
        <v>256.97899999999998</v>
      </c>
    </row>
    <row r="7" spans="1:54" x14ac:dyDescent="0.2">
      <c r="A7" t="s">
        <v>5</v>
      </c>
      <c r="B7" s="7">
        <v>1133.1199999999999</v>
      </c>
      <c r="C7" s="7">
        <v>1127.0999999999999</v>
      </c>
      <c r="D7" s="7">
        <v>1176.1010000000001</v>
      </c>
      <c r="E7" s="7">
        <v>1270.6079999999999</v>
      </c>
      <c r="F7" s="7">
        <v>1547.5429999999999</v>
      </c>
      <c r="G7" s="7">
        <v>1216.287</v>
      </c>
      <c r="H7" s="7">
        <v>1548.3440000000001</v>
      </c>
      <c r="I7" s="7">
        <v>1288.6079999999999</v>
      </c>
      <c r="J7" s="7">
        <v>1767.2670000000001</v>
      </c>
      <c r="K7" s="7">
        <v>1868.7540000000001</v>
      </c>
      <c r="L7" s="7">
        <v>2260.665</v>
      </c>
      <c r="M7" s="7">
        <v>1797.5430000000001</v>
      </c>
      <c r="N7" s="7">
        <v>1989.11</v>
      </c>
      <c r="O7" s="7">
        <v>2190.297</v>
      </c>
      <c r="P7" s="7">
        <v>1635.7719999999999</v>
      </c>
      <c r="Q7" s="7">
        <v>1860.8630000000001</v>
      </c>
      <c r="R7" s="7">
        <v>2099.056</v>
      </c>
      <c r="S7" s="7">
        <v>1942.558</v>
      </c>
      <c r="T7" s="7">
        <v>1937.722</v>
      </c>
      <c r="U7" s="7">
        <v>1548.8410000000001</v>
      </c>
      <c r="V7" s="7">
        <v>1923.6659999999999</v>
      </c>
      <c r="W7" s="7">
        <v>1925.9470000000001</v>
      </c>
      <c r="X7" s="7">
        <v>1986.539</v>
      </c>
      <c r="Y7" s="7">
        <v>2190.3540000000003</v>
      </c>
      <c r="Z7" s="7">
        <v>1869.7180000000001</v>
      </c>
      <c r="AA7" s="7">
        <v>2514.8690000000001</v>
      </c>
      <c r="AB7" s="7">
        <v>2174.2539999999999</v>
      </c>
      <c r="AC7" s="7">
        <v>2380.2739999999999</v>
      </c>
      <c r="AD7" s="7">
        <v>2688.75</v>
      </c>
      <c r="AE7" s="7">
        <v>2741.0140000000001</v>
      </c>
      <c r="AF7" s="7">
        <v>2653.7579999999998</v>
      </c>
      <c r="AG7" s="7">
        <v>2757.81</v>
      </c>
      <c r="AH7" s="7">
        <v>2890.6819999999998</v>
      </c>
      <c r="AI7" s="7">
        <v>2756.1469999999999</v>
      </c>
      <c r="AJ7" s="7">
        <v>2453.8449999999998</v>
      </c>
      <c r="AK7" s="7">
        <v>3123.79</v>
      </c>
      <c r="AL7" s="7">
        <v>3068.3420000000001</v>
      </c>
      <c r="AM7" s="7">
        <v>3196.7260000000001</v>
      </c>
      <c r="AN7" s="7">
        <v>2677.1170000000002</v>
      </c>
      <c r="AO7" s="7">
        <f>'[1]Soy Complex'!AX$9</f>
        <v>2967.0070000000001</v>
      </c>
      <c r="AP7" s="7">
        <f>'[1]Soy Complex'!AY$9</f>
        <v>3360.931</v>
      </c>
      <c r="AQ7" s="7">
        <f>'[1]Soy Complex'!AZ$9</f>
        <v>3331.306</v>
      </c>
      <c r="AR7" s="7">
        <f>'[1]Soy Complex'!BA$9</f>
        <v>3097.1790000000001</v>
      </c>
      <c r="AS7" s="7">
        <f>'[1]Soy Complex'!BB$9</f>
        <v>3042.0439999999999</v>
      </c>
      <c r="AT7" s="7">
        <f>'[1]Soy Complex'!BC$9</f>
        <v>3357.0039999999999</v>
      </c>
      <c r="AU7" s="7">
        <f>'[1]Soy Complex'!BD$9</f>
        <v>3928.07</v>
      </c>
      <c r="AV7" s="7">
        <f>'[1]Soy Complex'!BE$9</f>
        <v>3926.779</v>
      </c>
      <c r="AW7" s="7">
        <f>'[1]Soy Complex'!BF$9</f>
        <v>4296.4960000000001</v>
      </c>
      <c r="AX7" s="7">
        <f>'[1]Soy Complex'!BG$9</f>
        <v>4411.6329999999998</v>
      </c>
      <c r="AY7" s="7">
        <f>'[1]Soy Complex'!BH$9</f>
        <v>4428.1499999999996</v>
      </c>
      <c r="AZ7" s="7">
        <f>'[1]Soy Complex'!BI$9</f>
        <v>3551.9079999999999</v>
      </c>
      <c r="BA7" s="7">
        <f>'[1]Soy Complex'!BJ$9</f>
        <v>4216.3019999999997</v>
      </c>
      <c r="BB7" s="7">
        <f>'[1]Soy Complex'!BK$9</f>
        <v>4464.4920000000002</v>
      </c>
    </row>
    <row r="8" spans="1:54" x14ac:dyDescent="0.2">
      <c r="A8" t="s">
        <v>6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3.0000000000000001E-3</v>
      </c>
      <c r="L8" s="7">
        <v>6.0000000000000001E-3</v>
      </c>
      <c r="M8" s="7">
        <v>0.34999999999999992</v>
      </c>
      <c r="N8" s="7">
        <v>0.24699999999999997</v>
      </c>
      <c r="O8" s="7">
        <v>0.14150000000000001</v>
      </c>
      <c r="P8" s="7">
        <v>0.10599999999999998</v>
      </c>
      <c r="Q8" s="7">
        <v>0.438</v>
      </c>
      <c r="R8" s="7">
        <v>0.69600000000000006</v>
      </c>
      <c r="S8" s="7">
        <v>8.1000000000000003E-2</v>
      </c>
      <c r="T8" s="7">
        <v>1.266</v>
      </c>
      <c r="U8" s="7">
        <v>3.5910000000000002</v>
      </c>
      <c r="V8" s="7">
        <v>2.4939999999999998</v>
      </c>
      <c r="W8" s="7">
        <v>3.4829999999999997</v>
      </c>
      <c r="X8" s="7">
        <v>3.444</v>
      </c>
      <c r="Y8" s="7">
        <v>2.0567175843899999</v>
      </c>
      <c r="Z8" s="7">
        <v>6.4164678204899994</v>
      </c>
      <c r="AA8" s="7">
        <v>5.4799443948900004</v>
      </c>
      <c r="AB8" s="7">
        <v>4.455801942269999</v>
      </c>
      <c r="AC8" s="7">
        <v>8.9039354743499981</v>
      </c>
      <c r="AD8" s="7">
        <v>5.0059506648899994</v>
      </c>
      <c r="AE8" s="7">
        <v>3.5210716092299994</v>
      </c>
      <c r="AF8" s="7">
        <v>4.1711521727399994</v>
      </c>
      <c r="AG8" s="7">
        <v>3.5678242931100002</v>
      </c>
      <c r="AH8" s="7">
        <v>2.3197730814300002</v>
      </c>
      <c r="AI8" s="7">
        <v>4.6609750886999999</v>
      </c>
      <c r="AJ8" s="7">
        <v>5.5615521525899991</v>
      </c>
      <c r="AK8" s="7">
        <v>5.5775577083099996</v>
      </c>
      <c r="AL8" s="7">
        <v>3.3712087544099996</v>
      </c>
      <c r="AM8" s="7">
        <v>9.0345519791099989</v>
      </c>
      <c r="AN8" s="7">
        <v>9.8708018474100001</v>
      </c>
      <c r="AO8" s="7">
        <f>'[1]Soy Complex'!AX$10</f>
        <v>13.272</v>
      </c>
      <c r="AP8" s="7">
        <f>'[1]Soy Complex'!AY$10</f>
        <v>14.590999999999998</v>
      </c>
      <c r="AQ8" s="7">
        <f>'[1]Soy Complex'!AZ$10</f>
        <v>14.45</v>
      </c>
      <c r="AR8" s="7">
        <f>'[1]Soy Complex'!BA$10</f>
        <v>16.132000000000001</v>
      </c>
      <c r="AS8" s="7">
        <f>'[1]Soy Complex'!BB$10</f>
        <v>40.518000000000001</v>
      </c>
      <c r="AT8" s="7">
        <f>'[1]Soy Complex'!BC$10</f>
        <v>71.775000000000006</v>
      </c>
      <c r="AU8" s="7">
        <f>'[1]Soy Complex'!BD$10</f>
        <v>33.204999999999998</v>
      </c>
      <c r="AV8" s="7">
        <f>'[1]Soy Complex'!BE$10</f>
        <v>21.376160893910001</v>
      </c>
      <c r="AW8" s="7">
        <f>'[1]Soy Complex'!BF$10</f>
        <v>23.073195142023351</v>
      </c>
      <c r="AX8" s="7">
        <f>'[1]Soy Complex'!BG$10</f>
        <v>22.918877295211352</v>
      </c>
      <c r="AY8" s="7">
        <f>'[1]Soy Complex'!BH$10</f>
        <v>14.057999999999996</v>
      </c>
      <c r="AZ8" s="7">
        <f>'[1]Soy Complex'!BI$10</f>
        <v>15.417108588320001</v>
      </c>
      <c r="BA8" s="7">
        <f>'[1]Soy Complex'!BJ$10</f>
        <v>19.864351540759994</v>
      </c>
      <c r="BB8" s="7">
        <f>'[1]Soy Complex'!BK$10</f>
        <v>16.508540229299996</v>
      </c>
    </row>
    <row r="9" spans="1:54" x14ac:dyDescent="0.2">
      <c r="A9" t="s">
        <v>7</v>
      </c>
      <c r="B9" s="8">
        <v>1459.9639999999999</v>
      </c>
      <c r="C9" s="8">
        <v>1356.9359999999999</v>
      </c>
      <c r="D9" s="8">
        <v>1274.8800000000001</v>
      </c>
      <c r="E9" s="8">
        <v>1342.57</v>
      </c>
      <c r="F9" s="8">
        <v>1607.1769999999999</v>
      </c>
      <c r="G9" s="8">
        <v>1387.038</v>
      </c>
      <c r="H9" s="8">
        <v>1736.4950000000001</v>
      </c>
      <c r="I9" s="8">
        <v>1533.548</v>
      </c>
      <c r="J9" s="8">
        <v>1870.191</v>
      </c>
      <c r="K9" s="8">
        <v>2029.933</v>
      </c>
      <c r="L9" s="8">
        <v>2436.259</v>
      </c>
      <c r="M9" s="8">
        <v>2156.3690000000001</v>
      </c>
      <c r="N9" s="8">
        <v>2302.3639999999996</v>
      </c>
      <c r="O9" s="8">
        <v>2444.9195000000004</v>
      </c>
      <c r="P9" s="8">
        <v>1980.5119999999999</v>
      </c>
      <c r="Q9" s="8">
        <v>2036.9970000000001</v>
      </c>
      <c r="R9" s="8">
        <v>2415.8090000000002</v>
      </c>
      <c r="S9" s="8">
        <v>2479.0039999999999</v>
      </c>
      <c r="T9" s="8">
        <v>2375.4349999999999</v>
      </c>
      <c r="U9" s="8">
        <v>1854.9079999999999</v>
      </c>
      <c r="V9" s="8">
        <v>2108.1889999999999</v>
      </c>
      <c r="W9" s="8">
        <v>2168.5690000000004</v>
      </c>
      <c r="X9" s="8">
        <v>2319.0250000000001</v>
      </c>
      <c r="Y9" s="8">
        <v>2470.84771758439</v>
      </c>
      <c r="Z9" s="8">
        <v>2168.4184678204902</v>
      </c>
      <c r="AA9" s="8">
        <v>2729.4659443948904</v>
      </c>
      <c r="AB9" s="8">
        <v>2513.5238019422695</v>
      </c>
      <c r="AC9" s="8">
        <v>2572.6359354743499</v>
      </c>
      <c r="AD9" s="8">
        <v>2825.58895066489</v>
      </c>
      <c r="AE9" s="8">
        <v>2944.3340716092303</v>
      </c>
      <c r="AF9" s="8">
        <v>3006.41115217274</v>
      </c>
      <c r="AG9" s="8">
        <v>3051.5398242931096</v>
      </c>
      <c r="AH9" s="8">
        <v>3140.7487730814296</v>
      </c>
      <c r="AI9" s="8">
        <v>2968.8689750887002</v>
      </c>
      <c r="AJ9" s="8">
        <v>2637.7355521525901</v>
      </c>
      <c r="AK9" s="8">
        <v>3241.7815577083102</v>
      </c>
      <c r="AL9" s="8">
        <v>3327.4512087544099</v>
      </c>
      <c r="AM9" s="8">
        <v>3655.08655197911</v>
      </c>
      <c r="AN9" s="8">
        <v>3260.79780184741</v>
      </c>
      <c r="AO9" s="8">
        <f>'[1]Soy Complex'!AX$11</f>
        <v>3185.3130000000001</v>
      </c>
      <c r="AP9" s="8">
        <f>'[1]Soy Complex'!AY$11</f>
        <v>3513.72</v>
      </c>
      <c r="AQ9" s="8">
        <f>'[1]Soy Complex'!AZ$11</f>
        <v>3496.6409999999996</v>
      </c>
      <c r="AR9" s="8">
        <f>'[1]Soy Complex'!BA$11</f>
        <v>3328.3240000000001</v>
      </c>
      <c r="AS9" s="8">
        <f>'[1]Soy Complex'!BB$11</f>
        <v>3251.9319999999998</v>
      </c>
      <c r="AT9" s="8">
        <f>'[1]Soy Complex'!BC$11</f>
        <v>3569.3359999999998</v>
      </c>
      <c r="AU9" s="8">
        <f>'[1]Soy Complex'!BD$11</f>
        <v>4053.2660000000001</v>
      </c>
      <c r="AV9" s="8">
        <f>'[1]Soy Complex'!BE$11</f>
        <v>4138.7651608939104</v>
      </c>
      <c r="AW9" s="8">
        <f>'[1]Soy Complex'!BF$11</f>
        <v>4516.2981951420234</v>
      </c>
      <c r="AX9" s="8">
        <f>'[1]Soy Complex'!BG$11</f>
        <v>4736.1468772952112</v>
      </c>
      <c r="AY9" s="8">
        <f>'[1]Soy Complex'!BH$11</f>
        <v>4880.3129999999992</v>
      </c>
      <c r="AZ9" s="8">
        <f>'[1]Soy Complex'!BI$11</f>
        <v>4476.37710858832</v>
      </c>
      <c r="BA9" s="8">
        <f>'[1]Soy Complex'!BJ$11</f>
        <v>4760.7073515407601</v>
      </c>
      <c r="BB9" s="8">
        <f>'[1]Soy Complex'!BK$11</f>
        <v>4737.9795402293003</v>
      </c>
    </row>
    <row r="10" spans="1:54" x14ac:dyDescent="0.2">
      <c r="A10" s="6" t="s">
        <v>8</v>
      </c>
      <c r="B10" s="7">
        <v>737.34900000000005</v>
      </c>
      <c r="C10" s="7">
        <v>760.12900000000002</v>
      </c>
      <c r="D10" s="7">
        <v>720.54399999999998</v>
      </c>
      <c r="E10" s="7">
        <v>721.8</v>
      </c>
      <c r="F10" s="7">
        <v>821.31299999999999</v>
      </c>
      <c r="G10" s="7">
        <v>701.26199999999994</v>
      </c>
      <c r="H10" s="7">
        <v>865.12099999999998</v>
      </c>
      <c r="I10" s="7">
        <v>790.20400000000006</v>
      </c>
      <c r="J10" s="7">
        <v>926.66966666666667</v>
      </c>
      <c r="K10" s="7">
        <v>1017.8233333333333</v>
      </c>
      <c r="L10" s="7">
        <v>1123.3966666666668</v>
      </c>
      <c r="M10" s="7">
        <v>1020.5033333333333</v>
      </c>
      <c r="N10" s="7">
        <v>1029.6766666666665</v>
      </c>
      <c r="O10" s="7">
        <v>1107.9933333333333</v>
      </c>
      <c r="P10" s="7">
        <v>982.74333333333334</v>
      </c>
      <c r="Q10" s="7">
        <v>1030.49</v>
      </c>
      <c r="R10" s="7">
        <v>1052.8266666666668</v>
      </c>
      <c r="S10" s="7">
        <v>1178.77</v>
      </c>
      <c r="T10" s="7">
        <v>1174.4833333333333</v>
      </c>
      <c r="U10" s="7">
        <v>1057.6466666666668</v>
      </c>
      <c r="V10" s="7">
        <v>1146.4466666666667</v>
      </c>
      <c r="W10" s="7">
        <v>1187.2855333333332</v>
      </c>
      <c r="X10" s="7">
        <v>1253.557</v>
      </c>
      <c r="Y10" s="7">
        <v>1278.9499999999998</v>
      </c>
      <c r="Z10" s="7">
        <v>1275.6500000000001</v>
      </c>
      <c r="AA10" s="7">
        <v>1405.16</v>
      </c>
      <c r="AB10" s="7">
        <v>1369.54</v>
      </c>
      <c r="AC10" s="7">
        <v>1435.9633333333334</v>
      </c>
      <c r="AD10" s="7">
        <v>1596.98</v>
      </c>
      <c r="AE10" s="7">
        <v>1589.7866666666664</v>
      </c>
      <c r="AF10" s="7">
        <v>1577.3166666666666</v>
      </c>
      <c r="AG10" s="7">
        <v>1639.67</v>
      </c>
      <c r="AH10" s="7">
        <v>1699.7433333333333</v>
      </c>
      <c r="AI10" s="7">
        <v>1614.7933333333333</v>
      </c>
      <c r="AJ10" s="7">
        <v>1529.7033333333334</v>
      </c>
      <c r="AK10" s="7">
        <v>1696.0833333333333</v>
      </c>
      <c r="AL10" s="7">
        <v>1738.8533333333332</v>
      </c>
      <c r="AM10" s="7">
        <v>1807.7075666666665</v>
      </c>
      <c r="AN10" s="7">
        <v>1803.4040709999999</v>
      </c>
      <c r="AO10" s="7">
        <f>'[1]Soy Complex'!AX$12</f>
        <v>1661.917551</v>
      </c>
      <c r="AP10" s="7">
        <f>'[1]Soy Complex'!AY$12</f>
        <v>1751.6824099999999</v>
      </c>
      <c r="AQ10" s="7">
        <f>'[1]Soy Complex'!AZ$12</f>
        <v>1647.991689</v>
      </c>
      <c r="AR10" s="7">
        <f>'[1]Soy Complex'!BA$12</f>
        <v>1702.9970080000001</v>
      </c>
      <c r="AS10" s="7">
        <f>'[1]Soy Complex'!BB$12</f>
        <v>1688.997658</v>
      </c>
      <c r="AT10" s="7">
        <f>'[1]Soy Complex'!BC$12</f>
        <v>1734.0086899999999</v>
      </c>
      <c r="AU10" s="7">
        <f>'[1]Soy Complex'!BD$12</f>
        <v>1873.0101079999999</v>
      </c>
      <c r="AV10" s="7">
        <f>'[1]Soy Complex'!BE$12</f>
        <v>1886.23784</v>
      </c>
      <c r="AW10" s="7">
        <f>'[1]Soy Complex'!BF$12</f>
        <v>1901.1980666666664</v>
      </c>
      <c r="AX10" s="7">
        <f>'[1]Soy Complex'!BG$12</f>
        <v>2054.9320000000002</v>
      </c>
      <c r="AY10" s="7">
        <f>'[1]Soy Complex'!BH$12</f>
        <v>2091.9902666666667</v>
      </c>
      <c r="AZ10" s="7">
        <f>'[1]Soy Complex'!BI$12</f>
        <v>2164.5542333333337</v>
      </c>
      <c r="BA10" s="7">
        <f>'[1]Soy Complex'!BJ$12</f>
        <v>2140.5846666666666</v>
      </c>
      <c r="BB10" s="7">
        <f>'[1]Soy Complex'!BK$12</f>
        <v>2203.8721666666665</v>
      </c>
    </row>
    <row r="11" spans="1:54" x14ac:dyDescent="0.2">
      <c r="A11" t="s">
        <v>9</v>
      </c>
      <c r="B11" s="9">
        <v>432.6</v>
      </c>
      <c r="C11" s="9">
        <v>433.8</v>
      </c>
      <c r="D11" s="9">
        <v>416.82900000000001</v>
      </c>
      <c r="E11" s="9">
        <v>479.44299999999998</v>
      </c>
      <c r="F11" s="9">
        <v>538.85900000000004</v>
      </c>
      <c r="G11" s="9">
        <v>420.702</v>
      </c>
      <c r="H11" s="7">
        <v>554.82499999999993</v>
      </c>
      <c r="I11" s="7">
        <v>564.07100000000003</v>
      </c>
      <c r="J11" s="7">
        <v>700.452</v>
      </c>
      <c r="K11" s="7">
        <v>739.154</v>
      </c>
      <c r="L11" s="7">
        <v>875.173</v>
      </c>
      <c r="M11" s="7">
        <v>724.29499999999996</v>
      </c>
      <c r="N11" s="7">
        <v>929.07999999999993</v>
      </c>
      <c r="O11" s="7">
        <v>905.1579999999999</v>
      </c>
      <c r="P11" s="7">
        <v>740.30900000000008</v>
      </c>
      <c r="Q11" s="7">
        <v>598.17399999999998</v>
      </c>
      <c r="R11" s="7">
        <v>740.67200000000003</v>
      </c>
      <c r="S11" s="7">
        <v>756.90900000000011</v>
      </c>
      <c r="T11" s="7">
        <v>801.68599999999992</v>
      </c>
      <c r="U11" s="7">
        <v>526.50100000000009</v>
      </c>
      <c r="V11" s="7">
        <v>623.35300000000007</v>
      </c>
      <c r="W11" s="7">
        <v>558.00400000000002</v>
      </c>
      <c r="X11" s="7">
        <v>683.94272334800985</v>
      </c>
      <c r="Y11" s="7">
        <v>770.59475539200002</v>
      </c>
      <c r="Z11" s="7">
        <v>588.10540564439998</v>
      </c>
      <c r="AA11" s="7">
        <v>840.21425632410001</v>
      </c>
      <c r="AB11" s="7">
        <v>849.08440596629998</v>
      </c>
      <c r="AC11" s="7">
        <v>885.88759401660002</v>
      </c>
      <c r="AD11" s="7">
        <v>874.33397847599997</v>
      </c>
      <c r="AE11" s="7">
        <v>804.6514253547</v>
      </c>
      <c r="AF11" s="7">
        <v>975.04857040709976</v>
      </c>
      <c r="AG11" s="7">
        <v>995.8711884533999</v>
      </c>
      <c r="AH11" s="7">
        <v>1063.6514467382999</v>
      </c>
      <c r="AI11" s="7">
        <v>1044.3721008356999</v>
      </c>
      <c r="AJ11" s="7">
        <v>886.55056059569995</v>
      </c>
      <c r="AK11" s="7">
        <v>1097.1562998144</v>
      </c>
      <c r="AL11" s="7">
        <v>939.87875005290005</v>
      </c>
      <c r="AM11" s="7">
        <v>1116.4958686412999</v>
      </c>
      <c r="AN11" s="7">
        <v>1158.8290570290001</v>
      </c>
      <c r="AO11" s="7">
        <f>'[1]Soy Complex'!AX$13</f>
        <v>1279.3054030000001</v>
      </c>
      <c r="AP11" s="7">
        <f>'[1]Soy Complex'!AY$13</f>
        <v>1499.069473</v>
      </c>
      <c r="AQ11" s="7">
        <f>'[1]Soy Complex'!AZ$13</f>
        <v>1504.9852080000001</v>
      </c>
      <c r="AR11" s="7">
        <f>'[1]Soy Complex'!BA$13</f>
        <v>1366.351228</v>
      </c>
      <c r="AS11" s="7">
        <f>'[1]Soy Complex'!BB$13</f>
        <v>1327.5131369999999</v>
      </c>
      <c r="AT11" s="7">
        <f>'[1]Soy Complex'!BC$13</f>
        <v>1638.548558</v>
      </c>
      <c r="AU11" s="7">
        <f>'[1]Soy Complex'!BD$13</f>
        <v>1842.439349</v>
      </c>
      <c r="AV11" s="7">
        <f>'[1]Soy Complex'!BE$13</f>
        <v>1942.271982</v>
      </c>
      <c r="AW11" s="7">
        <f>'[1]Soy Complex'!BF$13</f>
        <v>2173.6470610000001</v>
      </c>
      <c r="AX11" s="7">
        <f>'[1]Soy Complex'!BG$13</f>
        <v>2139.6039930184129</v>
      </c>
      <c r="AY11" s="7">
        <f>'[1]Soy Complex'!BH$13</f>
        <v>1757.5601175994966</v>
      </c>
      <c r="AZ11" s="7">
        <f>'[1]Soy Complex'!BI$13</f>
        <v>1684.0215011639295</v>
      </c>
      <c r="BA11" s="7">
        <f>'[1]Soy Complex'!BJ$13</f>
        <v>2269.4096088117353</v>
      </c>
      <c r="BB11" s="7">
        <f>'[1]Soy Complex'!BK$13</f>
        <v>2156.8531532599654</v>
      </c>
    </row>
    <row r="12" spans="1:54" x14ac:dyDescent="0.2">
      <c r="A12" t="s">
        <v>10</v>
      </c>
      <c r="B12" s="7">
        <v>48.533000000000001</v>
      </c>
      <c r="C12" s="7">
        <v>48.113</v>
      </c>
      <c r="D12" s="7">
        <v>50.692999999999998</v>
      </c>
      <c r="E12" s="7">
        <v>59.947000000000003</v>
      </c>
      <c r="F12" s="7">
        <v>54.901000000000003</v>
      </c>
      <c r="G12" s="7">
        <v>57.213999999999999</v>
      </c>
      <c r="H12" s="7">
        <v>53.32</v>
      </c>
      <c r="I12" s="7">
        <v>62.84</v>
      </c>
      <c r="J12" s="7">
        <v>68.91</v>
      </c>
      <c r="K12" s="7">
        <v>76.05</v>
      </c>
      <c r="L12" s="7">
        <v>68</v>
      </c>
      <c r="M12" s="7">
        <v>66</v>
      </c>
      <c r="N12" s="7">
        <v>70</v>
      </c>
      <c r="O12" s="7">
        <v>61</v>
      </c>
      <c r="P12" s="7">
        <v>64.5</v>
      </c>
      <c r="Q12" s="7">
        <v>61</v>
      </c>
      <c r="R12" s="7">
        <v>60</v>
      </c>
      <c r="S12" s="7">
        <v>56</v>
      </c>
      <c r="T12" s="7">
        <v>60</v>
      </c>
      <c r="U12" s="7">
        <v>62.85</v>
      </c>
      <c r="V12" s="7">
        <v>57.8</v>
      </c>
      <c r="W12" s="7">
        <v>61.15</v>
      </c>
      <c r="X12" s="7">
        <v>63.07</v>
      </c>
      <c r="Y12" s="7">
        <v>65.09</v>
      </c>
      <c r="Z12" s="7">
        <v>70.86</v>
      </c>
      <c r="AA12" s="7">
        <v>71.87</v>
      </c>
      <c r="AB12" s="7">
        <v>73.819999999999993</v>
      </c>
      <c r="AC12" s="7">
        <v>81.67</v>
      </c>
      <c r="AD12" s="7">
        <v>85.61</v>
      </c>
      <c r="AE12" s="7">
        <v>86.94</v>
      </c>
      <c r="AF12" s="7">
        <v>88.03</v>
      </c>
      <c r="AG12" s="7">
        <v>89.46</v>
      </c>
      <c r="AH12" s="7">
        <v>87.52</v>
      </c>
      <c r="AI12" s="7">
        <v>87</v>
      </c>
      <c r="AJ12" s="7">
        <v>89.27</v>
      </c>
      <c r="AK12" s="7">
        <v>85.78</v>
      </c>
      <c r="AL12" s="7">
        <v>88.74</v>
      </c>
      <c r="AM12" s="7">
        <v>75.91</v>
      </c>
      <c r="AN12" s="7">
        <v>88.72</v>
      </c>
      <c r="AO12" s="7">
        <f>'[1]Soy Complex'!AX$14</f>
        <v>90</v>
      </c>
      <c r="AP12" s="7">
        <f>'[1]Soy Complex'!AY$14</f>
        <v>90</v>
      </c>
      <c r="AQ12" s="7">
        <f>'[1]Soy Complex'!AZ$14</f>
        <v>87</v>
      </c>
      <c r="AR12" s="7">
        <f>'[1]Soy Complex'!BA$14</f>
        <v>90</v>
      </c>
      <c r="AS12" s="7">
        <f>'[1]Soy Complex'!BB$14</f>
        <v>89</v>
      </c>
      <c r="AT12" s="7">
        <f>'[1]Soy Complex'!BC$14</f>
        <v>97</v>
      </c>
      <c r="AU12" s="7">
        <f>'[1]Soy Complex'!BD$14</f>
        <v>96</v>
      </c>
      <c r="AV12" s="7">
        <f>'[1]Soy Complex'!BE$14</f>
        <v>97</v>
      </c>
      <c r="AW12" s="7">
        <f>'[1]Soy Complex'!BF$14</f>
        <v>98.73</v>
      </c>
      <c r="AX12" s="7">
        <f>'[1]Soy Complex'!BG$14</f>
        <v>99.22</v>
      </c>
      <c r="AY12" s="7">
        <f>'[1]Soy Complex'!BH$14</f>
        <v>76.12</v>
      </c>
      <c r="AZ12" s="7">
        <f>'[1]Soy Complex'!BI$14</f>
        <v>93.61</v>
      </c>
      <c r="BA12" s="7">
        <f>'[1]Soy Complex'!BJ$14</f>
        <v>82.77</v>
      </c>
      <c r="BB12" s="7">
        <f>'[1]Soy Complex'!BK$14</f>
        <v>75</v>
      </c>
    </row>
    <row r="13" spans="1:54" x14ac:dyDescent="0.2">
      <c r="A13" t="s">
        <v>11</v>
      </c>
      <c r="B13" s="7">
        <v>11.645999999999958</v>
      </c>
      <c r="C13" s="7">
        <v>16.114999999999782</v>
      </c>
      <c r="D13" s="7">
        <v>14.852000000000089</v>
      </c>
      <c r="E13" s="7">
        <v>21.745999999999867</v>
      </c>
      <c r="F13" s="7">
        <v>21.352999999999838</v>
      </c>
      <c r="G13" s="7">
        <v>19.70900000000006</v>
      </c>
      <c r="H13" s="7">
        <v>18.289000000000215</v>
      </c>
      <c r="I13" s="7">
        <v>13.509000000000015</v>
      </c>
      <c r="J13" s="7">
        <v>12.983333333333348</v>
      </c>
      <c r="K13" s="7">
        <v>21.31766666666681</v>
      </c>
      <c r="L13" s="7">
        <v>11.213333333333139</v>
      </c>
      <c r="M13" s="7">
        <v>32.563666666666904</v>
      </c>
      <c r="N13" s="7">
        <v>19.12633333333315</v>
      </c>
      <c r="O13" s="7">
        <v>26.13416666666717</v>
      </c>
      <c r="P13" s="7">
        <v>17.263666666666495</v>
      </c>
      <c r="Q13" s="7">
        <v>31.276000000000067</v>
      </c>
      <c r="R13" s="7">
        <v>25.945333333333338</v>
      </c>
      <c r="S13" s="7">
        <v>50.877999999999702</v>
      </c>
      <c r="T13" s="7">
        <v>36.789666666666562</v>
      </c>
      <c r="U13" s="7">
        <v>25.881333333333259</v>
      </c>
      <c r="V13" s="7">
        <v>41.450333333332992</v>
      </c>
      <c r="W13" s="7">
        <v>33.087466666667297</v>
      </c>
      <c r="X13" s="7">
        <v>40.018276651990391</v>
      </c>
      <c r="Y13" s="7">
        <v>63.928962192389918</v>
      </c>
      <c r="Z13" s="7">
        <v>24.686062176090218</v>
      </c>
      <c r="AA13" s="7">
        <v>77.4076880707903</v>
      </c>
      <c r="AB13" s="7">
        <v>37.621395975969335</v>
      </c>
      <c r="AC13" s="7">
        <v>37.282008124416279</v>
      </c>
      <c r="AD13" s="7">
        <v>68.865972188889828</v>
      </c>
      <c r="AE13" s="7">
        <v>114.47397958786405</v>
      </c>
      <c r="AF13" s="7">
        <v>75.85391509897363</v>
      </c>
      <c r="AG13" s="7">
        <v>78.79163583970967</v>
      </c>
      <c r="AH13" s="7">
        <v>81.77299300979621</v>
      </c>
      <c r="AI13" s="7">
        <v>44.374540919666742</v>
      </c>
      <c r="AJ13" s="7">
        <v>19.797658223556482</v>
      </c>
      <c r="AK13" s="7">
        <v>107.02392456057714</v>
      </c>
      <c r="AL13" s="7">
        <v>110.65312536817692</v>
      </c>
      <c r="AM13" s="7">
        <v>81.163116671144053</v>
      </c>
      <c r="AN13" s="7">
        <v>4.8106738184101232</v>
      </c>
      <c r="AO13" s="7">
        <f>'[1]Soy Complex'!AX$15</f>
        <v>15.892046000000164</v>
      </c>
      <c r="AP13" s="7">
        <f>'[1]Soy Complex'!AY$15</f>
        <v>22.083117000000129</v>
      </c>
      <c r="AQ13" s="7">
        <f>'[1]Soy Complex'!AZ$15</f>
        <v>41.651102999999694</v>
      </c>
      <c r="AR13" s="7">
        <f>'[1]Soy Complex'!BA$15</f>
        <v>-0.39423599999986436</v>
      </c>
      <c r="AS13" s="7">
        <f>'[1]Soy Complex'!BB$15</f>
        <v>5.8642050000000836</v>
      </c>
      <c r="AT13" s="7">
        <f>'[1]Soy Complex'!BC$15</f>
        <v>7.7877519999999549</v>
      </c>
      <c r="AU13" s="7">
        <f>'[1]Soy Complex'!BD$15</f>
        <v>51.206543000000011</v>
      </c>
      <c r="AV13" s="7">
        <f>'[1]Soy Complex'!BE$15</f>
        <v>16.526338893910633</v>
      </c>
      <c r="AW13" s="7">
        <f>'[1]Soy Complex'!BF$15</f>
        <v>41.128067475357057</v>
      </c>
      <c r="AX13" s="7">
        <f>'[1]Soy Complex'!BG$15</f>
        <v>4.2858842767973329</v>
      </c>
      <c r="AY13" s="7">
        <f>'[1]Soy Complex'!BH$15</f>
        <v>45.590615733835875</v>
      </c>
      <c r="AZ13" s="7">
        <f>'[1]Soy Complex'!BI$15</f>
        <v>9.6503740910561646</v>
      </c>
      <c r="BA13" s="7">
        <f>'[1]Soy Complex'!BJ$15</f>
        <v>10.964076062357435</v>
      </c>
      <c r="BB13" s="7">
        <f>'[1]Soy Complex'!BK$15</f>
        <v>27.86022030266804</v>
      </c>
    </row>
    <row r="14" spans="1:54" x14ac:dyDescent="0.2">
      <c r="A14" t="s">
        <v>12</v>
      </c>
      <c r="B14" s="8">
        <v>1230.1279999999999</v>
      </c>
      <c r="C14" s="8">
        <v>1258.1569999999999</v>
      </c>
      <c r="D14" s="8">
        <v>1202.9180000000001</v>
      </c>
      <c r="E14" s="8">
        <v>1282.9359999999999</v>
      </c>
      <c r="F14" s="8">
        <v>1436.4259999999999</v>
      </c>
      <c r="G14" s="8">
        <v>1198.8869999999999</v>
      </c>
      <c r="H14" s="8">
        <v>1491.5550000000001</v>
      </c>
      <c r="I14" s="8">
        <v>1430.624</v>
      </c>
      <c r="J14" s="8">
        <v>1709.0150000000001</v>
      </c>
      <c r="K14" s="8">
        <v>1854.345</v>
      </c>
      <c r="L14" s="8">
        <v>2077.7829999999999</v>
      </c>
      <c r="M14" s="8">
        <v>1843.3620000000001</v>
      </c>
      <c r="N14" s="8">
        <v>2047.8829999999996</v>
      </c>
      <c r="O14" s="8">
        <v>2100.2855000000004</v>
      </c>
      <c r="P14" s="8">
        <v>1804.816</v>
      </c>
      <c r="Q14" s="8">
        <v>1720.94</v>
      </c>
      <c r="R14" s="8">
        <v>1879.4440000000002</v>
      </c>
      <c r="S14" s="8">
        <v>2042.5569999999998</v>
      </c>
      <c r="T14" s="8">
        <v>2072.9589999999998</v>
      </c>
      <c r="U14" s="8">
        <v>1672.8789999999999</v>
      </c>
      <c r="V14" s="8">
        <v>1869.0499999999997</v>
      </c>
      <c r="W14" s="8">
        <v>1839.5270000000005</v>
      </c>
      <c r="X14" s="8">
        <v>2040.5880000000002</v>
      </c>
      <c r="Y14" s="8">
        <v>2178.5637175843899</v>
      </c>
      <c r="Z14" s="8">
        <v>1959.3014678204902</v>
      </c>
      <c r="AA14" s="8">
        <v>2394.6519443948905</v>
      </c>
      <c r="AB14" s="8">
        <v>2330.0658019422694</v>
      </c>
      <c r="AC14" s="8">
        <v>2440.8029354743499</v>
      </c>
      <c r="AD14" s="8">
        <v>2625.7899506648901</v>
      </c>
      <c r="AE14" s="8">
        <v>2595.8520716092303</v>
      </c>
      <c r="AF14" s="8">
        <v>2716.2491521727402</v>
      </c>
      <c r="AG14" s="8">
        <v>2803.7928242931098</v>
      </c>
      <c r="AH14" s="8">
        <v>2932.6877730814294</v>
      </c>
      <c r="AI14" s="8">
        <v>2790.5399750887</v>
      </c>
      <c r="AJ14" s="8">
        <v>2525.3215521525899</v>
      </c>
      <c r="AK14" s="8">
        <v>2986.0435577083103</v>
      </c>
      <c r="AL14" s="8">
        <v>2878.1252087544099</v>
      </c>
      <c r="AM14" s="8">
        <v>3081.2765519791101</v>
      </c>
      <c r="AN14" s="8">
        <v>3055.7638018474099</v>
      </c>
      <c r="AO14" s="8">
        <f>'[1]Soy Complex'!AX$16</f>
        <v>3047.1150000000002</v>
      </c>
      <c r="AP14" s="8">
        <f>'[1]Soy Complex'!AY$16</f>
        <v>3362.835</v>
      </c>
      <c r="AQ14" s="8">
        <f>'[1]Soy Complex'!AZ$16</f>
        <v>3281.6279999999997</v>
      </c>
      <c r="AR14" s="8">
        <f>'[1]Soy Complex'!BA$16</f>
        <v>3158.9540000000002</v>
      </c>
      <c r="AS14" s="8">
        <f>'[1]Soy Complex'!BB$16</f>
        <v>3111.375</v>
      </c>
      <c r="AT14" s="8">
        <f>'[1]Soy Complex'!BC$16</f>
        <v>3477.3449999999998</v>
      </c>
      <c r="AU14" s="8">
        <f>'[1]Soy Complex'!BD$16</f>
        <v>3862.6559999999999</v>
      </c>
      <c r="AV14" s="8">
        <f>'[1]Soy Complex'!BE$16</f>
        <v>3942.0361608939106</v>
      </c>
      <c r="AW14" s="8">
        <f>'[1]Soy Complex'!BF$16</f>
        <v>4214.7031951420231</v>
      </c>
      <c r="AX14" s="8">
        <f>'[1]Soy Complex'!BG$16</f>
        <v>4298.0418772952107</v>
      </c>
      <c r="AY14" s="8">
        <f>'[1]Soy Complex'!BH$16</f>
        <v>3971.2609999999991</v>
      </c>
      <c r="AZ14" s="8">
        <f>'[1]Soy Complex'!BI$16</f>
        <v>3951.8361085883198</v>
      </c>
      <c r="BA14" s="8">
        <f>'[1]Soy Complex'!BJ$16</f>
        <v>4503.7283515407598</v>
      </c>
      <c r="BB14" s="8">
        <f>'[1]Soy Complex'!BK$16</f>
        <v>4463.5855402293</v>
      </c>
    </row>
    <row r="15" spans="1:54" x14ac:dyDescent="0.2">
      <c r="A15" s="6" t="s">
        <v>13</v>
      </c>
      <c r="B15" s="9">
        <v>229.83600000000001</v>
      </c>
      <c r="C15" s="9">
        <v>98.778999999999996</v>
      </c>
      <c r="D15" s="9">
        <v>71.962000000000003</v>
      </c>
      <c r="E15" s="9">
        <v>59.634</v>
      </c>
      <c r="F15" s="9">
        <v>170.751</v>
      </c>
      <c r="G15" s="9">
        <v>188.15100000000001</v>
      </c>
      <c r="H15" s="7">
        <v>244.94</v>
      </c>
      <c r="I15" s="7">
        <v>102.92400000000001</v>
      </c>
      <c r="J15" s="7">
        <v>161.17599999999999</v>
      </c>
      <c r="K15" s="7">
        <v>175.58799999999999</v>
      </c>
      <c r="L15" s="7">
        <v>358.476</v>
      </c>
      <c r="M15" s="7">
        <v>313.00700000000001</v>
      </c>
      <c r="N15" s="7">
        <v>254.48099999999999</v>
      </c>
      <c r="O15" s="7">
        <v>344.63400000000001</v>
      </c>
      <c r="P15" s="7">
        <v>175.696</v>
      </c>
      <c r="Q15" s="7">
        <v>316.05700000000002</v>
      </c>
      <c r="R15" s="7">
        <v>536.36500000000001</v>
      </c>
      <c r="S15" s="7">
        <v>436.447</v>
      </c>
      <c r="T15" s="7">
        <v>302.476</v>
      </c>
      <c r="U15" s="7">
        <v>182.029</v>
      </c>
      <c r="V15" s="7">
        <v>239.13900000000001</v>
      </c>
      <c r="W15" s="7">
        <v>329.04199999999997</v>
      </c>
      <c r="X15" s="7">
        <v>278.43700000000001</v>
      </c>
      <c r="Y15" s="7">
        <v>292.28399999999999</v>
      </c>
      <c r="Z15" s="7">
        <v>209.11699999999999</v>
      </c>
      <c r="AA15" s="7">
        <v>334.81400000000002</v>
      </c>
      <c r="AB15" s="7">
        <v>183.458</v>
      </c>
      <c r="AC15" s="7">
        <v>131.833</v>
      </c>
      <c r="AD15" s="7">
        <v>199.79900000000001</v>
      </c>
      <c r="AE15" s="7">
        <v>348.48200000000003</v>
      </c>
      <c r="AF15" s="7">
        <v>290.16199999999998</v>
      </c>
      <c r="AG15" s="7">
        <v>247.74700000000001</v>
      </c>
      <c r="AH15" s="7">
        <v>208.06100000000001</v>
      </c>
      <c r="AI15" s="7">
        <v>178.32900000000001</v>
      </c>
      <c r="AJ15" s="7">
        <v>112.414</v>
      </c>
      <c r="AK15" s="7">
        <v>255.738</v>
      </c>
      <c r="AL15" s="7">
        <v>449.32600000000002</v>
      </c>
      <c r="AM15" s="7">
        <v>573.80999999999995</v>
      </c>
      <c r="AN15" s="7">
        <v>205.03399999999999</v>
      </c>
      <c r="AO15" s="7">
        <f>'[1]Soy Complex'!AX$17</f>
        <v>138.19800000000001</v>
      </c>
      <c r="AP15" s="7">
        <f>'[1]Soy Complex'!AY$17</f>
        <v>150.88499999999999</v>
      </c>
      <c r="AQ15" s="7">
        <f>'[1]Soy Complex'!AZ$17</f>
        <v>215.01300000000001</v>
      </c>
      <c r="AR15" s="7">
        <f>'[1]Soy Complex'!BA$17</f>
        <v>169.37</v>
      </c>
      <c r="AS15" s="7">
        <f>'[1]Soy Complex'!BB$17</f>
        <v>140.55699999999999</v>
      </c>
      <c r="AT15" s="7">
        <f>'[1]Soy Complex'!BC$17</f>
        <v>91.991</v>
      </c>
      <c r="AU15" s="7">
        <f>'[1]Soy Complex'!BD$17</f>
        <v>190.61</v>
      </c>
      <c r="AV15" s="7">
        <f>'[1]Soy Complex'!BE$17</f>
        <v>196.72900000000001</v>
      </c>
      <c r="AW15" s="7">
        <f>'[1]Soy Complex'!BF$17</f>
        <v>301.59500000000003</v>
      </c>
      <c r="AX15" s="7">
        <f>'[1]Soy Complex'!BG$17</f>
        <v>438.10500000000002</v>
      </c>
      <c r="AY15" s="7">
        <f>'[1]Soy Complex'!BH$17</f>
        <v>909.05200000000002</v>
      </c>
      <c r="AZ15" s="7">
        <f>'[1]Soy Complex'!BI$17</f>
        <v>524.54100000000005</v>
      </c>
      <c r="BA15" s="7">
        <f>'[1]Soy Complex'!BJ$17</f>
        <v>256.97899999999998</v>
      </c>
      <c r="BB15" s="7">
        <f>'[1]Soy Complex'!BK$17</f>
        <v>274.39400000000001</v>
      </c>
    </row>
    <row r="16" spans="1:54" x14ac:dyDescent="0.2">
      <c r="A16" t="s">
        <v>14</v>
      </c>
      <c r="B16" s="10">
        <f>B15/B14</f>
        <v>0.1868390931675403</v>
      </c>
      <c r="C16" s="10">
        <f t="shared" ref="C16:BB16" si="0">C15/C14</f>
        <v>7.851086947018536E-2</v>
      </c>
      <c r="D16" s="10">
        <f t="shared" si="0"/>
        <v>5.9822864068872522E-2</v>
      </c>
      <c r="E16" s="10">
        <f t="shared" si="0"/>
        <v>4.6482443395461662E-2</v>
      </c>
      <c r="F16" s="10">
        <f t="shared" si="0"/>
        <v>0.11887211732452629</v>
      </c>
      <c r="G16" s="10">
        <f t="shared" si="0"/>
        <v>0.15693806005069705</v>
      </c>
      <c r="H16" s="10">
        <f t="shared" si="0"/>
        <v>0.1642178799977205</v>
      </c>
      <c r="I16" s="10">
        <f t="shared" si="0"/>
        <v>7.1943431677365957E-2</v>
      </c>
      <c r="J16" s="10">
        <f t="shared" si="0"/>
        <v>9.4309295120288572E-2</v>
      </c>
      <c r="K16" s="10">
        <f t="shared" si="0"/>
        <v>9.469003880076253E-2</v>
      </c>
      <c r="L16" s="10">
        <f t="shared" si="0"/>
        <v>0.17252812252290062</v>
      </c>
      <c r="M16" s="10">
        <f t="shared" si="0"/>
        <v>0.16980224177345524</v>
      </c>
      <c r="N16" s="10">
        <f t="shared" si="0"/>
        <v>0.12426539992763261</v>
      </c>
      <c r="O16" s="10">
        <f t="shared" si="0"/>
        <v>0.16408912026484015</v>
      </c>
      <c r="P16" s="10">
        <f t="shared" si="0"/>
        <v>9.7348427762165221E-2</v>
      </c>
      <c r="Q16" s="10">
        <f t="shared" si="0"/>
        <v>0.18365370088440039</v>
      </c>
      <c r="R16" s="10">
        <f t="shared" si="0"/>
        <v>0.28538493299082068</v>
      </c>
      <c r="S16" s="10">
        <f t="shared" si="0"/>
        <v>0.21367677866517315</v>
      </c>
      <c r="T16" s="10">
        <f t="shared" si="0"/>
        <v>0.14591509045765017</v>
      </c>
      <c r="U16" s="10">
        <f t="shared" si="0"/>
        <v>0.10881181484136032</v>
      </c>
      <c r="V16" s="10">
        <f t="shared" si="0"/>
        <v>0.12794681790214282</v>
      </c>
      <c r="W16" s="10">
        <f t="shared" si="0"/>
        <v>0.17887315597977083</v>
      </c>
      <c r="X16" s="10">
        <f t="shared" si="0"/>
        <v>0.13644939595841982</v>
      </c>
      <c r="Y16" s="10">
        <f t="shared" si="0"/>
        <v>0.13416362240902782</v>
      </c>
      <c r="Z16" s="10">
        <f t="shared" si="0"/>
        <v>0.10673038500431478</v>
      </c>
      <c r="AA16" s="10">
        <f t="shared" si="0"/>
        <v>0.13981739633757292</v>
      </c>
      <c r="AB16" s="10">
        <f t="shared" si="0"/>
        <v>7.8735115483466261E-2</v>
      </c>
      <c r="AC16" s="10">
        <f t="shared" si="0"/>
        <v>5.4012144153038455E-2</v>
      </c>
      <c r="AD16" s="10">
        <f t="shared" si="0"/>
        <v>7.6091006422432175E-2</v>
      </c>
      <c r="AE16" s="10">
        <f t="shared" si="0"/>
        <v>0.13424570830184779</v>
      </c>
      <c r="AF16" s="10">
        <f t="shared" si="0"/>
        <v>0.10682451562585783</v>
      </c>
      <c r="AG16" s="10">
        <f t="shared" si="0"/>
        <v>8.8361378862741688E-2</v>
      </c>
      <c r="AH16" s="10">
        <f t="shared" si="0"/>
        <v>7.094549986185078E-2</v>
      </c>
      <c r="AI16" s="10">
        <f t="shared" si="0"/>
        <v>6.3904836193694609E-2</v>
      </c>
      <c r="AJ16" s="10">
        <f t="shared" si="0"/>
        <v>4.4514727205404017E-2</v>
      </c>
      <c r="AK16" s="10">
        <f t="shared" si="0"/>
        <v>8.5644430517373443E-2</v>
      </c>
      <c r="AL16" s="10">
        <f t="shared" si="0"/>
        <v>0.15611759996864716</v>
      </c>
      <c r="AM16" s="10">
        <f t="shared" si="0"/>
        <v>0.18622476441831898</v>
      </c>
      <c r="AN16" s="10">
        <f t="shared" si="0"/>
        <v>6.7097463447941708E-2</v>
      </c>
      <c r="AO16" s="10">
        <f t="shared" si="0"/>
        <v>4.5353719830068771E-2</v>
      </c>
      <c r="AP16" s="10">
        <f t="shared" si="0"/>
        <v>4.4868392294001934E-2</v>
      </c>
      <c r="AQ16" s="10">
        <f t="shared" si="0"/>
        <v>6.5520223498824373E-2</v>
      </c>
      <c r="AR16" s="10">
        <f t="shared" si="0"/>
        <v>5.3615848790454057E-2</v>
      </c>
      <c r="AS16" s="10">
        <f t="shared" si="0"/>
        <v>4.5175203888955844E-2</v>
      </c>
      <c r="AT16" s="10">
        <f t="shared" si="0"/>
        <v>2.645437826847782E-2</v>
      </c>
      <c r="AU16" s="10">
        <f t="shared" si="0"/>
        <v>4.934687427511019E-2</v>
      </c>
      <c r="AV16" s="10">
        <f t="shared" si="0"/>
        <v>4.9905427543158055E-2</v>
      </c>
      <c r="AW16" s="10">
        <f t="shared" si="0"/>
        <v>7.1557826503091906E-2</v>
      </c>
      <c r="AX16" s="10">
        <f t="shared" si="0"/>
        <v>0.10193130092899484</v>
      </c>
      <c r="AY16" s="10">
        <f t="shared" si="0"/>
        <v>0.22890764419664189</v>
      </c>
      <c r="AZ16" s="10">
        <f t="shared" si="0"/>
        <v>0.13273349035402618</v>
      </c>
      <c r="BA16" s="10">
        <f t="shared" si="0"/>
        <v>5.705916963488384E-2</v>
      </c>
      <c r="BB16" s="10">
        <f t="shared" si="0"/>
        <v>6.1473897503912078E-2</v>
      </c>
    </row>
    <row r="17" spans="1:54" x14ac:dyDescent="0.2">
      <c r="A17" t="s">
        <v>15</v>
      </c>
      <c r="B17" s="7">
        <v>40.58</v>
      </c>
      <c r="C17" s="7">
        <v>20.553999999999998</v>
      </c>
      <c r="D17" s="7">
        <v>11.779</v>
      </c>
      <c r="E17" s="7">
        <v>9.4120000000000008</v>
      </c>
      <c r="F17" s="7">
        <v>64.414000000000001</v>
      </c>
      <c r="G17" s="7">
        <v>78.228999999999999</v>
      </c>
      <c r="H17" s="7">
        <v>86.159000000000006</v>
      </c>
      <c r="I17" s="7">
        <v>32.756</v>
      </c>
      <c r="J17" s="7">
        <v>59.131999999999998</v>
      </c>
      <c r="K17" s="7">
        <v>61.509</v>
      </c>
      <c r="L17" s="7">
        <v>128.596</v>
      </c>
      <c r="M17" s="7">
        <v>153.571</v>
      </c>
      <c r="N17" s="7">
        <v>117.749</v>
      </c>
      <c r="O17" s="7">
        <v>118.574</v>
      </c>
      <c r="P17" s="7">
        <v>67.912000000000006</v>
      </c>
      <c r="Q17" s="7">
        <v>143.221</v>
      </c>
      <c r="R17" s="7">
        <v>167.09</v>
      </c>
      <c r="S17" s="7">
        <v>107.95</v>
      </c>
      <c r="T17" s="7">
        <v>105.05</v>
      </c>
      <c r="U17" s="7">
        <v>87.32</v>
      </c>
      <c r="V17" s="7">
        <v>86</v>
      </c>
      <c r="W17" s="7">
        <v>118.4</v>
      </c>
      <c r="X17" s="7">
        <v>105</v>
      </c>
      <c r="Y17" s="7">
        <v>124.97</v>
      </c>
      <c r="Z17" s="7">
        <v>59.08</v>
      </c>
      <c r="AA17" s="7">
        <v>105.13</v>
      </c>
      <c r="AB17" s="7">
        <v>59.523000000000003</v>
      </c>
      <c r="AC17" s="7">
        <v>43.6</v>
      </c>
      <c r="AD17" s="7">
        <v>84.3</v>
      </c>
      <c r="AE17" s="7">
        <v>145</v>
      </c>
      <c r="AF17" s="7">
        <v>112.5</v>
      </c>
      <c r="AG17" s="7">
        <v>83.5</v>
      </c>
      <c r="AH17" s="7">
        <v>62.7</v>
      </c>
      <c r="AI17" s="7">
        <v>58</v>
      </c>
      <c r="AJ17" s="7">
        <v>29.4</v>
      </c>
      <c r="AK17" s="7">
        <v>99.7</v>
      </c>
      <c r="AL17" s="7">
        <v>176.3</v>
      </c>
      <c r="AM17" s="7">
        <v>143</v>
      </c>
      <c r="AN17" s="7">
        <v>47</v>
      </c>
      <c r="AO17" s="11">
        <f>'[1]Soy Complex'!AX$110</f>
        <v>103.09800000000001</v>
      </c>
      <c r="AP17" s="11">
        <f>'[1]Soy Complex'!AY$110</f>
        <v>115.48499999999999</v>
      </c>
      <c r="AQ17" s="11">
        <f>'[1]Soy Complex'!AZ$110</f>
        <v>166.51300000000001</v>
      </c>
      <c r="AR17" s="11">
        <f>'[1]Soy Complex'!BA$110</f>
        <v>131.12</v>
      </c>
      <c r="AS17" s="11">
        <f>'[1]Soy Complex'!BB$110</f>
        <v>101.00699999999999</v>
      </c>
      <c r="AT17" s="11">
        <f>'[1]Soy Complex'!BC$110</f>
        <v>70.665999999999997</v>
      </c>
      <c r="AU17" s="11">
        <f>'[1]Soy Complex'!BD$110</f>
        <v>140.91000000000003</v>
      </c>
      <c r="AV17" s="11">
        <f>'[1]Soy Complex'!BE$110</f>
        <v>155.16900000000001</v>
      </c>
      <c r="AW17" s="11">
        <f>'[1]Soy Complex'!BF$110</f>
        <v>213.69500000000002</v>
      </c>
      <c r="AX17" s="11">
        <f>'[1]Soy Complex'!BG$110</f>
        <v>337.10500000000002</v>
      </c>
      <c r="AY17" s="11">
        <f>'[1]Soy Complex'!BH$110</f>
        <v>644.05200000000002</v>
      </c>
      <c r="AZ17" s="11">
        <f>'[1]Soy Complex'!BI$110</f>
        <v>383.34100000000007</v>
      </c>
      <c r="BA17" s="11">
        <f>'[1]Soy Complex'!BJ$110</f>
        <v>188.87899999999999</v>
      </c>
      <c r="BB17" s="11">
        <f>'[1]Soy Complex'!BK$110</f>
        <v>211.464</v>
      </c>
    </row>
    <row r="18" spans="1:54" x14ac:dyDescent="0.2">
      <c r="A18" t="s">
        <v>16</v>
      </c>
      <c r="B18" s="7">
        <v>189.25600000000003</v>
      </c>
      <c r="C18" s="7">
        <v>78.224999999999994</v>
      </c>
      <c r="D18" s="7">
        <v>60.183000000000007</v>
      </c>
      <c r="E18" s="7">
        <v>50.222000000000001</v>
      </c>
      <c r="F18" s="7">
        <v>106.337</v>
      </c>
      <c r="G18" s="7">
        <v>109.92200000000001</v>
      </c>
      <c r="H18" s="7">
        <v>158.78100000000001</v>
      </c>
      <c r="I18" s="7">
        <v>70.168000000000006</v>
      </c>
      <c r="J18" s="7">
        <v>102.04399999999998</v>
      </c>
      <c r="K18" s="7">
        <v>114.07899999999999</v>
      </c>
      <c r="L18" s="7">
        <v>229.88</v>
      </c>
      <c r="M18" s="7">
        <v>159.43600000000001</v>
      </c>
      <c r="N18" s="7">
        <v>136.732</v>
      </c>
      <c r="O18" s="7">
        <v>226.06</v>
      </c>
      <c r="P18" s="7">
        <v>107.78399999999999</v>
      </c>
      <c r="Q18" s="7">
        <v>172.83600000000001</v>
      </c>
      <c r="R18" s="7">
        <v>369.27499999999998</v>
      </c>
      <c r="S18" s="7">
        <v>328.49700000000001</v>
      </c>
      <c r="T18" s="7">
        <v>197.42599999999999</v>
      </c>
      <c r="U18" s="7">
        <v>94.709000000000003</v>
      </c>
      <c r="V18" s="7">
        <v>153.13900000000001</v>
      </c>
      <c r="W18" s="7">
        <v>210.64199999999997</v>
      </c>
      <c r="X18" s="7">
        <v>173.43700000000001</v>
      </c>
      <c r="Y18" s="7">
        <v>167.31399999999999</v>
      </c>
      <c r="Z18" s="7">
        <v>150.03699999999998</v>
      </c>
      <c r="AA18" s="7">
        <v>229.68400000000003</v>
      </c>
      <c r="AB18" s="7">
        <v>123.935</v>
      </c>
      <c r="AC18" s="7">
        <v>88.233000000000004</v>
      </c>
      <c r="AD18" s="7">
        <v>115.49900000000001</v>
      </c>
      <c r="AE18" s="7">
        <v>203.48200000000003</v>
      </c>
      <c r="AF18" s="7">
        <v>177.66199999999998</v>
      </c>
      <c r="AG18" s="7">
        <v>164.24700000000001</v>
      </c>
      <c r="AH18" s="7">
        <v>145.36099999999999</v>
      </c>
      <c r="AI18" s="7">
        <v>120.32900000000001</v>
      </c>
      <c r="AJ18" s="7">
        <v>83.01400000000001</v>
      </c>
      <c r="AK18" s="7">
        <v>156.03800000000001</v>
      </c>
      <c r="AL18" s="7">
        <v>273.02600000000001</v>
      </c>
      <c r="AM18" s="7">
        <v>430.80999999999995</v>
      </c>
      <c r="AN18" s="7">
        <v>158.03399999999999</v>
      </c>
      <c r="AO18" s="11" t="e">
        <f>'[1]Soy Complex'!AX$111</f>
        <v>#REF!</v>
      </c>
      <c r="AP18" s="11" t="e">
        <f>'[1]Soy Complex'!AY$111</f>
        <v>#REF!</v>
      </c>
      <c r="AQ18" s="11" t="e">
        <f>'[1]Soy Complex'!AZ$111</f>
        <v>#REF!</v>
      </c>
      <c r="AR18" s="11" t="e">
        <f>'[1]Soy Complex'!BA$111</f>
        <v>#REF!</v>
      </c>
      <c r="AS18" s="11" t="e">
        <f>'[1]Soy Complex'!BB$111</f>
        <v>#REF!</v>
      </c>
      <c r="AT18" s="11" t="e">
        <f>'[1]Soy Complex'!BC$111</f>
        <v>#REF!</v>
      </c>
      <c r="AU18" s="11" t="e">
        <f>'[1]Soy Complex'!BD$111</f>
        <v>#REF!</v>
      </c>
      <c r="AV18" s="11" t="e">
        <f>'[1]Soy Complex'!BE$111</f>
        <v>#REF!</v>
      </c>
      <c r="AW18" s="11" t="e">
        <f>'[1]Soy Complex'!BF$111</f>
        <v>#REF!</v>
      </c>
      <c r="AX18" s="11" t="e">
        <f>'[1]Soy Complex'!BG$111</f>
        <v>#REF!</v>
      </c>
      <c r="AY18" s="11" t="e">
        <f>'[1]Soy Complex'!BH$111</f>
        <v>#REF!</v>
      </c>
      <c r="AZ18" s="11" t="e">
        <f>'[1]Soy Complex'!BI$111</f>
        <v>#REF!</v>
      </c>
      <c r="BA18" s="11" t="e">
        <f>'[1]Soy Complex'!BJ$111</f>
        <v>#REF!</v>
      </c>
      <c r="BB18" s="11" t="e">
        <f>'[1]Soy Complex'!BK$111</f>
        <v>#REF!</v>
      </c>
    </row>
    <row r="19" spans="1:54" x14ac:dyDescent="0.2">
      <c r="A19" t="s">
        <v>17</v>
      </c>
      <c r="B19" s="7">
        <v>150.15100000000001</v>
      </c>
      <c r="C19" s="7">
        <v>2.5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3.5</v>
      </c>
      <c r="J19" s="7">
        <v>17.600000000000001</v>
      </c>
      <c r="K19" s="7">
        <v>12.5</v>
      </c>
      <c r="L19" s="7">
        <v>42</v>
      </c>
      <c r="M19" s="7">
        <v>56.4</v>
      </c>
      <c r="N19" s="7">
        <v>83.9</v>
      </c>
      <c r="O19" s="7">
        <v>119.4</v>
      </c>
      <c r="P19" s="7">
        <v>27.2</v>
      </c>
      <c r="Q19" s="7">
        <v>157</v>
      </c>
      <c r="R19" s="7">
        <v>323.5</v>
      </c>
      <c r="S19" s="7">
        <v>148</v>
      </c>
      <c r="T19" s="7">
        <v>42.5</v>
      </c>
      <c r="U19" s="7">
        <v>16.899999999999999</v>
      </c>
      <c r="V19" s="7">
        <v>26.7</v>
      </c>
      <c r="W19" s="7">
        <v>53.4</v>
      </c>
      <c r="X19" s="7">
        <v>39.799999999999997</v>
      </c>
      <c r="Y19" s="7">
        <v>56</v>
      </c>
      <c r="Z19" s="7">
        <v>10.3</v>
      </c>
      <c r="AA19" s="7">
        <v>51.7</v>
      </c>
      <c r="AB19" s="7">
        <v>18.2</v>
      </c>
      <c r="AC19" s="7">
        <v>15.7</v>
      </c>
      <c r="AD19" s="7">
        <v>45.7</v>
      </c>
      <c r="AE19" s="7">
        <v>58.128999999999998</v>
      </c>
      <c r="AF19" s="7">
        <v>48.113999999999997</v>
      </c>
      <c r="AG19" s="7">
        <v>28.576000000000001</v>
      </c>
      <c r="AH19" s="7">
        <v>25.719000000000001</v>
      </c>
      <c r="AI19" s="7">
        <v>43.015000000000001</v>
      </c>
      <c r="AJ19" s="7">
        <v>12.923</v>
      </c>
      <c r="AK19" s="7">
        <v>58.49</v>
      </c>
      <c r="AL19" s="7">
        <v>119.947</v>
      </c>
      <c r="AM19" s="7">
        <v>56.36</v>
      </c>
      <c r="AN19" s="7">
        <v>7.1749999999999998</v>
      </c>
      <c r="AO19" s="7">
        <v>8.6050000000000004</v>
      </c>
    </row>
    <row r="20" spans="1:54" x14ac:dyDescent="0.2">
      <c r="A20" t="s">
        <v>18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</row>
    <row r="21" spans="1:54" x14ac:dyDescent="0.2">
      <c r="A21" t="s">
        <v>19</v>
      </c>
      <c r="B21" s="7">
        <v>46.710999999999999</v>
      </c>
      <c r="C21" s="7">
        <v>8.8870000000000005</v>
      </c>
      <c r="D21" s="7">
        <v>1.494</v>
      </c>
      <c r="E21" s="7">
        <v>0.219</v>
      </c>
      <c r="F21" s="7">
        <v>0.80600000000000005</v>
      </c>
      <c r="G21" s="7">
        <v>0.44700000000000001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0.5</v>
      </c>
      <c r="O21" s="7">
        <v>20.9</v>
      </c>
      <c r="P21" s="7">
        <v>0.7</v>
      </c>
      <c r="Q21" s="7">
        <v>4.4000000000000004</v>
      </c>
      <c r="R21" s="7">
        <v>131.30000000000001</v>
      </c>
      <c r="S21" s="7">
        <v>249.2</v>
      </c>
      <c r="T21" s="7">
        <v>6.9</v>
      </c>
      <c r="U21" s="7">
        <v>0.3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0.5</v>
      </c>
      <c r="AB21" s="7">
        <v>0</v>
      </c>
      <c r="AC21" s="7">
        <v>0</v>
      </c>
      <c r="AD21" s="7">
        <v>0.6</v>
      </c>
      <c r="AE21" s="7">
        <v>3.8</v>
      </c>
      <c r="AF21" s="7">
        <v>7</v>
      </c>
      <c r="AG21" s="7">
        <v>2</v>
      </c>
      <c r="AH21" s="7">
        <v>2.7</v>
      </c>
      <c r="AI21" s="7">
        <v>0.7</v>
      </c>
      <c r="AJ21" s="7">
        <v>0</v>
      </c>
      <c r="AK21" s="7">
        <v>0</v>
      </c>
      <c r="AL21" s="7">
        <v>0.1</v>
      </c>
      <c r="AM21" s="7">
        <v>1.0509999999999999</v>
      </c>
      <c r="AN21" s="7">
        <v>0</v>
      </c>
      <c r="AO21" s="7">
        <v>0</v>
      </c>
    </row>
    <row r="22" spans="1:54" x14ac:dyDescent="0.2">
      <c r="A22" t="s">
        <v>20</v>
      </c>
      <c r="B22" s="7">
        <v>196.86200000000002</v>
      </c>
      <c r="C22" s="7">
        <v>11.387</v>
      </c>
      <c r="D22" s="7">
        <v>1.494</v>
      </c>
      <c r="E22" s="7">
        <v>0.219</v>
      </c>
      <c r="F22" s="7">
        <v>0.80600000000000005</v>
      </c>
      <c r="G22" s="7">
        <v>0.44700000000000001</v>
      </c>
      <c r="H22" s="7">
        <v>0</v>
      </c>
      <c r="I22" s="7">
        <v>3.5</v>
      </c>
      <c r="J22" s="7">
        <v>17.600000000000001</v>
      </c>
      <c r="K22" s="7">
        <v>12.5</v>
      </c>
      <c r="L22" s="7">
        <v>42</v>
      </c>
      <c r="M22" s="7">
        <v>56.4</v>
      </c>
      <c r="N22" s="7">
        <v>84.4</v>
      </c>
      <c r="O22" s="7">
        <v>140.30000000000001</v>
      </c>
      <c r="P22" s="7">
        <v>27.9</v>
      </c>
      <c r="Q22" s="7">
        <v>161.4</v>
      </c>
      <c r="R22" s="7">
        <v>454.8</v>
      </c>
      <c r="S22" s="7">
        <v>397.2</v>
      </c>
      <c r="T22" s="7">
        <v>49.4</v>
      </c>
      <c r="U22" s="7">
        <v>17.2</v>
      </c>
      <c r="V22" s="7">
        <v>26.7</v>
      </c>
      <c r="W22" s="7">
        <v>53.4</v>
      </c>
      <c r="X22" s="7">
        <v>39.799999999999997</v>
      </c>
      <c r="Y22" s="7">
        <v>56</v>
      </c>
      <c r="Z22" s="7">
        <v>10.3</v>
      </c>
      <c r="AA22" s="7">
        <v>52.2</v>
      </c>
      <c r="AB22" s="7">
        <v>18.2</v>
      </c>
      <c r="AC22" s="7">
        <v>15.7</v>
      </c>
      <c r="AD22" s="7">
        <v>46.300000000000004</v>
      </c>
      <c r="AE22" s="7">
        <v>61.928999999999995</v>
      </c>
      <c r="AF22" s="7">
        <v>55.113999999999997</v>
      </c>
      <c r="AG22" s="7">
        <v>30.576000000000001</v>
      </c>
      <c r="AH22" s="7">
        <v>28.419</v>
      </c>
      <c r="AI22" s="7">
        <v>43.715000000000003</v>
      </c>
      <c r="AJ22" s="7">
        <v>12.923</v>
      </c>
      <c r="AK22" s="7">
        <v>58.49</v>
      </c>
      <c r="AL22" s="7">
        <v>120.047</v>
      </c>
      <c r="AM22" s="7">
        <v>57.411000000000001</v>
      </c>
      <c r="AN22" s="7">
        <v>7.1749999999999998</v>
      </c>
      <c r="AO22" s="7">
        <v>8.6050000000000004</v>
      </c>
    </row>
    <row r="23" spans="1:54" x14ac:dyDescent="0.2">
      <c r="A23" t="s">
        <v>21</v>
      </c>
      <c r="B23" s="7">
        <v>32.97399999999999</v>
      </c>
      <c r="C23" s="7">
        <v>87.391999999999996</v>
      </c>
      <c r="D23" s="7">
        <v>70.468000000000004</v>
      </c>
      <c r="E23" s="7">
        <v>59.414999999999999</v>
      </c>
      <c r="F23" s="7">
        <v>169.94499999999999</v>
      </c>
      <c r="G23" s="7">
        <v>187.70400000000001</v>
      </c>
      <c r="H23" s="7">
        <v>244.94</v>
      </c>
      <c r="I23" s="7">
        <v>99.424000000000007</v>
      </c>
      <c r="J23" s="7">
        <v>143.57599999999999</v>
      </c>
      <c r="K23" s="7">
        <v>163.08799999999999</v>
      </c>
      <c r="L23" s="7">
        <v>316.476</v>
      </c>
      <c r="M23" s="7">
        <v>256.60700000000003</v>
      </c>
      <c r="N23" s="7">
        <v>170.08099999999999</v>
      </c>
      <c r="O23" s="7">
        <v>204.334</v>
      </c>
      <c r="P23" s="7">
        <v>147.79599999999999</v>
      </c>
      <c r="Q23" s="7">
        <v>154.65700000000001</v>
      </c>
      <c r="R23" s="7">
        <v>81.564999999999998</v>
      </c>
      <c r="S23" s="7">
        <v>39.247000000000014</v>
      </c>
      <c r="T23" s="7">
        <v>253.07599999999999</v>
      </c>
      <c r="U23" s="7">
        <v>164.82900000000001</v>
      </c>
      <c r="V23" s="7">
        <v>212.43900000000002</v>
      </c>
      <c r="W23" s="7">
        <v>275.642</v>
      </c>
      <c r="X23" s="7">
        <v>238.637</v>
      </c>
      <c r="Y23" s="7">
        <v>236.28399999999999</v>
      </c>
      <c r="Z23" s="7">
        <v>198.81699999999998</v>
      </c>
      <c r="AA23" s="7">
        <v>282.61400000000003</v>
      </c>
      <c r="AB23" s="7">
        <v>165.25800000000001</v>
      </c>
      <c r="AC23" s="7">
        <v>116.133</v>
      </c>
      <c r="AD23" s="7">
        <v>153.499</v>
      </c>
      <c r="AE23" s="7">
        <v>286.55300000000005</v>
      </c>
      <c r="AF23" s="7">
        <v>235.04799999999997</v>
      </c>
      <c r="AG23" s="7">
        <v>217.17100000000002</v>
      </c>
      <c r="AH23" s="7">
        <v>179.642</v>
      </c>
      <c r="AI23" s="7">
        <v>134.614</v>
      </c>
      <c r="AJ23" s="7">
        <v>99.491</v>
      </c>
      <c r="AK23" s="7">
        <v>197.24799999999999</v>
      </c>
      <c r="AL23" s="7">
        <v>329.279</v>
      </c>
      <c r="AM23" s="7">
        <v>516.39899999999989</v>
      </c>
      <c r="AN23" s="7">
        <v>197.85899999999998</v>
      </c>
      <c r="AO23" s="7">
        <v>129.59300000000002</v>
      </c>
    </row>
    <row r="24" spans="1:54" x14ac:dyDescent="0.2">
      <c r="A24" t="s">
        <v>22</v>
      </c>
      <c r="B24" s="12">
        <v>2.35</v>
      </c>
      <c r="C24" s="12">
        <v>2.85</v>
      </c>
      <c r="D24" s="12">
        <v>3.03</v>
      </c>
      <c r="E24" s="12">
        <v>4.37</v>
      </c>
      <c r="F24" s="12">
        <v>5.68</v>
      </c>
      <c r="G24" s="12">
        <v>6.64</v>
      </c>
      <c r="H24" s="12">
        <v>4.92</v>
      </c>
      <c r="I24" s="12">
        <v>6.81</v>
      </c>
      <c r="J24" s="12">
        <v>5.88</v>
      </c>
      <c r="K24" s="12">
        <v>6.66</v>
      </c>
      <c r="L24" s="12">
        <v>6.28</v>
      </c>
      <c r="M24" s="12">
        <v>7.57</v>
      </c>
      <c r="N24" s="12">
        <v>6.07</v>
      </c>
      <c r="O24" s="12">
        <v>5.71</v>
      </c>
      <c r="P24" s="12">
        <v>7.83</v>
      </c>
      <c r="Q24" s="12">
        <v>5.84</v>
      </c>
      <c r="R24" s="12">
        <v>5.05</v>
      </c>
      <c r="S24" s="12">
        <v>4.78</v>
      </c>
      <c r="T24" s="12">
        <v>5.88</v>
      </c>
      <c r="U24" s="12">
        <v>7.42</v>
      </c>
      <c r="V24" s="12">
        <v>5.69</v>
      </c>
      <c r="W24" s="12">
        <v>5.74</v>
      </c>
      <c r="X24" s="12">
        <v>5.58</v>
      </c>
      <c r="Y24" s="12">
        <v>5.56</v>
      </c>
      <c r="Z24" s="13">
        <f>'[1]Soy Complex'!AI$20</f>
        <v>0</v>
      </c>
      <c r="AA24" s="13" t="e">
        <f>'[1]Soy Complex'!AJ$20</f>
        <v>#REF!</v>
      </c>
      <c r="AB24" s="13" t="e">
        <f>'[1]Soy Complex'!AK$20</f>
        <v>#REF!</v>
      </c>
      <c r="AC24" s="13" t="e">
        <f>'[1]Soy Complex'!AL$20</f>
        <v>#REF!</v>
      </c>
      <c r="AD24" s="13" t="e">
        <f>'[1]Soy Complex'!AM$20</f>
        <v>#REF!</v>
      </c>
      <c r="AE24" s="13" t="e">
        <f>'[1]Soy Complex'!AN$20</f>
        <v>#REF!</v>
      </c>
      <c r="AF24" s="13" t="e">
        <f>'[1]Soy Complex'!AO$20</f>
        <v>#REF!</v>
      </c>
      <c r="AG24" s="13" t="e">
        <f>'[1]Soy Complex'!AP$20</f>
        <v>#REF!</v>
      </c>
      <c r="AH24" s="13" t="e">
        <f>'[1]Soy Complex'!AQ$20</f>
        <v>#REF!</v>
      </c>
      <c r="AI24" s="13" t="e">
        <f>'[1]Soy Complex'!AR$20</f>
        <v>#REF!</v>
      </c>
      <c r="AJ24" s="13" t="e">
        <f>'[1]Soy Complex'!AS$20</f>
        <v>#REF!</v>
      </c>
      <c r="AK24" s="13" t="e">
        <f>'[1]Soy Complex'!AT$20</f>
        <v>#REF!</v>
      </c>
      <c r="AL24" s="13" t="e">
        <f>'[1]Soy Complex'!AU$20</f>
        <v>#REF!</v>
      </c>
      <c r="AM24" s="13" t="e">
        <f>'[1]Soy Complex'!AV$20</f>
        <v>#REF!</v>
      </c>
      <c r="AN24" s="13" t="e">
        <f>'[1]Soy Complex'!AW$20</f>
        <v>#REF!</v>
      </c>
      <c r="AO24" s="13" t="e">
        <f>'[1]Soy Complex'!AX$20</f>
        <v>#REF!</v>
      </c>
      <c r="AP24" s="13" t="e">
        <f>'[1]Soy Complex'!AY$20</f>
        <v>#REF!</v>
      </c>
      <c r="AQ24" s="13" t="e">
        <f>'[1]Soy Complex'!AZ$20</f>
        <v>#REF!</v>
      </c>
      <c r="AR24" s="13" t="e">
        <f>'[1]Soy Complex'!BA$20</f>
        <v>#REF!</v>
      </c>
      <c r="AS24" s="13" t="e">
        <f>'[1]Soy Complex'!BB$20</f>
        <v>#REF!</v>
      </c>
      <c r="AT24" s="13" t="e">
        <f>'[1]Soy Complex'!BC$20</f>
        <v>#REF!</v>
      </c>
      <c r="AU24" s="13" t="e">
        <f>'[1]Soy Complex'!BD$20</f>
        <v>#REF!</v>
      </c>
      <c r="AV24" s="13" t="e">
        <f>'[1]Soy Complex'!BE$20</f>
        <v>#REF!</v>
      </c>
      <c r="AW24" s="13" t="e">
        <f>'[1]Soy Complex'!BF$20</f>
        <v>#REF!</v>
      </c>
      <c r="AX24" s="13" t="e">
        <f>'[1]Soy Complex'!BG$20</f>
        <v>#REF!</v>
      </c>
      <c r="AY24" s="13" t="e">
        <f>'[1]Soy Complex'!BH$20</f>
        <v>#REF!</v>
      </c>
      <c r="AZ24" s="13" t="e">
        <f>'[1]Soy Complex'!BI$20</f>
        <v>#REF!</v>
      </c>
      <c r="BA24" s="13" t="e">
        <f>'[1]Soy Complex'!BJ$20</f>
        <v>#REF!</v>
      </c>
      <c r="BB24" s="13" t="e">
        <f>'[1]Soy Complex'!BK$20</f>
        <v>#REF!</v>
      </c>
    </row>
    <row r="25" spans="1:54" x14ac:dyDescent="0.2">
      <c r="A25" t="s">
        <v>23</v>
      </c>
      <c r="B25" s="12"/>
      <c r="C25" s="12"/>
      <c r="D25" s="12"/>
      <c r="E25" s="12"/>
      <c r="F25" s="12"/>
      <c r="G25" s="12"/>
      <c r="H25" s="12">
        <v>5.3780221931042194</v>
      </c>
      <c r="I25" s="12">
        <v>7.4466246305817245</v>
      </c>
      <c r="J25" s="12">
        <v>6.2254999832833073</v>
      </c>
      <c r="K25" s="12">
        <v>7.2062158474867992</v>
      </c>
      <c r="L25" s="12">
        <v>6.6999633581442071</v>
      </c>
      <c r="M25" s="12">
        <v>7.8439339889097468</v>
      </c>
      <c r="N25" s="12">
        <v>6.3629512785793549</v>
      </c>
      <c r="O25" s="12">
        <v>6.1564928569158406</v>
      </c>
      <c r="P25" s="12">
        <v>7.7970623235460179</v>
      </c>
      <c r="Q25" s="12">
        <v>5.8539287854435171</v>
      </c>
      <c r="R25" s="12">
        <v>5.1994851849856856</v>
      </c>
      <c r="S25" s="12">
        <v>5.0859377512663411</v>
      </c>
      <c r="T25" s="12">
        <v>6.8224232484001499</v>
      </c>
      <c r="U25" s="12">
        <v>7.4673891595548483</v>
      </c>
      <c r="V25" s="12">
        <v>5.8974499099775128</v>
      </c>
      <c r="W25" s="12">
        <v>5.8150584746822593</v>
      </c>
      <c r="X25" s="12">
        <v>5.7617814878517111</v>
      </c>
      <c r="Y25" s="12">
        <v>5.9361509326470001</v>
      </c>
      <c r="Z25" s="12">
        <v>6.5572333370687907</v>
      </c>
      <c r="AA25" s="12">
        <v>5.7330986305520062</v>
      </c>
      <c r="AB25" s="12">
        <v>7.3700806277056268</v>
      </c>
      <c r="AC25" s="12">
        <v>7.6448684400394926</v>
      </c>
      <c r="AD25" s="12">
        <v>6.4984716117533621</v>
      </c>
      <c r="AE25" s="12">
        <v>5.0201248094090625</v>
      </c>
      <c r="AF25" s="12">
        <v>4.961474651405358</v>
      </c>
      <c r="AG25" s="12">
        <v>4.7382265484404353</v>
      </c>
      <c r="AH25" s="12">
        <v>4.747556479113384</v>
      </c>
      <c r="AI25" s="12">
        <v>5.7924999999999995</v>
      </c>
      <c r="AJ25" s="12">
        <v>8.0633333333333326</v>
      </c>
      <c r="AK25" s="12">
        <v>5.9458333333333337</v>
      </c>
      <c r="AL25" s="12">
        <v>5.819166666666665</v>
      </c>
      <c r="AM25" s="12">
        <v>7.2733333333333325</v>
      </c>
      <c r="AN25" s="12">
        <v>12.571666666666665</v>
      </c>
      <c r="AO25" s="13">
        <f>'[1]Soy Complex'!AX$19</f>
        <v>10.235776937712362</v>
      </c>
      <c r="AP25" s="13">
        <f>'[1]Soy Complex'!AY$19</f>
        <v>9.7797765290820937</v>
      </c>
      <c r="AQ25" s="13">
        <f>'[1]Soy Complex'!AZ$19</f>
        <v>13.123063715159111</v>
      </c>
      <c r="AR25" s="13">
        <f>'[1]Soy Complex'!BA$19</f>
        <v>13.586029918752743</v>
      </c>
      <c r="AS25" s="13">
        <f>'[1]Soy Complex'!BB$19</f>
        <v>14.772544643373093</v>
      </c>
      <c r="AT25" s="13">
        <f>'[1]Soy Complex'!BC$19</f>
        <v>13.502861646664421</v>
      </c>
      <c r="AU25" s="13">
        <f>'[1]Soy Complex'!BD$19</f>
        <v>9.8799524812525377</v>
      </c>
      <c r="AV25" s="13">
        <f>'[1]Soy Complex'!BE$19</f>
        <v>9.4980071869396809</v>
      </c>
      <c r="AW25" s="13">
        <f>'[1]Soy Complex'!BF$19</f>
        <v>9.8274037539500938</v>
      </c>
      <c r="AX25" s="13">
        <f>'[1]Soy Complex'!BG$19</f>
        <v>9.6751040897905192</v>
      </c>
      <c r="AY25" s="13">
        <f>'[1]Soy Complex'!BH$19</f>
        <v>8.7743874820037586</v>
      </c>
      <c r="AZ25" s="13">
        <f>'[1]Soy Complex'!BI$19</f>
        <v>8.8702767547574481</v>
      </c>
      <c r="BA25" s="13">
        <f>'[1]Soy Complex'!BJ$19</f>
        <v>13.224020978727287</v>
      </c>
      <c r="BB25" s="13">
        <f>'[1]Soy Complex'!BK$19</f>
        <v>14.893778655197778</v>
      </c>
    </row>
    <row r="27" spans="1:54" x14ac:dyDescent="0.2">
      <c r="A27" t="s">
        <v>24</v>
      </c>
    </row>
    <row r="28" spans="1:54" x14ac:dyDescent="0.2">
      <c r="A28" t="s">
        <v>25</v>
      </c>
    </row>
    <row r="29" spans="1:54" x14ac:dyDescent="0.2">
      <c r="A29" t="s">
        <v>26</v>
      </c>
    </row>
    <row r="30" spans="1:54" x14ac:dyDescent="0.2">
      <c r="A30" t="s">
        <v>27</v>
      </c>
    </row>
    <row r="31" spans="1:54" x14ac:dyDescent="0.2">
      <c r="A31" t="s">
        <v>28</v>
      </c>
    </row>
    <row r="32" spans="1:54" x14ac:dyDescent="0.2">
      <c r="A32" t="s">
        <v>29</v>
      </c>
    </row>
    <row r="33" spans="1:54" x14ac:dyDescent="0.2">
      <c r="A33" t="s">
        <v>30</v>
      </c>
    </row>
    <row r="34" spans="1:54" x14ac:dyDescent="0.2">
      <c r="A34" t="s">
        <v>31</v>
      </c>
    </row>
    <row r="35" spans="1:54" x14ac:dyDescent="0.2">
      <c r="A35" t="s">
        <v>32</v>
      </c>
    </row>
    <row r="36" spans="1:54" x14ac:dyDescent="0.2">
      <c r="A36" t="s">
        <v>33</v>
      </c>
    </row>
    <row r="37" spans="1:54" x14ac:dyDescent="0.2">
      <c r="A37" t="s">
        <v>34</v>
      </c>
    </row>
    <row r="38" spans="1:54" x14ac:dyDescent="0.2">
      <c r="A38" t="s">
        <v>35</v>
      </c>
    </row>
    <row r="39" spans="1:54" x14ac:dyDescent="0.2">
      <c r="A39" t="s">
        <v>36</v>
      </c>
    </row>
    <row r="40" spans="1:54" x14ac:dyDescent="0.2">
      <c r="A40" t="s">
        <v>37</v>
      </c>
    </row>
    <row r="41" spans="1:54" x14ac:dyDescent="0.2">
      <c r="A41" t="s">
        <v>38</v>
      </c>
    </row>
    <row r="42" spans="1:54" x14ac:dyDescent="0.2">
      <c r="A42" t="s">
        <v>39</v>
      </c>
    </row>
    <row r="43" spans="1:54" x14ac:dyDescent="0.2">
      <c r="A43" t="s">
        <v>40</v>
      </c>
    </row>
    <row r="44" spans="1:54" x14ac:dyDescent="0.2">
      <c r="A44" t="s">
        <v>41</v>
      </c>
    </row>
    <row r="45" spans="1:54" x14ac:dyDescent="0.2">
      <c r="A45" t="s">
        <v>42</v>
      </c>
      <c r="Z45" s="13" t="e">
        <f>'[2]Major Exporting Quarterly S&amp;D'!F$5</f>
        <v>#REF!</v>
      </c>
      <c r="AA45" s="13">
        <f>'[2]Major Exporting Quarterly S&amp;D'!$K$5</f>
        <v>78.150854957469122</v>
      </c>
      <c r="AB45" s="13">
        <f>'[2]Major Exporting Quarterly S&amp;D'!$P$5</f>
        <v>71.288494173851987</v>
      </c>
      <c r="AC45" s="13">
        <f>'[2]Major Exporting Quarterly S&amp;D'!$U$5</f>
        <v>76.390168950783135</v>
      </c>
      <c r="AD45" s="13">
        <f>'[2]Major Exporting Quarterly S&amp;D'!$Z$5</f>
        <v>84.792021907122447</v>
      </c>
      <c r="AE45" s="13">
        <f>'[2]Major Exporting Quarterly S&amp;D'!$AE$5</f>
        <v>82.176135708358444</v>
      </c>
      <c r="AF45" s="13">
        <f>'[2]Major Exporting Quarterly S&amp;D'!$AJ$5</f>
        <v>86.174353823958199</v>
      </c>
      <c r="AG45" s="13">
        <f>'[2]Major Exporting Quarterly S&amp;D'!$AO$5</f>
        <v>87.615120005303723</v>
      </c>
      <c r="AH45" s="13">
        <f>'[2]Major Exporting Quarterly S&amp;D'!$AT$5</f>
        <v>90.113080399375804</v>
      </c>
      <c r="AI45" s="13">
        <f>'[2]Major Exporting Quarterly S&amp;D'!$AY$5</f>
        <v>96.249777874420218</v>
      </c>
      <c r="AJ45" s="13">
        <f>'[2]Major Exporting Quarterly S&amp;D'!$BD$5</f>
        <v>86.341783376601896</v>
      </c>
      <c r="AK45" s="13">
        <f>'[2]Major Exporting Quarterly S&amp;D'!$BI$5</f>
        <v>113.68923845863608</v>
      </c>
      <c r="AL45" s="13">
        <f>'[2]Major Exporting Quarterly S&amp;D'!$BN$5</f>
        <v>106.01001594597531</v>
      </c>
      <c r="AM45" s="13">
        <f>'[2]Major Exporting Quarterly S&amp;D'!$BS$5</f>
        <v>117.14004635705913</v>
      </c>
      <c r="AN45" s="13">
        <f>'[2]Major Exporting Quarterly S&amp;D'!$BX$5</f>
        <v>107.34094820082468</v>
      </c>
      <c r="AO45" s="13">
        <f>'[2]Major Exporting Quarterly S&amp;D'!$CC$5</f>
        <v>126.20670890821411</v>
      </c>
      <c r="AP45" s="13">
        <f>'[2]Major Exporting Quarterly S&amp;D'!$CH$5</f>
        <v>133.06662951132975</v>
      </c>
      <c r="AQ45" s="13">
        <f>'[2]Major Exporting Quarterly S&amp;D'!$CM$5</f>
        <v>104.26469910376198</v>
      </c>
      <c r="AR45" s="13">
        <f>'[2]Major Exporting Quarterly S&amp;D'!$CR$5</f>
        <v>129.36473553459047</v>
      </c>
      <c r="AS45" s="13">
        <f>'[2]Major Exporting Quarterly S&amp;D'!$CW$5</f>
        <v>125.71893690343659</v>
      </c>
      <c r="AT45" s="13">
        <f>'[2]Major Exporting Quarterly S&amp;D'!$DB$5</f>
        <v>130.80571140273213</v>
      </c>
      <c r="AU45" s="13">
        <f>'[2]Major Exporting Quarterly S&amp;D'!$DG$5</f>
        <v>147.7387723880077</v>
      </c>
      <c r="AV45" s="13">
        <f>'[2]Major Exporting Quarterly S&amp;D'!$DL$5</f>
        <v>152.48253745020483</v>
      </c>
      <c r="AW45" s="13">
        <f>'[2]Major Exporting Quarterly S&amp;D'!$DQ$5</f>
        <v>173.56293470035001</v>
      </c>
      <c r="AX45" s="13">
        <f>'[2]Major Exporting Quarterly S&amp;D'!$DV$5</f>
        <v>183.49970778365295</v>
      </c>
      <c r="AY45" s="13">
        <f>'[2]Major Exporting Quarterly S&amp;D'!$EA$5</f>
        <v>192.12441793892262</v>
      </c>
      <c r="AZ45" s="13">
        <f>'[2]Major Exporting Quarterly S&amp;D'!$EF$5</f>
        <v>142.47279067373111</v>
      </c>
      <c r="BA45" s="13">
        <f>'[2]Major Exporting Quarterly S&amp;D'!$EK$5</f>
        <v>155.83526176934063</v>
      </c>
      <c r="BB45" s="13" t="e">
        <f>'[2]Major Exporting Quarterly S&amp;D'!$EP$5</f>
        <v>#REF!</v>
      </c>
    </row>
    <row r="46" spans="1:54" x14ac:dyDescent="0.2">
      <c r="A46" t="s">
        <v>43</v>
      </c>
      <c r="Z46" s="13" t="e">
        <f>'[2]Major Exporting Quarterly S&amp;D'!$F$8</f>
        <v>#REF!</v>
      </c>
      <c r="AA46" s="13">
        <f>'[2]Major Exporting Quarterly S&amp;D'!$K$8</f>
        <v>147.06194617008506</v>
      </c>
      <c r="AB46" s="13">
        <f>'[2]Major Exporting Quarterly S&amp;D'!$P$8</f>
        <v>139.84469222349136</v>
      </c>
      <c r="AC46" s="13">
        <f>'[2]Major Exporting Quarterly S&amp;D'!$U$8</f>
        <v>146.34281517970933</v>
      </c>
      <c r="AD46" s="13">
        <f>'[2]Major Exporting Quarterly S&amp;D'!$Z$8</f>
        <v>162.04606359157839</v>
      </c>
      <c r="AE46" s="13">
        <f>'[2]Major Exporting Quarterly S&amp;D'!$AE$8</f>
        <v>162.37662827024576</v>
      </c>
      <c r="AF46" s="13">
        <f>'[2]Major Exporting Quarterly S&amp;D'!$AJ$8</f>
        <v>168.0755289561649</v>
      </c>
      <c r="AG46" s="13">
        <f>'[2]Major Exporting Quarterly S&amp;D'!$AO$8</f>
        <v>170.8627153446927</v>
      </c>
      <c r="AH46" s="13">
        <f>'[2]Major Exporting Quarterly S&amp;D'!$AT$8</f>
        <v>176.03952041626437</v>
      </c>
      <c r="AI46" s="13">
        <f>'[2]Major Exporting Quarterly S&amp;D'!$AY$8</f>
        <v>177.3389404669214</v>
      </c>
      <c r="AJ46" s="13">
        <f>'[2]Major Exporting Quarterly S&amp;D'!$BD$8</f>
        <v>158.3932006405777</v>
      </c>
      <c r="AK46" s="13">
        <f>'[2]Major Exporting Quarterly S&amp;D'!$BI$8</f>
        <v>202.03975619217621</v>
      </c>
      <c r="AL46" s="13">
        <f>'[2]Major Exporting Quarterly S&amp;D'!$BN$8</f>
        <v>196.67892789746361</v>
      </c>
      <c r="AM46" s="13">
        <f>'[2]Major Exporting Quarterly S&amp;D'!$BS$8</f>
        <v>216.67417098057828</v>
      </c>
      <c r="AN46" s="13">
        <f>'[2]Major Exporting Quarterly S&amp;D'!$BX$8</f>
        <v>196.40157607885007</v>
      </c>
      <c r="AO46" s="13">
        <f>'[2]Major Exporting Quarterly S&amp;D'!$CC$8</f>
        <v>213.17929353167887</v>
      </c>
      <c r="AP46" s="13">
        <f>'[2]Major Exporting Quarterly S&amp;D'!$CH$8</f>
        <v>228.51674678382543</v>
      </c>
      <c r="AQ46" s="13">
        <f>'[2]Major Exporting Quarterly S&amp;D'!$CM$8</f>
        <v>199.25226239490851</v>
      </c>
      <c r="AR46" s="13">
        <f>'[2]Major Exporting Quarterly S&amp;D'!$CR$8</f>
        <v>219.69631572798963</v>
      </c>
      <c r="AS46" s="13">
        <f>'[2]Major Exporting Quarterly S&amp;D'!$CW$8</f>
        <v>213.53321348831778</v>
      </c>
      <c r="AT46" s="13">
        <f>'[2]Major Exporting Quarterly S&amp;D'!$DB$8</f>
        <v>226.45819175065574</v>
      </c>
      <c r="AU46" s="13">
        <f>'[2]Major Exporting Quarterly S&amp;D'!$DG$8</f>
        <v>257.59028617600944</v>
      </c>
      <c r="AV46" s="13">
        <f>'[2]Major Exporting Quarterly S&amp;D'!$DL$8</f>
        <v>264.815682486985</v>
      </c>
      <c r="AW46" s="13">
        <f>'[2]Major Exporting Quarterly S&amp;D'!$DQ$8</f>
        <v>296.32722919453488</v>
      </c>
      <c r="AX46" s="13">
        <f>'[2]Major Exporting Quarterly S&amp;D'!$DV$8</f>
        <v>312.52516323468257</v>
      </c>
      <c r="AY46" s="13">
        <f>'[2]Major Exporting Quarterly S&amp;D'!$EA$8</f>
        <v>326.48162326786809</v>
      </c>
      <c r="AZ46" s="13">
        <f>'[2]Major Exporting Quarterly S&amp;D'!$EF$8</f>
        <v>264.43648989406256</v>
      </c>
      <c r="BA46" s="13">
        <f>'[2]Major Exporting Quarterly S&amp;D'!$EK$8</f>
        <v>286.42745717886385</v>
      </c>
      <c r="BB46" s="13" t="e">
        <f>'[2]Major Exporting Quarterly S&amp;D'!$EP$8</f>
        <v>#REF!</v>
      </c>
    </row>
    <row r="47" spans="1:54" x14ac:dyDescent="0.2">
      <c r="A47" t="s">
        <v>44</v>
      </c>
    </row>
    <row r="48" spans="1:54" x14ac:dyDescent="0.2">
      <c r="A48" t="s">
        <v>45</v>
      </c>
    </row>
    <row r="49" spans="1:1" x14ac:dyDescent="0.2">
      <c r="A49" t="s">
        <v>46</v>
      </c>
    </row>
    <row r="50" spans="1:1" x14ac:dyDescent="0.2">
      <c r="A50" t="s">
        <v>47</v>
      </c>
    </row>
    <row r="51" spans="1:1" x14ac:dyDescent="0.2">
      <c r="A51" t="s">
        <v>48</v>
      </c>
    </row>
    <row r="52" spans="1:1" x14ac:dyDescent="0.2">
      <c r="A52" s="14"/>
    </row>
    <row r="53" spans="1:1" x14ac:dyDescent="0.2">
      <c r="A53" t="s">
        <v>49</v>
      </c>
    </row>
    <row r="54" spans="1:1" x14ac:dyDescent="0.2">
      <c r="A54" t="s">
        <v>50</v>
      </c>
    </row>
    <row r="55" spans="1:1" x14ac:dyDescent="0.2">
      <c r="A55" t="s">
        <v>51</v>
      </c>
    </row>
    <row r="56" spans="1:1" x14ac:dyDescent="0.2">
      <c r="A56" t="s">
        <v>52</v>
      </c>
    </row>
    <row r="57" spans="1:1" x14ac:dyDescent="0.2">
      <c r="A57" t="s">
        <v>53</v>
      </c>
    </row>
    <row r="59" spans="1:1" x14ac:dyDescent="0.2">
      <c r="A59" t="s">
        <v>54</v>
      </c>
    </row>
    <row r="60" spans="1:1" x14ac:dyDescent="0.2">
      <c r="A60" t="s">
        <v>55</v>
      </c>
    </row>
    <row r="61" spans="1:1" x14ac:dyDescent="0.2">
      <c r="A61" t="s">
        <v>56</v>
      </c>
    </row>
    <row r="62" spans="1:1" x14ac:dyDescent="0.2">
      <c r="A62" t="s">
        <v>57</v>
      </c>
    </row>
    <row r="63" spans="1:1" x14ac:dyDescent="0.2">
      <c r="A63" t="s">
        <v>58</v>
      </c>
    </row>
    <row r="64" spans="1:1" x14ac:dyDescent="0.2">
      <c r="A64" t="s">
        <v>59</v>
      </c>
    </row>
    <row r="65" spans="1:54" x14ac:dyDescent="0.2">
      <c r="A65" t="s">
        <v>60</v>
      </c>
    </row>
    <row r="66" spans="1:54" x14ac:dyDescent="0.2">
      <c r="A66" t="s">
        <v>61</v>
      </c>
    </row>
    <row r="67" spans="1:54" x14ac:dyDescent="0.2">
      <c r="A67" t="s">
        <v>62</v>
      </c>
    </row>
    <row r="68" spans="1:54" x14ac:dyDescent="0.2">
      <c r="A68" t="s">
        <v>63</v>
      </c>
    </row>
    <row r="69" spans="1:54" x14ac:dyDescent="0.2">
      <c r="A69" t="s">
        <v>64</v>
      </c>
    </row>
    <row r="70" spans="1:54" x14ac:dyDescent="0.2">
      <c r="A70" t="s">
        <v>65</v>
      </c>
    </row>
    <row r="71" spans="1:54" x14ac:dyDescent="0.2">
      <c r="A71" t="s">
        <v>66</v>
      </c>
    </row>
    <row r="72" spans="1:54" x14ac:dyDescent="0.2">
      <c r="A72" t="s">
        <v>67</v>
      </c>
    </row>
    <row r="74" spans="1:54" ht="13.5" thickBot="1" x14ac:dyDescent="0.25">
      <c r="A74" s="1" t="s">
        <v>68</v>
      </c>
    </row>
    <row r="75" spans="1:54" ht="13.5" thickBot="1" x14ac:dyDescent="0.25">
      <c r="A75" s="2"/>
      <c r="B75" s="3">
        <f>B2</f>
        <v>0</v>
      </c>
      <c r="C75" s="3">
        <f t="shared" ref="C75:BB75" si="1">C2</f>
        <v>0</v>
      </c>
      <c r="D75" s="3">
        <f t="shared" si="1"/>
        <v>0</v>
      </c>
      <c r="E75" s="3">
        <f t="shared" si="1"/>
        <v>0</v>
      </c>
      <c r="F75" s="3">
        <f t="shared" si="1"/>
        <v>0</v>
      </c>
      <c r="G75" s="3">
        <f t="shared" si="1"/>
        <v>0</v>
      </c>
      <c r="H75" s="3">
        <f t="shared" si="1"/>
        <v>0</v>
      </c>
      <c r="I75" s="3">
        <f t="shared" si="1"/>
        <v>0</v>
      </c>
      <c r="J75" s="3">
        <f t="shared" si="1"/>
        <v>0</v>
      </c>
      <c r="K75" s="3">
        <f t="shared" si="1"/>
        <v>0</v>
      </c>
      <c r="L75" s="3">
        <f t="shared" si="1"/>
        <v>0</v>
      </c>
      <c r="M75" s="3">
        <f t="shared" si="1"/>
        <v>0</v>
      </c>
      <c r="N75" s="3">
        <f t="shared" si="1"/>
        <v>0</v>
      </c>
      <c r="O75" s="3">
        <f t="shared" si="1"/>
        <v>0</v>
      </c>
      <c r="P75" s="3">
        <f t="shared" si="1"/>
        <v>0</v>
      </c>
      <c r="Q75" s="3">
        <f t="shared" si="1"/>
        <v>0</v>
      </c>
      <c r="R75" s="3">
        <f t="shared" si="1"/>
        <v>0</v>
      </c>
      <c r="S75" s="3">
        <f t="shared" si="1"/>
        <v>0</v>
      </c>
      <c r="T75" s="3">
        <f t="shared" si="1"/>
        <v>0</v>
      </c>
      <c r="U75" s="3">
        <f t="shared" si="1"/>
        <v>0</v>
      </c>
      <c r="V75" s="3">
        <f t="shared" si="1"/>
        <v>0</v>
      </c>
      <c r="W75" s="3">
        <f t="shared" si="1"/>
        <v>0</v>
      </c>
      <c r="X75" s="3">
        <f t="shared" si="1"/>
        <v>0</v>
      </c>
      <c r="Y75" s="3">
        <f t="shared" si="1"/>
        <v>0</v>
      </c>
      <c r="Z75" s="3">
        <f t="shared" si="1"/>
        <v>0</v>
      </c>
      <c r="AA75" s="3">
        <f t="shared" si="1"/>
        <v>0</v>
      </c>
      <c r="AB75" s="3">
        <f t="shared" si="1"/>
        <v>0</v>
      </c>
      <c r="AC75" s="3">
        <f t="shared" si="1"/>
        <v>0</v>
      </c>
      <c r="AD75" s="3">
        <f t="shared" si="1"/>
        <v>0</v>
      </c>
      <c r="AE75" s="3">
        <f t="shared" si="1"/>
        <v>0</v>
      </c>
      <c r="AF75" s="3">
        <f t="shared" si="1"/>
        <v>0</v>
      </c>
      <c r="AG75" s="3">
        <f t="shared" si="1"/>
        <v>0</v>
      </c>
      <c r="AH75" s="3">
        <f t="shared" si="1"/>
        <v>0</v>
      </c>
      <c r="AI75" s="3">
        <f t="shared" si="1"/>
        <v>0</v>
      </c>
      <c r="AJ75" s="3">
        <f t="shared" si="1"/>
        <v>0</v>
      </c>
      <c r="AK75" s="3">
        <f t="shared" si="1"/>
        <v>0</v>
      </c>
      <c r="AL75" s="3">
        <f t="shared" si="1"/>
        <v>0</v>
      </c>
      <c r="AM75" s="3">
        <f t="shared" si="1"/>
        <v>0</v>
      </c>
      <c r="AN75" s="3">
        <f t="shared" si="1"/>
        <v>0</v>
      </c>
      <c r="AO75" s="3">
        <f t="shared" si="1"/>
        <v>0</v>
      </c>
      <c r="AP75" s="3">
        <f t="shared" si="1"/>
        <v>0</v>
      </c>
      <c r="AQ75" s="3">
        <f t="shared" si="1"/>
        <v>0</v>
      </c>
      <c r="AR75" s="3">
        <f t="shared" si="1"/>
        <v>0</v>
      </c>
      <c r="AS75" s="3">
        <f t="shared" si="1"/>
        <v>0</v>
      </c>
      <c r="AT75" s="3">
        <f t="shared" si="1"/>
        <v>0</v>
      </c>
      <c r="AU75" s="3">
        <f t="shared" si="1"/>
        <v>0</v>
      </c>
      <c r="AV75" s="3">
        <f t="shared" si="1"/>
        <v>0</v>
      </c>
      <c r="AW75" s="3">
        <f t="shared" si="1"/>
        <v>0</v>
      </c>
      <c r="AX75" s="3">
        <f t="shared" si="1"/>
        <v>0</v>
      </c>
      <c r="AY75" s="3">
        <f t="shared" si="1"/>
        <v>0</v>
      </c>
      <c r="AZ75" s="3">
        <f t="shared" si="1"/>
        <v>0</v>
      </c>
      <c r="BA75" s="3">
        <f t="shared" si="1"/>
        <v>0</v>
      </c>
      <c r="BB75" s="3">
        <f t="shared" si="1"/>
        <v>0</v>
      </c>
    </row>
    <row r="76" spans="1:54" x14ac:dyDescent="0.2">
      <c r="A76" s="1" t="s">
        <v>69</v>
      </c>
    </row>
    <row r="77" spans="1:54" x14ac:dyDescent="0.2">
      <c r="A77" t="s">
        <v>70</v>
      </c>
      <c r="B77" s="11">
        <v>326.84399999999999</v>
      </c>
      <c r="C77" s="11">
        <v>229.83600000000001</v>
      </c>
      <c r="D77" s="11">
        <v>98.778999999999996</v>
      </c>
      <c r="E77" s="11">
        <v>71.962000000000003</v>
      </c>
      <c r="F77" s="11">
        <v>59.634</v>
      </c>
      <c r="G77" s="11">
        <v>170.751</v>
      </c>
      <c r="H77" s="11">
        <v>188.15100000000001</v>
      </c>
      <c r="I77" s="11">
        <v>244.94</v>
      </c>
      <c r="J77" s="11">
        <v>102.92400000000001</v>
      </c>
      <c r="K77" s="11">
        <v>161.17599999999999</v>
      </c>
      <c r="L77" s="11">
        <v>175.58799999999999</v>
      </c>
      <c r="M77" s="11">
        <v>358.476</v>
      </c>
      <c r="N77" s="11">
        <v>313.00700000000001</v>
      </c>
      <c r="O77" s="11">
        <v>254.48099999999999</v>
      </c>
      <c r="P77" s="11">
        <v>344.63400000000001</v>
      </c>
      <c r="Q77" s="11">
        <v>175.696</v>
      </c>
      <c r="R77" s="11">
        <v>316.05700000000002</v>
      </c>
      <c r="S77" s="11">
        <v>536.36500000000001</v>
      </c>
      <c r="T77" s="11">
        <v>436.447</v>
      </c>
      <c r="U77" s="11">
        <v>302.476</v>
      </c>
      <c r="V77" s="11">
        <v>182.029</v>
      </c>
      <c r="W77" s="11">
        <v>239.13900000000001</v>
      </c>
      <c r="X77" s="11">
        <v>329.04199999999997</v>
      </c>
      <c r="Y77" s="11">
        <v>278.43700000000001</v>
      </c>
      <c r="Z77" s="11">
        <v>292.28399999999999</v>
      </c>
      <c r="AA77" s="11">
        <v>209.11699999999999</v>
      </c>
      <c r="AB77" s="11">
        <v>334.81400000000002</v>
      </c>
      <c r="AC77" s="11">
        <v>183.458</v>
      </c>
      <c r="AD77" s="11">
        <v>131.833</v>
      </c>
      <c r="AE77" s="11">
        <v>199.79900000000001</v>
      </c>
      <c r="AF77" s="11">
        <v>348.48200000000003</v>
      </c>
      <c r="AG77" s="11">
        <v>290.16199999999998</v>
      </c>
      <c r="AH77" s="11">
        <v>247.74700000000001</v>
      </c>
      <c r="AI77" s="11">
        <v>208.06100000000001</v>
      </c>
      <c r="AJ77" s="11">
        <v>178.32900000000001</v>
      </c>
      <c r="AK77" s="11">
        <v>112.414</v>
      </c>
      <c r="AL77" s="11">
        <v>255.738</v>
      </c>
      <c r="AM77" s="11">
        <v>449.32600000000002</v>
      </c>
      <c r="AN77" s="11">
        <v>573.80999999999995</v>
      </c>
      <c r="AO77" s="11">
        <f>AN137</f>
        <v>205.03399999999999</v>
      </c>
      <c r="AP77" s="11">
        <f t="shared" ref="AP77:BB77" si="2">AO137</f>
        <v>0.30036774933926835</v>
      </c>
      <c r="AQ77" s="11">
        <f t="shared" si="2"/>
        <v>0.35681684891596349</v>
      </c>
      <c r="AR77" s="11">
        <f t="shared" si="2"/>
        <v>0.5280604162829251</v>
      </c>
      <c r="AS77" s="11">
        <f t="shared" si="2"/>
        <v>0.33678061040864254</v>
      </c>
      <c r="AT77" s="11">
        <f t="shared" si="2"/>
        <v>0.44230775282348539</v>
      </c>
      <c r="AU77" s="11">
        <f t="shared" si="2"/>
        <v>0.26792974893691385</v>
      </c>
      <c r="AV77" s="11">
        <f t="shared" si="2"/>
        <v>0.42822160316319197</v>
      </c>
      <c r="AW77" s="11">
        <f t="shared" si="2"/>
        <v>0.28901524265935563</v>
      </c>
      <c r="AX77" s="11">
        <f t="shared" si="2"/>
        <v>0.45110228315991696</v>
      </c>
      <c r="AY77" s="11">
        <f t="shared" si="2"/>
        <v>0.55723872405800345</v>
      </c>
      <c r="AZ77" s="11">
        <f t="shared" si="2"/>
        <v>1.0363795143773757</v>
      </c>
      <c r="BA77" s="11">
        <f t="shared" si="2"/>
        <v>0.60922079696091325</v>
      </c>
      <c r="BB77" s="11">
        <f t="shared" si="2"/>
        <v>0.49179900736650878</v>
      </c>
    </row>
    <row r="78" spans="1:54" x14ac:dyDescent="0.2">
      <c r="A78" t="s">
        <v>5</v>
      </c>
      <c r="B78" s="11">
        <v>1133.1199999999999</v>
      </c>
      <c r="C78" s="11">
        <v>1127.0999999999999</v>
      </c>
      <c r="D78" s="11">
        <v>1176.1010000000001</v>
      </c>
      <c r="E78" s="11">
        <v>1270.6079999999999</v>
      </c>
      <c r="F78" s="11">
        <v>1547.5429999999999</v>
      </c>
      <c r="G78" s="11">
        <v>1216.287</v>
      </c>
      <c r="H78" s="11">
        <v>1548.3440000000001</v>
      </c>
      <c r="I78" s="11">
        <v>1288.6079999999999</v>
      </c>
      <c r="J78" s="11">
        <v>1767.2670000000001</v>
      </c>
      <c r="K78" s="11">
        <v>1868.7540000000001</v>
      </c>
      <c r="L78" s="11">
        <v>2260.665</v>
      </c>
      <c r="M78" s="11">
        <v>1797.5430000000001</v>
      </c>
      <c r="N78" s="11">
        <v>1989.11</v>
      </c>
      <c r="O78" s="11">
        <v>2190.297</v>
      </c>
      <c r="P78" s="11">
        <v>1635.7719999999999</v>
      </c>
      <c r="Q78" s="11">
        <v>1860.8630000000001</v>
      </c>
      <c r="R78" s="11">
        <v>2099.056</v>
      </c>
      <c r="S78" s="11">
        <v>1942.558</v>
      </c>
      <c r="T78" s="11">
        <v>1937.722</v>
      </c>
      <c r="U78" s="11">
        <v>1548.8410000000001</v>
      </c>
      <c r="V78" s="11">
        <v>1923.6659999999999</v>
      </c>
      <c r="W78" s="11">
        <v>1925.9470000000001</v>
      </c>
      <c r="X78" s="11">
        <v>1986.539</v>
      </c>
      <c r="Y78" s="11">
        <v>2190.3540000000003</v>
      </c>
      <c r="Z78" s="11">
        <v>1869.7180000000001</v>
      </c>
      <c r="AA78" s="11">
        <v>2514.8690000000001</v>
      </c>
      <c r="AB78" s="11">
        <v>2174.2539999999999</v>
      </c>
      <c r="AC78" s="11">
        <v>2380.2739999999999</v>
      </c>
      <c r="AD78" s="11">
        <v>2688.75</v>
      </c>
      <c r="AE78" s="11">
        <v>2741.0140000000001</v>
      </c>
      <c r="AF78" s="11">
        <v>2653.7579999999998</v>
      </c>
      <c r="AG78" s="11">
        <v>2757.81</v>
      </c>
      <c r="AH78" s="11">
        <v>2890.6819999999998</v>
      </c>
      <c r="AI78" s="11">
        <v>2756.1469999999999</v>
      </c>
      <c r="AJ78" s="11">
        <v>2453.8449999999998</v>
      </c>
      <c r="AK78" s="11">
        <v>3123.79</v>
      </c>
      <c r="AL78" s="11">
        <v>3068.3420000000001</v>
      </c>
      <c r="AM78" s="11">
        <v>3196.7260000000001</v>
      </c>
      <c r="AN78" s="11">
        <v>2677.1170000000002</v>
      </c>
      <c r="AO78" s="11">
        <f>'[1]Soy Complex'!AX$54</f>
        <v>2.7709999999999999</v>
      </c>
      <c r="AP78" s="11">
        <f>'[1]Soy Complex'!AY$54</f>
        <v>3.1719999999999997</v>
      </c>
      <c r="AQ78" s="11">
        <f>'[1]Soy Complex'!AZ$54</f>
        <v>3.738</v>
      </c>
      <c r="AR78" s="11">
        <f>'[1]Soy Complex'!BA$54</f>
        <v>2.843</v>
      </c>
      <c r="AS78" s="11">
        <f>'[1]Soy Complex'!BB$54</f>
        <v>4.2859999999999996</v>
      </c>
      <c r="AT78" s="11">
        <f>'[1]Soy Complex'!BC$54</f>
        <v>7.4890000000000008</v>
      </c>
      <c r="AU78" s="11">
        <f>'[1]Soy Complex'!BD$54</f>
        <v>7.625</v>
      </c>
      <c r="AV78" s="11">
        <f>'[1]Soy Complex'!BE$54</f>
        <v>4.3373061922190015</v>
      </c>
      <c r="AW78" s="11">
        <f>'[1]Soy Complex'!BF$54</f>
        <v>5.4253432566899988</v>
      </c>
      <c r="AX78" s="11">
        <f>'[1]Soy Complex'!BG$54</f>
        <v>5.7241180273970045</v>
      </c>
      <c r="AY78" s="11">
        <f>'[1]Soy Complex'!BH$54</f>
        <v>3.6420000000000003</v>
      </c>
      <c r="AZ78" s="11">
        <f>'[1]Soy Complex'!BI$54</f>
        <v>3.5880000000000001</v>
      </c>
      <c r="BA78" s="11">
        <f>'[1]Soy Complex'!BJ$54</f>
        <v>3.0836011170299997</v>
      </c>
      <c r="BB78" s="11">
        <f>'[1]Soy Complex'!BK$54</f>
        <v>2.9653121236199995</v>
      </c>
    </row>
    <row r="79" spans="1:54" x14ac:dyDescent="0.2">
      <c r="A79" t="s">
        <v>6</v>
      </c>
      <c r="B79" s="11"/>
      <c r="C79" s="11"/>
      <c r="D79" s="11"/>
      <c r="E79" s="11"/>
      <c r="F79" s="11"/>
      <c r="G79" s="11"/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7.3999999999999996E-2</v>
      </c>
      <c r="N79" s="11">
        <v>5.8999999999999997E-2</v>
      </c>
      <c r="O79" s="11">
        <v>7.2999999999999995E-2</v>
      </c>
      <c r="P79" s="11">
        <v>2.5999999999999999E-2</v>
      </c>
      <c r="Q79" s="11">
        <v>0.223</v>
      </c>
      <c r="R79" s="11">
        <v>0.02</v>
      </c>
      <c r="S79" s="11">
        <v>2E-3</v>
      </c>
      <c r="T79" s="11">
        <v>0.151</v>
      </c>
      <c r="U79" s="11">
        <v>1.1759999999999999</v>
      </c>
      <c r="V79" s="11">
        <v>0.877</v>
      </c>
      <c r="W79" s="11">
        <v>0.77500000000000002</v>
      </c>
      <c r="X79" s="11">
        <v>1.595</v>
      </c>
      <c r="Y79" s="11">
        <v>0.69392682072</v>
      </c>
      <c r="Z79" s="11">
        <v>1.83612678144</v>
      </c>
      <c r="AA79" s="11">
        <v>2.1045137893499999</v>
      </c>
      <c r="AB79" s="11">
        <v>1.25011253325</v>
      </c>
      <c r="AC79" s="11">
        <v>0.55531856120999989</v>
      </c>
      <c r="AD79" s="11">
        <v>0.69279144038999996</v>
      </c>
      <c r="AE79" s="11">
        <v>1.6202391720899996</v>
      </c>
      <c r="AF79" s="11">
        <v>1.0094853906900001</v>
      </c>
      <c r="AG79" s="11">
        <v>0.90103268576999984</v>
      </c>
      <c r="AH79" s="11">
        <v>0.84574444037999985</v>
      </c>
      <c r="AI79" s="11">
        <v>1.41265563894</v>
      </c>
      <c r="AJ79" s="11">
        <v>2.2462967045399997</v>
      </c>
      <c r="AK79" s="11">
        <v>0.97057013801999992</v>
      </c>
      <c r="AL79" s="11">
        <v>0.58762362224999998</v>
      </c>
      <c r="AM79" s="11">
        <v>1.5217623817199999</v>
      </c>
      <c r="AN79" s="11">
        <v>1.56874287654</v>
      </c>
      <c r="AO79" s="11">
        <f>'[1]Soy Complex'!AX$55</f>
        <v>3174.8120000000004</v>
      </c>
      <c r="AP79" s="11">
        <f>'[1]Soy Complex'!AY$55</f>
        <v>3502.3009999999999</v>
      </c>
      <c r="AQ79" s="11">
        <f>'[1]Soy Complex'!AZ$55</f>
        <v>3485.9289999999996</v>
      </c>
      <c r="AR79" s="11">
        <f>'[1]Soy Complex'!BA$55</f>
        <v>3315.0349999999999</v>
      </c>
      <c r="AS79" s="11">
        <f>'[1]Soy Complex'!BB$55</f>
        <v>3215.7</v>
      </c>
      <c r="AT79" s="11">
        <f>'[1]Soy Complex'!BC$55</f>
        <v>3505.0499999999997</v>
      </c>
      <c r="AU79" s="11">
        <f>'[1]Soy Complex'!BD$55</f>
        <v>4027.6860000000001</v>
      </c>
      <c r="AV79" s="11">
        <f>'[1]Soy Complex'!BE$55</f>
        <v>4121.7263061922195</v>
      </c>
      <c r="AW79" s="11">
        <f>'[1]Soy Complex'!BF$55</f>
        <v>4498.6503432566906</v>
      </c>
      <c r="AX79" s="11">
        <f>'[1]Soy Complex'!BG$55</f>
        <v>4718.9521180273969</v>
      </c>
      <c r="AY79" s="11">
        <f>'[1]Soy Complex'!BH$55</f>
        <v>4869.896999999999</v>
      </c>
      <c r="AZ79" s="11">
        <f>'[1]Soy Complex'!BI$55</f>
        <v>4464.5479999999998</v>
      </c>
      <c r="BA79" s="11">
        <f>'[1]Soy Complex'!BJ$55</f>
        <v>4743.9266011170303</v>
      </c>
      <c r="BB79" s="11">
        <f>'[1]Soy Complex'!BK$55</f>
        <v>4724.4363121236202</v>
      </c>
    </row>
    <row r="80" spans="1:54" x14ac:dyDescent="0.2">
      <c r="A80" t="s">
        <v>7</v>
      </c>
      <c r="B80" s="11">
        <v>1459.9639999999999</v>
      </c>
      <c r="C80" s="11">
        <v>1356.9359999999999</v>
      </c>
      <c r="D80" s="11">
        <v>1274.8800000000001</v>
      </c>
      <c r="E80" s="11">
        <v>1342.57</v>
      </c>
      <c r="F80" s="11">
        <v>1607.1769999999999</v>
      </c>
      <c r="G80" s="11">
        <v>1387.038</v>
      </c>
      <c r="H80" s="11">
        <v>1736.4950000000001</v>
      </c>
      <c r="I80" s="11">
        <v>1533.548</v>
      </c>
      <c r="J80" s="11">
        <v>1870.191</v>
      </c>
      <c r="K80" s="11">
        <v>2029.93</v>
      </c>
      <c r="L80" s="11">
        <v>2436.2530000000002</v>
      </c>
      <c r="M80" s="11">
        <v>2156.0930000000003</v>
      </c>
      <c r="N80" s="11">
        <v>2302.1759999999999</v>
      </c>
      <c r="O80" s="11">
        <v>2444.8510000000001</v>
      </c>
      <c r="P80" s="11">
        <v>1980.432</v>
      </c>
      <c r="Q80" s="11">
        <v>2036.7819999999999</v>
      </c>
      <c r="R80" s="11">
        <v>2415.1330000000003</v>
      </c>
      <c r="S80" s="11">
        <v>2478.9249999999997</v>
      </c>
      <c r="T80" s="11">
        <v>2374.3199999999997</v>
      </c>
      <c r="U80" s="11">
        <v>1852.4929999999999</v>
      </c>
      <c r="V80" s="11">
        <v>2106.5719999999997</v>
      </c>
      <c r="W80" s="11">
        <v>2165.8610000000003</v>
      </c>
      <c r="X80" s="11">
        <v>2317.1759999999999</v>
      </c>
      <c r="Y80" s="11">
        <v>2469.4849268207204</v>
      </c>
      <c r="Z80" s="11">
        <v>2163.8381267814398</v>
      </c>
      <c r="AA80" s="11">
        <v>2726.0905137893506</v>
      </c>
      <c r="AB80" s="11">
        <v>2510.3181125332499</v>
      </c>
      <c r="AC80" s="11">
        <v>2564.2873185612098</v>
      </c>
      <c r="AD80" s="11">
        <v>2821.2757914403901</v>
      </c>
      <c r="AE80" s="11">
        <v>2942.43323917209</v>
      </c>
      <c r="AF80" s="11">
        <v>3003.2494853906896</v>
      </c>
      <c r="AG80" s="11">
        <v>3048.8730326857699</v>
      </c>
      <c r="AH80" s="11">
        <v>3139.2747444403794</v>
      </c>
      <c r="AI80" s="11">
        <v>2965.6206556389402</v>
      </c>
      <c r="AJ80" s="11">
        <v>2634.4202967045399</v>
      </c>
      <c r="AK80" s="11">
        <v>3237.17457013802</v>
      </c>
      <c r="AL80" s="11">
        <v>3324.6676236222497</v>
      </c>
      <c r="AM80" s="11">
        <v>3647.5737623817199</v>
      </c>
      <c r="AN80" s="11">
        <v>3252.4957428765401</v>
      </c>
      <c r="AO80" s="11">
        <f>SUM(AO77:AO79)</f>
        <v>3382.6170000000002</v>
      </c>
      <c r="AP80" s="11">
        <f t="shared" ref="AP80:BB80" si="3">SUM(AP77:AP79)</f>
        <v>3505.7733677493393</v>
      </c>
      <c r="AQ80" s="11">
        <f t="shared" si="3"/>
        <v>3490.0238168489154</v>
      </c>
      <c r="AR80" s="11">
        <f t="shared" si="3"/>
        <v>3318.4060604162828</v>
      </c>
      <c r="AS80" s="11">
        <f t="shared" si="3"/>
        <v>3220.3227806104082</v>
      </c>
      <c r="AT80" s="11">
        <f t="shared" si="3"/>
        <v>3512.9813077528233</v>
      </c>
      <c r="AU80" s="11">
        <f t="shared" si="3"/>
        <v>4035.5789297489368</v>
      </c>
      <c r="AV80" s="11">
        <f t="shared" si="3"/>
        <v>4126.4918339876012</v>
      </c>
      <c r="AW80" s="11">
        <f t="shared" si="3"/>
        <v>4504.3647017560397</v>
      </c>
      <c r="AX80" s="11">
        <f t="shared" si="3"/>
        <v>4725.1273383379539</v>
      </c>
      <c r="AY80" s="11">
        <f t="shared" si="3"/>
        <v>4874.096238724057</v>
      </c>
      <c r="AZ80" s="11">
        <f t="shared" si="3"/>
        <v>4469.1723795143771</v>
      </c>
      <c r="BA80" s="11">
        <f t="shared" si="3"/>
        <v>4747.6194230310211</v>
      </c>
      <c r="BB80" s="11">
        <f t="shared" si="3"/>
        <v>4727.8934232546071</v>
      </c>
    </row>
    <row r="81" spans="1:54" x14ac:dyDescent="0.2">
      <c r="A81" t="s">
        <v>8</v>
      </c>
      <c r="B81" s="11">
        <v>171.37299999999999</v>
      </c>
      <c r="C81" s="11">
        <v>186.017</v>
      </c>
      <c r="D81" s="11">
        <v>173.50200000000001</v>
      </c>
      <c r="E81" s="11">
        <v>189.67599999999999</v>
      </c>
      <c r="F81" s="11">
        <v>175.96</v>
      </c>
      <c r="G81" s="11">
        <v>175.99599999999998</v>
      </c>
      <c r="H81" s="11">
        <v>198.952</v>
      </c>
      <c r="I81" s="11">
        <v>215.18200000000002</v>
      </c>
      <c r="J81" s="11">
        <v>212.97299999999998</v>
      </c>
      <c r="K81" s="11">
        <v>250.32</v>
      </c>
      <c r="L81" s="11">
        <v>273.09666666666669</v>
      </c>
      <c r="M81" s="11">
        <v>277.85000000000002</v>
      </c>
      <c r="N81" s="11">
        <v>277.45</v>
      </c>
      <c r="O81" s="11">
        <v>284.25666666666666</v>
      </c>
      <c r="P81" s="11">
        <v>269.61</v>
      </c>
      <c r="Q81" s="11">
        <v>253.70999999999998</v>
      </c>
      <c r="R81" s="11">
        <v>267.51</v>
      </c>
      <c r="S81" s="11">
        <v>295.81666666666666</v>
      </c>
      <c r="T81" s="11">
        <v>293.36333333333334</v>
      </c>
      <c r="U81" s="11">
        <v>275.37</v>
      </c>
      <c r="V81" s="11">
        <v>272.98333333333335</v>
      </c>
      <c r="W81" s="11">
        <v>304.12739999999997</v>
      </c>
      <c r="X81" s="11">
        <v>320.39533333333333</v>
      </c>
      <c r="Y81" s="11">
        <v>328.22666666666663</v>
      </c>
      <c r="Z81" s="11">
        <v>326.55333333333334</v>
      </c>
      <c r="AA81" s="11">
        <v>347.71333333333337</v>
      </c>
      <c r="AB81" s="11">
        <v>351.44666666666666</v>
      </c>
      <c r="AC81" s="11">
        <v>361.02</v>
      </c>
      <c r="AD81" s="11">
        <v>395.81666666666666</v>
      </c>
      <c r="AE81" s="11">
        <v>409.29666666666662</v>
      </c>
      <c r="AF81" s="11">
        <v>426.74666666666667</v>
      </c>
      <c r="AG81" s="11">
        <v>421.13666666666666</v>
      </c>
      <c r="AH81" s="11">
        <v>427.53999999999996</v>
      </c>
      <c r="AI81" s="11">
        <v>417.50666666666666</v>
      </c>
      <c r="AJ81" s="11">
        <v>419.40333333333331</v>
      </c>
      <c r="AK81" s="11">
        <v>427.36333333333334</v>
      </c>
      <c r="AL81" s="11">
        <v>442.34999999999997</v>
      </c>
      <c r="AM81" s="11">
        <v>459.20333333333338</v>
      </c>
      <c r="AN81" s="11">
        <v>467.36481099999997</v>
      </c>
      <c r="AO81" s="11">
        <f>'[1]Soy Complex'!AX$58</f>
        <v>386.93372163179993</v>
      </c>
      <c r="AP81" s="11">
        <f>'[1]Soy Complex'!AY$58</f>
        <v>535.9782575091001</v>
      </c>
      <c r="AQ81" s="11">
        <f>'[1]Soy Complex'!AZ$58</f>
        <v>622.06349225999998</v>
      </c>
      <c r="AR81" s="11">
        <f>'[1]Soy Complex'!BA$58</f>
        <v>424.83150450509999</v>
      </c>
      <c r="AS81" s="11">
        <f>'[1]Soy Complex'!BB$58</f>
        <v>626.17815580741512</v>
      </c>
      <c r="AT81" s="11">
        <f>'[1]Soy Complex'!BC$58</f>
        <v>676.50578762861915</v>
      </c>
      <c r="AU81" s="11">
        <f>'[1]Soy Complex'!BD$58</f>
        <v>812.5689497103416</v>
      </c>
      <c r="AV81" s="11">
        <f>'[1]Soy Complex'!BE$58</f>
        <v>793.09179560528332</v>
      </c>
      <c r="AW81" s="11">
        <f>'[1]Soy Complex'!BF$58</f>
        <v>926.21874757811327</v>
      </c>
      <c r="AX81" s="11">
        <f>'[1]Soy Complex'!BG$58</f>
        <v>858.12332432097412</v>
      </c>
      <c r="AY81" s="11">
        <f>'[1]Soy Complex'!BH$58</f>
        <v>505.2324498086474</v>
      </c>
      <c r="AZ81" s="11">
        <f>'[1]Soy Complex'!BI$58</f>
        <v>611.49504297830356</v>
      </c>
      <c r="BA81" s="11">
        <f>'[1]Soy Complex'!BJ$58</f>
        <v>1090.6883929083006</v>
      </c>
      <c r="BB81" s="11">
        <f>'[1]Soy Complex'!BK$58</f>
        <v>863.69616827878008</v>
      </c>
    </row>
    <row r="82" spans="1:54" x14ac:dyDescent="0.2">
      <c r="A82" t="s">
        <v>9</v>
      </c>
      <c r="B82" s="11">
        <v>119.583</v>
      </c>
      <c r="C82" s="11">
        <v>119.26600000000001</v>
      </c>
      <c r="D82" s="11">
        <v>106.039</v>
      </c>
      <c r="E82" s="11">
        <v>130.58000000000001</v>
      </c>
      <c r="F82" s="11">
        <v>128.536</v>
      </c>
      <c r="G82" s="11">
        <v>118.28100000000001</v>
      </c>
      <c r="H82" s="11">
        <v>148.47800000000001</v>
      </c>
      <c r="I82" s="11">
        <v>149.65</v>
      </c>
      <c r="J82" s="11">
        <v>180.33500000000001</v>
      </c>
      <c r="K82" s="11">
        <v>227.20299999999997</v>
      </c>
      <c r="L82" s="11">
        <v>247.839</v>
      </c>
      <c r="M82" s="11">
        <v>176.70600000000002</v>
      </c>
      <c r="N82" s="11">
        <v>255.38900000000001</v>
      </c>
      <c r="O82" s="11">
        <v>245.893</v>
      </c>
      <c r="P82" s="11">
        <v>190.59300000000002</v>
      </c>
      <c r="Q82" s="11">
        <v>153.358</v>
      </c>
      <c r="R82" s="11">
        <v>166.48099999999999</v>
      </c>
      <c r="S82" s="11">
        <v>216.49900000000002</v>
      </c>
      <c r="T82" s="11">
        <v>260.86</v>
      </c>
      <c r="U82" s="11">
        <v>138.13800000000001</v>
      </c>
      <c r="V82" s="11">
        <v>168.511</v>
      </c>
      <c r="W82" s="11">
        <v>120.405</v>
      </c>
      <c r="X82" s="11">
        <v>169.84463370986998</v>
      </c>
      <c r="Y82" s="11">
        <v>233.40428647620001</v>
      </c>
      <c r="Z82" s="11">
        <v>178.82479031549997</v>
      </c>
      <c r="AA82" s="11">
        <v>221.35198543919998</v>
      </c>
      <c r="AB82" s="11">
        <v>231.55317561390001</v>
      </c>
      <c r="AC82" s="11">
        <v>289.86461915250004</v>
      </c>
      <c r="AD82" s="11">
        <v>367.29535303649993</v>
      </c>
      <c r="AE82" s="11">
        <v>269.76166321439996</v>
      </c>
      <c r="AF82" s="11">
        <v>296.66679661499995</v>
      </c>
      <c r="AG82" s="11">
        <v>315.76760487929994</v>
      </c>
      <c r="AH82" s="11">
        <v>348.61937543159996</v>
      </c>
      <c r="AI82" s="11">
        <v>320.40385145789998</v>
      </c>
      <c r="AJ82" s="11">
        <v>383.50130889629997</v>
      </c>
      <c r="AK82" s="11">
        <v>405.77625842879996</v>
      </c>
      <c r="AL82" s="11">
        <v>312.63421237440002</v>
      </c>
      <c r="AM82" s="11">
        <v>373.81478772749995</v>
      </c>
      <c r="AN82" s="11">
        <v>328.06035668909999</v>
      </c>
      <c r="AO82" s="11">
        <f>'[1]Soy Complex'!AX$59</f>
        <v>0</v>
      </c>
      <c r="AP82" s="11">
        <f>'[1]Soy Complex'!AY$59</f>
        <v>0</v>
      </c>
      <c r="AQ82" s="11">
        <f>'[1]Soy Complex'!AZ$59</f>
        <v>0</v>
      </c>
      <c r="AR82" s="11">
        <f>'[1]Soy Complex'!BA$59</f>
        <v>0</v>
      </c>
      <c r="AS82" s="11">
        <f>'[1]Soy Complex'!BB$59</f>
        <v>0</v>
      </c>
      <c r="AT82" s="11">
        <f>'[1]Soy Complex'!BC$59</f>
        <v>0</v>
      </c>
      <c r="AU82" s="11">
        <f>'[1]Soy Complex'!BD$59</f>
        <v>0</v>
      </c>
      <c r="AV82" s="11">
        <f>'[1]Soy Complex'!BE$59</f>
        <v>0</v>
      </c>
      <c r="AW82" s="11">
        <f>'[1]Soy Complex'!BF$59</f>
        <v>0</v>
      </c>
      <c r="AX82" s="11">
        <f>'[1]Soy Complex'!BG$59</f>
        <v>0</v>
      </c>
      <c r="AY82" s="11">
        <f>'[1]Soy Complex'!BH$59</f>
        <v>0</v>
      </c>
      <c r="AZ82" s="11">
        <f>'[1]Soy Complex'!BI$59</f>
        <v>0</v>
      </c>
      <c r="BA82" s="11">
        <f>'[1]Soy Complex'!BJ$59</f>
        <v>0</v>
      </c>
      <c r="BB82" s="11">
        <f>'[1]Soy Complex'!BK$59</f>
        <v>0</v>
      </c>
    </row>
    <row r="83" spans="1:54" x14ac:dyDescent="0.2">
      <c r="A83" t="s">
        <v>10</v>
      </c>
      <c r="B83" s="11"/>
      <c r="C83" s="11"/>
      <c r="D83" s="11"/>
      <c r="E83" s="11"/>
      <c r="F83" s="11"/>
      <c r="G83" s="11"/>
      <c r="H83" s="11">
        <f>'[1]Soy Complex'!Q$60</f>
        <v>0</v>
      </c>
      <c r="I83" s="11">
        <f>'[1]Soy Complex'!R$60</f>
        <v>0</v>
      </c>
      <c r="J83" s="11">
        <f>'[1]Soy Complex'!S$60</f>
        <v>0</v>
      </c>
      <c r="K83" s="11">
        <f>'[1]Soy Complex'!T$60</f>
        <v>0</v>
      </c>
      <c r="L83" s="11">
        <f>'[1]Soy Complex'!U$60</f>
        <v>0</v>
      </c>
      <c r="M83" s="11">
        <f>'[1]Soy Complex'!V$60</f>
        <v>0</v>
      </c>
      <c r="N83" s="11">
        <f>'[1]Soy Complex'!W$60</f>
        <v>0</v>
      </c>
      <c r="O83" s="11">
        <f>'[1]Soy Complex'!X$60</f>
        <v>0</v>
      </c>
      <c r="P83" s="11">
        <f>'[1]Soy Complex'!Y$60</f>
        <v>0</v>
      </c>
      <c r="Q83" s="11">
        <f>'[1]Soy Complex'!Z$60</f>
        <v>0</v>
      </c>
      <c r="R83" s="11">
        <f>'[1]Soy Complex'!AA$60</f>
        <v>0</v>
      </c>
      <c r="S83" s="11">
        <f>'[1]Soy Complex'!AB$60</f>
        <v>0</v>
      </c>
      <c r="T83" s="11">
        <f>'[1]Soy Complex'!AC$60</f>
        <v>0</v>
      </c>
      <c r="U83" s="11">
        <f>'[1]Soy Complex'!AD$60</f>
        <v>0</v>
      </c>
      <c r="V83" s="11">
        <f>'[1]Soy Complex'!AE$60</f>
        <v>0</v>
      </c>
      <c r="W83" s="11">
        <f>'[1]Soy Complex'!AF$60</f>
        <v>0</v>
      </c>
      <c r="X83" s="11">
        <f>'[1]Soy Complex'!AG$60</f>
        <v>0</v>
      </c>
      <c r="Y83" s="11">
        <f>'[1]Soy Complex'!AH$60</f>
        <v>0</v>
      </c>
      <c r="Z83" s="11">
        <f>'[1]Soy Complex'!AI$60</f>
        <v>0</v>
      </c>
      <c r="AA83" s="11">
        <f>'[1]Soy Complex'!AJ$60</f>
        <v>-154.04831877253355</v>
      </c>
      <c r="AB83" s="11">
        <f>'[1]Soy Complex'!AK$60</f>
        <v>93.889157719433001</v>
      </c>
      <c r="AC83" s="11">
        <f>'[1]Soy Complex'!AL$60</f>
        <v>88.319380847499929</v>
      </c>
      <c r="AD83" s="11">
        <f>'[1]Soy Complex'!AM$60</f>
        <v>58.744980296833319</v>
      </c>
      <c r="AE83" s="11">
        <f>'[1]Soy Complex'!AN$60</f>
        <v>76.935670118933558</v>
      </c>
      <c r="AF83" s="11">
        <f>'[1]Soy Complex'!AO$60</f>
        <v>97.17053671833321</v>
      </c>
      <c r="AG83" s="11">
        <f>'[1]Soy Complex'!AP$60</f>
        <v>71.978728454033217</v>
      </c>
      <c r="AH83" s="11">
        <f>'[1]Soy Complex'!AQ$60</f>
        <v>87.496624568399511</v>
      </c>
      <c r="AI83" s="11">
        <f>'[1]Soy Complex'!AR$60</f>
        <v>112.33748187543347</v>
      </c>
      <c r="AJ83" s="11">
        <f>'[1]Soy Complex'!AS$60</f>
        <v>142.86335777036652</v>
      </c>
      <c r="AK83" s="11">
        <f>'[1]Soy Complex'!AT$60</f>
        <v>99.394408237866855</v>
      </c>
      <c r="AL83" s="11">
        <f>'[1]Soy Complex'!AU$60</f>
        <v>68.258787625600007</v>
      </c>
      <c r="AM83" s="11">
        <f>'[1]Soy Complex'!AV$60</f>
        <v>113.19087893916696</v>
      </c>
      <c r="AN83" s="11">
        <f>'[1]Soy Complex'!AW$60</f>
        <v>96.70983231090031</v>
      </c>
      <c r="AO83" s="11">
        <f>'[1]Soy Complex'!AX$60</f>
        <v>92.022945034867234</v>
      </c>
      <c r="AP83" s="11">
        <f>'[1]Soy Complex'!AY$60</f>
        <v>182.70940915756637</v>
      </c>
      <c r="AQ83" s="11">
        <f>'[1]Soy Complex'!AZ$60</f>
        <v>143.14750807333303</v>
      </c>
      <c r="AR83" s="11">
        <f>'[1]Soy Complex'!BA$60</f>
        <v>108.4867022300657</v>
      </c>
      <c r="AS83" s="11">
        <f>'[1]Soy Complex'!BB$60</f>
        <v>171.85609777315017</v>
      </c>
      <c r="AT83" s="11">
        <f>'[1]Soy Complex'!BC$60</f>
        <v>228.46861725411964</v>
      </c>
      <c r="AU83" s="11">
        <f>'[1]Soy Complex'!BD$60</f>
        <v>248.25457227906668</v>
      </c>
      <c r="AV83" s="11">
        <f>'[1]Soy Complex'!BE$60</f>
        <v>144.07617725360251</v>
      </c>
      <c r="AW83" s="11">
        <f>'[1]Soy Complex'!BF$60</f>
        <v>188.49356234524384</v>
      </c>
      <c r="AX83" s="11">
        <f>'[1]Soy Complex'!BG$60</f>
        <v>205.5142603730892</v>
      </c>
      <c r="AY83" s="11">
        <f>'[1]Soy Complex'!BH$60</f>
        <v>87.53101685801812</v>
      </c>
      <c r="AZ83" s="11">
        <f>'[1]Soy Complex'!BI$60</f>
        <v>76.394890355029702</v>
      </c>
      <c r="BA83" s="11">
        <f>'[1]Soy Complex'!BJ$60</f>
        <v>147.83317487539671</v>
      </c>
      <c r="BB83" s="11">
        <f>'[1]Soy Complex'!BK$60</f>
        <v>172.52701051150689</v>
      </c>
    </row>
    <row r="84" spans="1:54" x14ac:dyDescent="0.2">
      <c r="A84" t="s">
        <v>11</v>
      </c>
      <c r="B84" s="11">
        <v>5</v>
      </c>
      <c r="C84" s="11">
        <v>5</v>
      </c>
      <c r="D84" s="11">
        <v>5</v>
      </c>
      <c r="E84" s="11">
        <v>5</v>
      </c>
      <c r="F84" s="11">
        <v>5</v>
      </c>
      <c r="G84" s="11">
        <v>5</v>
      </c>
      <c r="H84" s="11">
        <v>3.6650000000000205</v>
      </c>
      <c r="I84" s="11">
        <v>5.0870000000001028</v>
      </c>
      <c r="J84" s="11">
        <v>4.5830000000000837</v>
      </c>
      <c r="K84" s="11">
        <v>-6.7739999999999441</v>
      </c>
      <c r="L84" s="11">
        <v>-26.184666666666544</v>
      </c>
      <c r="M84" s="11">
        <v>5.6660000000001673</v>
      </c>
      <c r="N84" s="11">
        <v>-12.833000000000084</v>
      </c>
      <c r="O84" s="11">
        <v>-36.159666666666681</v>
      </c>
      <c r="P84" s="11">
        <v>48.499999999999943</v>
      </c>
      <c r="Q84" s="11">
        <v>14.999000000000024</v>
      </c>
      <c r="R84" s="11">
        <v>21.325000000000273</v>
      </c>
      <c r="S84" s="11">
        <v>9.9723333333331539</v>
      </c>
      <c r="T84" s="11">
        <v>61.815666666666402</v>
      </c>
      <c r="U84" s="11">
        <v>72.172999999999774</v>
      </c>
      <c r="V84" s="11">
        <v>54.361666666666224</v>
      </c>
      <c r="W84" s="11">
        <v>57.365600000000427</v>
      </c>
      <c r="X84" s="11">
        <v>54.204032956796652</v>
      </c>
      <c r="Y84" s="11">
        <v>71.868973677853774</v>
      </c>
      <c r="Z84" s="11">
        <v>84.840003132606569</v>
      </c>
      <c r="AA84" s="11">
        <v>55.069195016817048</v>
      </c>
      <c r="AB84" s="11">
        <v>93.889270252683104</v>
      </c>
      <c r="AC84" s="11">
        <v>88.318699408709676</v>
      </c>
      <c r="AD84" s="11">
        <v>58.746771737223526</v>
      </c>
      <c r="AE84" s="11">
        <v>76.934909291023359</v>
      </c>
      <c r="AF84" s="11">
        <v>97.170022109022852</v>
      </c>
      <c r="AG84" s="11">
        <v>71.977761139803306</v>
      </c>
      <c r="AH84" s="11">
        <v>87.497369008779515</v>
      </c>
      <c r="AI84" s="11">
        <v>112.33713751437358</v>
      </c>
      <c r="AJ84" s="11">
        <v>142.86265447490655</v>
      </c>
      <c r="AK84" s="11">
        <v>99.394978375886922</v>
      </c>
      <c r="AL84" s="11">
        <v>68.257411247849859</v>
      </c>
      <c r="AM84" s="11">
        <v>113.18964132088661</v>
      </c>
      <c r="AN84" s="11">
        <v>96.710575187440099</v>
      </c>
      <c r="AO84" s="11">
        <f>AO85-AO83-AO82-AO81</f>
        <v>2903.1377951955201</v>
      </c>
      <c r="AP84" s="11">
        <f t="shared" ref="AP84:BB84" si="4">AP85-AP83-AP82-AP81</f>
        <v>2786.5599479450448</v>
      </c>
      <c r="AQ84" s="11">
        <f t="shared" si="4"/>
        <v>2724.3339052901838</v>
      </c>
      <c r="AR84" s="11">
        <f t="shared" si="4"/>
        <v>2784.6072396428831</v>
      </c>
      <c r="AS84" s="11">
        <f t="shared" si="4"/>
        <v>2421.8256961629913</v>
      </c>
      <c r="AT84" s="11">
        <f t="shared" si="4"/>
        <v>2607.563463657707</v>
      </c>
      <c r="AU84" s="11">
        <f t="shared" si="4"/>
        <v>2974.2735551668607</v>
      </c>
      <c r="AV84" s="11">
        <f t="shared" si="4"/>
        <v>3188.8417451091627</v>
      </c>
      <c r="AW84" s="11">
        <f t="shared" si="4"/>
        <v>3389.1918971061236</v>
      </c>
      <c r="AX84" s="11">
        <f t="shared" si="4"/>
        <v>3661.0199178902444</v>
      </c>
      <c r="AY84" s="11">
        <f t="shared" si="4"/>
        <v>4280.8161967991837</v>
      </c>
      <c r="AZ84" s="11">
        <f t="shared" si="4"/>
        <v>3780.8152653643888</v>
      </c>
      <c r="BA84" s="11">
        <f t="shared" si="4"/>
        <v>3508.6538052123697</v>
      </c>
      <c r="BB84" s="11">
        <f t="shared" si="4"/>
        <v>3691.184993913073</v>
      </c>
    </row>
    <row r="85" spans="1:54" x14ac:dyDescent="0.2">
      <c r="A85" t="s">
        <v>12</v>
      </c>
      <c r="B85" s="11">
        <v>295.95600000000002</v>
      </c>
      <c r="C85" s="11">
        <v>310.28300000000002</v>
      </c>
      <c r="D85" s="11">
        <v>284.541</v>
      </c>
      <c r="E85" s="11">
        <v>325.25599999999997</v>
      </c>
      <c r="F85" s="11">
        <v>309.49599999999998</v>
      </c>
      <c r="G85" s="11">
        <v>299.27699999999999</v>
      </c>
      <c r="H85" s="11">
        <v>351.09500000000003</v>
      </c>
      <c r="I85" s="11">
        <v>369.9190000000001</v>
      </c>
      <c r="J85" s="11">
        <v>397.89100000000008</v>
      </c>
      <c r="K85" s="11">
        <v>470.74900000000002</v>
      </c>
      <c r="L85" s="11">
        <v>494.7510000000002</v>
      </c>
      <c r="M85" s="11">
        <v>460.22200000000021</v>
      </c>
      <c r="N85" s="11">
        <v>520.00599999999986</v>
      </c>
      <c r="O85" s="11">
        <v>493.99</v>
      </c>
      <c r="P85" s="11">
        <v>508.70299999999997</v>
      </c>
      <c r="Q85" s="11">
        <v>422.06700000000001</v>
      </c>
      <c r="R85" s="11">
        <v>455.31600000000026</v>
      </c>
      <c r="S85" s="11">
        <v>522.28799999999978</v>
      </c>
      <c r="T85" s="11">
        <v>616.03899999999976</v>
      </c>
      <c r="U85" s="11">
        <v>485.68099999999981</v>
      </c>
      <c r="V85" s="11">
        <v>495.85599999999954</v>
      </c>
      <c r="W85" s="11">
        <v>481.89800000000037</v>
      </c>
      <c r="X85" s="11">
        <v>544.44399999999996</v>
      </c>
      <c r="Y85" s="11">
        <v>633.49992682072048</v>
      </c>
      <c r="Z85" s="11">
        <v>590.21812678143988</v>
      </c>
      <c r="AA85" s="11">
        <v>624.13451378935042</v>
      </c>
      <c r="AB85" s="11">
        <v>676.88911253324977</v>
      </c>
      <c r="AC85" s="11">
        <v>739.2033185612097</v>
      </c>
      <c r="AD85" s="11">
        <v>821.85879144039018</v>
      </c>
      <c r="AE85" s="11">
        <v>755.99323917208994</v>
      </c>
      <c r="AF85" s="11">
        <v>820.58348539068948</v>
      </c>
      <c r="AG85" s="11">
        <v>808.8820326857699</v>
      </c>
      <c r="AH85" s="11">
        <v>863.6567444403795</v>
      </c>
      <c r="AI85" s="11">
        <v>850.24765563894016</v>
      </c>
      <c r="AJ85" s="11">
        <v>945.76729670453983</v>
      </c>
      <c r="AK85" s="11">
        <v>932.53457013802017</v>
      </c>
      <c r="AL85" s="11">
        <v>823.24162362224979</v>
      </c>
      <c r="AM85" s="11">
        <v>946.20776238171993</v>
      </c>
      <c r="AN85" s="11">
        <v>892.13574287654001</v>
      </c>
      <c r="AO85" s="11">
        <f>AO80-AO86</f>
        <v>3382.094461862187</v>
      </c>
      <c r="AP85" s="11">
        <f t="shared" ref="AP85:BB85" si="5">AP80-AP86</f>
        <v>3505.2476146117115</v>
      </c>
      <c r="AQ85" s="11">
        <f t="shared" si="5"/>
        <v>3489.544905623517</v>
      </c>
      <c r="AR85" s="11">
        <f t="shared" si="5"/>
        <v>3317.9254463780489</v>
      </c>
      <c r="AS85" s="11">
        <f t="shared" si="5"/>
        <v>3219.8599497435566</v>
      </c>
      <c r="AT85" s="11">
        <f t="shared" si="5"/>
        <v>3512.5378685404457</v>
      </c>
      <c r="AU85" s="11">
        <f t="shared" si="5"/>
        <v>4035.0970771562693</v>
      </c>
      <c r="AV85" s="11">
        <f t="shared" si="5"/>
        <v>4126.0097179680488</v>
      </c>
      <c r="AW85" s="11">
        <f t="shared" si="5"/>
        <v>4503.9042070294809</v>
      </c>
      <c r="AX85" s="11">
        <f t="shared" si="5"/>
        <v>4724.6575025843076</v>
      </c>
      <c r="AY85" s="11">
        <f t="shared" si="5"/>
        <v>4873.5796634658491</v>
      </c>
      <c r="AZ85" s="11">
        <f t="shared" si="5"/>
        <v>4468.7051986977222</v>
      </c>
      <c r="BA85" s="11">
        <f t="shared" si="5"/>
        <v>4747.1753729960674</v>
      </c>
      <c r="BB85" s="11">
        <f t="shared" si="5"/>
        <v>4727.4081727033599</v>
      </c>
    </row>
    <row r="86" spans="1:54" x14ac:dyDescent="0.2">
      <c r="A86" t="s">
        <v>71</v>
      </c>
      <c r="B86" s="11">
        <v>1164.0079999999998</v>
      </c>
      <c r="C86" s="11">
        <v>1046.6529999999998</v>
      </c>
      <c r="D86" s="11">
        <v>990.33900000000017</v>
      </c>
      <c r="E86" s="11">
        <v>1017.314</v>
      </c>
      <c r="F86" s="11">
        <v>1297.681</v>
      </c>
      <c r="G86" s="11">
        <v>1087.761</v>
      </c>
      <c r="H86" s="11">
        <v>1385.4</v>
      </c>
      <c r="I86" s="11">
        <v>1163.6289999999999</v>
      </c>
      <c r="J86" s="11">
        <v>1472.3</v>
      </c>
      <c r="K86" s="11">
        <v>1559.181</v>
      </c>
      <c r="L86" s="11">
        <v>1941.502</v>
      </c>
      <c r="M86" s="11">
        <v>1695.8710000000001</v>
      </c>
      <c r="N86" s="11">
        <v>1782.17</v>
      </c>
      <c r="O86" s="11">
        <v>1950.8610000000001</v>
      </c>
      <c r="P86" s="11">
        <v>1471.729</v>
      </c>
      <c r="Q86" s="11">
        <v>1614.7149999999999</v>
      </c>
      <c r="R86" s="11">
        <v>1959.817</v>
      </c>
      <c r="S86" s="11">
        <v>1956.6369999999999</v>
      </c>
      <c r="T86" s="11">
        <v>1758.2809999999999</v>
      </c>
      <c r="U86" s="11">
        <v>1366.8120000000001</v>
      </c>
      <c r="V86" s="11">
        <v>1610.7160000000001</v>
      </c>
      <c r="W86" s="11">
        <v>1683.963</v>
      </c>
      <c r="X86" s="11">
        <v>1772.732</v>
      </c>
      <c r="Y86" s="11">
        <v>1835.9849999999999</v>
      </c>
      <c r="Z86" s="11">
        <v>1573.62</v>
      </c>
      <c r="AA86" s="11">
        <v>2101.9560000000001</v>
      </c>
      <c r="AB86" s="11">
        <v>1833.4290000000001</v>
      </c>
      <c r="AC86" s="11">
        <v>1825.0840000000001</v>
      </c>
      <c r="AD86" s="11">
        <v>1999.4169999999999</v>
      </c>
      <c r="AE86" s="11">
        <v>2186.44</v>
      </c>
      <c r="AF86" s="11">
        <v>2182.6660000000002</v>
      </c>
      <c r="AG86" s="11">
        <v>2239.991</v>
      </c>
      <c r="AH86" s="11">
        <v>2275.6179999999999</v>
      </c>
      <c r="AI86" s="11">
        <v>2115.373</v>
      </c>
      <c r="AJ86" s="11">
        <v>1688.653</v>
      </c>
      <c r="AK86" s="11">
        <v>2304.64</v>
      </c>
      <c r="AL86" s="11">
        <v>2501.4259999999999</v>
      </c>
      <c r="AM86" s="11">
        <v>2701.366</v>
      </c>
      <c r="AN86" s="11">
        <v>2360.36</v>
      </c>
      <c r="AO86" s="11">
        <f>'[1]Soy Complex'!AX$63</f>
        <v>0.52253813781295166</v>
      </c>
      <c r="AP86" s="11">
        <f>'[1]Soy Complex'!AY$63</f>
        <v>0.52575313762801734</v>
      </c>
      <c r="AQ86" s="11">
        <f>'[1]Soy Complex'!AZ$63</f>
        <v>0.47891122539818554</v>
      </c>
      <c r="AR86" s="11">
        <f>'[1]Soy Complex'!BA$63</f>
        <v>0.48061403823392268</v>
      </c>
      <c r="AS86" s="11">
        <f>'[1]Soy Complex'!BB$63</f>
        <v>0.46283086685169728</v>
      </c>
      <c r="AT86" s="11">
        <f>'[1]Soy Complex'!BC$63</f>
        <v>0.44343921237766531</v>
      </c>
      <c r="AU86" s="11">
        <f>'[1]Soy Complex'!BD$63</f>
        <v>0.48185259266761188</v>
      </c>
      <c r="AV86" s="11">
        <f>'[1]Soy Complex'!BE$63</f>
        <v>0.48211601955287187</v>
      </c>
      <c r="AW86" s="11">
        <f>'[1]Soy Complex'!BF$63</f>
        <v>0.46049472655926621</v>
      </c>
      <c r="AX86" s="11">
        <f>'[1]Soy Complex'!BG$63</f>
        <v>0.46983575364660568</v>
      </c>
      <c r="AY86" s="11">
        <f>'[1]Soy Complex'!BH$63</f>
        <v>0.51657525820753991</v>
      </c>
      <c r="AZ86" s="11">
        <f>'[1]Soy Complex'!BI$63</f>
        <v>0.46718081665481936</v>
      </c>
      <c r="BA86" s="11">
        <f>'[1]Soy Complex'!BJ$63</f>
        <v>0.44405003495388129</v>
      </c>
      <c r="BB86" s="11">
        <f>'[1]Soy Complex'!BK$63</f>
        <v>0.48525055124717681</v>
      </c>
    </row>
    <row r="87" spans="1:54" x14ac:dyDescent="0.2">
      <c r="A87" t="s">
        <v>14</v>
      </c>
      <c r="B87" s="15">
        <v>3.9330441011501702</v>
      </c>
      <c r="C87" s="15">
        <v>3.373220576054762</v>
      </c>
      <c r="D87" s="15">
        <v>3.4804790873722951</v>
      </c>
      <c r="E87" s="15">
        <v>3.1277332316698234</v>
      </c>
      <c r="F87" s="15">
        <v>4.1928845607051466</v>
      </c>
      <c r="G87" s="15">
        <v>3.6346294569913491</v>
      </c>
      <c r="H87" s="15">
        <v>3.9459405573989947</v>
      </c>
      <c r="I87" s="15">
        <v>3.1456318815740731</v>
      </c>
      <c r="J87" s="15">
        <v>3.7002596188403349</v>
      </c>
      <c r="K87" s="15">
        <v>3.3121281192312675</v>
      </c>
      <c r="L87" s="15">
        <v>3.9242002542693175</v>
      </c>
      <c r="M87" s="15">
        <v>3.6848977232726798</v>
      </c>
      <c r="N87" s="15">
        <v>3.4272104552639786</v>
      </c>
      <c r="O87" s="15">
        <v>3.9491912791756918</v>
      </c>
      <c r="P87" s="15">
        <v>2.8931006894002986</v>
      </c>
      <c r="Q87" s="15">
        <v>3.825731459697157</v>
      </c>
      <c r="R87" s="15">
        <v>4.3043007493696663</v>
      </c>
      <c r="S87" s="15">
        <v>3.7462798302852081</v>
      </c>
      <c r="T87" s="15">
        <v>2.8541715703064265</v>
      </c>
      <c r="U87" s="15">
        <v>2.814217562556494</v>
      </c>
      <c r="V87" s="15">
        <v>3.248354360943503</v>
      </c>
      <c r="W87" s="15">
        <v>3.4944386571432102</v>
      </c>
      <c r="X87" s="15">
        <v>3.2560410253396128</v>
      </c>
      <c r="Y87" s="15">
        <v>2.8981613450439765</v>
      </c>
      <c r="Z87" s="15">
        <v>2.6661668434028249</v>
      </c>
      <c r="AA87" s="15">
        <v>3.3677932457832709</v>
      </c>
      <c r="AB87" s="15">
        <v>2.7086105627233579</v>
      </c>
      <c r="AC87" s="15">
        <v>2.468987833485861</v>
      </c>
      <c r="AD87" s="15">
        <v>2.4327987007303538</v>
      </c>
      <c r="AE87" s="15">
        <v>2.8921422662382983</v>
      </c>
      <c r="AF87" s="15">
        <v>2.6598951098324957</v>
      </c>
      <c r="AG87" s="15">
        <v>2.7692431151702679</v>
      </c>
      <c r="AH87" s="15">
        <v>2.6348639255686281</v>
      </c>
      <c r="AI87" s="15">
        <v>2.4879492298162815</v>
      </c>
      <c r="AJ87" s="15">
        <v>1.785484659793158</v>
      </c>
      <c r="AK87" s="15">
        <v>2.4713721869409095</v>
      </c>
      <c r="AL87" s="15">
        <v>3.038507685014475</v>
      </c>
      <c r="AM87" s="15">
        <v>2.8549395887435267</v>
      </c>
      <c r="AN87" s="15">
        <v>2.6457408739049293</v>
      </c>
      <c r="AO87" s="15">
        <f>AO86/AO85</f>
        <v>1.5450134338508136E-4</v>
      </c>
      <c r="AP87" s="15">
        <f t="shared" ref="AP87:BB87" si="6">AP86/AP85</f>
        <v>1.4999029895531555E-4</v>
      </c>
      <c r="AQ87" s="15">
        <f t="shared" si="6"/>
        <v>1.3724174307841813E-4</v>
      </c>
      <c r="AR87" s="15">
        <f t="shared" si="6"/>
        <v>1.4485377866418789E-4</v>
      </c>
      <c r="AS87" s="15">
        <f t="shared" si="6"/>
        <v>1.4374254597270886E-4</v>
      </c>
      <c r="AT87" s="15">
        <f t="shared" si="6"/>
        <v>1.2624467805721516E-4</v>
      </c>
      <c r="AU87" s="15">
        <f t="shared" si="6"/>
        <v>1.1941536559194681E-4</v>
      </c>
      <c r="AV87" s="15">
        <f t="shared" si="6"/>
        <v>1.1684800873186051E-4</v>
      </c>
      <c r="AW87" s="15">
        <f t="shared" si="6"/>
        <v>1.022434548764487E-4</v>
      </c>
      <c r="AX87" s="15">
        <f t="shared" si="6"/>
        <v>9.9443346610757175E-5</v>
      </c>
      <c r="AY87" s="15">
        <f t="shared" si="6"/>
        <v>1.059950372987598E-4</v>
      </c>
      <c r="AZ87" s="15">
        <f t="shared" si="6"/>
        <v>1.0454500708414732E-4</v>
      </c>
      <c r="BA87" s="15">
        <f t="shared" si="6"/>
        <v>9.3539842130085379E-5</v>
      </c>
      <c r="BB87" s="15">
        <f t="shared" si="6"/>
        <v>1.02646214060608E-4</v>
      </c>
    </row>
    <row r="88" spans="1:54" x14ac:dyDescent="0.2">
      <c r="A88" t="s">
        <v>17</v>
      </c>
      <c r="E88" s="16"/>
      <c r="F88" s="16"/>
      <c r="G88" s="16"/>
      <c r="H88" s="11">
        <v>0</v>
      </c>
      <c r="I88" s="11">
        <v>8.4</v>
      </c>
      <c r="J88" s="11">
        <v>48.6</v>
      </c>
      <c r="K88" s="11">
        <v>33.5</v>
      </c>
      <c r="L88" s="11">
        <v>45.7</v>
      </c>
      <c r="M88" s="11">
        <v>35.5</v>
      </c>
      <c r="N88" s="11">
        <v>108</v>
      </c>
      <c r="O88" s="11">
        <v>262.8</v>
      </c>
      <c r="P88" s="11">
        <v>63.2</v>
      </c>
      <c r="Q88" s="11">
        <v>106.9</v>
      </c>
      <c r="R88" s="11">
        <v>327.3</v>
      </c>
      <c r="S88" s="11">
        <v>320.39999999999998</v>
      </c>
      <c r="T88" s="11">
        <v>227.6</v>
      </c>
      <c r="U88" s="11">
        <v>51.2</v>
      </c>
      <c r="V88" s="11">
        <v>120.6</v>
      </c>
      <c r="W88" s="11">
        <v>125.6</v>
      </c>
      <c r="X88" s="11">
        <v>125.8</v>
      </c>
      <c r="Y88" s="11">
        <v>121.4</v>
      </c>
      <c r="Z88" s="11">
        <v>87</v>
      </c>
      <c r="AA88" s="11">
        <v>261</v>
      </c>
      <c r="AB88" s="11">
        <v>118.4</v>
      </c>
      <c r="AC88" s="11">
        <v>107</v>
      </c>
      <c r="AD88" s="11">
        <v>145.80000000000001</v>
      </c>
      <c r="AE88" s="11">
        <v>172</v>
      </c>
      <c r="AF88" s="11">
        <v>170.31500000000003</v>
      </c>
      <c r="AG88" s="11">
        <v>194.62800000000001</v>
      </c>
      <c r="AH88" s="11">
        <v>221.41300000000001</v>
      </c>
      <c r="AI88" s="11">
        <v>230.935</v>
      </c>
      <c r="AJ88" s="11">
        <v>98.078000000000003</v>
      </c>
      <c r="AK88" s="11">
        <v>230.654</v>
      </c>
      <c r="AL88" s="11">
        <v>274.125</v>
      </c>
      <c r="AM88" s="11">
        <v>251.541</v>
      </c>
      <c r="AN88" s="11">
        <v>123.889</v>
      </c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</row>
    <row r="89" spans="1:54" x14ac:dyDescent="0.2">
      <c r="A89" t="s">
        <v>19</v>
      </c>
      <c r="E89" s="16"/>
      <c r="F89" s="16"/>
      <c r="G89" s="16"/>
      <c r="H89" s="11">
        <v>0</v>
      </c>
      <c r="I89" s="11">
        <v>0</v>
      </c>
      <c r="J89" s="11">
        <v>0</v>
      </c>
      <c r="K89" s="11">
        <v>0</v>
      </c>
      <c r="L89" s="11">
        <v>0</v>
      </c>
      <c r="M89" s="11">
        <v>0</v>
      </c>
      <c r="N89" s="11">
        <v>0</v>
      </c>
      <c r="O89" s="11">
        <v>6.9</v>
      </c>
      <c r="P89" s="11">
        <v>23.1</v>
      </c>
      <c r="Q89" s="11">
        <v>1</v>
      </c>
      <c r="R89" s="11">
        <v>89.4</v>
      </c>
      <c r="S89" s="11">
        <v>247.8</v>
      </c>
      <c r="T89" s="11">
        <v>48.4</v>
      </c>
      <c r="U89" s="11">
        <v>1</v>
      </c>
      <c r="V89" s="11">
        <v>0.2</v>
      </c>
      <c r="W89" s="11">
        <v>0</v>
      </c>
      <c r="X89" s="11">
        <v>0</v>
      </c>
      <c r="Y89" s="11">
        <v>0.6</v>
      </c>
      <c r="Z89" s="11">
        <v>0</v>
      </c>
      <c r="AA89" s="11">
        <v>0.2</v>
      </c>
      <c r="AB89" s="11">
        <v>0</v>
      </c>
      <c r="AC89" s="11">
        <v>0</v>
      </c>
      <c r="AD89" s="11">
        <v>0</v>
      </c>
      <c r="AE89" s="11">
        <v>3.1</v>
      </c>
      <c r="AF89" s="11">
        <v>6.766</v>
      </c>
      <c r="AG89" s="11">
        <v>8.9</v>
      </c>
      <c r="AH89" s="11">
        <v>3</v>
      </c>
      <c r="AI89" s="11">
        <v>2.9</v>
      </c>
      <c r="AJ89" s="11">
        <v>0.3</v>
      </c>
      <c r="AK89" s="11">
        <v>0</v>
      </c>
      <c r="AL89" s="11">
        <v>0.1</v>
      </c>
      <c r="AM89" s="11">
        <v>1.2</v>
      </c>
      <c r="AN89" s="11">
        <v>0</v>
      </c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</row>
    <row r="90" spans="1:54" x14ac:dyDescent="0.2">
      <c r="A90" t="s">
        <v>20</v>
      </c>
      <c r="E90" s="16"/>
      <c r="F90" s="16"/>
      <c r="G90" s="16"/>
      <c r="H90" s="11">
        <v>0</v>
      </c>
      <c r="I90" s="11">
        <v>8.4</v>
      </c>
      <c r="J90" s="11">
        <v>48.6</v>
      </c>
      <c r="K90" s="11">
        <v>33.5</v>
      </c>
      <c r="L90" s="11">
        <v>45.7</v>
      </c>
      <c r="M90" s="11">
        <v>35.5</v>
      </c>
      <c r="N90" s="11">
        <v>108</v>
      </c>
      <c r="O90" s="11">
        <v>269.7</v>
      </c>
      <c r="P90" s="11">
        <v>86.300000000000011</v>
      </c>
      <c r="Q90" s="11">
        <v>107.9</v>
      </c>
      <c r="R90" s="11">
        <v>416.70000000000005</v>
      </c>
      <c r="S90" s="11">
        <v>568.20000000000005</v>
      </c>
      <c r="T90" s="11">
        <v>276</v>
      </c>
      <c r="U90" s="11">
        <v>52.2</v>
      </c>
      <c r="V90" s="11">
        <v>120.8</v>
      </c>
      <c r="W90" s="11">
        <v>125.6</v>
      </c>
      <c r="X90" s="11">
        <v>125.8</v>
      </c>
      <c r="Y90" s="11">
        <v>122</v>
      </c>
      <c r="Z90" s="11">
        <v>87</v>
      </c>
      <c r="AA90" s="11">
        <v>261.2</v>
      </c>
      <c r="AB90" s="11">
        <v>118.4</v>
      </c>
      <c r="AC90" s="11">
        <v>107</v>
      </c>
      <c r="AD90" s="11">
        <v>145.80000000000001</v>
      </c>
      <c r="AE90" s="11">
        <v>175.1</v>
      </c>
      <c r="AF90" s="11">
        <v>177.08100000000002</v>
      </c>
      <c r="AG90" s="11">
        <v>203.52800000000002</v>
      </c>
      <c r="AH90" s="11">
        <v>224.41300000000001</v>
      </c>
      <c r="AI90" s="11">
        <v>233.83500000000001</v>
      </c>
      <c r="AJ90" s="11">
        <v>98.378</v>
      </c>
      <c r="AK90" s="11">
        <v>230.654</v>
      </c>
      <c r="AL90" s="11">
        <v>274.22500000000002</v>
      </c>
      <c r="AM90" s="11">
        <v>252.74099999999999</v>
      </c>
      <c r="AN90" s="11">
        <v>123.889</v>
      </c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</row>
    <row r="91" spans="1:54" x14ac:dyDescent="0.2">
      <c r="A91" t="s">
        <v>21</v>
      </c>
      <c r="E91" s="16"/>
      <c r="F91" s="16"/>
      <c r="G91" s="16"/>
      <c r="H91" s="11">
        <v>1385.4</v>
      </c>
      <c r="I91" s="11">
        <v>1155.2289999999998</v>
      </c>
      <c r="J91" s="11">
        <v>1423.7</v>
      </c>
      <c r="K91" s="11">
        <v>1525.681</v>
      </c>
      <c r="L91" s="11">
        <v>1895.8019999999999</v>
      </c>
      <c r="M91" s="11">
        <v>1660.3710000000001</v>
      </c>
      <c r="N91" s="11">
        <v>1674.17</v>
      </c>
      <c r="O91" s="11">
        <v>1681.1610000000001</v>
      </c>
      <c r="P91" s="11">
        <v>1385.4290000000001</v>
      </c>
      <c r="Q91" s="11">
        <v>1506.8149999999998</v>
      </c>
      <c r="R91" s="11">
        <v>1543.117</v>
      </c>
      <c r="S91" s="11">
        <v>1388.4369999999999</v>
      </c>
      <c r="T91" s="11">
        <v>1482.2809999999999</v>
      </c>
      <c r="U91" s="11">
        <v>1314.6120000000001</v>
      </c>
      <c r="V91" s="11">
        <v>1489.9160000000002</v>
      </c>
      <c r="W91" s="11">
        <v>1558.3630000000001</v>
      </c>
      <c r="X91" s="11">
        <v>1646.932</v>
      </c>
      <c r="Y91" s="11">
        <v>1713.9849999999999</v>
      </c>
      <c r="Z91" s="11">
        <v>1486.62</v>
      </c>
      <c r="AA91" s="11">
        <v>1840.7560000000001</v>
      </c>
      <c r="AB91" s="11">
        <v>1715.029</v>
      </c>
      <c r="AC91" s="11">
        <v>1718.0840000000001</v>
      </c>
      <c r="AD91" s="11">
        <v>1853.617</v>
      </c>
      <c r="AE91" s="11">
        <v>2011.3400000000001</v>
      </c>
      <c r="AF91" s="11">
        <v>2005.585</v>
      </c>
      <c r="AG91" s="11">
        <v>2036.463</v>
      </c>
      <c r="AH91" s="11">
        <v>2051.2049999999999</v>
      </c>
      <c r="AI91" s="11">
        <v>1881.538</v>
      </c>
      <c r="AJ91" s="11">
        <v>1590.2750000000001</v>
      </c>
      <c r="AK91" s="11">
        <v>2073.9859999999999</v>
      </c>
      <c r="AL91" s="11">
        <v>2227.201</v>
      </c>
      <c r="AM91" s="11">
        <v>2448.625</v>
      </c>
      <c r="AN91" s="11">
        <v>2236.471</v>
      </c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</row>
    <row r="92" spans="1:54" x14ac:dyDescent="0.2">
      <c r="A92" t="s">
        <v>72</v>
      </c>
      <c r="E92" s="16"/>
      <c r="F92" s="16"/>
      <c r="G92" s="16"/>
      <c r="H92" s="11">
        <v>0</v>
      </c>
      <c r="I92" s="11">
        <v>534.10599999999999</v>
      </c>
      <c r="J92" s="11">
        <v>747.928</v>
      </c>
      <c r="K92" s="11">
        <v>782.702</v>
      </c>
      <c r="L92" s="11">
        <v>976.57600000000002</v>
      </c>
      <c r="M92" s="11">
        <v>814.01800000000003</v>
      </c>
      <c r="N92" s="11">
        <v>976.62900000000002</v>
      </c>
      <c r="O92" s="11">
        <v>1115.8920000000001</v>
      </c>
      <c r="P92" s="11">
        <v>707.90200000000004</v>
      </c>
      <c r="Q92" s="11">
        <v>870.33100000000002</v>
      </c>
      <c r="R92" s="11">
        <v>1030.864</v>
      </c>
      <c r="S92" s="11">
        <v>1061</v>
      </c>
      <c r="T92" s="11">
        <v>868.3</v>
      </c>
      <c r="U92" s="11">
        <v>650</v>
      </c>
      <c r="V92" s="11">
        <v>793.4</v>
      </c>
      <c r="W92" s="11">
        <v>754</v>
      </c>
      <c r="X92" s="11">
        <v>810</v>
      </c>
      <c r="Y92" s="11">
        <v>876.1</v>
      </c>
      <c r="Z92" s="11">
        <v>697.4</v>
      </c>
      <c r="AA92" s="11">
        <v>985.8</v>
      </c>
      <c r="AB92" s="11">
        <v>861.5</v>
      </c>
      <c r="AC92" s="11">
        <v>935.1</v>
      </c>
      <c r="AD92" s="11">
        <v>1048</v>
      </c>
      <c r="AE92" s="11">
        <v>1187</v>
      </c>
      <c r="AF92" s="11">
        <v>1150</v>
      </c>
      <c r="AG92" s="11">
        <v>1217</v>
      </c>
      <c r="AH92" s="11">
        <v>1240</v>
      </c>
      <c r="AI92" s="11">
        <v>1172</v>
      </c>
      <c r="AJ92" s="11">
        <v>820</v>
      </c>
      <c r="AK92" s="11">
        <v>1300</v>
      </c>
      <c r="AL92" s="11">
        <v>1345</v>
      </c>
      <c r="AM92" s="11">
        <v>1461</v>
      </c>
      <c r="AN92" s="11">
        <v>1128.5</v>
      </c>
      <c r="AO92" s="11">
        <f>'[1]Soy Complex'!AX$65</f>
        <v>1086.4319999999998</v>
      </c>
      <c r="AP92" s="11">
        <f>'[1]Soy Complex'!AY$65</f>
        <v>1109.0500000000002</v>
      </c>
      <c r="AQ92" s="11">
        <f>'[1]Soy Complex'!AZ$65</f>
        <v>1187.0839999999998</v>
      </c>
      <c r="AR92" s="11">
        <f>'[1]Soy Complex'!BA$65</f>
        <v>1230.8850000000002</v>
      </c>
      <c r="AS92" s="11">
        <f>'[1]Soy Complex'!BB$65</f>
        <v>1056.1610000000001</v>
      </c>
      <c r="AT92" s="11">
        <f>'[1]Soy Complex'!BC$65</f>
        <v>1198.6210000000001</v>
      </c>
      <c r="AU92" s="11">
        <f>'[1]Soy Complex'!BD$65</f>
        <v>1309.7440000000001</v>
      </c>
      <c r="AV92" s="11">
        <f>'[1]Soy Complex'!BE$65</f>
        <v>1405.5770000000002</v>
      </c>
      <c r="AW92" s="11">
        <f>'[1]Soy Complex'!BF$65</f>
        <v>1564.056</v>
      </c>
      <c r="AX92" s="11">
        <f>'[1]Soy Complex'!BG$65</f>
        <v>1675.6790000000001</v>
      </c>
      <c r="AY92" s="11">
        <f>'[1]Soy Complex'!BH$65</f>
        <v>1810.8240000000001</v>
      </c>
      <c r="AZ92" s="11">
        <f>'[1]Soy Complex'!BI$65</f>
        <v>1732.9879999999998</v>
      </c>
      <c r="BA92" s="11">
        <f>'[1]Soy Complex'!BJ$65</f>
        <v>1638.2399999999998</v>
      </c>
      <c r="BB92" s="11">
        <f>'[1]Soy Complex'!BK$65</f>
        <v>1614.5239999999999</v>
      </c>
    </row>
    <row r="93" spans="1:54" x14ac:dyDescent="0.2">
      <c r="A93" t="s">
        <v>73</v>
      </c>
      <c r="E93" s="16"/>
      <c r="F93" s="16"/>
      <c r="G93" s="16"/>
      <c r="H93" s="11">
        <v>1385.4</v>
      </c>
      <c r="I93" s="11">
        <v>629.52299999999991</v>
      </c>
      <c r="J93" s="11">
        <v>724.37199999999996</v>
      </c>
      <c r="K93" s="11">
        <v>776.47900000000004</v>
      </c>
      <c r="L93" s="11">
        <v>964.92599999999993</v>
      </c>
      <c r="M93" s="11">
        <v>881.85300000000007</v>
      </c>
      <c r="N93" s="11">
        <v>805.54100000000005</v>
      </c>
      <c r="O93" s="11">
        <v>834.96900000000005</v>
      </c>
      <c r="P93" s="11">
        <v>763.827</v>
      </c>
      <c r="Q93" s="11">
        <v>744.3839999999999</v>
      </c>
      <c r="R93" s="11">
        <v>928.95299999999997</v>
      </c>
      <c r="S93" s="11">
        <v>895.63699999999994</v>
      </c>
      <c r="T93" s="11">
        <v>889.98099999999999</v>
      </c>
      <c r="U93" s="11">
        <v>716.81200000000013</v>
      </c>
      <c r="V93" s="11">
        <v>817.31600000000014</v>
      </c>
      <c r="W93" s="11">
        <v>929.96299999999997</v>
      </c>
      <c r="X93" s="11">
        <v>962.73199999999997</v>
      </c>
      <c r="Y93" s="11">
        <v>959.88499999999988</v>
      </c>
      <c r="Z93" s="11">
        <v>876.21999999999991</v>
      </c>
      <c r="AA93" s="11">
        <v>1116.1560000000002</v>
      </c>
      <c r="AB93" s="11">
        <v>971.92900000000009</v>
      </c>
      <c r="AC93" s="11">
        <v>889.98400000000004</v>
      </c>
      <c r="AD93" s="11">
        <v>951.41699999999992</v>
      </c>
      <c r="AE93" s="11">
        <v>999.44</v>
      </c>
      <c r="AF93" s="11">
        <v>1032.6660000000002</v>
      </c>
      <c r="AG93" s="11">
        <v>1022.991</v>
      </c>
      <c r="AH93" s="11">
        <v>1035.6179999999999</v>
      </c>
      <c r="AI93" s="11">
        <v>943.37300000000005</v>
      </c>
      <c r="AJ93" s="11">
        <v>868.65300000000002</v>
      </c>
      <c r="AK93" s="11">
        <v>1004.6399999999999</v>
      </c>
      <c r="AL93" s="11">
        <v>1156.4259999999999</v>
      </c>
      <c r="AM93" s="11">
        <v>1240.366</v>
      </c>
      <c r="AN93" s="11">
        <v>1231.8600000000001</v>
      </c>
      <c r="AO93" s="11" t="e">
        <f>'[1]Soy Complex'!AX$66</f>
        <v>#REF!</v>
      </c>
      <c r="AP93" s="11" t="e">
        <f>'[1]Soy Complex'!AY$66</f>
        <v>#REF!</v>
      </c>
      <c r="AQ93" s="11" t="e">
        <f>'[1]Soy Complex'!AZ$66</f>
        <v>#REF!</v>
      </c>
      <c r="AR93" s="11" t="e">
        <f>'[1]Soy Complex'!BA$66</f>
        <v>#REF!</v>
      </c>
      <c r="AS93" s="11" t="e">
        <f>'[1]Soy Complex'!BB$66</f>
        <v>#REF!</v>
      </c>
      <c r="AT93" s="11" t="e">
        <f>'[1]Soy Complex'!BC$66</f>
        <v>#REF!</v>
      </c>
      <c r="AU93" s="11" t="e">
        <f>'[1]Soy Complex'!BD$66</f>
        <v>#REF!</v>
      </c>
      <c r="AV93" s="11" t="e">
        <f>'[1]Soy Complex'!BE$66</f>
        <v>#REF!</v>
      </c>
      <c r="AW93" s="11" t="e">
        <f>'[1]Soy Complex'!BF$66</f>
        <v>#REF!</v>
      </c>
      <c r="AX93" s="11" t="e">
        <f>'[1]Soy Complex'!BG$66</f>
        <v>#REF!</v>
      </c>
      <c r="AY93" s="11" t="e">
        <f>'[1]Soy Complex'!BH$66</f>
        <v>#REF!</v>
      </c>
      <c r="AZ93" s="11" t="e">
        <f>'[1]Soy Complex'!BI$66</f>
        <v>#REF!</v>
      </c>
      <c r="BA93" s="11" t="e">
        <f>'[1]Soy Complex'!BJ$66</f>
        <v>#REF!</v>
      </c>
      <c r="BB93" s="11" t="e">
        <f>'[1]Soy Complex'!BK$66</f>
        <v>#REF!</v>
      </c>
    </row>
    <row r="94" spans="1:54" ht="13.5" thickBot="1" x14ac:dyDescent="0.25">
      <c r="A94" t="s">
        <v>74</v>
      </c>
      <c r="O94" s="17">
        <v>5.1895442359249326</v>
      </c>
      <c r="P94" s="17">
        <v>7.979652605459056</v>
      </c>
      <c r="Q94" s="17">
        <v>6.0410937499999999</v>
      </c>
      <c r="R94" s="17">
        <v>4.8979347826086954</v>
      </c>
      <c r="S94" s="17">
        <v>4.6313740458015262</v>
      </c>
      <c r="T94" s="17">
        <v>5.1045951859956231</v>
      </c>
      <c r="U94" s="17">
        <v>7.5793150684931501</v>
      </c>
      <c r="V94" s="17">
        <v>5.5990171990171991</v>
      </c>
      <c r="W94" s="17">
        <v>5.8665789473684216</v>
      </c>
      <c r="X94" s="17">
        <v>5.5262135922330105</v>
      </c>
      <c r="Y94" s="17">
        <v>5.297967723515538</v>
      </c>
      <c r="Z94" s="17">
        <v>6.1165099009901001</v>
      </c>
      <c r="AA94" s="17">
        <v>5.3476063829787233</v>
      </c>
      <c r="AB94" s="17">
        <v>6.1733793103448269</v>
      </c>
      <c r="AC94" s="17">
        <v>7.0221246458923519</v>
      </c>
      <c r="AD94" s="17">
        <v>6.6147894736842101</v>
      </c>
      <c r="AE94" s="17">
        <v>5.2398499999999988</v>
      </c>
      <c r="AF94" s="17">
        <v>4.4979250000000004</v>
      </c>
      <c r="AG94" s="17">
        <v>4.5009499999999996</v>
      </c>
      <c r="AH94" s="17">
        <v>4.1635388739946384</v>
      </c>
      <c r="AI94" s="17">
        <v>5.3016129032258066</v>
      </c>
      <c r="AJ94" s="17">
        <v>6.5890566037735843</v>
      </c>
      <c r="AK94" s="17">
        <v>5.5599697885196377</v>
      </c>
      <c r="AL94" s="17">
        <v>5.6828358208955221</v>
      </c>
      <c r="AM94" s="17">
        <v>5.6345098039215689</v>
      </c>
      <c r="AN94" s="17">
        <v>8.5770142180094791</v>
      </c>
      <c r="AO94" s="17">
        <f>'[1]Soy Complex'!AX$67</f>
        <v>0</v>
      </c>
      <c r="AP94" s="17">
        <f>'[1]Soy Complex'!AY$67</f>
        <v>0</v>
      </c>
      <c r="AQ94" s="17">
        <f>'[1]Soy Complex'!AZ$67</f>
        <v>0</v>
      </c>
      <c r="AR94" s="17">
        <f>'[1]Soy Complex'!BA$67</f>
        <v>0</v>
      </c>
      <c r="AS94" s="17">
        <f>'[1]Soy Complex'!BB$67</f>
        <v>0</v>
      </c>
      <c r="AT94" s="17">
        <f>'[1]Soy Complex'!BC$67</f>
        <v>0</v>
      </c>
      <c r="AU94" s="17">
        <f>'[1]Soy Complex'!BD$67</f>
        <v>0</v>
      </c>
      <c r="AV94" s="17">
        <f>'[1]Soy Complex'!BE$67</f>
        <v>0</v>
      </c>
      <c r="AW94" s="17">
        <f>'[1]Soy Complex'!BF$67</f>
        <v>0</v>
      </c>
      <c r="AX94" s="17">
        <f>'[1]Soy Complex'!BG$67</f>
        <v>0</v>
      </c>
      <c r="AY94" s="17">
        <f>'[1]Soy Complex'!BH$67</f>
        <v>0</v>
      </c>
      <c r="AZ94" s="17">
        <f>'[1]Soy Complex'!BI$67</f>
        <v>0</v>
      </c>
      <c r="BA94" s="17">
        <f>'[1]Soy Complex'!BJ$67</f>
        <v>0</v>
      </c>
      <c r="BB94" s="17">
        <f>'[1]Soy Complex'!BK$67</f>
        <v>0</v>
      </c>
    </row>
    <row r="95" spans="1:54" x14ac:dyDescent="0.2">
      <c r="A95" s="18" t="s">
        <v>75</v>
      </c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</row>
    <row r="96" spans="1:54" x14ac:dyDescent="0.2">
      <c r="A96" t="s">
        <v>6</v>
      </c>
      <c r="B96" s="11"/>
      <c r="C96" s="11"/>
      <c r="D96" s="11"/>
      <c r="E96" s="11"/>
      <c r="F96" s="11"/>
      <c r="G96" s="11"/>
      <c r="H96" s="11">
        <v>0</v>
      </c>
      <c r="I96" s="11">
        <v>0</v>
      </c>
      <c r="J96" s="11">
        <v>0</v>
      </c>
      <c r="K96" s="11">
        <v>0</v>
      </c>
      <c r="L96" s="11">
        <v>2E-3</v>
      </c>
      <c r="M96" s="11">
        <v>0.14699999999999999</v>
      </c>
      <c r="N96" s="11">
        <v>5.8999999999999997E-2</v>
      </c>
      <c r="O96" s="11">
        <v>1.4500000000000001E-2</v>
      </c>
      <c r="P96" s="11">
        <v>1.2E-2</v>
      </c>
      <c r="Q96" s="11">
        <v>0.14399999999999999</v>
      </c>
      <c r="R96" s="11">
        <v>0.10100000000000001</v>
      </c>
      <c r="S96" s="11">
        <v>1.4999999999999999E-2</v>
      </c>
      <c r="T96" s="11">
        <v>0.79</v>
      </c>
      <c r="U96" s="11">
        <v>0.59699999999999998</v>
      </c>
      <c r="V96" s="11">
        <v>0.439</v>
      </c>
      <c r="W96" s="11">
        <v>0.28199999999999997</v>
      </c>
      <c r="X96" s="11">
        <v>0.441</v>
      </c>
      <c r="Y96" s="11">
        <v>1.0014458691299999</v>
      </c>
      <c r="Z96" s="11">
        <v>1.2498700248299999</v>
      </c>
      <c r="AA96" s="11">
        <v>1.19346844533</v>
      </c>
      <c r="AB96" s="11">
        <v>1.6919702232299998</v>
      </c>
      <c r="AC96" s="11">
        <v>0.44767789205999997</v>
      </c>
      <c r="AD96" s="11">
        <v>0.83781147554999991</v>
      </c>
      <c r="AE96" s="11">
        <v>0.82900768502999989</v>
      </c>
      <c r="AF96" s="11">
        <v>0.86967193781999996</v>
      </c>
      <c r="AG96" s="11">
        <v>0.80002058009999999</v>
      </c>
      <c r="AH96" s="11">
        <v>0.63756198491999994</v>
      </c>
      <c r="AI96" s="11">
        <v>1.09494756252</v>
      </c>
      <c r="AJ96" s="11">
        <v>1.38313942473</v>
      </c>
      <c r="AK96" s="11">
        <v>1.3773155482799999</v>
      </c>
      <c r="AL96" s="11">
        <v>0.77773920042</v>
      </c>
      <c r="AM96" s="11">
        <v>1.9104151940999998</v>
      </c>
      <c r="AN96" s="11">
        <v>3.72677753931</v>
      </c>
      <c r="AO96" s="11">
        <f>'[1]Soy Complex'!AX$70</f>
        <v>2280.0279999999998</v>
      </c>
      <c r="AP96" s="11">
        <f>'[1]Soy Complex'!AY$70</f>
        <v>2344.1610000000001</v>
      </c>
      <c r="AQ96" s="11">
        <f>'[1]Soy Complex'!AZ$70</f>
        <v>2282.9579999999996</v>
      </c>
      <c r="AR96" s="11">
        <f>'[1]Soy Complex'!BA$70</f>
        <v>2373.029</v>
      </c>
      <c r="AS96" s="11">
        <f>'[1]Soy Complex'!BB$70</f>
        <v>1970.8790000000001</v>
      </c>
      <c r="AT96" s="11">
        <f>'[1]Soy Complex'!BC$70</f>
        <v>2162.0350000000003</v>
      </c>
      <c r="AU96" s="11">
        <f>'[1]Soy Complex'!BD$70</f>
        <v>2536.4430000000002</v>
      </c>
      <c r="AV96" s="11">
        <f>'[1]Soy Complex'!BE$70</f>
        <v>2720.3266808164813</v>
      </c>
      <c r="AW96" s="11">
        <f>'[1]Soy Complex'!BF$70</f>
        <v>2905.7209918956019</v>
      </c>
      <c r="AX96" s="11">
        <f>'[1]Soy Complex'!BG$70</f>
        <v>3165.679145952065</v>
      </c>
      <c r="AY96" s="11">
        <f>'[1]Soy Complex'!BH$70</f>
        <v>3749.44</v>
      </c>
      <c r="AZ96" s="11">
        <f>'[1]Soy Complex'!BI$70</f>
        <v>3256.538</v>
      </c>
      <c r="BA96" s="11">
        <f>'[1]Soy Complex'!BJ$70</f>
        <v>2949.1739688266598</v>
      </c>
      <c r="BB96" s="11">
        <f>'[1]Soy Complex'!BK$70</f>
        <v>3140.1850357112698</v>
      </c>
    </row>
    <row r="97" spans="1:54" x14ac:dyDescent="0.2">
      <c r="A97" t="s">
        <v>7</v>
      </c>
      <c r="B97" s="11"/>
      <c r="C97" s="11"/>
      <c r="D97" s="11"/>
      <c r="E97" s="11"/>
      <c r="F97" s="11"/>
      <c r="G97" s="11"/>
      <c r="H97" s="11">
        <f>H86+H96</f>
        <v>1385.4</v>
      </c>
      <c r="I97" s="11">
        <f t="shared" ref="I97:BB97" si="7">I86+I96</f>
        <v>1163.6289999999999</v>
      </c>
      <c r="J97" s="11">
        <f t="shared" si="7"/>
        <v>1472.3</v>
      </c>
      <c r="K97" s="11">
        <f t="shared" si="7"/>
        <v>1559.181</v>
      </c>
      <c r="L97" s="11">
        <f t="shared" si="7"/>
        <v>1941.5039999999999</v>
      </c>
      <c r="M97" s="11">
        <f t="shared" si="7"/>
        <v>1696.018</v>
      </c>
      <c r="N97" s="11">
        <f t="shared" si="7"/>
        <v>1782.229</v>
      </c>
      <c r="O97" s="11">
        <f t="shared" si="7"/>
        <v>1950.8755000000001</v>
      </c>
      <c r="P97" s="11">
        <f t="shared" si="7"/>
        <v>1471.741</v>
      </c>
      <c r="Q97" s="11">
        <f t="shared" si="7"/>
        <v>1614.8589999999999</v>
      </c>
      <c r="R97" s="11">
        <f t="shared" si="7"/>
        <v>1959.9180000000001</v>
      </c>
      <c r="S97" s="11">
        <f t="shared" si="7"/>
        <v>1956.652</v>
      </c>
      <c r="T97" s="11">
        <f t="shared" si="7"/>
        <v>1759.0709999999999</v>
      </c>
      <c r="U97" s="11">
        <f t="shared" si="7"/>
        <v>1367.4090000000001</v>
      </c>
      <c r="V97" s="11">
        <f t="shared" si="7"/>
        <v>1611.1550000000002</v>
      </c>
      <c r="W97" s="11">
        <f t="shared" si="7"/>
        <v>1684.2449999999999</v>
      </c>
      <c r="X97" s="11">
        <f t="shared" si="7"/>
        <v>1773.173</v>
      </c>
      <c r="Y97" s="11">
        <f t="shared" si="7"/>
        <v>1836.98644586913</v>
      </c>
      <c r="Z97" s="11">
        <f t="shared" si="7"/>
        <v>1574.8698700248299</v>
      </c>
      <c r="AA97" s="11">
        <f t="shared" si="7"/>
        <v>2103.1494684453301</v>
      </c>
      <c r="AB97" s="11">
        <f t="shared" si="7"/>
        <v>1835.1209702232302</v>
      </c>
      <c r="AC97" s="11">
        <f t="shared" si="7"/>
        <v>1825.5316778920601</v>
      </c>
      <c r="AD97" s="11">
        <f t="shared" si="7"/>
        <v>2000.25481147555</v>
      </c>
      <c r="AE97" s="11">
        <f t="shared" si="7"/>
        <v>2187.2690076850299</v>
      </c>
      <c r="AF97" s="11">
        <f t="shared" si="7"/>
        <v>2183.5356719378201</v>
      </c>
      <c r="AG97" s="11">
        <f t="shared" si="7"/>
        <v>2240.7910205800999</v>
      </c>
      <c r="AH97" s="11">
        <f t="shared" si="7"/>
        <v>2276.25556198492</v>
      </c>
      <c r="AI97" s="11">
        <f t="shared" si="7"/>
        <v>2116.4679475625198</v>
      </c>
      <c r="AJ97" s="11">
        <f t="shared" si="7"/>
        <v>1690.03613942473</v>
      </c>
      <c r="AK97" s="11">
        <f t="shared" si="7"/>
        <v>2306.0173155482798</v>
      </c>
      <c r="AL97" s="11">
        <f t="shared" si="7"/>
        <v>2502.2037392004199</v>
      </c>
      <c r="AM97" s="11">
        <f t="shared" si="7"/>
        <v>2703.2764151941001</v>
      </c>
      <c r="AN97" s="11">
        <f t="shared" si="7"/>
        <v>2364.0867775393103</v>
      </c>
      <c r="AO97" s="11">
        <f t="shared" si="7"/>
        <v>2280.550538137813</v>
      </c>
      <c r="AP97" s="11">
        <f t="shared" si="7"/>
        <v>2344.6867531376279</v>
      </c>
      <c r="AQ97" s="11">
        <f t="shared" si="7"/>
        <v>2283.436911225398</v>
      </c>
      <c r="AR97" s="11">
        <f t="shared" si="7"/>
        <v>2373.5096140382338</v>
      </c>
      <c r="AS97" s="11">
        <f t="shared" si="7"/>
        <v>1971.3418308668518</v>
      </c>
      <c r="AT97" s="11">
        <f t="shared" si="7"/>
        <v>2162.4784392123779</v>
      </c>
      <c r="AU97" s="11">
        <f t="shared" si="7"/>
        <v>2536.9248525926678</v>
      </c>
      <c r="AV97" s="11">
        <f t="shared" si="7"/>
        <v>2720.8087968360342</v>
      </c>
      <c r="AW97" s="11">
        <f t="shared" si="7"/>
        <v>2906.1814866221612</v>
      </c>
      <c r="AX97" s="11">
        <f t="shared" si="7"/>
        <v>3166.1489817057118</v>
      </c>
      <c r="AY97" s="11">
        <f t="shared" si="7"/>
        <v>3749.9565752582075</v>
      </c>
      <c r="AZ97" s="11">
        <f t="shared" si="7"/>
        <v>3257.005180816655</v>
      </c>
      <c r="BA97" s="11">
        <f t="shared" si="7"/>
        <v>2949.6180188616136</v>
      </c>
      <c r="BB97" s="11">
        <f t="shared" si="7"/>
        <v>3140.670286262517</v>
      </c>
    </row>
    <row r="98" spans="1:54" x14ac:dyDescent="0.2">
      <c r="A98" t="s">
        <v>8</v>
      </c>
      <c r="B98" s="11">
        <v>184.90099999999998</v>
      </c>
      <c r="C98" s="11">
        <v>195.85</v>
      </c>
      <c r="D98" s="11">
        <v>188.04900000000001</v>
      </c>
      <c r="E98" s="11">
        <v>204.63200000000001</v>
      </c>
      <c r="F98" s="11">
        <v>217.94500000000002</v>
      </c>
      <c r="G98" s="11">
        <v>177.47399999999999</v>
      </c>
      <c r="H98" s="11">
        <v>221.99299999999999</v>
      </c>
      <c r="I98" s="11">
        <v>216.464</v>
      </c>
      <c r="J98" s="11">
        <v>247.28666666666666</v>
      </c>
      <c r="K98" s="11">
        <v>268.45333333333332</v>
      </c>
      <c r="L98" s="11">
        <v>311.03666666666663</v>
      </c>
      <c r="M98" s="11">
        <v>265.88666666666666</v>
      </c>
      <c r="N98" s="11">
        <v>284.11666666666667</v>
      </c>
      <c r="O98" s="11">
        <v>314.85333333333335</v>
      </c>
      <c r="P98" s="11">
        <v>262.47666666666669</v>
      </c>
      <c r="Q98" s="11">
        <v>276.39666666666665</v>
      </c>
      <c r="R98" s="11">
        <v>281.87333333333333</v>
      </c>
      <c r="S98" s="11">
        <v>320.16666666666669</v>
      </c>
      <c r="T98" s="11">
        <v>317.34666666666669</v>
      </c>
      <c r="U98" s="11">
        <v>286.29666666666668</v>
      </c>
      <c r="V98" s="11">
        <v>304.36</v>
      </c>
      <c r="W98" s="11">
        <v>299.2901333333333</v>
      </c>
      <c r="X98" s="11">
        <v>324.61166666666668</v>
      </c>
      <c r="Y98" s="11">
        <v>335.2</v>
      </c>
      <c r="Z98" s="11">
        <v>328.14666666666665</v>
      </c>
      <c r="AA98" s="11">
        <v>372.32333333333332</v>
      </c>
      <c r="AB98" s="11">
        <v>359.09</v>
      </c>
      <c r="AC98" s="11">
        <v>400.5333333333333</v>
      </c>
      <c r="AD98" s="11">
        <v>443.07666666666671</v>
      </c>
      <c r="AE98" s="11">
        <v>408.63</v>
      </c>
      <c r="AF98" s="11">
        <v>407.64666666666665</v>
      </c>
      <c r="AG98" s="11">
        <v>417.93666666666667</v>
      </c>
      <c r="AH98" s="11">
        <v>447.59666666666669</v>
      </c>
      <c r="AI98" s="11">
        <v>422.03</v>
      </c>
      <c r="AJ98" s="11">
        <v>423.11666666666667</v>
      </c>
      <c r="AK98" s="11">
        <v>436.18666666666672</v>
      </c>
      <c r="AL98" s="11">
        <v>437.15666666666664</v>
      </c>
      <c r="AM98" s="11">
        <v>449.817453</v>
      </c>
      <c r="AN98" s="11">
        <v>471.03592666666668</v>
      </c>
      <c r="AO98" s="11">
        <f>'[1]Soy Complex'!AX$73</f>
        <v>482.87527018920008</v>
      </c>
      <c r="AP98" s="11">
        <f>'[1]Soy Complex'!AY$73</f>
        <v>622.28715116189994</v>
      </c>
      <c r="AQ98" s="11">
        <f>'[1]Soy Complex'!AZ$73</f>
        <v>550.53500913810001</v>
      </c>
      <c r="AR98" s="11">
        <f>'[1]Soy Complex'!BA$73</f>
        <v>479.45793078500697</v>
      </c>
      <c r="AS98" s="11">
        <f>'[1]Soy Complex'!BB$73</f>
        <v>522.18690794231998</v>
      </c>
      <c r="AT98" s="11">
        <f>'[1]Soy Complex'!BC$73</f>
        <v>712.22904658936204</v>
      </c>
      <c r="AU98" s="11">
        <f>'[1]Soy Complex'!BD$73</f>
        <v>725.40655222957105</v>
      </c>
      <c r="AV98" s="11">
        <f>'[1]Soy Complex'!BE$73</f>
        <v>680.67420759015522</v>
      </c>
      <c r="AW98" s="11">
        <f>'[1]Soy Complex'!BF$73</f>
        <v>715.95024371790907</v>
      </c>
      <c r="AX98" s="11">
        <f>'[1]Soy Complex'!BG$73</f>
        <v>598.49668918127782</v>
      </c>
      <c r="AY98" s="11">
        <f>'[1]Soy Complex'!BH$73</f>
        <v>490.14703164110978</v>
      </c>
      <c r="AZ98" s="11">
        <f>'[1]Soy Complex'!BI$73</f>
        <v>506.60356778482139</v>
      </c>
      <c r="BA98" s="11">
        <f>'[1]Soy Complex'!BJ$73</f>
        <v>883.55008295073867</v>
      </c>
      <c r="BB98" s="11">
        <f>'[1]Soy Complex'!BK$73</f>
        <v>673.56993653017105</v>
      </c>
    </row>
    <row r="99" spans="1:54" x14ac:dyDescent="0.2">
      <c r="A99" t="s">
        <v>9</v>
      </c>
      <c r="B99" s="11">
        <v>100.16300000000001</v>
      </c>
      <c r="C99" s="11">
        <v>114.996</v>
      </c>
      <c r="D99" s="11">
        <v>128.18200000000002</v>
      </c>
      <c r="E99" s="11">
        <v>151.505</v>
      </c>
      <c r="F99" s="11">
        <v>162.77199999999999</v>
      </c>
      <c r="G99" s="11">
        <v>124.67</v>
      </c>
      <c r="H99" s="11">
        <v>153.58999999999997</v>
      </c>
      <c r="I99" s="11">
        <v>167.55099999999999</v>
      </c>
      <c r="J99" s="11">
        <v>164.084</v>
      </c>
      <c r="K99" s="11">
        <v>200.73099999999999</v>
      </c>
      <c r="L99" s="11">
        <v>237.07300000000004</v>
      </c>
      <c r="M99" s="11">
        <v>201.67099999999999</v>
      </c>
      <c r="N99" s="11">
        <v>247.31100000000004</v>
      </c>
      <c r="O99" s="11">
        <v>263.61399999999998</v>
      </c>
      <c r="P99" s="11">
        <v>234.58399999999997</v>
      </c>
      <c r="Q99" s="11">
        <v>227.684</v>
      </c>
      <c r="R99" s="11">
        <v>270.93799999999999</v>
      </c>
      <c r="S99" s="11">
        <v>234.44200000000001</v>
      </c>
      <c r="T99" s="11">
        <v>258.90100000000001</v>
      </c>
      <c r="U99" s="11">
        <v>191.65800000000002</v>
      </c>
      <c r="V99" s="11">
        <v>216.91199999999998</v>
      </c>
      <c r="W99" s="11">
        <v>180.286</v>
      </c>
      <c r="X99" s="11">
        <v>258.81642046343995</v>
      </c>
      <c r="Y99" s="11">
        <v>266.28056507639997</v>
      </c>
      <c r="Z99" s="11">
        <v>209.10968272950001</v>
      </c>
      <c r="AA99" s="11">
        <v>284.36368308179999</v>
      </c>
      <c r="AB99" s="11">
        <v>278.90257718189997</v>
      </c>
      <c r="AC99" s="11">
        <v>333.80541790259997</v>
      </c>
      <c r="AD99" s="11">
        <v>307.07941003949998</v>
      </c>
      <c r="AE99" s="11">
        <v>241.53397707599999</v>
      </c>
      <c r="AF99" s="11">
        <v>316.03127767049995</v>
      </c>
      <c r="AG99" s="11">
        <v>336.29109246389999</v>
      </c>
      <c r="AH99" s="11">
        <v>422.44930020300001</v>
      </c>
      <c r="AI99" s="11">
        <v>425.47132255319997</v>
      </c>
      <c r="AJ99" s="11">
        <v>333.88559265599997</v>
      </c>
      <c r="AK99" s="11">
        <v>410.68418792519992</v>
      </c>
      <c r="AL99" s="11">
        <v>305.21962766399997</v>
      </c>
      <c r="AM99" s="11">
        <v>396.31736448149996</v>
      </c>
      <c r="AN99" s="11">
        <v>431.2893200112</v>
      </c>
      <c r="AO99" s="11">
        <f>'[1]Soy Complex'!AX$74</f>
        <v>0</v>
      </c>
      <c r="AP99" s="11">
        <f>'[1]Soy Complex'!AY$74</f>
        <v>0</v>
      </c>
      <c r="AQ99" s="11">
        <f>'[1]Soy Complex'!AZ$74</f>
        <v>0</v>
      </c>
      <c r="AR99" s="11">
        <f>'[1]Soy Complex'!BA$74</f>
        <v>0</v>
      </c>
      <c r="AS99" s="11">
        <f>'[1]Soy Complex'!BB$74</f>
        <v>0</v>
      </c>
      <c r="AT99" s="11">
        <f>'[1]Soy Complex'!BC$74</f>
        <v>0</v>
      </c>
      <c r="AU99" s="11">
        <f>'[1]Soy Complex'!BD$74</f>
        <v>0</v>
      </c>
      <c r="AV99" s="11">
        <f>'[1]Soy Complex'!BE$74</f>
        <v>0</v>
      </c>
      <c r="AW99" s="11">
        <f>'[1]Soy Complex'!BF$74</f>
        <v>0</v>
      </c>
      <c r="AX99" s="11">
        <f>'[1]Soy Complex'!BG$74</f>
        <v>0</v>
      </c>
      <c r="AY99" s="11">
        <f>'[1]Soy Complex'!BH$74</f>
        <v>0</v>
      </c>
      <c r="AZ99" s="11">
        <f>'[1]Soy Complex'!BI$74</f>
        <v>0</v>
      </c>
      <c r="BA99" s="11">
        <f>'[1]Soy Complex'!BJ$74</f>
        <v>0</v>
      </c>
      <c r="BB99" s="11">
        <f>'[1]Soy Complex'!BK$74</f>
        <v>0</v>
      </c>
    </row>
    <row r="100" spans="1:54" x14ac:dyDescent="0.2">
      <c r="A100" t="s">
        <v>10</v>
      </c>
      <c r="B100" s="11" t="s">
        <v>76</v>
      </c>
      <c r="C100" s="11"/>
      <c r="D100" s="11"/>
      <c r="E100" s="11"/>
      <c r="F100" s="11"/>
      <c r="G100" s="11"/>
      <c r="H100" s="11">
        <f>'[1]Soy Complex'!Q$75</f>
        <v>0</v>
      </c>
      <c r="I100" s="11">
        <f>'[1]Soy Complex'!R$75</f>
        <v>0</v>
      </c>
      <c r="J100" s="11">
        <f>'[1]Soy Complex'!S$75</f>
        <v>0</v>
      </c>
      <c r="K100" s="11">
        <f>'[1]Soy Complex'!T$75</f>
        <v>0</v>
      </c>
      <c r="L100" s="11">
        <f>'[1]Soy Complex'!U$75</f>
        <v>0</v>
      </c>
      <c r="M100" s="11">
        <f>'[1]Soy Complex'!V$75</f>
        <v>0</v>
      </c>
      <c r="N100" s="11">
        <f>'[1]Soy Complex'!W$75</f>
        <v>0</v>
      </c>
      <c r="O100" s="11">
        <f>'[1]Soy Complex'!X$75</f>
        <v>0</v>
      </c>
      <c r="P100" s="11">
        <f>'[1]Soy Complex'!Y$75</f>
        <v>0</v>
      </c>
      <c r="Q100" s="11">
        <f>'[1]Soy Complex'!Z$75</f>
        <v>0</v>
      </c>
      <c r="R100" s="11">
        <f>'[1]Soy Complex'!AA$75</f>
        <v>0</v>
      </c>
      <c r="S100" s="11">
        <f>'[1]Soy Complex'!AB$75</f>
        <v>0</v>
      </c>
      <c r="T100" s="11">
        <f>'[1]Soy Complex'!AC$75</f>
        <v>0</v>
      </c>
      <c r="U100" s="11">
        <f>'[1]Soy Complex'!AD$75</f>
        <v>0</v>
      </c>
      <c r="V100" s="11">
        <f>'[1]Soy Complex'!AE$75</f>
        <v>0</v>
      </c>
      <c r="W100" s="11">
        <f>'[1]Soy Complex'!AF$75</f>
        <v>0</v>
      </c>
      <c r="X100" s="11">
        <f>'[1]Soy Complex'!AG$75</f>
        <v>0</v>
      </c>
      <c r="Y100" s="11">
        <f>'[1]Soy Complex'!AH$75</f>
        <v>0</v>
      </c>
      <c r="Z100" s="11">
        <f>'[1]Soy Complex'!AI$75</f>
        <v>0</v>
      </c>
      <c r="AA100" s="11">
        <f>'[1]Soy Complex'!AJ$75</f>
        <v>76.263983584866992</v>
      </c>
      <c r="AB100" s="11">
        <f>'[1]Soy Complex'!AK$75</f>
        <v>6.7734228181001299</v>
      </c>
      <c r="AC100" s="11">
        <f>'[1]Soy Complex'!AL$75</f>
        <v>35.43824876406677</v>
      </c>
      <c r="AD100" s="11">
        <f>'[1]Soy Complex'!AM$75</f>
        <v>47.177923293833146</v>
      </c>
      <c r="AE100" s="11">
        <f>'[1]Soy Complex'!AN$75</f>
        <v>79.768022923999979</v>
      </c>
      <c r="AF100" s="11">
        <f>'[1]Soy Complex'!AO$75</f>
        <v>63.873055662833622</v>
      </c>
      <c r="AG100" s="11">
        <f>'[1]Soy Complex'!AP$75</f>
        <v>82.656240869433304</v>
      </c>
      <c r="AH100" s="11">
        <f>'[1]Soy Complex'!AQ$75</f>
        <v>70.224033130333282</v>
      </c>
      <c r="AI100" s="11">
        <f>'[1]Soy Complex'!AR$75</f>
        <v>66.938677446799829</v>
      </c>
      <c r="AJ100" s="11">
        <f>'[1]Soy Complex'!AS$75</f>
        <v>27.187740677333409</v>
      </c>
      <c r="AK100" s="11">
        <f>'[1]Soy Complex'!AT$75</f>
        <v>77.78314540813335</v>
      </c>
      <c r="AL100" s="11">
        <f>'[1]Soy Complex'!AU$75</f>
        <v>90.620705669333461</v>
      </c>
      <c r="AM100" s="11">
        <f>'[1]Soy Complex'!AV$75</f>
        <v>70.255182518500078</v>
      </c>
      <c r="AN100" s="11">
        <f>'[1]Soy Complex'!AW$75</f>
        <v>27.780753322133478</v>
      </c>
      <c r="AO100" s="11">
        <f>'[1]Soy Complex'!AX$75</f>
        <v>73.436429810799837</v>
      </c>
      <c r="AP100" s="11">
        <f>'[1]Soy Complex'!AY$75</f>
        <v>-42.401457828566663</v>
      </c>
      <c r="AQ100" s="11">
        <f>'[1]Soy Complex'!AZ$75</f>
        <v>52.694662528566369</v>
      </c>
      <c r="AR100" s="11">
        <f>'[1]Soy Complex'!BA$75</f>
        <v>73.893203722138537</v>
      </c>
      <c r="AS100" s="11">
        <f>'[1]Soy Complex'!BB$75</f>
        <v>-25.831430779016955</v>
      </c>
      <c r="AT100" s="11">
        <f>'[1]Soy Complex'!BC$75</f>
        <v>-30.365165916759906</v>
      </c>
      <c r="AU100" s="11">
        <f>'[1]Soy Complex'!BD$75</f>
        <v>-13.2317670580303</v>
      </c>
      <c r="AV100" s="11">
        <f>'[1]Soy Complex'!BE$75</f>
        <v>26.612106559659424</v>
      </c>
      <c r="AW100" s="11">
        <f>'[1]Soy Complex'!BF$75</f>
        <v>-40.946751822307306</v>
      </c>
      <c r="AX100" s="11">
        <f>'[1]Soy Complex'!BG$75</f>
        <v>-58.081009895879333</v>
      </c>
      <c r="AY100" s="11">
        <f>'[1]Soy Complex'!BH$75</f>
        <v>2.5964016922234805</v>
      </c>
      <c r="AZ100" s="11">
        <f>'[1]Soy Complex'!BI$75</f>
        <v>-53.762701118154837</v>
      </c>
      <c r="BA100" s="11">
        <f>'[1]Soy Complex'!BJ$75</f>
        <v>-50.063180790745491</v>
      </c>
      <c r="BB100" s="11">
        <f>'[1]Soy Complex'!BK$75</f>
        <v>-32.156867485568</v>
      </c>
    </row>
    <row r="101" spans="1:54" x14ac:dyDescent="0.2">
      <c r="A101" t="s">
        <v>11</v>
      </c>
      <c r="B101" s="11">
        <v>10</v>
      </c>
      <c r="C101" s="11">
        <v>10</v>
      </c>
      <c r="D101" s="11">
        <v>10</v>
      </c>
      <c r="E101" s="11">
        <v>10</v>
      </c>
      <c r="F101" s="11">
        <v>10</v>
      </c>
      <c r="G101" s="11">
        <v>10</v>
      </c>
      <c r="H101" s="11">
        <v>8.2170000000000982</v>
      </c>
      <c r="I101" s="11">
        <v>19.593999999999937</v>
      </c>
      <c r="J101" s="11">
        <v>37.487333333333254</v>
      </c>
      <c r="K101" s="11">
        <v>25.138666666666779</v>
      </c>
      <c r="L101" s="11">
        <v>24.845333333333201</v>
      </c>
      <c r="M101" s="11">
        <v>10.343333333333419</v>
      </c>
      <c r="N101" s="11">
        <v>40.218333333333248</v>
      </c>
      <c r="O101" s="11">
        <v>26.607166666666899</v>
      </c>
      <c r="P101" s="11">
        <v>18.923333333333403</v>
      </c>
      <c r="Q101" s="11">
        <v>49.720333333333315</v>
      </c>
      <c r="R101" s="11">
        <v>35.806666666666843</v>
      </c>
      <c r="S101" s="11">
        <v>63.08533333333321</v>
      </c>
      <c r="T101" s="11">
        <v>35.103333333333239</v>
      </c>
      <c r="U101" s="11">
        <v>-0.79166666666657193</v>
      </c>
      <c r="V101" s="11">
        <v>34.378000000000156</v>
      </c>
      <c r="W101" s="11">
        <v>14.549866666666674</v>
      </c>
      <c r="X101" s="11">
        <v>12.401912869893295</v>
      </c>
      <c r="Y101" s="11">
        <v>19.93888079273006</v>
      </c>
      <c r="Z101" s="11">
        <v>15.996520628663234</v>
      </c>
      <c r="AA101" s="11">
        <v>76.264452030196708</v>
      </c>
      <c r="AB101" s="11">
        <v>6.7723930413302469</v>
      </c>
      <c r="AC101" s="11">
        <v>35.43892665612691</v>
      </c>
      <c r="AD101" s="11">
        <v>47.176734769383302</v>
      </c>
      <c r="AE101" s="11">
        <v>79.767030609029916</v>
      </c>
      <c r="AF101" s="11">
        <v>63.871727600653458</v>
      </c>
      <c r="AG101" s="11">
        <v>82.655261449533327</v>
      </c>
      <c r="AH101" s="11">
        <v>70.222595115253171</v>
      </c>
      <c r="AI101" s="11">
        <v>66.938625009319821</v>
      </c>
      <c r="AJ101" s="11">
        <v>27.186880102063355</v>
      </c>
      <c r="AK101" s="11">
        <v>77.782460956413161</v>
      </c>
      <c r="AL101" s="11">
        <v>90.621444869753418</v>
      </c>
      <c r="AM101" s="11">
        <v>70.254597712600116</v>
      </c>
      <c r="AN101" s="11">
        <v>27.779530861443618</v>
      </c>
      <c r="AO101" s="11">
        <f>AO102-AO100-AO99-AO98</f>
        <v>1722.9080907437713</v>
      </c>
      <c r="AP101" s="11">
        <f t="shared" ref="AP101:BB101" si="8">AP102-AP100-AP99-AP98</f>
        <v>1763.6186035365413</v>
      </c>
      <c r="AQ101" s="11">
        <f t="shared" si="8"/>
        <v>1678.9996871344406</v>
      </c>
      <c r="AR101" s="11">
        <f t="shared" si="8"/>
        <v>1818.781983222975</v>
      </c>
      <c r="AS101" s="11">
        <f t="shared" si="8"/>
        <v>1473.9604907573253</v>
      </c>
      <c r="AT101" s="11">
        <f t="shared" si="8"/>
        <v>1479.7638291741755</v>
      </c>
      <c r="AU101" s="11">
        <f t="shared" si="8"/>
        <v>1823.6535632437294</v>
      </c>
      <c r="AV101" s="11">
        <f t="shared" si="8"/>
        <v>2012.2353804652048</v>
      </c>
      <c r="AW101" s="11">
        <f t="shared" si="8"/>
        <v>2229.6876357135438</v>
      </c>
      <c r="AX101" s="11">
        <f t="shared" si="8"/>
        <v>2623.7365676321583</v>
      </c>
      <c r="AY101" s="11">
        <f t="shared" si="8"/>
        <v>3254.5457452557594</v>
      </c>
      <c r="AZ101" s="11">
        <f t="shared" si="8"/>
        <v>2801.9131600611595</v>
      </c>
      <c r="BA101" s="11">
        <f t="shared" si="8"/>
        <v>2115.0055705462696</v>
      </c>
      <c r="BB101" s="11">
        <f t="shared" si="8"/>
        <v>2497.6585180278421</v>
      </c>
    </row>
    <row r="102" spans="1:54" x14ac:dyDescent="0.2">
      <c r="A102" t="s">
        <v>12</v>
      </c>
      <c r="B102" s="11">
        <v>295.06399999999996</v>
      </c>
      <c r="C102" s="11">
        <v>320.846</v>
      </c>
      <c r="D102" s="11">
        <v>326.23099999999999</v>
      </c>
      <c r="E102" s="11">
        <v>366.137</v>
      </c>
      <c r="F102" s="11">
        <v>390.71699999999998</v>
      </c>
      <c r="G102" s="11">
        <v>312.14400000000001</v>
      </c>
      <c r="H102" s="11">
        <v>383.80000000000007</v>
      </c>
      <c r="I102" s="11">
        <v>403.60899999999992</v>
      </c>
      <c r="J102" s="11">
        <v>448.85799999999995</v>
      </c>
      <c r="K102" s="11">
        <v>494.32300000000009</v>
      </c>
      <c r="L102" s="11">
        <v>572.95499999999993</v>
      </c>
      <c r="M102" s="11">
        <v>477.90100000000007</v>
      </c>
      <c r="N102" s="11">
        <v>571.64599999999996</v>
      </c>
      <c r="O102" s="11">
        <v>605.07450000000017</v>
      </c>
      <c r="P102" s="11">
        <v>515.98400000000004</v>
      </c>
      <c r="Q102" s="11">
        <v>553.80099999999993</v>
      </c>
      <c r="R102" s="11">
        <v>588.61800000000017</v>
      </c>
      <c r="S102" s="11">
        <v>617.69399999999996</v>
      </c>
      <c r="T102" s="11">
        <v>611.35099999999989</v>
      </c>
      <c r="U102" s="11">
        <v>477.16300000000012</v>
      </c>
      <c r="V102" s="11">
        <v>555.65000000000009</v>
      </c>
      <c r="W102" s="11">
        <v>494.12599999999998</v>
      </c>
      <c r="X102" s="11">
        <v>595.82999999999993</v>
      </c>
      <c r="Y102" s="11">
        <v>621.41944586912996</v>
      </c>
      <c r="Z102" s="11">
        <v>553.25287002482992</v>
      </c>
      <c r="AA102" s="11">
        <v>732.95146844532997</v>
      </c>
      <c r="AB102" s="11">
        <v>644.76497022323019</v>
      </c>
      <c r="AC102" s="11">
        <v>769.77767789206018</v>
      </c>
      <c r="AD102" s="11">
        <v>797.33281147554999</v>
      </c>
      <c r="AE102" s="11">
        <v>729.93100768502995</v>
      </c>
      <c r="AF102" s="11">
        <v>787.54967193781999</v>
      </c>
      <c r="AG102" s="11">
        <v>836.88302058010004</v>
      </c>
      <c r="AH102" s="11">
        <v>940.26856198491987</v>
      </c>
      <c r="AI102" s="11">
        <v>914.43994756251982</v>
      </c>
      <c r="AJ102" s="11">
        <v>784.18913942473</v>
      </c>
      <c r="AK102" s="11">
        <v>924.65331554827981</v>
      </c>
      <c r="AL102" s="11">
        <v>832.99773920042003</v>
      </c>
      <c r="AM102" s="11">
        <v>916.38941519410014</v>
      </c>
      <c r="AN102" s="11">
        <v>930.10477753931036</v>
      </c>
      <c r="AO102" s="11">
        <f>AO97-AO103</f>
        <v>2279.2197907437712</v>
      </c>
      <c r="AP102" s="11">
        <f t="shared" ref="AP102:BB102" si="9">AP97-AP103</f>
        <v>2343.5042968698745</v>
      </c>
      <c r="AQ102" s="11">
        <f t="shared" si="9"/>
        <v>2282.2293588011071</v>
      </c>
      <c r="AR102" s="11">
        <f t="shared" si="9"/>
        <v>2372.1331177301204</v>
      </c>
      <c r="AS102" s="11">
        <f t="shared" si="9"/>
        <v>1970.3159679206283</v>
      </c>
      <c r="AT102" s="11">
        <f t="shared" si="9"/>
        <v>2161.6277098467776</v>
      </c>
      <c r="AU102" s="11">
        <f t="shared" si="9"/>
        <v>2535.8283484152698</v>
      </c>
      <c r="AV102" s="11">
        <f t="shared" si="9"/>
        <v>2719.5216946150194</v>
      </c>
      <c r="AW102" s="11">
        <f t="shared" si="9"/>
        <v>2904.6911276091455</v>
      </c>
      <c r="AX102" s="11">
        <f t="shared" si="9"/>
        <v>3164.1522469175566</v>
      </c>
      <c r="AY102" s="11">
        <f t="shared" si="9"/>
        <v>3747.2891785890924</v>
      </c>
      <c r="AZ102" s="11">
        <f t="shared" si="9"/>
        <v>3254.7540267278259</v>
      </c>
      <c r="BA102" s="11">
        <f t="shared" si="9"/>
        <v>2948.492472706263</v>
      </c>
      <c r="BB102" s="11">
        <f t="shared" si="9"/>
        <v>3139.0715870724453</v>
      </c>
    </row>
    <row r="103" spans="1:54" x14ac:dyDescent="0.2">
      <c r="A103" t="s">
        <v>77</v>
      </c>
      <c r="B103" s="11">
        <v>868.94399999999985</v>
      </c>
      <c r="C103" s="11">
        <v>725.80699999999979</v>
      </c>
      <c r="D103" s="11">
        <v>664.10800000000017</v>
      </c>
      <c r="E103" s="11">
        <v>651.17699999999991</v>
      </c>
      <c r="F103" s="11">
        <v>906.96400000000006</v>
      </c>
      <c r="G103" s="11">
        <v>775.61699999999996</v>
      </c>
      <c r="H103" s="11">
        <v>1001.6</v>
      </c>
      <c r="I103" s="11">
        <v>760.02</v>
      </c>
      <c r="J103" s="11">
        <v>1023.442</v>
      </c>
      <c r="K103" s="11">
        <v>1064.8579999999999</v>
      </c>
      <c r="L103" s="11">
        <v>1368.549</v>
      </c>
      <c r="M103" s="11">
        <v>1218.117</v>
      </c>
      <c r="N103" s="11">
        <v>1210.5830000000001</v>
      </c>
      <c r="O103" s="11">
        <v>1345.8009999999999</v>
      </c>
      <c r="P103" s="11">
        <v>955.75699999999995</v>
      </c>
      <c r="Q103" s="11">
        <v>1061.058</v>
      </c>
      <c r="R103" s="11">
        <v>1371.3</v>
      </c>
      <c r="S103" s="11">
        <v>1338.9580000000001</v>
      </c>
      <c r="T103" s="11">
        <v>1147.72</v>
      </c>
      <c r="U103" s="11">
        <v>890.24599999999998</v>
      </c>
      <c r="V103" s="11">
        <v>1055.5050000000001</v>
      </c>
      <c r="W103" s="11">
        <v>1190.1189999999999</v>
      </c>
      <c r="X103" s="11">
        <v>1177.3430000000001</v>
      </c>
      <c r="Y103" s="11">
        <v>1215.567</v>
      </c>
      <c r="Z103" s="11">
        <v>1021.617</v>
      </c>
      <c r="AA103" s="11">
        <v>1370.1980000000001</v>
      </c>
      <c r="AB103" s="11">
        <v>1190.356</v>
      </c>
      <c r="AC103" s="11">
        <v>1055.7539999999999</v>
      </c>
      <c r="AD103" s="11">
        <v>1202.922</v>
      </c>
      <c r="AE103" s="11">
        <v>1457.338</v>
      </c>
      <c r="AF103" s="11">
        <v>1395.9860000000001</v>
      </c>
      <c r="AG103" s="11">
        <v>1403.9079999999999</v>
      </c>
      <c r="AH103" s="11">
        <v>1335.9870000000001</v>
      </c>
      <c r="AI103" s="11">
        <v>1202.028</v>
      </c>
      <c r="AJ103" s="11">
        <v>905.84699999999998</v>
      </c>
      <c r="AK103" s="11">
        <v>1381.364</v>
      </c>
      <c r="AL103" s="11">
        <v>1669.2059999999999</v>
      </c>
      <c r="AM103" s="11">
        <v>1786.8869999999999</v>
      </c>
      <c r="AN103" s="11">
        <v>1433.982</v>
      </c>
      <c r="AO103" s="11">
        <f>'[1]Soy Complex'!AX$78</f>
        <v>1.3307473940417427</v>
      </c>
      <c r="AP103" s="11">
        <f>'[1]Soy Complex'!AY$78</f>
        <v>1.1824562677533508</v>
      </c>
      <c r="AQ103" s="11">
        <f>'[1]Soy Complex'!AZ$78</f>
        <v>1.207552424291066</v>
      </c>
      <c r="AR103" s="11">
        <f>'[1]Soy Complex'!BA$78</f>
        <v>1.3764963081135377</v>
      </c>
      <c r="AS103" s="11">
        <f>'[1]Soy Complex'!BB$78</f>
        <v>1.0258629462234505</v>
      </c>
      <c r="AT103" s="11">
        <f>'[1]Soy Complex'!BC$78</f>
        <v>0.85072936560044554</v>
      </c>
      <c r="AU103" s="11">
        <f>'[1]Soy Complex'!BD$78</f>
        <v>1.0965041773980775</v>
      </c>
      <c r="AV103" s="11">
        <f>'[1]Soy Complex'!BE$78</f>
        <v>1.2871022210149441</v>
      </c>
      <c r="AW103" s="11">
        <f>'[1]Soy Complex'!BF$78</f>
        <v>1.4903590130156146</v>
      </c>
      <c r="AX103" s="11">
        <f>'[1]Soy Complex'!BG$78</f>
        <v>1.9967347881553861</v>
      </c>
      <c r="AY103" s="11">
        <f>'[1]Soy Complex'!BH$78</f>
        <v>2.6673966691152229</v>
      </c>
      <c r="AZ103" s="11">
        <f>'[1]Soy Complex'!BI$78</f>
        <v>2.2511540888288994</v>
      </c>
      <c r="BA103" s="11">
        <f>'[1]Soy Complex'!BJ$78</f>
        <v>1.1255461553503328</v>
      </c>
      <c r="BB103" s="11">
        <f>'[1]Soy Complex'!BK$78</f>
        <v>1.5986991900715857</v>
      </c>
    </row>
    <row r="104" spans="1:54" x14ac:dyDescent="0.2">
      <c r="A104" t="s">
        <v>14</v>
      </c>
      <c r="B104" s="15">
        <v>2.9449339804245858</v>
      </c>
      <c r="C104" s="15">
        <v>2.2621662729159775</v>
      </c>
      <c r="D104" s="15">
        <v>2.035698630724855</v>
      </c>
      <c r="E104" s="15">
        <v>1.7785064060720439</v>
      </c>
      <c r="F104" s="15">
        <v>2.3212811318678228</v>
      </c>
      <c r="G104" s="15">
        <v>2.4848050899584804</v>
      </c>
      <c r="H104" s="15">
        <v>2.6096925482021884</v>
      </c>
      <c r="I104" s="15">
        <v>1.8830600903349533</v>
      </c>
      <c r="J104" s="15">
        <v>2.2801019476092663</v>
      </c>
      <c r="K104" s="15">
        <v>2.1541744972416814</v>
      </c>
      <c r="L104" s="15">
        <v>2.388580254993848</v>
      </c>
      <c r="M104" s="15">
        <v>2.5488898328314855</v>
      </c>
      <c r="N104" s="15">
        <v>2.1177144596481043</v>
      </c>
      <c r="O104" s="15">
        <v>2.2241905748796214</v>
      </c>
      <c r="P104" s="15">
        <v>1.8522996837111225</v>
      </c>
      <c r="Q104" s="15">
        <v>1.9159553702503247</v>
      </c>
      <c r="R104" s="15">
        <v>2.3296943008878417</v>
      </c>
      <c r="S104" s="15">
        <v>2.1676720188313312</v>
      </c>
      <c r="T104" s="15">
        <v>1.8773503273896668</v>
      </c>
      <c r="U104" s="15">
        <v>1.865706268088682</v>
      </c>
      <c r="V104" s="15">
        <v>1.8995860703680374</v>
      </c>
      <c r="W104" s="15">
        <v>2.4085334509821381</v>
      </c>
      <c r="X104" s="15">
        <v>1.975971334105366</v>
      </c>
      <c r="Y104" s="15">
        <v>1.9561135527387352</v>
      </c>
      <c r="Z104" s="15">
        <v>1.8465643024213321</v>
      </c>
      <c r="AA104" s="15">
        <v>1.8694252743723121</v>
      </c>
      <c r="AB104" s="15">
        <v>1.846185904900937</v>
      </c>
      <c r="AC104" s="15">
        <v>1.3715050855865945</v>
      </c>
      <c r="AD104" s="15">
        <v>1.508682425565635</v>
      </c>
      <c r="AE104" s="15">
        <v>1.9965421178940392</v>
      </c>
      <c r="AF104" s="15">
        <v>1.7725688292969264</v>
      </c>
      <c r="AG104" s="15">
        <v>1.6775438926062289</v>
      </c>
      <c r="AH104" s="15">
        <v>1.4208568211402424</v>
      </c>
      <c r="AI104" s="15">
        <v>1.3144963791269824</v>
      </c>
      <c r="AJ104" s="15">
        <v>1.1551384155415827</v>
      </c>
      <c r="AK104" s="15">
        <v>1.493926401140854</v>
      </c>
      <c r="AL104" s="15">
        <v>2.0038541780464394</v>
      </c>
      <c r="AM104" s="15">
        <v>1.9499210383410202</v>
      </c>
      <c r="AN104" s="15">
        <v>1.5417424301310974</v>
      </c>
      <c r="AO104" s="15">
        <f>AO103/AO102</f>
        <v>5.8386093322201438E-4</v>
      </c>
      <c r="AP104" s="15">
        <f t="shared" ref="AP104:BB104" si="10">AP103/AP102</f>
        <v>5.0456756974276114E-4</v>
      </c>
      <c r="AQ104" s="15">
        <f t="shared" si="10"/>
        <v>5.2911089748026606E-4</v>
      </c>
      <c r="AR104" s="15">
        <f t="shared" si="10"/>
        <v>5.8027785111431631E-4</v>
      </c>
      <c r="AS104" s="15">
        <f t="shared" si="10"/>
        <v>5.2065910388276169E-4</v>
      </c>
      <c r="AT104" s="15">
        <f t="shared" si="10"/>
        <v>3.9355961330674635E-4</v>
      </c>
      <c r="AU104" s="15">
        <f t="shared" si="10"/>
        <v>4.3240473200140784E-4</v>
      </c>
      <c r="AV104" s="15">
        <f t="shared" si="10"/>
        <v>4.7328257155056404E-4</v>
      </c>
      <c r="AW104" s="15">
        <f t="shared" si="10"/>
        <v>5.1308691614393117E-4</v>
      </c>
      <c r="AX104" s="15">
        <f t="shared" si="10"/>
        <v>6.3104889788427804E-4</v>
      </c>
      <c r="AY104" s="15">
        <f t="shared" si="10"/>
        <v>7.1182034318459928E-4</v>
      </c>
      <c r="AZ104" s="15">
        <f t="shared" si="10"/>
        <v>6.9165106497835781E-4</v>
      </c>
      <c r="BA104" s="15">
        <f t="shared" si="10"/>
        <v>3.8173614678325914E-4</v>
      </c>
      <c r="BB104" s="15">
        <f t="shared" si="10"/>
        <v>5.0929045283817866E-4</v>
      </c>
    </row>
    <row r="105" spans="1:54" x14ac:dyDescent="0.2">
      <c r="A105" t="s">
        <v>17</v>
      </c>
      <c r="H105" s="11">
        <v>0</v>
      </c>
      <c r="I105" s="11">
        <v>10</v>
      </c>
      <c r="J105" s="11">
        <v>82</v>
      </c>
      <c r="K105" s="11">
        <v>50.1</v>
      </c>
      <c r="L105" s="11">
        <v>100.4</v>
      </c>
      <c r="M105" s="11">
        <v>108.7</v>
      </c>
      <c r="N105" s="11">
        <v>206.8</v>
      </c>
      <c r="O105" s="11">
        <v>376</v>
      </c>
      <c r="P105" s="11">
        <v>90.1</v>
      </c>
      <c r="Q105" s="11">
        <v>243.7</v>
      </c>
      <c r="R105" s="11">
        <v>472.8</v>
      </c>
      <c r="S105" s="11">
        <v>356.6</v>
      </c>
      <c r="T105" s="11">
        <v>241.8</v>
      </c>
      <c r="U105" s="11">
        <v>96.8</v>
      </c>
      <c r="V105" s="11">
        <v>172.5</v>
      </c>
      <c r="W105" s="11">
        <v>208.4</v>
      </c>
      <c r="X105" s="11">
        <v>142.4</v>
      </c>
      <c r="Y105" s="11">
        <v>164.5</v>
      </c>
      <c r="Z105" s="11">
        <v>86.7</v>
      </c>
      <c r="AA105" s="11">
        <v>315.3</v>
      </c>
      <c r="AB105" s="11">
        <v>129.6</v>
      </c>
      <c r="AC105" s="11">
        <v>140.6</v>
      </c>
      <c r="AD105" s="11">
        <v>213</v>
      </c>
      <c r="AE105" s="11">
        <v>292.40000000000003</v>
      </c>
      <c r="AF105" s="11">
        <v>228.387</v>
      </c>
      <c r="AG105" s="11">
        <v>178.477</v>
      </c>
      <c r="AH105" s="11">
        <v>163.38200000000001</v>
      </c>
      <c r="AI105" s="11">
        <v>293.64499999999998</v>
      </c>
      <c r="AJ105" s="11">
        <v>98.358000000000004</v>
      </c>
      <c r="AK105" s="11">
        <v>343.13600000000002</v>
      </c>
      <c r="AL105" s="11">
        <v>369.65600000000001</v>
      </c>
      <c r="AM105" s="11">
        <v>307.536</v>
      </c>
      <c r="AN105" s="11">
        <v>115.038</v>
      </c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</row>
    <row r="106" spans="1:54" x14ac:dyDescent="0.2">
      <c r="A106" t="s">
        <v>19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18.2</v>
      </c>
      <c r="P106" s="11">
        <v>21.3</v>
      </c>
      <c r="Q106" s="11">
        <v>0.9</v>
      </c>
      <c r="R106" s="11">
        <v>133.30000000000001</v>
      </c>
      <c r="S106" s="11">
        <v>360.2</v>
      </c>
      <c r="T106" s="11">
        <v>27.5</v>
      </c>
      <c r="U106" s="11">
        <v>0.7</v>
      </c>
      <c r="V106" s="11">
        <v>0.1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3.3</v>
      </c>
      <c r="AF106" s="11">
        <v>6.7</v>
      </c>
      <c r="AG106" s="11">
        <v>8.6999999999999993</v>
      </c>
      <c r="AH106" s="11">
        <v>3.1120000000000001</v>
      </c>
      <c r="AI106" s="11">
        <v>2.6</v>
      </c>
      <c r="AJ106" s="11">
        <v>0.1</v>
      </c>
      <c r="AK106" s="11">
        <v>0</v>
      </c>
      <c r="AL106" s="11">
        <v>0.1</v>
      </c>
      <c r="AM106" s="11">
        <v>1.2</v>
      </c>
      <c r="AN106" s="11">
        <v>0</v>
      </c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</row>
    <row r="107" spans="1:54" x14ac:dyDescent="0.2">
      <c r="A107" t="s">
        <v>20</v>
      </c>
      <c r="H107" s="11">
        <v>0</v>
      </c>
      <c r="I107" s="11">
        <v>10</v>
      </c>
      <c r="J107" s="11">
        <v>82</v>
      </c>
      <c r="K107" s="11">
        <v>50.1</v>
      </c>
      <c r="L107" s="11">
        <v>100.4</v>
      </c>
      <c r="M107" s="11">
        <v>108.7</v>
      </c>
      <c r="N107" s="11">
        <v>206.8</v>
      </c>
      <c r="O107" s="11">
        <v>394.2</v>
      </c>
      <c r="P107" s="11">
        <v>111.39999999999999</v>
      </c>
      <c r="Q107" s="11">
        <v>244.6</v>
      </c>
      <c r="R107" s="11">
        <v>606.1</v>
      </c>
      <c r="S107" s="11">
        <v>716.8</v>
      </c>
      <c r="T107" s="11">
        <v>269.3</v>
      </c>
      <c r="U107" s="11">
        <v>97.5</v>
      </c>
      <c r="V107" s="11">
        <v>172.6</v>
      </c>
      <c r="W107" s="11">
        <v>208.4</v>
      </c>
      <c r="X107" s="11">
        <v>142.4</v>
      </c>
      <c r="Y107" s="11">
        <v>164.5</v>
      </c>
      <c r="Z107" s="11">
        <v>86.7</v>
      </c>
      <c r="AA107" s="11">
        <v>315.3</v>
      </c>
      <c r="AB107" s="11">
        <v>129.6</v>
      </c>
      <c r="AC107" s="11">
        <v>140.6</v>
      </c>
      <c r="AD107" s="11">
        <v>213</v>
      </c>
      <c r="AE107" s="11">
        <v>295.70000000000005</v>
      </c>
      <c r="AF107" s="11">
        <v>235.08699999999999</v>
      </c>
      <c r="AG107" s="11">
        <v>187.17699999999999</v>
      </c>
      <c r="AH107" s="11">
        <v>166.494</v>
      </c>
      <c r="AI107" s="11">
        <v>296.245</v>
      </c>
      <c r="AJ107" s="11">
        <v>98.457999999999998</v>
      </c>
      <c r="AK107" s="11">
        <v>343.13600000000002</v>
      </c>
      <c r="AL107" s="11">
        <v>369.75600000000003</v>
      </c>
      <c r="AM107" s="11">
        <v>308.73599999999999</v>
      </c>
      <c r="AN107" s="11">
        <v>115.038</v>
      </c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</row>
    <row r="108" spans="1:54" x14ac:dyDescent="0.2">
      <c r="A108" t="s">
        <v>21</v>
      </c>
      <c r="H108" s="11">
        <v>1001.6</v>
      </c>
      <c r="I108" s="11">
        <v>750.02</v>
      </c>
      <c r="J108" s="11">
        <v>941.44200000000001</v>
      </c>
      <c r="K108" s="11">
        <v>1014.7579999999999</v>
      </c>
      <c r="L108" s="11">
        <v>1268.1489999999999</v>
      </c>
      <c r="M108" s="11">
        <v>1109.4169999999999</v>
      </c>
      <c r="N108" s="11">
        <v>1003.7830000000001</v>
      </c>
      <c r="O108" s="11">
        <v>951.60099999999989</v>
      </c>
      <c r="P108" s="11">
        <v>844.35699999999997</v>
      </c>
      <c r="Q108" s="11">
        <v>816.45799999999997</v>
      </c>
      <c r="R108" s="11">
        <v>765.19999999999993</v>
      </c>
      <c r="S108" s="11">
        <v>622.15800000000013</v>
      </c>
      <c r="T108" s="11">
        <v>878.42000000000007</v>
      </c>
      <c r="U108" s="11">
        <v>792.74599999999998</v>
      </c>
      <c r="V108" s="11">
        <v>882.90500000000009</v>
      </c>
      <c r="W108" s="11">
        <v>981.71899999999994</v>
      </c>
      <c r="X108" s="11">
        <v>1034.943</v>
      </c>
      <c r="Y108" s="11">
        <v>1051.067</v>
      </c>
      <c r="Z108" s="11">
        <v>934.91699999999992</v>
      </c>
      <c r="AA108" s="11">
        <v>1054.8980000000001</v>
      </c>
      <c r="AB108" s="11">
        <v>1060.7560000000001</v>
      </c>
      <c r="AC108" s="11">
        <v>915.15399999999988</v>
      </c>
      <c r="AD108" s="11">
        <v>989.92200000000003</v>
      </c>
      <c r="AE108" s="11">
        <v>1161.6379999999999</v>
      </c>
      <c r="AF108" s="11">
        <v>1160.8990000000001</v>
      </c>
      <c r="AG108" s="11">
        <v>1216.731</v>
      </c>
      <c r="AH108" s="11">
        <v>1169.4930000000002</v>
      </c>
      <c r="AI108" s="11">
        <v>905.78300000000002</v>
      </c>
      <c r="AJ108" s="11">
        <v>807.38900000000001</v>
      </c>
      <c r="AK108" s="11">
        <v>1038.2280000000001</v>
      </c>
      <c r="AL108" s="11">
        <v>1299.4499999999998</v>
      </c>
      <c r="AM108" s="11">
        <v>1478.1509999999998</v>
      </c>
      <c r="AN108" s="11">
        <v>1318.944</v>
      </c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</row>
    <row r="109" spans="1:54" x14ac:dyDescent="0.2">
      <c r="A109" t="s">
        <v>72</v>
      </c>
      <c r="H109" s="11">
        <v>0</v>
      </c>
      <c r="I109" s="11">
        <v>280.447</v>
      </c>
      <c r="J109" s="11">
        <v>474.87700000000001</v>
      </c>
      <c r="K109" s="11">
        <v>497.28899999999999</v>
      </c>
      <c r="L109" s="11">
        <v>696.59100000000001</v>
      </c>
      <c r="M109" s="11">
        <v>628.548</v>
      </c>
      <c r="N109" s="11">
        <v>667.03099999999995</v>
      </c>
      <c r="O109" s="11">
        <v>753.649</v>
      </c>
      <c r="P109" s="11">
        <v>453.029</v>
      </c>
      <c r="Q109" s="11">
        <v>577.21600000000001</v>
      </c>
      <c r="R109" s="11">
        <v>699.33900000000006</v>
      </c>
      <c r="S109" s="11">
        <v>589</v>
      </c>
      <c r="T109" s="11">
        <v>553.1</v>
      </c>
      <c r="U109" s="11">
        <v>415</v>
      </c>
      <c r="V109" s="11">
        <v>535.79999999999995</v>
      </c>
      <c r="W109" s="11">
        <v>555.5</v>
      </c>
      <c r="X109" s="11">
        <v>505</v>
      </c>
      <c r="Y109" s="11">
        <v>576.9</v>
      </c>
      <c r="Z109" s="11">
        <v>425.7</v>
      </c>
      <c r="AA109" s="11">
        <v>635.29999999999995</v>
      </c>
      <c r="AB109" s="11">
        <v>512</v>
      </c>
      <c r="AC109" s="11">
        <v>514</v>
      </c>
      <c r="AD109" s="11">
        <v>637</v>
      </c>
      <c r="AE109" s="11">
        <v>815</v>
      </c>
      <c r="AF109" s="11">
        <v>730</v>
      </c>
      <c r="AG109" s="11">
        <v>780</v>
      </c>
      <c r="AH109" s="11">
        <v>687</v>
      </c>
      <c r="AI109" s="11">
        <v>636.5</v>
      </c>
      <c r="AJ109" s="11">
        <v>355.9</v>
      </c>
      <c r="AK109" s="11">
        <v>795</v>
      </c>
      <c r="AL109" s="11">
        <v>872</v>
      </c>
      <c r="AM109" s="11">
        <v>910</v>
      </c>
      <c r="AN109" s="11">
        <v>593</v>
      </c>
      <c r="AO109" s="11">
        <f>'[1]Soy Complex'!AX$80</f>
        <v>645.28899999999999</v>
      </c>
      <c r="AP109" s="11">
        <f>'[1]Soy Complex'!AY$80</f>
        <v>660.86799999999994</v>
      </c>
      <c r="AQ109" s="11">
        <f>'[1]Soy Complex'!AZ$80</f>
        <v>743.8</v>
      </c>
      <c r="AR109" s="11">
        <f>'[1]Soy Complex'!BA$80</f>
        <v>819.48800000000006</v>
      </c>
      <c r="AS109" s="11">
        <f>'[1]Soy Complex'!BB$80</f>
        <v>541.31999999999994</v>
      </c>
      <c r="AT109" s="11">
        <f>'[1]Soy Complex'!BC$80</f>
        <v>611.928</v>
      </c>
      <c r="AU109" s="11">
        <f>'[1]Soy Complex'!BD$80</f>
        <v>717.39899999999989</v>
      </c>
      <c r="AV109" s="11">
        <f>'[1]Soy Complex'!BE$80</f>
        <v>803.40599999999995</v>
      </c>
      <c r="AW109" s="11">
        <f>'[1]Soy Complex'!BF$80</f>
        <v>1070.433</v>
      </c>
      <c r="AX109" s="11">
        <f>'[1]Soy Complex'!BG$80</f>
        <v>1254.3029999999999</v>
      </c>
      <c r="AY109" s="11">
        <f>'[1]Soy Complex'!BH$80</f>
        <v>1457.069</v>
      </c>
      <c r="AZ109" s="11">
        <f>'[1]Soy Complex'!BI$80</f>
        <v>1243.3820000000001</v>
      </c>
      <c r="BA109" s="11">
        <f>'[1]Soy Complex'!BJ$80</f>
        <v>967.68399999999997</v>
      </c>
      <c r="BB109" s="11">
        <f>'[1]Soy Complex'!BK$80</f>
        <v>1181.817</v>
      </c>
    </row>
    <row r="110" spans="1:54" x14ac:dyDescent="0.2">
      <c r="A110" t="s">
        <v>73</v>
      </c>
      <c r="H110" s="11">
        <v>1001.6</v>
      </c>
      <c r="I110" s="11">
        <v>479.57299999999998</v>
      </c>
      <c r="J110" s="11">
        <v>548.56500000000005</v>
      </c>
      <c r="K110" s="11">
        <v>567.56899999999996</v>
      </c>
      <c r="L110" s="11">
        <v>671.95799999999997</v>
      </c>
      <c r="M110" s="11">
        <v>589.56899999999996</v>
      </c>
      <c r="N110" s="11">
        <v>543.55200000000013</v>
      </c>
      <c r="O110" s="11">
        <v>592.15199999999993</v>
      </c>
      <c r="P110" s="11">
        <v>502.72799999999995</v>
      </c>
      <c r="Q110" s="11">
        <v>483.84199999999998</v>
      </c>
      <c r="R110" s="11">
        <v>671.9609999999999</v>
      </c>
      <c r="S110" s="11">
        <v>749.95800000000008</v>
      </c>
      <c r="T110" s="11">
        <v>594.62</v>
      </c>
      <c r="U110" s="11">
        <v>475.24599999999998</v>
      </c>
      <c r="V110" s="11">
        <v>519.70500000000015</v>
      </c>
      <c r="W110" s="11">
        <v>634.61899999999991</v>
      </c>
      <c r="X110" s="11">
        <v>672.34300000000007</v>
      </c>
      <c r="Y110" s="11">
        <v>638.66700000000003</v>
      </c>
      <c r="Z110" s="11">
        <v>595.91699999999992</v>
      </c>
      <c r="AA110" s="11">
        <v>734.89800000000014</v>
      </c>
      <c r="AB110" s="11">
        <v>678.35599999999999</v>
      </c>
      <c r="AC110" s="11">
        <v>541.75399999999991</v>
      </c>
      <c r="AD110" s="11">
        <v>565.92200000000003</v>
      </c>
      <c r="AE110" s="11">
        <v>642.33799999999997</v>
      </c>
      <c r="AF110" s="11">
        <v>665.9860000000001</v>
      </c>
      <c r="AG110" s="11">
        <v>623.9079999999999</v>
      </c>
      <c r="AH110" s="11">
        <v>648.98700000000008</v>
      </c>
      <c r="AI110" s="11">
        <v>565.52800000000002</v>
      </c>
      <c r="AJ110" s="11">
        <v>549.947</v>
      </c>
      <c r="AK110" s="11">
        <v>586.36400000000003</v>
      </c>
      <c r="AL110" s="11">
        <v>797.2059999999999</v>
      </c>
      <c r="AM110" s="11">
        <v>876.88699999999994</v>
      </c>
      <c r="AN110" s="11">
        <v>840.98199999999997</v>
      </c>
      <c r="AO110" s="11" t="e">
        <f>'[1]Soy Complex'!AX$81</f>
        <v>#REF!</v>
      </c>
      <c r="AP110" s="11" t="e">
        <f>'[1]Soy Complex'!AY$81</f>
        <v>#REF!</v>
      </c>
      <c r="AQ110" s="11" t="e">
        <f>'[1]Soy Complex'!AZ$81</f>
        <v>#REF!</v>
      </c>
      <c r="AR110" s="11" t="e">
        <f>'[1]Soy Complex'!BA$81</f>
        <v>#REF!</v>
      </c>
      <c r="AS110" s="11" t="e">
        <f>'[1]Soy Complex'!BB$81</f>
        <v>#REF!</v>
      </c>
      <c r="AT110" s="11" t="e">
        <f>'[1]Soy Complex'!BC$81</f>
        <v>#REF!</v>
      </c>
      <c r="AU110" s="11" t="e">
        <f>'[1]Soy Complex'!BD$81</f>
        <v>#REF!</v>
      </c>
      <c r="AV110" s="11" t="e">
        <f>'[1]Soy Complex'!BE$81</f>
        <v>#REF!</v>
      </c>
      <c r="AW110" s="11" t="e">
        <f>'[1]Soy Complex'!BF$81</f>
        <v>#REF!</v>
      </c>
      <c r="AX110" s="11" t="e">
        <f>'[1]Soy Complex'!BG$81</f>
        <v>#REF!</v>
      </c>
      <c r="AY110" s="11" t="e">
        <f>'[1]Soy Complex'!BH$81</f>
        <v>#REF!</v>
      </c>
      <c r="AZ110" s="11" t="e">
        <f>'[1]Soy Complex'!BI$81</f>
        <v>#REF!</v>
      </c>
      <c r="BA110" s="11" t="e">
        <f>'[1]Soy Complex'!BJ$81</f>
        <v>#REF!</v>
      </c>
      <c r="BB110" s="11" t="e">
        <f>'[1]Soy Complex'!BK$81</f>
        <v>#REF!</v>
      </c>
    </row>
    <row r="111" spans="1:54" ht="13.5" thickBot="1" x14ac:dyDescent="0.25">
      <c r="A111" t="s">
        <v>74</v>
      </c>
      <c r="O111" s="17">
        <v>5.5515750915750912</v>
      </c>
      <c r="P111" s="17">
        <v>7.6924796747967488</v>
      </c>
      <c r="Q111" s="17">
        <v>5.8441666666666672</v>
      </c>
      <c r="R111" s="17">
        <v>5.1064126984126981</v>
      </c>
      <c r="S111" s="17">
        <v>4.6889399293286225</v>
      </c>
      <c r="T111" s="17">
        <v>5.7656299212598423</v>
      </c>
      <c r="U111" s="17">
        <v>7.5938783269961974</v>
      </c>
      <c r="V111" s="17">
        <v>5.6226691729323308</v>
      </c>
      <c r="W111" s="17">
        <v>5.693240740740741</v>
      </c>
      <c r="X111" s="17">
        <v>5.5286062717770035</v>
      </c>
      <c r="Y111" s="17">
        <v>5.539048493699231</v>
      </c>
      <c r="Z111" s="17">
        <v>6.6940138408304497</v>
      </c>
      <c r="AA111" s="17">
        <v>5.4341342756183746</v>
      </c>
      <c r="AB111" s="17">
        <v>6.822035087719299</v>
      </c>
      <c r="AC111" s="17">
        <v>7.1447447447447443</v>
      </c>
      <c r="AD111" s="17">
        <v>6.6687985865724384</v>
      </c>
      <c r="AE111" s="17">
        <v>5.18853982300885</v>
      </c>
      <c r="AF111" s="17">
        <v>4.6142545454545454</v>
      </c>
      <c r="AG111" s="17">
        <v>4.6532129963898914</v>
      </c>
      <c r="AH111" s="17">
        <v>4.2124919093851139</v>
      </c>
      <c r="AI111" s="17">
        <v>5.5058437499999995</v>
      </c>
      <c r="AJ111" s="17">
        <v>7.5001910828025471</v>
      </c>
      <c r="AK111" s="17">
        <v>5.482117647058824</v>
      </c>
      <c r="AL111" s="17">
        <v>5.8021379310344834</v>
      </c>
      <c r="AM111" s="17">
        <v>6.4262866449511407</v>
      </c>
      <c r="AN111" s="17">
        <v>10.351981707317071</v>
      </c>
      <c r="AO111" s="17">
        <f>'[1]Soy Complex'!AX$82</f>
        <v>0</v>
      </c>
      <c r="AP111" s="17">
        <f>'[1]Soy Complex'!AY$82</f>
        <v>0</v>
      </c>
      <c r="AQ111" s="17">
        <f>'[1]Soy Complex'!AZ$82</f>
        <v>0</v>
      </c>
      <c r="AR111" s="17">
        <f>'[1]Soy Complex'!BA$82</f>
        <v>0</v>
      </c>
      <c r="AS111" s="17">
        <f>'[1]Soy Complex'!BB$82</f>
        <v>0</v>
      </c>
      <c r="AT111" s="17">
        <f>'[1]Soy Complex'!BC$82</f>
        <v>0</v>
      </c>
      <c r="AU111" s="17">
        <f>'[1]Soy Complex'!BD$82</f>
        <v>0</v>
      </c>
      <c r="AV111" s="17">
        <f>'[1]Soy Complex'!BE$82</f>
        <v>0</v>
      </c>
      <c r="AW111" s="17">
        <f>'[1]Soy Complex'!BF$82</f>
        <v>0</v>
      </c>
      <c r="AX111" s="17">
        <f>'[1]Soy Complex'!BG$82</f>
        <v>0</v>
      </c>
      <c r="AY111" s="17">
        <f>'[1]Soy Complex'!BH$82</f>
        <v>0</v>
      </c>
      <c r="AZ111" s="17">
        <f>'[1]Soy Complex'!BI$82</f>
        <v>0</v>
      </c>
      <c r="BA111" s="17">
        <f>'[1]Soy Complex'!BJ$82</f>
        <v>0</v>
      </c>
      <c r="BB111" s="17">
        <f>'[1]Soy Complex'!BK$82</f>
        <v>0</v>
      </c>
    </row>
    <row r="112" spans="1:54" x14ac:dyDescent="0.2">
      <c r="A112" s="18" t="s">
        <v>78</v>
      </c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</row>
    <row r="113" spans="1:54" x14ac:dyDescent="0.2">
      <c r="A113" t="s">
        <v>6</v>
      </c>
      <c r="B113" s="11"/>
      <c r="C113" s="11"/>
      <c r="D113" s="11"/>
      <c r="E113" s="11"/>
      <c r="F113" s="11"/>
      <c r="G113" s="11"/>
      <c r="H113" s="11">
        <v>0</v>
      </c>
      <c r="I113" s="11">
        <v>0</v>
      </c>
      <c r="J113" s="11">
        <v>0</v>
      </c>
      <c r="K113" s="11">
        <v>3.0000000000000001E-3</v>
      </c>
      <c r="L113" s="11">
        <v>3.0000000000000001E-3</v>
      </c>
      <c r="M113" s="11">
        <v>8.6999999999999994E-2</v>
      </c>
      <c r="N113" s="11">
        <v>0.10199999999999999</v>
      </c>
      <c r="O113" s="11">
        <v>4.3999999999999997E-2</v>
      </c>
      <c r="P113" s="11">
        <v>4.4999999999999998E-2</v>
      </c>
      <c r="Q113" s="11">
        <v>4.9000000000000002E-2</v>
      </c>
      <c r="R113" s="11">
        <v>0.54300000000000004</v>
      </c>
      <c r="S113" s="11">
        <v>4.7E-2</v>
      </c>
      <c r="T113" s="11">
        <v>0.28100000000000003</v>
      </c>
      <c r="U113" s="11">
        <v>1.4510000000000001</v>
      </c>
      <c r="V113" s="11">
        <v>0.41399999999999998</v>
      </c>
      <c r="W113" s="11">
        <v>1.234</v>
      </c>
      <c r="X113" s="11">
        <v>1.0940000000000001</v>
      </c>
      <c r="Y113" s="11">
        <v>0.24990860117999994</v>
      </c>
      <c r="Z113" s="11">
        <v>1.9622679035399999</v>
      </c>
      <c r="AA113" s="11">
        <v>1.48428013335</v>
      </c>
      <c r="AB113" s="11">
        <v>1.1593482455099997</v>
      </c>
      <c r="AC113" s="11">
        <v>0.49361486580000002</v>
      </c>
      <c r="AD113" s="11">
        <v>1.9460970011700001</v>
      </c>
      <c r="AE113" s="11">
        <v>0.58752073988999998</v>
      </c>
      <c r="AF113" s="11">
        <v>1.0285149529199999</v>
      </c>
      <c r="AG113" s="11">
        <v>0.81336589193999997</v>
      </c>
      <c r="AH113" s="11">
        <v>0.46173603167999999</v>
      </c>
      <c r="AI113" s="11">
        <v>1.24223468397</v>
      </c>
      <c r="AJ113" s="11">
        <v>0.99409712912999992</v>
      </c>
      <c r="AK113" s="11">
        <v>0.96965521988999992</v>
      </c>
      <c r="AL113" s="11">
        <v>0.95618865383999996</v>
      </c>
      <c r="AM113" s="11">
        <v>2.5686602077499998</v>
      </c>
      <c r="AN113" s="11">
        <v>2.2371732438299996</v>
      </c>
      <c r="AO113" s="11">
        <f>'[1]Soy Complex'!AX$85</f>
        <v>1305.559</v>
      </c>
      <c r="AP113" s="11">
        <f>'[1]Soy Complex'!AY$85</f>
        <v>1273.25</v>
      </c>
      <c r="AQ113" s="11">
        <f>'[1]Soy Complex'!AZ$85</f>
        <v>1251.7329999999999</v>
      </c>
      <c r="AR113" s="11">
        <f>'[1]Soy Complex'!BA$85</f>
        <v>1379.819</v>
      </c>
      <c r="AS113" s="11">
        <f>'[1]Soy Complex'!BB$85</f>
        <v>1005.86</v>
      </c>
      <c r="AT113" s="11">
        <f>'[1]Soy Complex'!BC$85</f>
        <v>1019.414</v>
      </c>
      <c r="AU113" s="11">
        <f>'[1]Soy Complex'!BD$85</f>
        <v>1334.818</v>
      </c>
      <c r="AV113" s="11">
        <f>'[1]Soy Complex'!BE$85</f>
        <v>1536.0598918241999</v>
      </c>
      <c r="AW113" s="11">
        <f>'[1]Soy Complex'!BF$85</f>
        <v>1745.6034316147664</v>
      </c>
      <c r="AX113" s="11">
        <f>'[1]Soy Complex'!BG$85</f>
        <v>2116.5145873402944</v>
      </c>
      <c r="AY113" s="11">
        <f>'[1]Soy Complex'!BH$85</f>
        <v>2730.7550000000001</v>
      </c>
      <c r="AZ113" s="11">
        <f>'[1]Soy Complex'!BI$85</f>
        <v>2258.511</v>
      </c>
      <c r="BA113" s="11">
        <f>'[1]Soy Complex'!BJ$85</f>
        <v>1566.5632767591401</v>
      </c>
      <c r="BB113" s="11">
        <f>'[1]Soy Complex'!BK$85</f>
        <v>1936.3748612433901</v>
      </c>
    </row>
    <row r="114" spans="1:54" x14ac:dyDescent="0.2">
      <c r="A114" t="s">
        <v>7</v>
      </c>
      <c r="B114" s="11"/>
      <c r="C114" s="11"/>
      <c r="D114" s="11"/>
      <c r="E114" s="11"/>
      <c r="F114" s="11"/>
      <c r="G114" s="11"/>
      <c r="H114" s="11">
        <f t="shared" ref="H114:AN114" si="11">H113+H103</f>
        <v>1001.6</v>
      </c>
      <c r="I114" s="11">
        <f t="shared" si="11"/>
        <v>760.02</v>
      </c>
      <c r="J114" s="11">
        <f t="shared" si="11"/>
        <v>1023.442</v>
      </c>
      <c r="K114" s="11">
        <f t="shared" si="11"/>
        <v>1064.8609999999999</v>
      </c>
      <c r="L114" s="11">
        <f t="shared" si="11"/>
        <v>1368.5519999999999</v>
      </c>
      <c r="M114" s="11">
        <f t="shared" si="11"/>
        <v>1218.204</v>
      </c>
      <c r="N114" s="11">
        <f t="shared" si="11"/>
        <v>1210.6850000000002</v>
      </c>
      <c r="O114" s="11">
        <f t="shared" si="11"/>
        <v>1345.845</v>
      </c>
      <c r="P114" s="11">
        <f t="shared" si="11"/>
        <v>955.80199999999991</v>
      </c>
      <c r="Q114" s="11">
        <f t="shared" si="11"/>
        <v>1061.107</v>
      </c>
      <c r="R114" s="11">
        <f t="shared" si="11"/>
        <v>1371.8429999999998</v>
      </c>
      <c r="S114" s="11">
        <f t="shared" si="11"/>
        <v>1339.0050000000001</v>
      </c>
      <c r="T114" s="11">
        <f t="shared" si="11"/>
        <v>1148.001</v>
      </c>
      <c r="U114" s="11">
        <f t="shared" si="11"/>
        <v>891.697</v>
      </c>
      <c r="V114" s="11">
        <f t="shared" si="11"/>
        <v>1055.9190000000001</v>
      </c>
      <c r="W114" s="11">
        <f t="shared" si="11"/>
        <v>1191.3529999999998</v>
      </c>
      <c r="X114" s="11">
        <f t="shared" si="11"/>
        <v>1178.4370000000001</v>
      </c>
      <c r="Y114" s="11">
        <f t="shared" si="11"/>
        <v>1215.8169086011801</v>
      </c>
      <c r="Z114" s="11">
        <f t="shared" si="11"/>
        <v>1023.57926790354</v>
      </c>
      <c r="AA114" s="11">
        <f t="shared" si="11"/>
        <v>1371.6822801333501</v>
      </c>
      <c r="AB114" s="11">
        <f t="shared" si="11"/>
        <v>1191.51534824551</v>
      </c>
      <c r="AC114" s="11">
        <f t="shared" si="11"/>
        <v>1056.2476148658</v>
      </c>
      <c r="AD114" s="11">
        <f t="shared" si="11"/>
        <v>1204.8680970011701</v>
      </c>
      <c r="AE114" s="11">
        <f t="shared" si="11"/>
        <v>1457.9255207398899</v>
      </c>
      <c r="AF114" s="11">
        <f t="shared" si="11"/>
        <v>1397.0145149529201</v>
      </c>
      <c r="AG114" s="11">
        <f t="shared" si="11"/>
        <v>1404.72136589194</v>
      </c>
      <c r="AH114" s="11">
        <f t="shared" si="11"/>
        <v>1336.44873603168</v>
      </c>
      <c r="AI114" s="11">
        <f t="shared" si="11"/>
        <v>1203.2702346839701</v>
      </c>
      <c r="AJ114" s="11">
        <f t="shared" si="11"/>
        <v>906.84109712912993</v>
      </c>
      <c r="AK114" s="11">
        <f t="shared" si="11"/>
        <v>1382.33365521989</v>
      </c>
      <c r="AL114" s="11">
        <f t="shared" si="11"/>
        <v>1670.1621886538398</v>
      </c>
      <c r="AM114" s="11">
        <f t="shared" si="11"/>
        <v>1789.45566020775</v>
      </c>
      <c r="AN114" s="11">
        <f t="shared" si="11"/>
        <v>1436.21917324383</v>
      </c>
      <c r="AO114" s="11">
        <f>AO113+AO103</f>
        <v>1306.8897473940417</v>
      </c>
      <c r="AP114" s="11">
        <f t="shared" ref="AP114:BB114" si="12">AP113+AP103</f>
        <v>1274.4324562677534</v>
      </c>
      <c r="AQ114" s="11">
        <f t="shared" si="12"/>
        <v>1252.9405524242911</v>
      </c>
      <c r="AR114" s="11">
        <f t="shared" si="12"/>
        <v>1381.1954963081134</v>
      </c>
      <c r="AS114" s="11">
        <f t="shared" si="12"/>
        <v>1006.8858629462235</v>
      </c>
      <c r="AT114" s="11">
        <f t="shared" si="12"/>
        <v>1020.2647293656005</v>
      </c>
      <c r="AU114" s="11">
        <f t="shared" si="12"/>
        <v>1335.9145041773982</v>
      </c>
      <c r="AV114" s="11">
        <f t="shared" si="12"/>
        <v>1537.3469940452148</v>
      </c>
      <c r="AW114" s="11">
        <f t="shared" si="12"/>
        <v>1747.093790627782</v>
      </c>
      <c r="AX114" s="11">
        <f t="shared" si="12"/>
        <v>2118.5113221284496</v>
      </c>
      <c r="AY114" s="11">
        <f t="shared" si="12"/>
        <v>2733.4223966691152</v>
      </c>
      <c r="AZ114" s="11">
        <f t="shared" si="12"/>
        <v>2260.762154088829</v>
      </c>
      <c r="BA114" s="11">
        <f t="shared" si="12"/>
        <v>1567.6888229144904</v>
      </c>
      <c r="BB114" s="11">
        <f t="shared" si="12"/>
        <v>1937.9735604334617</v>
      </c>
    </row>
    <row r="115" spans="1:54" x14ac:dyDescent="0.2">
      <c r="A115" t="s">
        <v>8</v>
      </c>
      <c r="B115" s="11">
        <v>192.75200000000001</v>
      </c>
      <c r="C115" s="11">
        <v>191.191</v>
      </c>
      <c r="D115" s="11">
        <v>185.47200000000001</v>
      </c>
      <c r="E115" s="11">
        <v>184.26900000000001</v>
      </c>
      <c r="F115" s="11">
        <v>217.09500000000003</v>
      </c>
      <c r="G115" s="11">
        <v>171.42099999999999</v>
      </c>
      <c r="H115" s="11">
        <v>234.70500000000001</v>
      </c>
      <c r="I115" s="11">
        <v>202.59200000000001</v>
      </c>
      <c r="J115" s="11">
        <v>249.28666666666666</v>
      </c>
      <c r="K115" s="11">
        <v>259.27</v>
      </c>
      <c r="L115" s="11">
        <v>288.05</v>
      </c>
      <c r="M115" s="11">
        <v>256.36333333333334</v>
      </c>
      <c r="N115" s="11">
        <v>252.6633333333333</v>
      </c>
      <c r="O115" s="11">
        <v>260.05333333333334</v>
      </c>
      <c r="P115" s="11">
        <v>239.98666666666665</v>
      </c>
      <c r="Q115" s="11">
        <v>258.20333333333332</v>
      </c>
      <c r="R115" s="11">
        <v>262.32666666666665</v>
      </c>
      <c r="S115" s="11">
        <v>297.22000000000003</v>
      </c>
      <c r="T115" s="11">
        <v>308.25666666666666</v>
      </c>
      <c r="U115" s="11">
        <v>270.07333333333332</v>
      </c>
      <c r="V115" s="11">
        <v>290.68000000000006</v>
      </c>
      <c r="W115" s="11">
        <v>291.65100000000001</v>
      </c>
      <c r="X115" s="11">
        <v>303.96000000000004</v>
      </c>
      <c r="Y115" s="11">
        <v>325.43333333333334</v>
      </c>
      <c r="Z115" s="11">
        <v>321.83999999999997</v>
      </c>
      <c r="AA115" s="11">
        <v>361.66333333333336</v>
      </c>
      <c r="AB115" s="11">
        <v>333.96</v>
      </c>
      <c r="AC115" s="11">
        <v>355.65</v>
      </c>
      <c r="AD115" s="11">
        <v>404.86999999999995</v>
      </c>
      <c r="AE115" s="11">
        <v>396.46</v>
      </c>
      <c r="AF115" s="11">
        <v>372.92666666666668</v>
      </c>
      <c r="AG115" s="11">
        <v>405.48666666666668</v>
      </c>
      <c r="AH115" s="11">
        <v>429.61666666666667</v>
      </c>
      <c r="AI115" s="11">
        <v>399.52</v>
      </c>
      <c r="AJ115" s="11">
        <v>359.57333333333338</v>
      </c>
      <c r="AK115" s="11">
        <v>430.7233333333333</v>
      </c>
      <c r="AL115" s="11">
        <v>431.25333333333333</v>
      </c>
      <c r="AM115" s="11">
        <v>453.22799633333329</v>
      </c>
      <c r="AN115" s="11">
        <v>456.01</v>
      </c>
      <c r="AO115" s="11">
        <f>'[1]Soy Complex'!AX$88</f>
        <v>243.68337329490004</v>
      </c>
      <c r="AP115" s="11">
        <f>'[1]Soy Complex'!AY$88</f>
        <v>218.9407168704</v>
      </c>
      <c r="AQ115" s="11">
        <f>'[1]Soy Complex'!AZ$88</f>
        <v>226.8531787158</v>
      </c>
      <c r="AR115" s="11">
        <f>'[1]Soy Complex'!BA$88</f>
        <v>258.06294680249999</v>
      </c>
      <c r="AS115" s="11">
        <f>'[1]Soy Complex'!BB$88</f>
        <v>128.66467350026429</v>
      </c>
      <c r="AT115" s="11">
        <f>'[1]Soy Complex'!BC$88</f>
        <v>192.04426508751783</v>
      </c>
      <c r="AU115" s="11">
        <f>'[1]Soy Complex'!BD$88</f>
        <v>187.76604864404939</v>
      </c>
      <c r="AV115" s="11">
        <f>'[1]Soy Complex'!BE$88</f>
        <v>179.94439623038997</v>
      </c>
      <c r="AW115" s="11">
        <f>'[1]Soy Complex'!BF$88</f>
        <v>263.05131462876955</v>
      </c>
      <c r="AX115" s="11">
        <f>'[1]Soy Complex'!BG$88</f>
        <v>314.23251532747099</v>
      </c>
      <c r="AY115" s="11">
        <f>'[1]Soy Complex'!BH$88</f>
        <v>323.39202784829627</v>
      </c>
      <c r="AZ115" s="11">
        <f>'[1]Soy Complex'!BI$88</f>
        <v>244.14320082205825</v>
      </c>
      <c r="BA115" s="11">
        <f>'[1]Soy Complex'!BJ$88</f>
        <v>183.02428356543658</v>
      </c>
      <c r="BB115" s="11">
        <f>'[1]Soy Complex'!BK$88</f>
        <v>332.61334803272302</v>
      </c>
    </row>
    <row r="116" spans="1:54" x14ac:dyDescent="0.2">
      <c r="A116" t="s">
        <v>9</v>
      </c>
      <c r="B116" s="11">
        <v>117.479</v>
      </c>
      <c r="C116" s="11">
        <v>98.149000000000001</v>
      </c>
      <c r="D116" s="11">
        <v>100.352</v>
      </c>
      <c r="E116" s="11">
        <v>145.571</v>
      </c>
      <c r="F116" s="11">
        <v>163.44499999999999</v>
      </c>
      <c r="G116" s="11">
        <v>99.343000000000004</v>
      </c>
      <c r="H116" s="11">
        <v>152.33699999999999</v>
      </c>
      <c r="I116" s="11">
        <v>170.55600000000001</v>
      </c>
      <c r="J116" s="11">
        <v>218.59699999999998</v>
      </c>
      <c r="K116" s="11">
        <v>198.00300000000001</v>
      </c>
      <c r="L116" s="11">
        <v>224.82299999999998</v>
      </c>
      <c r="M116" s="11">
        <v>232.779</v>
      </c>
      <c r="N116" s="11">
        <v>255.339</v>
      </c>
      <c r="O116" s="11">
        <v>216.14500000000001</v>
      </c>
      <c r="P116" s="11">
        <v>204.18100000000001</v>
      </c>
      <c r="Q116" s="11">
        <v>153.36199999999999</v>
      </c>
      <c r="R116" s="11">
        <v>227.52100000000002</v>
      </c>
      <c r="S116" s="11">
        <v>159.23000000000002</v>
      </c>
      <c r="T116" s="11">
        <v>184.95099999999999</v>
      </c>
      <c r="U116" s="11">
        <v>130.84300000000002</v>
      </c>
      <c r="V116" s="11">
        <v>153.72</v>
      </c>
      <c r="W116" s="11">
        <v>146.952</v>
      </c>
      <c r="X116" s="11">
        <v>146.65608514619998</v>
      </c>
      <c r="Y116" s="11">
        <v>163.3179568356</v>
      </c>
      <c r="Z116" s="11">
        <v>115.7965580079</v>
      </c>
      <c r="AA116" s="11">
        <v>209.23152483869998</v>
      </c>
      <c r="AB116" s="11">
        <v>188.22717245219999</v>
      </c>
      <c r="AC116" s="11">
        <v>170.04907198230001</v>
      </c>
      <c r="AD116" s="11">
        <v>120.86395516229999</v>
      </c>
      <c r="AE116" s="11">
        <v>162.75096480089999</v>
      </c>
      <c r="AF116" s="11">
        <v>205.6550400555</v>
      </c>
      <c r="AG116" s="11">
        <v>227.73025083479999</v>
      </c>
      <c r="AH116" s="11">
        <v>155.2981298988</v>
      </c>
      <c r="AI116" s="11">
        <v>194.41018182599998</v>
      </c>
      <c r="AJ116" s="11">
        <v>123.3672299559</v>
      </c>
      <c r="AK116" s="11">
        <v>197.91317920919997</v>
      </c>
      <c r="AL116" s="11">
        <v>184.3134172467</v>
      </c>
      <c r="AM116" s="11">
        <v>210.00531041699998</v>
      </c>
      <c r="AN116" s="11">
        <v>243.75314958119998</v>
      </c>
      <c r="AO116" s="11">
        <f>'[1]Soy Complex'!AX$89</f>
        <v>4.2428571428571429</v>
      </c>
      <c r="AP116" s="11">
        <f>'[1]Soy Complex'!AY$89</f>
        <v>10.671428571428573</v>
      </c>
      <c r="AQ116" s="11">
        <f>'[1]Soy Complex'!AZ$89</f>
        <v>2.3614285714285717</v>
      </c>
      <c r="AR116" s="11">
        <f>'[1]Soy Complex'!BA$89</f>
        <v>12.342857142857142</v>
      </c>
      <c r="AS116" s="11">
        <f>'[1]Soy Complex'!BB$89</f>
        <v>0.50857142857142856</v>
      </c>
      <c r="AT116" s="11">
        <f>'[1]Soy Complex'!BC$89</f>
        <v>3.7414285714285711</v>
      </c>
      <c r="AU116" s="11">
        <f>'[1]Soy Complex'!BD$89</f>
        <v>7.9542857142857137</v>
      </c>
      <c r="AV116" s="11">
        <f>'[1]Soy Complex'!BE$89</f>
        <v>7.0671428571428567</v>
      </c>
      <c r="AW116" s="11">
        <f>'[1]Soy Complex'!BF$89</f>
        <v>9.8730000000000011</v>
      </c>
      <c r="AX116" s="11">
        <f>'[1]Soy Complex'!BG$89</f>
        <v>6.3784285714285724</v>
      </c>
      <c r="AY116" s="11">
        <f>'[1]Soy Complex'!BH$89</f>
        <v>2.9360571428571429</v>
      </c>
      <c r="AZ116" s="11">
        <f>'[1]Soy Complex'!BI$89</f>
        <v>15.512514285714284</v>
      </c>
      <c r="BA116" s="11">
        <f>'[1]Soy Complex'!BJ$89</f>
        <v>16.081028571428572</v>
      </c>
      <c r="BB116" s="11">
        <f>'[1]Soy Complex'!BK$89</f>
        <v>8.5714285714285712</v>
      </c>
    </row>
    <row r="117" spans="1:54" x14ac:dyDescent="0.2">
      <c r="A117" t="s">
        <v>10</v>
      </c>
      <c r="B117" s="11">
        <v>25.237160000000003</v>
      </c>
      <c r="C117" s="11">
        <v>25.01876</v>
      </c>
      <c r="D117" s="11">
        <v>26.36036</v>
      </c>
      <c r="E117" s="11">
        <v>31.172440000000002</v>
      </c>
      <c r="F117" s="11">
        <v>28.548520000000003</v>
      </c>
      <c r="G117" s="11">
        <v>29.751280000000001</v>
      </c>
      <c r="H117" s="11">
        <v>27.62</v>
      </c>
      <c r="I117" s="11">
        <v>32.551000000000002</v>
      </c>
      <c r="J117" s="11">
        <v>35.695</v>
      </c>
      <c r="K117" s="11">
        <v>49.433</v>
      </c>
      <c r="L117" s="11">
        <v>44.2</v>
      </c>
      <c r="M117" s="11">
        <v>30.36</v>
      </c>
      <c r="N117" s="11">
        <v>35</v>
      </c>
      <c r="O117" s="11">
        <v>20.13</v>
      </c>
      <c r="P117" s="11">
        <v>32.895000000000003</v>
      </c>
      <c r="Q117" s="11">
        <v>46.36</v>
      </c>
      <c r="R117" s="11">
        <v>32.4</v>
      </c>
      <c r="S117" s="11">
        <v>42</v>
      </c>
      <c r="T117" s="11">
        <v>46.286000000000001</v>
      </c>
      <c r="U117" s="11">
        <v>38.069000000000003</v>
      </c>
      <c r="V117" s="11">
        <v>22.294</v>
      </c>
      <c r="W117" s="11">
        <v>31.797999999999998</v>
      </c>
      <c r="X117" s="11">
        <v>50.456000000000003</v>
      </c>
      <c r="Y117" s="11">
        <v>30.591999999999999</v>
      </c>
      <c r="Z117" s="11">
        <v>57.295000000000002</v>
      </c>
      <c r="AA117" s="11">
        <v>25.975999999999999</v>
      </c>
      <c r="AB117" s="11">
        <v>31.11</v>
      </c>
      <c r="AC117" s="11">
        <v>62.069000000000003</v>
      </c>
      <c r="AD117" s="11">
        <v>64.207999999999998</v>
      </c>
      <c r="AE117" s="11">
        <v>63.341999999999999</v>
      </c>
      <c r="AF117" s="11">
        <v>76.712000000000003</v>
      </c>
      <c r="AG117" s="11">
        <v>67.733999999999995</v>
      </c>
      <c r="AH117" s="11">
        <v>56.512999999999998</v>
      </c>
      <c r="AI117" s="11">
        <v>61.396999999999998</v>
      </c>
      <c r="AJ117" s="11">
        <v>69.757999999999996</v>
      </c>
      <c r="AK117" s="11">
        <v>71.688000000000002</v>
      </c>
      <c r="AL117" s="11">
        <v>71.372</v>
      </c>
      <c r="AM117" s="11">
        <v>64.197999999999993</v>
      </c>
      <c r="AN117" s="11">
        <v>59.061999999999998</v>
      </c>
      <c r="AO117" s="11">
        <f>'[1]Soy Complex'!AX$90</f>
        <v>30.617102895576068</v>
      </c>
      <c r="AP117" s="11">
        <f>'[1]Soy Complex'!AY$90</f>
        <v>47.046316224838051</v>
      </c>
      <c r="AQ117" s="11">
        <f>'[1]Soy Complex'!AZ$90</f>
        <v>6.941526046104741</v>
      </c>
      <c r="AR117" s="11">
        <f>'[1]Soy Complex'!BA$90</f>
        <v>11.516451722578836</v>
      </c>
      <c r="AS117" s="11">
        <f>'[1]Soy Complex'!BB$90</f>
        <v>43.736880326600726</v>
      </c>
      <c r="AT117" s="11">
        <f>'[1]Soy Complex'!BC$90</f>
        <v>-16.804479754462591</v>
      </c>
      <c r="AU117" s="11">
        <f>'[1]Soy Complex'!BD$90</f>
        <v>27.839958480716291</v>
      </c>
      <c r="AV117" s="11">
        <f>'[1]Soy Complex'!BE$90</f>
        <v>-8.1509472633329096</v>
      </c>
      <c r="AW117" s="11">
        <f>'[1]Soy Complex'!BF$90</f>
        <v>37.762750319330166</v>
      </c>
      <c r="AX117" s="11">
        <f>'[1]Soy Complex'!BG$90</f>
        <v>50.293743441394895</v>
      </c>
      <c r="AY117" s="11">
        <f>'[1]Soy Complex'!BH$90</f>
        <v>104.92418167551341</v>
      </c>
      <c r="AZ117" s="11">
        <f>'[1]Soy Complex'!BI$90</f>
        <v>62.353751558894146</v>
      </c>
      <c r="BA117" s="11">
        <f>'[1]Soy Complex'!BJ$90</f>
        <v>66.838264622275005</v>
      </c>
      <c r="BB117" s="11">
        <f>'[1]Soy Complex'!BK$90</f>
        <v>72.997384639238589</v>
      </c>
    </row>
    <row r="118" spans="1:54" x14ac:dyDescent="0.2">
      <c r="A118" t="s">
        <v>11</v>
      </c>
      <c r="B118" s="11">
        <v>27.475839999999835</v>
      </c>
      <c r="C118" s="11">
        <v>33.448239999999771</v>
      </c>
      <c r="D118" s="11">
        <v>30.923640000000148</v>
      </c>
      <c r="E118" s="11">
        <v>32.164559999999881</v>
      </c>
      <c r="F118" s="11">
        <v>50.375480000000039</v>
      </c>
      <c r="G118" s="11">
        <v>51.001719999999921</v>
      </c>
      <c r="H118" s="11">
        <v>31.971000000000004</v>
      </c>
      <c r="I118" s="11">
        <v>18.585999999999956</v>
      </c>
      <c r="J118" s="11">
        <v>13.507333333333406</v>
      </c>
      <c r="K118" s="11">
        <v>32.049999999999841</v>
      </c>
      <c r="L118" s="11">
        <v>37.294999999999845</v>
      </c>
      <c r="M118" s="11">
        <v>17.781666666666638</v>
      </c>
      <c r="N118" s="11">
        <v>21.31766666666681</v>
      </c>
      <c r="O118" s="11">
        <v>58.892666666666628</v>
      </c>
      <c r="P118" s="11">
        <v>7.2263333333332298</v>
      </c>
      <c r="Q118" s="11">
        <v>-5.2353333333334149</v>
      </c>
      <c r="R118" s="11">
        <v>0.66933333333315659</v>
      </c>
      <c r="S118" s="11">
        <v>3.8010000000000446</v>
      </c>
      <c r="T118" s="11">
        <v>-47.774666666666803</v>
      </c>
      <c r="U118" s="11">
        <v>-11.799333333333379</v>
      </c>
      <c r="V118" s="11">
        <v>-6.6889999999999645</v>
      </c>
      <c r="W118" s="11">
        <v>-2.5700000000002206</v>
      </c>
      <c r="X118" s="11">
        <v>-18.306085146199962</v>
      </c>
      <c r="Y118" s="11">
        <v>13.06061843224677</v>
      </c>
      <c r="Z118" s="11">
        <v>-26.61229010436</v>
      </c>
      <c r="AA118" s="11">
        <v>-17.060578038683161</v>
      </c>
      <c r="AB118" s="11">
        <v>15.41717579330998</v>
      </c>
      <c r="AC118" s="11">
        <v>-31.41045711649997</v>
      </c>
      <c r="AD118" s="11">
        <v>21.272141838870198</v>
      </c>
      <c r="AE118" s="11">
        <v>-13.200444061010103</v>
      </c>
      <c r="AF118" s="11">
        <v>-32.704191769246563</v>
      </c>
      <c r="AG118" s="11">
        <v>-4.4095516095267158</v>
      </c>
      <c r="AH118" s="11">
        <v>10.0999394662133</v>
      </c>
      <c r="AI118" s="11">
        <v>-54.418947142029879</v>
      </c>
      <c r="AJ118" s="11">
        <v>-56.461466160103498</v>
      </c>
      <c r="AK118" s="11">
        <v>-17.264857322643252</v>
      </c>
      <c r="AL118" s="11">
        <v>-7.4755619261934498</v>
      </c>
      <c r="AM118" s="11">
        <v>-30.160646542583095</v>
      </c>
      <c r="AN118" s="11">
        <v>1.2510236626300184</v>
      </c>
      <c r="AO118" s="11">
        <f>AO119-AO117-AO116-AO115</f>
        <v>1027.5060433248752</v>
      </c>
      <c r="AP118" s="11">
        <f t="shared" ref="AP118:BB118" si="13">AP119-AP117-AP116-AP115</f>
        <v>996.96057623090599</v>
      </c>
      <c r="AQ118" s="11">
        <f t="shared" si="13"/>
        <v>1015.805238128036</v>
      </c>
      <c r="AR118" s="11">
        <f t="shared" si="13"/>
        <v>1098.3362556579918</v>
      </c>
      <c r="AS118" s="11">
        <f t="shared" si="13"/>
        <v>833.21476597529897</v>
      </c>
      <c r="AT118" s="11">
        <f t="shared" si="13"/>
        <v>840.62422926666352</v>
      </c>
      <c r="AU118" s="11">
        <f t="shared" si="13"/>
        <v>1111.4682092189541</v>
      </c>
      <c r="AV118" s="11">
        <f t="shared" si="13"/>
        <v>1357.1740302478427</v>
      </c>
      <c r="AW118" s="11">
        <f t="shared" si="13"/>
        <v>1435.1680476657007</v>
      </c>
      <c r="AX118" s="11">
        <f t="shared" si="13"/>
        <v>1746.2475748375659</v>
      </c>
      <c r="AY118" s="11">
        <f t="shared" si="13"/>
        <v>2300.2885988868238</v>
      </c>
      <c r="AZ118" s="11">
        <f t="shared" si="13"/>
        <v>1937.1777618421088</v>
      </c>
      <c r="BA118" s="11">
        <f t="shared" si="13"/>
        <v>1300.7809608204757</v>
      </c>
      <c r="BB118" s="11">
        <f t="shared" si="13"/>
        <v>1522.7927666478131</v>
      </c>
    </row>
    <row r="119" spans="1:54" x14ac:dyDescent="0.2">
      <c r="A119" t="s">
        <v>12</v>
      </c>
      <c r="B119" s="11">
        <v>362.94399999999985</v>
      </c>
      <c r="C119" s="11">
        <v>347.80699999999979</v>
      </c>
      <c r="D119" s="11">
        <v>343.10800000000017</v>
      </c>
      <c r="E119" s="11">
        <v>393.17699999999991</v>
      </c>
      <c r="F119" s="11">
        <v>459.46400000000006</v>
      </c>
      <c r="G119" s="11">
        <v>351.51699999999994</v>
      </c>
      <c r="H119" s="11">
        <v>446.63300000000004</v>
      </c>
      <c r="I119" s="11">
        <v>424.28499999999997</v>
      </c>
      <c r="J119" s="11">
        <v>517.08600000000001</v>
      </c>
      <c r="K119" s="11">
        <v>538.75599999999986</v>
      </c>
      <c r="L119" s="11">
        <v>594.36799999999994</v>
      </c>
      <c r="M119" s="11">
        <v>537.28399999999999</v>
      </c>
      <c r="N119" s="11">
        <v>564.32000000000016</v>
      </c>
      <c r="O119" s="11">
        <v>555.221</v>
      </c>
      <c r="P119" s="11">
        <v>484.28899999999987</v>
      </c>
      <c r="Q119" s="11">
        <v>452.68999999999994</v>
      </c>
      <c r="R119" s="11">
        <v>522.9169999999998</v>
      </c>
      <c r="S119" s="11">
        <v>502.25100000000009</v>
      </c>
      <c r="T119" s="11">
        <v>491.71899999999994</v>
      </c>
      <c r="U119" s="11">
        <v>427.18599999999998</v>
      </c>
      <c r="V119" s="11">
        <v>460.00500000000011</v>
      </c>
      <c r="W119" s="11">
        <v>467.83099999999979</v>
      </c>
      <c r="X119" s="11">
        <v>482.76600000000008</v>
      </c>
      <c r="Y119" s="11">
        <v>532.40390860118009</v>
      </c>
      <c r="Z119" s="11">
        <v>468.31926790353998</v>
      </c>
      <c r="AA119" s="11">
        <v>579.81028013335015</v>
      </c>
      <c r="AB119" s="11">
        <v>568.71434824551</v>
      </c>
      <c r="AC119" s="11">
        <v>556.35761486579997</v>
      </c>
      <c r="AD119" s="11">
        <v>611.2140970011701</v>
      </c>
      <c r="AE119" s="11">
        <v>609.35252073988988</v>
      </c>
      <c r="AF119" s="11">
        <v>622.58951495292013</v>
      </c>
      <c r="AG119" s="11">
        <v>696.54136589194002</v>
      </c>
      <c r="AH119" s="11">
        <v>651.52773603167998</v>
      </c>
      <c r="AI119" s="11">
        <v>600.90823468397014</v>
      </c>
      <c r="AJ119" s="11">
        <v>496.23709712912995</v>
      </c>
      <c r="AK119" s="11">
        <v>683.05965521989003</v>
      </c>
      <c r="AL119" s="11">
        <v>679.46318865383989</v>
      </c>
      <c r="AM119" s="11">
        <v>697.2706602077501</v>
      </c>
      <c r="AN119" s="11">
        <v>760.07617324383</v>
      </c>
      <c r="AO119" s="11">
        <f>AO114-AO120</f>
        <v>1306.0493766582085</v>
      </c>
      <c r="AP119" s="11">
        <f t="shared" ref="AP119:BB119" si="14">AP114-AP120</f>
        <v>1273.6190378975725</v>
      </c>
      <c r="AQ119" s="11">
        <f t="shared" si="14"/>
        <v>1251.9613714613693</v>
      </c>
      <c r="AR119" s="11">
        <f t="shared" si="14"/>
        <v>1380.2585113259277</v>
      </c>
      <c r="AS119" s="11">
        <f t="shared" si="14"/>
        <v>1006.1248912307353</v>
      </c>
      <c r="AT119" s="11">
        <f t="shared" si="14"/>
        <v>1019.6054431711473</v>
      </c>
      <c r="AU119" s="11">
        <f t="shared" si="14"/>
        <v>1335.0285020580056</v>
      </c>
      <c r="AV119" s="11">
        <f t="shared" si="14"/>
        <v>1536.0346220720426</v>
      </c>
      <c r="AW119" s="11">
        <f t="shared" si="14"/>
        <v>1745.8551126138002</v>
      </c>
      <c r="AX119" s="11">
        <f t="shared" si="14"/>
        <v>2117.1522621778604</v>
      </c>
      <c r="AY119" s="11">
        <f t="shared" si="14"/>
        <v>2731.5408655534902</v>
      </c>
      <c r="AZ119" s="11">
        <f t="shared" si="14"/>
        <v>2259.1872285087752</v>
      </c>
      <c r="BA119" s="11">
        <f t="shared" si="14"/>
        <v>1566.7245375796158</v>
      </c>
      <c r="BB119" s="11">
        <f t="shared" si="14"/>
        <v>1936.9749278912034</v>
      </c>
    </row>
    <row r="120" spans="1:54" x14ac:dyDescent="0.2">
      <c r="A120" t="s">
        <v>79</v>
      </c>
      <c r="B120" s="11">
        <v>506</v>
      </c>
      <c r="C120" s="11">
        <v>378</v>
      </c>
      <c r="D120" s="11">
        <v>321</v>
      </c>
      <c r="E120" s="11">
        <v>258</v>
      </c>
      <c r="F120" s="11">
        <v>447.5</v>
      </c>
      <c r="G120" s="11">
        <v>424.1</v>
      </c>
      <c r="H120" s="11">
        <v>554.96699999999998</v>
      </c>
      <c r="I120" s="11">
        <v>335.73500000000001</v>
      </c>
      <c r="J120" s="11">
        <v>506.35599999999999</v>
      </c>
      <c r="K120" s="11">
        <v>526.10500000000002</v>
      </c>
      <c r="L120" s="11">
        <v>774.18399999999997</v>
      </c>
      <c r="M120" s="11">
        <v>680.92</v>
      </c>
      <c r="N120" s="11">
        <v>646.36500000000001</v>
      </c>
      <c r="O120" s="11">
        <v>790.62400000000002</v>
      </c>
      <c r="P120" s="11">
        <v>471.51300000000003</v>
      </c>
      <c r="Q120" s="11">
        <v>608.41700000000003</v>
      </c>
      <c r="R120" s="11">
        <v>848.92600000000004</v>
      </c>
      <c r="S120" s="11">
        <v>836.75400000000002</v>
      </c>
      <c r="T120" s="11">
        <v>656.28200000000004</v>
      </c>
      <c r="U120" s="11">
        <v>464.51100000000002</v>
      </c>
      <c r="V120" s="11">
        <v>595.91399999999999</v>
      </c>
      <c r="W120" s="11">
        <v>723.52200000000005</v>
      </c>
      <c r="X120" s="11">
        <v>695.67100000000005</v>
      </c>
      <c r="Y120" s="11">
        <v>683.41300000000001</v>
      </c>
      <c r="Z120" s="11">
        <v>555.26</v>
      </c>
      <c r="AA120" s="11">
        <v>791.87199999999996</v>
      </c>
      <c r="AB120" s="11">
        <v>622.80100000000004</v>
      </c>
      <c r="AC120" s="11">
        <v>499.89</v>
      </c>
      <c r="AD120" s="11">
        <v>593.654</v>
      </c>
      <c r="AE120" s="11">
        <v>848.57299999999998</v>
      </c>
      <c r="AF120" s="11">
        <v>774.42499999999995</v>
      </c>
      <c r="AG120" s="11">
        <v>708.18</v>
      </c>
      <c r="AH120" s="11">
        <v>684.92100000000005</v>
      </c>
      <c r="AI120" s="11">
        <v>602.36199999999997</v>
      </c>
      <c r="AJ120" s="11">
        <v>410.60399999999998</v>
      </c>
      <c r="AK120" s="11">
        <v>699.274</v>
      </c>
      <c r="AL120" s="11">
        <v>990.69899999999996</v>
      </c>
      <c r="AM120" s="11">
        <v>1092.1849999999999</v>
      </c>
      <c r="AN120" s="11">
        <v>676.14300000000003</v>
      </c>
      <c r="AO120" s="11">
        <f>'[1]Soy Complex'!AX$93</f>
        <v>0.8403707358330984</v>
      </c>
      <c r="AP120" s="11">
        <f>'[1]Soy Complex'!AY$93</f>
        <v>0.81341837018089336</v>
      </c>
      <c r="AQ120" s="11">
        <f>'[1]Soy Complex'!AZ$93</f>
        <v>0.97918096292197021</v>
      </c>
      <c r="AR120" s="11">
        <f>'[1]Soy Complex'!BA$93</f>
        <v>0.93698498218582349</v>
      </c>
      <c r="AS120" s="11">
        <f>'[1]Soy Complex'!BB$93</f>
        <v>0.76097171548820364</v>
      </c>
      <c r="AT120" s="11">
        <f>'[1]Soy Complex'!BC$93</f>
        <v>0.65928619445317072</v>
      </c>
      <c r="AU120" s="11">
        <f>'[1]Soy Complex'!BD$93</f>
        <v>0.88600211939244078</v>
      </c>
      <c r="AV120" s="11">
        <f>'[1]Soy Complex'!BE$93</f>
        <v>1.3123719731722485</v>
      </c>
      <c r="AW120" s="11">
        <f>'[1]Soy Complex'!BF$93</f>
        <v>1.2386780139818152</v>
      </c>
      <c r="AX120" s="11">
        <f>'[1]Soy Complex'!BG$93</f>
        <v>1.3590599505891521</v>
      </c>
      <c r="AY120" s="11">
        <f>'[1]Soy Complex'!BH$93</f>
        <v>1.881531115625082</v>
      </c>
      <c r="AZ120" s="11">
        <f>'[1]Soy Complex'!BI$93</f>
        <v>1.5749255800537443</v>
      </c>
      <c r="BA120" s="11">
        <f>'[1]Soy Complex'!BJ$93</f>
        <v>0.96428533487463042</v>
      </c>
      <c r="BB120" s="11">
        <f>'[1]Soy Complex'!BK$93</f>
        <v>0.9986325422582093</v>
      </c>
    </row>
    <row r="121" spans="1:54" x14ac:dyDescent="0.2">
      <c r="A121" t="s">
        <v>14</v>
      </c>
      <c r="B121" s="15">
        <v>1.3941544701110922</v>
      </c>
      <c r="C121" s="15">
        <v>1.0868096386789232</v>
      </c>
      <c r="D121" s="15">
        <v>0.93556547792531752</v>
      </c>
      <c r="E121" s="15">
        <v>0.65619301230743421</v>
      </c>
      <c r="F121" s="15">
        <v>0.97396096320930459</v>
      </c>
      <c r="G121" s="15">
        <v>1.206485034863179</v>
      </c>
      <c r="H121" s="15">
        <v>1.2425570882581447</v>
      </c>
      <c r="I121" s="15">
        <v>0.79129594494266831</v>
      </c>
      <c r="J121" s="15">
        <v>0.97924909976290209</v>
      </c>
      <c r="K121" s="15">
        <v>0.97651812694429418</v>
      </c>
      <c r="L121" s="15">
        <v>1.3025331108000431</v>
      </c>
      <c r="M121" s="15">
        <v>1.2673371996932721</v>
      </c>
      <c r="N121" s="15">
        <v>1.1453873688687266</v>
      </c>
      <c r="O121" s="15">
        <v>1.4239807211903008</v>
      </c>
      <c r="P121" s="15">
        <v>0.97361905804178939</v>
      </c>
      <c r="Q121" s="15">
        <v>1.3440036227882217</v>
      </c>
      <c r="R121" s="15">
        <v>1.6234431085621626</v>
      </c>
      <c r="S121" s="15">
        <v>1.6660076336333822</v>
      </c>
      <c r="T121" s="15">
        <v>1.3346687844073548</v>
      </c>
      <c r="U121" s="15">
        <v>1.0873741180656671</v>
      </c>
      <c r="V121" s="15">
        <v>1.2954511364006909</v>
      </c>
      <c r="W121" s="15">
        <v>1.546545654306791</v>
      </c>
      <c r="X121" s="15">
        <v>1.4410107588355434</v>
      </c>
      <c r="Y121" s="15">
        <v>1.2836363312876047</v>
      </c>
      <c r="Z121" s="15">
        <v>1.1856441493121894</v>
      </c>
      <c r="AA121" s="15">
        <v>1.3657432907499982</v>
      </c>
      <c r="AB121" s="15">
        <v>1.0951033711763172</v>
      </c>
      <c r="AC121" s="15">
        <v>0.89850482251524377</v>
      </c>
      <c r="AD121" s="15">
        <v>0.97127013744066759</v>
      </c>
      <c r="AE121" s="15">
        <v>1.392581422276949</v>
      </c>
      <c r="AF121" s="15">
        <v>1.2438773564289169</v>
      </c>
      <c r="AG121" s="15">
        <v>1.0167091786331404</v>
      </c>
      <c r="AH121" s="15">
        <v>1.0512537872473573</v>
      </c>
      <c r="AI121" s="15">
        <v>1.0024192800699334</v>
      </c>
      <c r="AJ121" s="15">
        <v>0.82743511594650754</v>
      </c>
      <c r="AK121" s="15">
        <v>1.0237378165379865</v>
      </c>
      <c r="AL121" s="15">
        <v>1.4580613292131159</v>
      </c>
      <c r="AM121" s="15">
        <v>1.5663716578503191</v>
      </c>
      <c r="AN121" s="15">
        <f>AN120/AN119</f>
        <v>0.88957268205682261</v>
      </c>
      <c r="AO121" s="15">
        <f>AO120/AO119</f>
        <v>6.4344484278485467E-4</v>
      </c>
      <c r="AP121" s="15">
        <f t="shared" ref="AP121:BB121" si="15">AP120/AP119</f>
        <v>6.386669372684977E-4</v>
      </c>
      <c r="AQ121" s="15">
        <f t="shared" si="15"/>
        <v>7.8211755190098849E-4</v>
      </c>
      <c r="AR121" s="15">
        <f t="shared" si="15"/>
        <v>6.7884745828208719E-4</v>
      </c>
      <c r="AS121" s="15">
        <f t="shared" si="15"/>
        <v>7.5633922003196863E-4</v>
      </c>
      <c r="AT121" s="15">
        <f t="shared" si="15"/>
        <v>6.4660913578754335E-4</v>
      </c>
      <c r="AU121" s="15">
        <f t="shared" si="15"/>
        <v>6.6365783054566187E-4</v>
      </c>
      <c r="AV121" s="15">
        <f t="shared" si="15"/>
        <v>8.5438957840801592E-4</v>
      </c>
      <c r="AW121" s="15">
        <f t="shared" si="15"/>
        <v>7.0949645536583683E-4</v>
      </c>
      <c r="AX121" s="15">
        <f t="shared" si="15"/>
        <v>6.4192829909697749E-4</v>
      </c>
      <c r="AY121" s="15">
        <f t="shared" si="15"/>
        <v>6.8881675517010015E-4</v>
      </c>
      <c r="AZ121" s="15">
        <f t="shared" si="15"/>
        <v>6.9712043348142845E-4</v>
      </c>
      <c r="BA121" s="15">
        <f t="shared" si="15"/>
        <v>6.1547854249115479E-4</v>
      </c>
      <c r="BB121" s="15">
        <f t="shared" si="15"/>
        <v>5.1556296773826941E-4</v>
      </c>
    </row>
    <row r="122" spans="1:54" x14ac:dyDescent="0.2">
      <c r="A122" t="s">
        <v>17</v>
      </c>
      <c r="B122" s="11"/>
      <c r="C122" s="11"/>
      <c r="D122" s="11"/>
      <c r="E122" s="11"/>
      <c r="F122" s="11"/>
      <c r="G122" s="11"/>
      <c r="H122" s="11">
        <v>0</v>
      </c>
      <c r="I122" s="11">
        <v>9.6999999999999993</v>
      </c>
      <c r="J122" s="11">
        <v>42.2</v>
      </c>
      <c r="K122" s="11">
        <v>32.4</v>
      </c>
      <c r="L122" s="11">
        <v>85.7</v>
      </c>
      <c r="M122" s="11">
        <v>95.3</v>
      </c>
      <c r="N122" s="11">
        <v>151.4</v>
      </c>
      <c r="O122" s="11">
        <v>267</v>
      </c>
      <c r="P122" s="11">
        <v>53.5</v>
      </c>
      <c r="Q122" s="11">
        <v>208</v>
      </c>
      <c r="R122" s="11">
        <v>393.4</v>
      </c>
      <c r="S122" s="11">
        <v>229.8</v>
      </c>
      <c r="T122" s="11">
        <v>151.1</v>
      </c>
      <c r="U122" s="11">
        <v>69.3</v>
      </c>
      <c r="V122" s="11">
        <v>100.5</v>
      </c>
      <c r="W122" s="11">
        <v>152.6</v>
      </c>
      <c r="X122" s="11">
        <v>107.9</v>
      </c>
      <c r="Y122" s="11">
        <v>125.6</v>
      </c>
      <c r="Z122" s="11">
        <v>47.1</v>
      </c>
      <c r="AA122" s="11">
        <v>211.1</v>
      </c>
      <c r="AB122" s="11">
        <v>79.599999999999994</v>
      </c>
      <c r="AC122" s="11">
        <v>74.099999999999994</v>
      </c>
      <c r="AD122" s="11">
        <v>152.4</v>
      </c>
      <c r="AE122" s="11">
        <v>206.29999999999998</v>
      </c>
      <c r="AF122" s="11">
        <v>143.11200000000002</v>
      </c>
      <c r="AG122" s="11">
        <v>134.97</v>
      </c>
      <c r="AH122" s="11">
        <v>104.07</v>
      </c>
      <c r="AI122" s="11">
        <v>162.78099999999998</v>
      </c>
      <c r="AJ122" s="11">
        <v>45.462000000000003</v>
      </c>
      <c r="AK122" s="11">
        <v>196.07900000000001</v>
      </c>
      <c r="AL122" s="11">
        <v>302.34800000000001</v>
      </c>
      <c r="AM122" s="11">
        <v>212.55799999999999</v>
      </c>
      <c r="AN122" s="11">
        <v>56.381</v>
      </c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</row>
    <row r="123" spans="1:54" x14ac:dyDescent="0.2">
      <c r="A123" t="s">
        <v>19</v>
      </c>
      <c r="B123" s="11"/>
      <c r="C123" s="11"/>
      <c r="D123" s="11"/>
      <c r="E123" s="11"/>
      <c r="F123" s="11"/>
      <c r="G123" s="11"/>
      <c r="H123" s="11">
        <v>0</v>
      </c>
      <c r="I123" s="11">
        <v>0</v>
      </c>
      <c r="J123" s="11">
        <v>0</v>
      </c>
      <c r="K123" s="11">
        <v>0</v>
      </c>
      <c r="L123" s="11">
        <v>0</v>
      </c>
      <c r="M123" s="11">
        <v>0</v>
      </c>
      <c r="N123" s="11">
        <v>0.4</v>
      </c>
      <c r="O123" s="11">
        <v>20.5</v>
      </c>
      <c r="P123" s="11">
        <v>0.4</v>
      </c>
      <c r="Q123" s="11">
        <v>1</v>
      </c>
      <c r="R123" s="11">
        <v>134.30000000000001</v>
      </c>
      <c r="S123" s="11">
        <v>364.2</v>
      </c>
      <c r="T123" s="11">
        <v>12.2</v>
      </c>
      <c r="U123" s="11">
        <v>0.3</v>
      </c>
      <c r="V123" s="11">
        <v>0</v>
      </c>
      <c r="W123" s="11">
        <v>0</v>
      </c>
      <c r="X123" s="11">
        <v>0</v>
      </c>
      <c r="Y123" s="11">
        <v>0</v>
      </c>
      <c r="Z123" s="11">
        <v>0</v>
      </c>
      <c r="AA123" s="11">
        <v>0</v>
      </c>
      <c r="AB123" s="11">
        <v>0</v>
      </c>
      <c r="AC123" s="11">
        <v>0</v>
      </c>
      <c r="AD123" s="11">
        <v>0</v>
      </c>
      <c r="AE123" s="11">
        <v>3.3</v>
      </c>
      <c r="AF123" s="11">
        <v>6.9</v>
      </c>
      <c r="AG123" s="11">
        <v>2.1</v>
      </c>
      <c r="AH123" s="11">
        <v>2.8</v>
      </c>
      <c r="AI123" s="11">
        <v>1.2</v>
      </c>
      <c r="AJ123" s="11">
        <v>0</v>
      </c>
      <c r="AK123" s="11">
        <v>0</v>
      </c>
      <c r="AL123" s="11">
        <v>0.1</v>
      </c>
      <c r="AM123" s="11">
        <v>1.1000000000000001</v>
      </c>
      <c r="AN123" s="11">
        <v>0</v>
      </c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</row>
    <row r="124" spans="1:54" x14ac:dyDescent="0.2">
      <c r="A124" t="s">
        <v>20</v>
      </c>
      <c r="B124" s="11"/>
      <c r="C124" s="11"/>
      <c r="D124" s="11"/>
      <c r="E124" s="11"/>
      <c r="F124" s="11"/>
      <c r="G124" s="11"/>
      <c r="H124" s="11">
        <v>0</v>
      </c>
      <c r="I124" s="11">
        <v>9.6999999999999993</v>
      </c>
      <c r="J124" s="11">
        <v>42.2</v>
      </c>
      <c r="K124" s="11">
        <v>32.4</v>
      </c>
      <c r="L124" s="11">
        <v>85.7</v>
      </c>
      <c r="M124" s="11">
        <v>95.3</v>
      </c>
      <c r="N124" s="11">
        <v>151.80000000000001</v>
      </c>
      <c r="O124" s="11">
        <v>287.5</v>
      </c>
      <c r="P124" s="11">
        <v>53.9</v>
      </c>
      <c r="Q124" s="11">
        <v>209</v>
      </c>
      <c r="R124" s="11">
        <v>527.70000000000005</v>
      </c>
      <c r="S124" s="11">
        <v>594</v>
      </c>
      <c r="T124" s="11">
        <v>163.29999999999998</v>
      </c>
      <c r="U124" s="11">
        <v>69.599999999999994</v>
      </c>
      <c r="V124" s="11">
        <v>100.5</v>
      </c>
      <c r="W124" s="11">
        <v>152.6</v>
      </c>
      <c r="X124" s="11">
        <v>107.9</v>
      </c>
      <c r="Y124" s="11">
        <v>125.6</v>
      </c>
      <c r="Z124" s="11">
        <v>47.1</v>
      </c>
      <c r="AA124" s="11">
        <v>211.1</v>
      </c>
      <c r="AB124" s="11">
        <v>79.599999999999994</v>
      </c>
      <c r="AC124" s="11">
        <v>74.099999999999994</v>
      </c>
      <c r="AD124" s="11">
        <v>152.4</v>
      </c>
      <c r="AE124" s="11">
        <v>209.6</v>
      </c>
      <c r="AF124" s="11">
        <v>150.01200000000003</v>
      </c>
      <c r="AG124" s="11">
        <v>137.07</v>
      </c>
      <c r="AH124" s="11">
        <v>106.86999999999999</v>
      </c>
      <c r="AI124" s="11">
        <v>163.98099999999997</v>
      </c>
      <c r="AJ124" s="11">
        <v>45.462000000000003</v>
      </c>
      <c r="AK124" s="11">
        <v>196.07900000000001</v>
      </c>
      <c r="AL124" s="11">
        <v>302.44800000000004</v>
      </c>
      <c r="AM124" s="11">
        <v>213.65799999999999</v>
      </c>
      <c r="AN124" s="11">
        <v>56.381</v>
      </c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</row>
    <row r="125" spans="1:54" x14ac:dyDescent="0.2">
      <c r="A125" t="s">
        <v>21</v>
      </c>
      <c r="B125" s="11"/>
      <c r="C125" s="11"/>
      <c r="D125" s="11"/>
      <c r="E125" s="11"/>
      <c r="F125" s="11"/>
      <c r="G125" s="11"/>
      <c r="H125" s="11">
        <v>554.96699999999998</v>
      </c>
      <c r="I125" s="11">
        <v>326.03500000000003</v>
      </c>
      <c r="J125" s="11">
        <v>464.15600000000001</v>
      </c>
      <c r="K125" s="11">
        <v>493.70500000000004</v>
      </c>
      <c r="L125" s="11">
        <v>688.48399999999992</v>
      </c>
      <c r="M125" s="11">
        <v>585.62</v>
      </c>
      <c r="N125" s="11">
        <v>494.565</v>
      </c>
      <c r="O125" s="11">
        <v>503.12400000000002</v>
      </c>
      <c r="P125" s="11">
        <v>417.61300000000006</v>
      </c>
      <c r="Q125" s="11">
        <v>399.41700000000003</v>
      </c>
      <c r="R125" s="11">
        <v>321.226</v>
      </c>
      <c r="S125" s="11">
        <v>242.75400000000002</v>
      </c>
      <c r="T125" s="11">
        <v>492.98200000000008</v>
      </c>
      <c r="U125" s="11">
        <v>394.91100000000006</v>
      </c>
      <c r="V125" s="11">
        <v>495.41399999999999</v>
      </c>
      <c r="W125" s="11">
        <v>570.92200000000003</v>
      </c>
      <c r="X125" s="11">
        <v>587.77100000000007</v>
      </c>
      <c r="Y125" s="11">
        <v>557.81299999999999</v>
      </c>
      <c r="Z125" s="11">
        <v>508.15999999999997</v>
      </c>
      <c r="AA125" s="11">
        <v>580.77199999999993</v>
      </c>
      <c r="AB125" s="11">
        <v>543.20100000000002</v>
      </c>
      <c r="AC125" s="11">
        <v>425.78999999999996</v>
      </c>
      <c r="AD125" s="11">
        <v>441.25400000000002</v>
      </c>
      <c r="AE125" s="11">
        <v>638.97299999999996</v>
      </c>
      <c r="AF125" s="11">
        <v>624.4129999999999</v>
      </c>
      <c r="AG125" s="11">
        <v>571.1099999999999</v>
      </c>
      <c r="AH125" s="11">
        <v>578.05100000000004</v>
      </c>
      <c r="AI125" s="11">
        <v>438.38099999999997</v>
      </c>
      <c r="AJ125" s="11">
        <v>365.142</v>
      </c>
      <c r="AK125" s="11">
        <v>503.19499999999999</v>
      </c>
      <c r="AL125" s="11">
        <v>688.25099999999998</v>
      </c>
      <c r="AM125" s="11">
        <v>878.52699999999993</v>
      </c>
      <c r="AN125" s="11">
        <v>619.76200000000006</v>
      </c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</row>
    <row r="126" spans="1:54" x14ac:dyDescent="0.2">
      <c r="A126" t="s">
        <v>72</v>
      </c>
      <c r="B126" s="11"/>
      <c r="C126" s="11"/>
      <c r="D126" s="11"/>
      <c r="E126" s="11"/>
      <c r="F126" s="11"/>
      <c r="G126" s="11"/>
      <c r="H126" s="11">
        <v>254.029</v>
      </c>
      <c r="I126" s="11">
        <v>92.4</v>
      </c>
      <c r="J126" s="11">
        <v>207.541</v>
      </c>
      <c r="K126" s="11">
        <v>241.255</v>
      </c>
      <c r="L126" s="11">
        <v>396.04</v>
      </c>
      <c r="M126" s="11">
        <v>363.31700000000001</v>
      </c>
      <c r="N126" s="11">
        <v>354.09699999999998</v>
      </c>
      <c r="O126" s="11">
        <v>424.65800000000002</v>
      </c>
      <c r="P126" s="11">
        <v>179.428</v>
      </c>
      <c r="Q126" s="11">
        <v>326.596</v>
      </c>
      <c r="R126" s="11">
        <v>411.74</v>
      </c>
      <c r="S126" s="11">
        <v>282.10000000000002</v>
      </c>
      <c r="T126" s="11">
        <v>304.89999999999998</v>
      </c>
      <c r="U126" s="11">
        <v>229.2</v>
      </c>
      <c r="V126" s="11">
        <v>255.3</v>
      </c>
      <c r="W126" s="11">
        <v>336.5</v>
      </c>
      <c r="X126" s="11">
        <v>279</v>
      </c>
      <c r="Y126" s="11">
        <v>319.8</v>
      </c>
      <c r="Z126" s="11">
        <v>195</v>
      </c>
      <c r="AA126" s="11">
        <v>348.8</v>
      </c>
      <c r="AB126" s="11">
        <v>234.1</v>
      </c>
      <c r="AC126" s="11">
        <v>216</v>
      </c>
      <c r="AD126" s="11">
        <v>318</v>
      </c>
      <c r="AE126" s="11">
        <v>458</v>
      </c>
      <c r="AF126" s="11">
        <v>370</v>
      </c>
      <c r="AG126" s="11">
        <v>365</v>
      </c>
      <c r="AH126" s="11">
        <v>301.2</v>
      </c>
      <c r="AI126" s="11">
        <v>272.5</v>
      </c>
      <c r="AJ126" s="11">
        <v>110</v>
      </c>
      <c r="AK126" s="11">
        <v>356.1</v>
      </c>
      <c r="AL126" s="11">
        <v>495.5</v>
      </c>
      <c r="AM126" s="11">
        <v>500</v>
      </c>
      <c r="AN126" s="11">
        <v>226.6</v>
      </c>
      <c r="AO126" s="11">
        <f>'[1]Soy Complex'!AX$95</f>
        <v>369.85899999999998</v>
      </c>
      <c r="AP126" s="11">
        <f>'[1]Soy Complex'!AY$95</f>
        <v>338.52300000000002</v>
      </c>
      <c r="AQ126" s="11">
        <f>'[1]Soy Complex'!AZ$95</f>
        <v>401.58300000000003</v>
      </c>
      <c r="AR126" s="11">
        <f>'[1]Soy Complex'!BA$95</f>
        <v>488.46500000000003</v>
      </c>
      <c r="AS126" s="11">
        <f>'[1]Soy Complex'!BB$95</f>
        <v>263.56399999999996</v>
      </c>
      <c r="AT126" s="11">
        <f>'[1]Soy Complex'!BC$95</f>
        <v>295.94500000000005</v>
      </c>
      <c r="AU126" s="11">
        <f>'[1]Soy Complex'!BD$95</f>
        <v>380.76799999999997</v>
      </c>
      <c r="AV126" s="11">
        <f>'[1]Soy Complex'!BE$95</f>
        <v>590.48099999999999</v>
      </c>
      <c r="AW126" s="11">
        <f>'[1]Soy Complex'!BF$95</f>
        <v>633.35599999999999</v>
      </c>
      <c r="AX126" s="11">
        <f>'[1]Soy Complex'!BG$95</f>
        <v>842.32899999999995</v>
      </c>
      <c r="AY126" s="11">
        <f>'[1]Soy Complex'!BH$95</f>
        <v>1053.08</v>
      </c>
      <c r="AZ126" s="11">
        <f>'[1]Soy Complex'!BI$95</f>
        <v>748.39400000000001</v>
      </c>
      <c r="BA126" s="11">
        <f>'[1]Soy Complex'!BJ$95</f>
        <v>549.14</v>
      </c>
      <c r="BB126" s="11">
        <f>'[1]Soy Complex'!BK$95</f>
        <v>636.125</v>
      </c>
    </row>
    <row r="127" spans="1:54" x14ac:dyDescent="0.2">
      <c r="A127" t="s">
        <v>73</v>
      </c>
      <c r="B127" s="11"/>
      <c r="C127" s="11"/>
      <c r="D127" s="11"/>
      <c r="E127" s="11"/>
      <c r="F127" s="11"/>
      <c r="G127" s="11"/>
      <c r="H127" s="11">
        <v>300.93799999999999</v>
      </c>
      <c r="I127" s="11">
        <v>243.33500000000001</v>
      </c>
      <c r="J127" s="11">
        <v>298.815</v>
      </c>
      <c r="K127" s="11">
        <v>284.85000000000002</v>
      </c>
      <c r="L127" s="11">
        <v>378.14399999999995</v>
      </c>
      <c r="M127" s="11">
        <v>317.60299999999995</v>
      </c>
      <c r="N127" s="11">
        <v>292.26800000000003</v>
      </c>
      <c r="O127" s="11">
        <v>365.96600000000001</v>
      </c>
      <c r="P127" s="11">
        <v>292.08500000000004</v>
      </c>
      <c r="Q127" s="11">
        <v>281.82100000000003</v>
      </c>
      <c r="R127" s="11">
        <v>437.18600000000004</v>
      </c>
      <c r="S127" s="11">
        <v>554.654</v>
      </c>
      <c r="T127" s="11">
        <v>351.38200000000006</v>
      </c>
      <c r="U127" s="11">
        <v>235.31100000000004</v>
      </c>
      <c r="V127" s="11">
        <v>340.61399999999998</v>
      </c>
      <c r="W127" s="11">
        <v>387.02200000000005</v>
      </c>
      <c r="X127" s="11">
        <v>416.67100000000005</v>
      </c>
      <c r="Y127" s="11">
        <v>363.613</v>
      </c>
      <c r="Z127" s="11">
        <v>360.26</v>
      </c>
      <c r="AA127" s="11">
        <v>443.07199999999995</v>
      </c>
      <c r="AB127" s="11">
        <v>388.70100000000002</v>
      </c>
      <c r="AC127" s="11">
        <v>283.89</v>
      </c>
      <c r="AD127" s="11">
        <v>275.654</v>
      </c>
      <c r="AE127" s="11">
        <v>390.57299999999998</v>
      </c>
      <c r="AF127" s="11">
        <v>404.42499999999995</v>
      </c>
      <c r="AG127" s="11">
        <v>343.17999999999995</v>
      </c>
      <c r="AH127" s="11">
        <v>383.72100000000006</v>
      </c>
      <c r="AI127" s="11">
        <v>329.86199999999997</v>
      </c>
      <c r="AJ127" s="11">
        <v>300.60399999999998</v>
      </c>
      <c r="AK127" s="11">
        <v>343.17399999999998</v>
      </c>
      <c r="AL127" s="11">
        <v>495.19899999999996</v>
      </c>
      <c r="AM127" s="11">
        <v>592.18499999999995</v>
      </c>
      <c r="AN127" s="11">
        <v>449.54300000000001</v>
      </c>
      <c r="AO127" s="11" t="e">
        <f>'[1]Soy Complex'!AX$96</f>
        <v>#REF!</v>
      </c>
      <c r="AP127" s="11" t="e">
        <f>'[1]Soy Complex'!AY$96</f>
        <v>#REF!</v>
      </c>
      <c r="AQ127" s="11" t="e">
        <f>'[1]Soy Complex'!AZ$96</f>
        <v>#REF!</v>
      </c>
      <c r="AR127" s="11" t="e">
        <f>'[1]Soy Complex'!BA$96</f>
        <v>#REF!</v>
      </c>
      <c r="AS127" s="11" t="e">
        <f>'[1]Soy Complex'!BB$96</f>
        <v>#REF!</v>
      </c>
      <c r="AT127" s="11" t="e">
        <f>'[1]Soy Complex'!BC$96</f>
        <v>#REF!</v>
      </c>
      <c r="AU127" s="11" t="e">
        <f>'[1]Soy Complex'!BD$96</f>
        <v>#REF!</v>
      </c>
      <c r="AV127" s="11" t="e">
        <f>'[1]Soy Complex'!BE$96</f>
        <v>#REF!</v>
      </c>
      <c r="AW127" s="11" t="e">
        <f>'[1]Soy Complex'!BF$96</f>
        <v>#REF!</v>
      </c>
      <c r="AX127" s="11" t="e">
        <f>'[1]Soy Complex'!BG$96</f>
        <v>#REF!</v>
      </c>
      <c r="AY127" s="11" t="e">
        <f>'[1]Soy Complex'!BH$96</f>
        <v>#REF!</v>
      </c>
      <c r="AZ127" s="11" t="e">
        <f>'[1]Soy Complex'!BI$96</f>
        <v>#REF!</v>
      </c>
      <c r="BA127" s="11" t="e">
        <f>'[1]Soy Complex'!BJ$96</f>
        <v>#REF!</v>
      </c>
      <c r="BB127" s="11" t="e">
        <f>'[1]Soy Complex'!BK$96</f>
        <v>#REF!</v>
      </c>
    </row>
    <row r="128" spans="1:54" ht="13.5" thickBot="1" x14ac:dyDescent="0.25">
      <c r="A128" t="s">
        <v>74</v>
      </c>
      <c r="O128" s="17">
        <v>5.9723780487804881</v>
      </c>
      <c r="P128" s="17">
        <v>7.8940221402214013</v>
      </c>
      <c r="Q128" s="17">
        <v>5.8380582524271851</v>
      </c>
      <c r="R128" s="17">
        <v>5.2349462365591402</v>
      </c>
      <c r="S128" s="17">
        <v>4.9337244897959192</v>
      </c>
      <c r="T128" s="17">
        <v>6.440813953488373</v>
      </c>
      <c r="U128" s="17">
        <v>7.362611464968154</v>
      </c>
      <c r="V128" s="17">
        <v>5.7888324873096444</v>
      </c>
      <c r="W128" s="17">
        <v>5.737183908045977</v>
      </c>
      <c r="X128" s="17">
        <v>5.7409826589595383</v>
      </c>
      <c r="Y128" s="17">
        <v>5.7286431444447574</v>
      </c>
      <c r="Z128" s="17">
        <v>6.7137777777777767</v>
      </c>
      <c r="AA128" s="17">
        <v>5.5346113989637296</v>
      </c>
      <c r="AB128" s="17">
        <v>7.3217610062893073</v>
      </c>
      <c r="AC128" s="17">
        <v>8.1590217391304343</v>
      </c>
      <c r="AD128" s="17">
        <v>6.308554913294798</v>
      </c>
      <c r="AE128" s="17">
        <v>4.5879428571428571</v>
      </c>
      <c r="AF128" s="17">
        <v>5.0058024691358023</v>
      </c>
      <c r="AG128" s="17">
        <v>4.3201666666666672</v>
      </c>
      <c r="AH128" s="17">
        <v>4.4643850267379683</v>
      </c>
      <c r="AI128" s="17">
        <v>5.8017553191489357</v>
      </c>
      <c r="AJ128" s="17">
        <v>9.4351666666666674</v>
      </c>
      <c r="AK128" s="17">
        <v>6.0237999999999996</v>
      </c>
      <c r="AL128" s="17">
        <v>5.5950555555555557</v>
      </c>
      <c r="AM128" s="17">
        <v>6.9827710843373492</v>
      </c>
      <c r="AN128" s="17">
        <v>11.758041958041957</v>
      </c>
      <c r="AO128" s="17">
        <f>'[1]Soy Complex'!AX$97</f>
        <v>0.3795967183251448</v>
      </c>
      <c r="AP128" s="17">
        <f>'[1]Soy Complex'!AY$97</f>
        <v>0.40726778644880346</v>
      </c>
      <c r="AQ128" s="17">
        <f>'[1]Soy Complex'!AZ$97</f>
        <v>0.35153556613050896</v>
      </c>
      <c r="AR128" s="17">
        <f>'[1]Soy Complex'!BA$97</f>
        <v>0.26817885582015533</v>
      </c>
      <c r="AS128" s="17">
        <f>'[1]Soy Complex'!BB$97</f>
        <v>0.39363738427843115</v>
      </c>
      <c r="AT128" s="17">
        <f>'[1]Soy Complex'!BC$97</f>
        <v>0.26935278796183137</v>
      </c>
      <c r="AU128" s="17">
        <f>'[1]Soy Complex'!BD$97</f>
        <v>0.39278036831731172</v>
      </c>
      <c r="AV128" s="17">
        <f>'[1]Soy Complex'!BE$97</f>
        <v>0.32267278135219746</v>
      </c>
      <c r="AW128" s="17">
        <f>'[1]Soy Complex'!BF$97</f>
        <v>0.3442542159493755</v>
      </c>
      <c r="AX128" s="17">
        <f>'[1]Soy Complex'!BG$97</f>
        <v>0.30918644598791634</v>
      </c>
      <c r="AY128" s="17">
        <f>'[1]Soy Complex'!BH$97</f>
        <v>0.40940395271103935</v>
      </c>
      <c r="AZ128" s="17">
        <f>'[1]Soy Complex'!BI$97</f>
        <v>0.4582327706649949</v>
      </c>
      <c r="BA128" s="17">
        <f>'[1]Soy Complex'!BJ$97</f>
        <v>0.28594091334650995</v>
      </c>
      <c r="BB128" s="17">
        <f>'[1]Soy Complex'!BK$97</f>
        <v>0.34252344900648563</v>
      </c>
    </row>
    <row r="129" spans="1:54" x14ac:dyDescent="0.2">
      <c r="A129" s="18" t="s">
        <v>80</v>
      </c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</row>
    <row r="130" spans="1:54" x14ac:dyDescent="0.2">
      <c r="A130" t="s">
        <v>6</v>
      </c>
      <c r="B130" s="11"/>
      <c r="C130" s="11"/>
      <c r="D130" s="11"/>
      <c r="E130" s="11"/>
      <c r="F130" s="11"/>
      <c r="G130" s="11"/>
      <c r="H130" s="11">
        <v>0</v>
      </c>
      <c r="I130" s="11">
        <v>0</v>
      </c>
      <c r="J130" s="11">
        <v>0</v>
      </c>
      <c r="K130" s="11">
        <v>0</v>
      </c>
      <c r="L130" s="11">
        <v>1E-3</v>
      </c>
      <c r="M130" s="11">
        <v>4.2000000000000003E-2</v>
      </c>
      <c r="N130" s="11">
        <v>2.7E-2</v>
      </c>
      <c r="O130" s="11">
        <v>0.01</v>
      </c>
      <c r="P130" s="11">
        <v>2.3E-2</v>
      </c>
      <c r="Q130" s="11">
        <v>2.1999999999999999E-2</v>
      </c>
      <c r="R130" s="11">
        <v>3.2000000000000001E-2</v>
      </c>
      <c r="S130" s="11">
        <v>1.7000000000000001E-2</v>
      </c>
      <c r="T130" s="11">
        <v>4.3999999999999997E-2</v>
      </c>
      <c r="U130" s="11">
        <v>0.36699999999999999</v>
      </c>
      <c r="V130" s="11">
        <v>0.76400000000000001</v>
      </c>
      <c r="W130" s="11">
        <v>1.1919999999999999</v>
      </c>
      <c r="X130" s="11">
        <v>0.314</v>
      </c>
      <c r="Y130" s="11">
        <v>0.11143629335999999</v>
      </c>
      <c r="Z130" s="11">
        <v>1.3682031106799999</v>
      </c>
      <c r="AA130" s="11">
        <v>0.69768202685999992</v>
      </c>
      <c r="AB130" s="11">
        <v>0.35437094027999994</v>
      </c>
      <c r="AC130" s="11">
        <v>7.4073241552799987</v>
      </c>
      <c r="AD130" s="11">
        <v>1.5292507477799999</v>
      </c>
      <c r="AE130" s="11">
        <v>0.48430401221999997</v>
      </c>
      <c r="AF130" s="11">
        <v>1.2634798913099998</v>
      </c>
      <c r="AG130" s="11">
        <v>1.0534051353</v>
      </c>
      <c r="AH130" s="11">
        <v>0.37473062445000005</v>
      </c>
      <c r="AI130" s="11">
        <v>0.91113720326999992</v>
      </c>
      <c r="AJ130" s="11">
        <v>0.93801889418999995</v>
      </c>
      <c r="AK130" s="11">
        <v>2.2600168021199996</v>
      </c>
      <c r="AL130" s="11">
        <v>1.0496572779</v>
      </c>
      <c r="AM130" s="11">
        <v>3.03371419554</v>
      </c>
      <c r="AN130" s="11">
        <v>2.3381081877299996</v>
      </c>
      <c r="AO130" s="11">
        <f>'[1]Soy Complex'!AX$100</f>
        <v>598.29399999999998</v>
      </c>
      <c r="AP130" s="11">
        <f>'[1]Soy Complex'!AY$100</f>
        <v>573.74900000000002</v>
      </c>
      <c r="AQ130" s="11">
        <f>'[1]Soy Complex'!AZ$100</f>
        <v>622.18799999999999</v>
      </c>
      <c r="AR130" s="11">
        <f>'[1]Soy Complex'!BA$100</f>
        <v>672.279</v>
      </c>
      <c r="AS130" s="11">
        <f>'[1]Soy Complex'!BB$100</f>
        <v>458.33799999999997</v>
      </c>
      <c r="AT130" s="11">
        <f>'[1]Soy Complex'!BC$100</f>
        <v>435.33100000000002</v>
      </c>
      <c r="AU130" s="11">
        <f>'[1]Soy Complex'!BD$100</f>
        <v>635.73</v>
      </c>
      <c r="AV130" s="11">
        <f>'[1]Soy Complex'!BE$100</f>
        <v>877.41628206100995</v>
      </c>
      <c r="AW130" s="11">
        <f>'[1]Soy Complex'!BF$100</f>
        <v>970.16842837496529</v>
      </c>
      <c r="AX130" s="11">
        <f>'[1]Soy Complex'!BG$100</f>
        <v>1224.3120259754548</v>
      </c>
      <c r="AY130" s="11">
        <f>'[1]Soy Complex'!BH$100</f>
        <v>1786.194</v>
      </c>
      <c r="AZ130" s="11">
        <f>'[1]Soy Complex'!BI$100</f>
        <v>1385.5441085883201</v>
      </c>
      <c r="BA130" s="11">
        <f>'[1]Soy Complex'!BJ$100</f>
        <v>779.50750483793001</v>
      </c>
      <c r="BB130" s="11">
        <f>'[1]Soy Complex'!BK$100</f>
        <v>972.84933115102001</v>
      </c>
    </row>
    <row r="131" spans="1:54" x14ac:dyDescent="0.2">
      <c r="A131" t="s">
        <v>7</v>
      </c>
      <c r="B131" s="11"/>
      <c r="C131" s="11"/>
      <c r="D131" s="11"/>
      <c r="E131" s="11"/>
      <c r="F131" s="11"/>
      <c r="G131" s="11"/>
      <c r="H131" s="11">
        <f t="shared" ref="H131:AM131" si="16">H130+H120</f>
        <v>554.96699999999998</v>
      </c>
      <c r="I131" s="11">
        <f t="shared" si="16"/>
        <v>335.73500000000001</v>
      </c>
      <c r="J131" s="11">
        <f t="shared" si="16"/>
        <v>506.35599999999999</v>
      </c>
      <c r="K131" s="11">
        <f t="shared" si="16"/>
        <v>526.10500000000002</v>
      </c>
      <c r="L131" s="11">
        <f t="shared" si="16"/>
        <v>774.18499999999995</v>
      </c>
      <c r="M131" s="11">
        <f t="shared" si="16"/>
        <v>680.96199999999999</v>
      </c>
      <c r="N131" s="11">
        <f t="shared" si="16"/>
        <v>646.39200000000005</v>
      </c>
      <c r="O131" s="11">
        <f t="shared" si="16"/>
        <v>790.63400000000001</v>
      </c>
      <c r="P131" s="11">
        <f t="shared" si="16"/>
        <v>471.53600000000006</v>
      </c>
      <c r="Q131" s="11">
        <f t="shared" si="16"/>
        <v>608.43900000000008</v>
      </c>
      <c r="R131" s="11">
        <f t="shared" si="16"/>
        <v>848.95800000000008</v>
      </c>
      <c r="S131" s="11">
        <f t="shared" si="16"/>
        <v>836.77100000000007</v>
      </c>
      <c r="T131" s="11">
        <f t="shared" si="16"/>
        <v>656.32600000000002</v>
      </c>
      <c r="U131" s="11">
        <f t="shared" si="16"/>
        <v>464.87800000000004</v>
      </c>
      <c r="V131" s="11">
        <f t="shared" si="16"/>
        <v>596.678</v>
      </c>
      <c r="W131" s="11">
        <f t="shared" si="16"/>
        <v>724.71400000000006</v>
      </c>
      <c r="X131" s="11">
        <f t="shared" si="16"/>
        <v>695.98500000000001</v>
      </c>
      <c r="Y131" s="11">
        <f t="shared" si="16"/>
        <v>683.52443629336005</v>
      </c>
      <c r="Z131" s="11">
        <f t="shared" si="16"/>
        <v>556.62820311068003</v>
      </c>
      <c r="AA131" s="11">
        <f t="shared" si="16"/>
        <v>792.56968202685994</v>
      </c>
      <c r="AB131" s="11">
        <f t="shared" si="16"/>
        <v>623.15537094028002</v>
      </c>
      <c r="AC131" s="11">
        <f t="shared" si="16"/>
        <v>507.29732415527997</v>
      </c>
      <c r="AD131" s="11">
        <f t="shared" si="16"/>
        <v>595.18325074777999</v>
      </c>
      <c r="AE131" s="11">
        <f t="shared" si="16"/>
        <v>849.05730401222002</v>
      </c>
      <c r="AF131" s="11">
        <f t="shared" si="16"/>
        <v>775.68847989130995</v>
      </c>
      <c r="AG131" s="11">
        <f t="shared" si="16"/>
        <v>709.2334051352999</v>
      </c>
      <c r="AH131" s="11">
        <f t="shared" si="16"/>
        <v>685.29573062445002</v>
      </c>
      <c r="AI131" s="11">
        <f t="shared" si="16"/>
        <v>603.27313720326993</v>
      </c>
      <c r="AJ131" s="11">
        <f t="shared" si="16"/>
        <v>411.54201889418999</v>
      </c>
      <c r="AK131" s="11">
        <f t="shared" si="16"/>
        <v>701.53401680212005</v>
      </c>
      <c r="AL131" s="11">
        <f t="shared" si="16"/>
        <v>991.74865727789995</v>
      </c>
      <c r="AM131" s="11">
        <f t="shared" si="16"/>
        <v>1095.2187141955399</v>
      </c>
      <c r="AN131" s="11">
        <f>AN130+AN120</f>
        <v>678.48110818773</v>
      </c>
      <c r="AO131" s="11">
        <f>AO130+AO120</f>
        <v>599.13437073583304</v>
      </c>
      <c r="AP131" s="11">
        <f t="shared" ref="AP131:BB131" si="17">AP130+AP120</f>
        <v>574.56241837018092</v>
      </c>
      <c r="AQ131" s="11">
        <f t="shared" si="17"/>
        <v>623.16718096292198</v>
      </c>
      <c r="AR131" s="11">
        <f t="shared" si="17"/>
        <v>673.21598498218577</v>
      </c>
      <c r="AS131" s="11">
        <f t="shared" si="17"/>
        <v>459.09897171548818</v>
      </c>
      <c r="AT131" s="11">
        <f t="shared" si="17"/>
        <v>435.99028619445318</v>
      </c>
      <c r="AU131" s="11">
        <f t="shared" si="17"/>
        <v>636.61600211939242</v>
      </c>
      <c r="AV131" s="11">
        <f t="shared" si="17"/>
        <v>878.72865403418223</v>
      </c>
      <c r="AW131" s="11">
        <f t="shared" si="17"/>
        <v>971.40710638894711</v>
      </c>
      <c r="AX131" s="11">
        <f t="shared" si="17"/>
        <v>1225.671085926044</v>
      </c>
      <c r="AY131" s="11">
        <f t="shared" si="17"/>
        <v>1788.0755311156252</v>
      </c>
      <c r="AZ131" s="11">
        <f t="shared" si="17"/>
        <v>1387.1190341683739</v>
      </c>
      <c r="BA131" s="11">
        <f t="shared" si="17"/>
        <v>780.47179017280462</v>
      </c>
      <c r="BB131" s="11">
        <f t="shared" si="17"/>
        <v>973.84796369327819</v>
      </c>
    </row>
    <row r="132" spans="1:54" x14ac:dyDescent="0.2">
      <c r="A132" t="s">
        <v>8</v>
      </c>
      <c r="B132" s="11">
        <v>188.32300000000001</v>
      </c>
      <c r="C132" s="11">
        <v>187.07100000000003</v>
      </c>
      <c r="D132" s="11">
        <v>173.22399999999999</v>
      </c>
      <c r="E132" s="11">
        <v>143.22300000000001</v>
      </c>
      <c r="F132" s="11">
        <v>210.31299999999999</v>
      </c>
      <c r="G132" s="11">
        <v>176.37100000000001</v>
      </c>
      <c r="H132" s="11">
        <v>209.471</v>
      </c>
      <c r="I132" s="11">
        <v>155.96600000000001</v>
      </c>
      <c r="J132" s="11">
        <v>217.12333333333333</v>
      </c>
      <c r="K132" s="11">
        <v>239.78</v>
      </c>
      <c r="L132" s="11">
        <v>251.21333333333331</v>
      </c>
      <c r="M132" s="11">
        <v>220.40333333333331</v>
      </c>
      <c r="N132" s="11">
        <v>215.44666666666666</v>
      </c>
      <c r="O132" s="11">
        <v>248.82999999999998</v>
      </c>
      <c r="P132" s="11">
        <v>210.67000000000002</v>
      </c>
      <c r="Q132" s="11">
        <v>242.18</v>
      </c>
      <c r="R132" s="11">
        <v>241.11666666666667</v>
      </c>
      <c r="S132" s="11">
        <v>265.56666666666666</v>
      </c>
      <c r="T132" s="11">
        <v>255.51666666666665</v>
      </c>
      <c r="U132" s="11">
        <v>225.90666666666669</v>
      </c>
      <c r="V132" s="11">
        <v>278.42333333333335</v>
      </c>
      <c r="W132" s="11">
        <v>292.21699999999998</v>
      </c>
      <c r="X132" s="11">
        <v>304.58999999999997</v>
      </c>
      <c r="Y132" s="11">
        <v>290.09000000000003</v>
      </c>
      <c r="Z132" s="11">
        <v>299.11</v>
      </c>
      <c r="AA132" s="11">
        <v>323.46000000000004</v>
      </c>
      <c r="AB132" s="11">
        <v>325.04333333333329</v>
      </c>
      <c r="AC132" s="11">
        <v>318.76</v>
      </c>
      <c r="AD132" s="11">
        <v>353.2166666666667</v>
      </c>
      <c r="AE132" s="11">
        <v>375.4</v>
      </c>
      <c r="AF132" s="11">
        <v>369.99666666666667</v>
      </c>
      <c r="AG132" s="11">
        <v>395.11</v>
      </c>
      <c r="AH132" s="11">
        <v>394.99</v>
      </c>
      <c r="AI132" s="11">
        <v>375.73666666666668</v>
      </c>
      <c r="AJ132" s="11">
        <v>327.61</v>
      </c>
      <c r="AK132" s="11">
        <v>401.80999999999995</v>
      </c>
      <c r="AL132" s="11">
        <v>428.09333333333325</v>
      </c>
      <c r="AM132" s="11">
        <v>445.45878400000004</v>
      </c>
      <c r="AN132" s="11">
        <v>408.99333333333334</v>
      </c>
      <c r="AO132" s="11">
        <f>'[1]Soy Complex'!AX$103</f>
        <v>165.80120631270003</v>
      </c>
      <c r="AP132" s="11">
        <f>'[1]Soy Complex'!AY$103</f>
        <v>121.84199896889999</v>
      </c>
      <c r="AQ132" s="11">
        <f>'[1]Soy Complex'!AZ$103</f>
        <v>105.52595898390001</v>
      </c>
      <c r="AR132" s="11">
        <f>'[1]Soy Complex'!BA$103</f>
        <v>203.98231809300239</v>
      </c>
      <c r="AS132" s="11">
        <f>'[1]Soy Complex'!BB$103</f>
        <v>50.496374213726696</v>
      </c>
      <c r="AT132" s="11">
        <f>'[1]Soy Complex'!BC$103</f>
        <v>57.779840463680998</v>
      </c>
      <c r="AU132" s="11">
        <f>'[1]Soy Complex'!BD$103</f>
        <v>116.68114200892801</v>
      </c>
      <c r="AV132" s="11">
        <f>'[1]Soy Complex'!BE$103</f>
        <v>289.8424799124233</v>
      </c>
      <c r="AW132" s="11">
        <f>'[1]Soy Complex'!BF$103</f>
        <v>262.30422674530087</v>
      </c>
      <c r="AX132" s="11">
        <f>'[1]Soy Complex'!BG$103</f>
        <v>368.75146418869031</v>
      </c>
      <c r="AY132" s="11">
        <f>'[1]Soy Complex'!BH$103</f>
        <v>438.78860830144305</v>
      </c>
      <c r="AZ132" s="11">
        <f>'[1]Soy Complex'!BI$103</f>
        <v>321.77968957874668</v>
      </c>
      <c r="BA132" s="11">
        <f>'[1]Soy Complex'!BJ$103</f>
        <v>112.1468493872601</v>
      </c>
      <c r="BB132" s="11">
        <f>'[1]Soy Complex'!BK$103</f>
        <v>286.97370041829089</v>
      </c>
    </row>
    <row r="133" spans="1:54" x14ac:dyDescent="0.2">
      <c r="A133" t="s">
        <v>9</v>
      </c>
      <c r="B133" s="11">
        <v>95.375</v>
      </c>
      <c r="C133" s="11">
        <v>101.39099999999999</v>
      </c>
      <c r="D133" s="11">
        <v>82.25800000000001</v>
      </c>
      <c r="E133" s="11">
        <v>51.786999999999999</v>
      </c>
      <c r="F133" s="11">
        <v>84.376999999999995</v>
      </c>
      <c r="G133" s="11">
        <v>78.408000000000001</v>
      </c>
      <c r="H133" s="11">
        <v>100.41999999999999</v>
      </c>
      <c r="I133" s="11">
        <v>76.313999999999993</v>
      </c>
      <c r="J133" s="11">
        <v>137.43600000000001</v>
      </c>
      <c r="K133" s="11">
        <v>113.21699999999998</v>
      </c>
      <c r="L133" s="11">
        <v>165.43799999999999</v>
      </c>
      <c r="M133" s="11">
        <v>113.13900000000001</v>
      </c>
      <c r="N133" s="11">
        <v>171.041</v>
      </c>
      <c r="O133" s="11">
        <v>179.506</v>
      </c>
      <c r="P133" s="11">
        <v>110.95099999999999</v>
      </c>
      <c r="Q133" s="11">
        <v>63.77</v>
      </c>
      <c r="R133" s="11">
        <v>75.731999999999999</v>
      </c>
      <c r="S133" s="11">
        <v>146.738</v>
      </c>
      <c r="T133" s="11">
        <v>96.97399999999999</v>
      </c>
      <c r="U133" s="11">
        <v>65.861999999999995</v>
      </c>
      <c r="V133" s="11">
        <v>84.210000000000008</v>
      </c>
      <c r="W133" s="11">
        <v>110.36099999999999</v>
      </c>
      <c r="X133" s="11">
        <v>108.62558402849999</v>
      </c>
      <c r="Y133" s="11">
        <v>107.59194700379999</v>
      </c>
      <c r="Z133" s="11">
        <v>84.374374591499986</v>
      </c>
      <c r="AA133" s="11">
        <v>125.2670629644</v>
      </c>
      <c r="AB133" s="11">
        <v>150.40148071829998</v>
      </c>
      <c r="AC133" s="11">
        <v>92.168484979200002</v>
      </c>
      <c r="AD133" s="11">
        <v>79.095260237699989</v>
      </c>
      <c r="AE133" s="11">
        <v>130.60482026339997</v>
      </c>
      <c r="AF133" s="11">
        <v>156.69545606609998</v>
      </c>
      <c r="AG133" s="11">
        <v>116.08224027539998</v>
      </c>
      <c r="AH133" s="11">
        <v>137.2846412049</v>
      </c>
      <c r="AI133" s="11">
        <v>104.08674499859998</v>
      </c>
      <c r="AJ133" s="11">
        <v>45.796429087500002</v>
      </c>
      <c r="AK133" s="11">
        <v>82.782674251199992</v>
      </c>
      <c r="AL133" s="11">
        <v>137.7114927678</v>
      </c>
      <c r="AM133" s="11">
        <v>136.35840601530001</v>
      </c>
      <c r="AN133" s="11">
        <v>155.72623074749998</v>
      </c>
      <c r="AO133" s="11">
        <f>'[1]Soy Complex'!AX$104</f>
        <v>85.757142857142853</v>
      </c>
      <c r="AP133" s="11">
        <f>'[1]Soy Complex'!AY$104</f>
        <v>79.328571428571422</v>
      </c>
      <c r="AQ133" s="11">
        <f>'[1]Soy Complex'!AZ$104</f>
        <v>84.638571428571424</v>
      </c>
      <c r="AR133" s="11">
        <f>'[1]Soy Complex'!BA$104</f>
        <v>77.657142857142858</v>
      </c>
      <c r="AS133" s="11">
        <f>'[1]Soy Complex'!BB$104</f>
        <v>88.491428571428571</v>
      </c>
      <c r="AT133" s="11">
        <f>'[1]Soy Complex'!BC$104</f>
        <v>93.258571428571429</v>
      </c>
      <c r="AU133" s="11">
        <f>'[1]Soy Complex'!BD$104</f>
        <v>88.045714285714283</v>
      </c>
      <c r="AV133" s="11">
        <f>'[1]Soy Complex'!BE$104</f>
        <v>89.932857142857145</v>
      </c>
      <c r="AW133" s="11">
        <f>'[1]Soy Complex'!BF$104</f>
        <v>88.856999999999999</v>
      </c>
      <c r="AX133" s="11">
        <f>'[1]Soy Complex'!BG$104</f>
        <v>92.841571428571427</v>
      </c>
      <c r="AY133" s="11">
        <f>'[1]Soy Complex'!BH$104</f>
        <v>73.183942857142867</v>
      </c>
      <c r="AZ133" s="11">
        <f>'[1]Soy Complex'!BI$104</f>
        <v>78.09748571428571</v>
      </c>
      <c r="BA133" s="11">
        <f>'[1]Soy Complex'!BJ$104</f>
        <v>66.688971428571421</v>
      </c>
      <c r="BB133" s="11">
        <f>'[1]Soy Complex'!BK$104</f>
        <v>66.428571428571431</v>
      </c>
    </row>
    <row r="134" spans="1:54" x14ac:dyDescent="0.2">
      <c r="A134" t="s">
        <v>10</v>
      </c>
      <c r="B134" s="11">
        <v>23.295839999999998</v>
      </c>
      <c r="C134" s="11">
        <v>23.094239999999999</v>
      </c>
      <c r="D134" s="11">
        <v>24.332639999999998</v>
      </c>
      <c r="E134" s="11">
        <v>28.774560000000001</v>
      </c>
      <c r="F134" s="11">
        <v>26.35248</v>
      </c>
      <c r="G134" s="11">
        <v>27.462719999999997</v>
      </c>
      <c r="H134" s="11">
        <v>25.7</v>
      </c>
      <c r="I134" s="11">
        <v>30.289000000000001</v>
      </c>
      <c r="J134" s="11">
        <v>33.214999999999996</v>
      </c>
      <c r="K134" s="11">
        <v>26.616999999999997</v>
      </c>
      <c r="L134" s="11">
        <v>23.799999999999997</v>
      </c>
      <c r="M134" s="11">
        <v>35.64</v>
      </c>
      <c r="N134" s="11">
        <v>35</v>
      </c>
      <c r="O134" s="11">
        <v>40.870000000000005</v>
      </c>
      <c r="P134" s="11">
        <v>31.604999999999997</v>
      </c>
      <c r="Q134" s="11">
        <v>14.64</v>
      </c>
      <c r="R134" s="11">
        <v>27.6</v>
      </c>
      <c r="S134" s="11">
        <v>14</v>
      </c>
      <c r="T134" s="11">
        <v>13.713999999999999</v>
      </c>
      <c r="U134" s="11">
        <v>24.780999999999999</v>
      </c>
      <c r="V134" s="11">
        <v>35.506</v>
      </c>
      <c r="W134" s="11">
        <v>29.352</v>
      </c>
      <c r="X134" s="11">
        <v>12.613999999999997</v>
      </c>
      <c r="Y134" s="11">
        <v>34.498000000000005</v>
      </c>
      <c r="Z134" s="11">
        <v>13.564999999999998</v>
      </c>
      <c r="AA134" s="11">
        <v>45.894000000000005</v>
      </c>
      <c r="AB134" s="11">
        <v>42.709999999999994</v>
      </c>
      <c r="AC134" s="11">
        <v>19.600999999999999</v>
      </c>
      <c r="AD134" s="11">
        <v>21.402000000000001</v>
      </c>
      <c r="AE134" s="11">
        <v>23.597999999999999</v>
      </c>
      <c r="AF134" s="11">
        <v>11.317999999999998</v>
      </c>
      <c r="AG134" s="11">
        <v>21.725999999999999</v>
      </c>
      <c r="AH134" s="11">
        <v>31.006999999999998</v>
      </c>
      <c r="AI134" s="11">
        <v>25.603000000000002</v>
      </c>
      <c r="AJ134" s="11">
        <v>19.512</v>
      </c>
      <c r="AK134" s="11">
        <v>14.091999999999999</v>
      </c>
      <c r="AL134" s="11">
        <v>17.367999999999995</v>
      </c>
      <c r="AM134" s="11">
        <v>11.712000000000003</v>
      </c>
      <c r="AN134" s="11">
        <v>29.658000000000001</v>
      </c>
      <c r="AO134" s="11">
        <f>'[1]Soy Complex'!AX$105</f>
        <v>-180.17901583650951</v>
      </c>
      <c r="AP134" s="11">
        <f>'[1]Soy Complex'!AY$105</f>
        <v>-165.2537603974713</v>
      </c>
      <c r="AQ134" s="11">
        <f>'[1]Soy Complex'!AZ$105</f>
        <v>-161.13306645247144</v>
      </c>
      <c r="AR134" s="11">
        <f>'[1]Soy Complex'!BA$105</f>
        <v>-194.27406586039285</v>
      </c>
      <c r="AS134" s="11">
        <f>'[1]Soy Complex'!BB$105</f>
        <v>-183.91031678445995</v>
      </c>
      <c r="AT134" s="11">
        <f>'[1]Soy Complex'!BC$105</f>
        <v>-173.5216013520768</v>
      </c>
      <c r="AU134" s="11">
        <f>'[1]Soy Complex'!BD$105</f>
        <v>-211.58565629464226</v>
      </c>
      <c r="AV134" s="11">
        <f>'[1]Soy Complex'!BE$105</f>
        <v>-147.2908549942706</v>
      </c>
      <c r="AW134" s="11">
        <f>'[1]Soy Complex'!BF$105</f>
        <v>-138.05896503700228</v>
      </c>
      <c r="AX134" s="11">
        <f>'[1]Soy Complex'!BG$105</f>
        <v>-193.44110964180697</v>
      </c>
      <c r="AY134" s="11">
        <f>'[1]Soy Complex'!BH$105</f>
        <v>-149.46098449191925</v>
      </c>
      <c r="AZ134" s="11">
        <f>'[1]Soy Complex'!BI$105</f>
        <v>-75.335566704712278</v>
      </c>
      <c r="BA134" s="11">
        <f>'[1]Soy Complex'!BJ$105</f>
        <v>-152.6441826445681</v>
      </c>
      <c r="BB134" s="11">
        <f>'[1]Soy Complex'!BK$105</f>
        <v>-185.50730736250898</v>
      </c>
    </row>
    <row r="135" spans="1:54" x14ac:dyDescent="0.2">
      <c r="A135" t="s">
        <v>11</v>
      </c>
      <c r="B135" s="11">
        <v>-30.82983999999999</v>
      </c>
      <c r="C135" s="11">
        <v>-32.335239999999999</v>
      </c>
      <c r="D135" s="11">
        <v>-30.776639999999986</v>
      </c>
      <c r="E135" s="11">
        <v>-25.418560000000042</v>
      </c>
      <c r="F135" s="11">
        <v>-44.293479999999988</v>
      </c>
      <c r="G135" s="11">
        <v>-46.292719999999974</v>
      </c>
      <c r="H135" s="11">
        <v>-25.563999999999965</v>
      </c>
      <c r="I135" s="11">
        <v>-29.75800000000001</v>
      </c>
      <c r="J135" s="11">
        <v>-42.594333333333338</v>
      </c>
      <c r="K135" s="11">
        <v>-29.096999999999923</v>
      </c>
      <c r="L135" s="11">
        <v>-24.742333333333363</v>
      </c>
      <c r="M135" s="11">
        <v>-1.2273333333333198</v>
      </c>
      <c r="N135" s="11">
        <v>-29.576666666666597</v>
      </c>
      <c r="O135" s="11">
        <v>-23.206000000000017</v>
      </c>
      <c r="P135" s="11">
        <v>-57.385999999999967</v>
      </c>
      <c r="Q135" s="11">
        <v>-28.207999999999913</v>
      </c>
      <c r="R135" s="11">
        <v>-31.855666666666593</v>
      </c>
      <c r="S135" s="11">
        <v>-25.980666666666593</v>
      </c>
      <c r="T135" s="11">
        <v>-12.354666666666617</v>
      </c>
      <c r="U135" s="11">
        <v>-33.700666666666677</v>
      </c>
      <c r="V135" s="11">
        <v>-40.60033333333331</v>
      </c>
      <c r="W135" s="11">
        <v>-36.257999999999868</v>
      </c>
      <c r="X135" s="11">
        <v>-8.2815840284999354</v>
      </c>
      <c r="Y135" s="11">
        <v>-40.939510710439947</v>
      </c>
      <c r="Z135" s="11">
        <v>-49.538171480819926</v>
      </c>
      <c r="AA135" s="11">
        <v>-36.865380937540124</v>
      </c>
      <c r="AB135" s="11">
        <v>-78.4574431113532</v>
      </c>
      <c r="AC135" s="11">
        <v>-55.065160823919996</v>
      </c>
      <c r="AD135" s="11">
        <v>-58.329676156586686</v>
      </c>
      <c r="AE135" s="11">
        <v>-29.027516251179975</v>
      </c>
      <c r="AF135" s="11">
        <v>-52.483642841456629</v>
      </c>
      <c r="AG135" s="11">
        <v>-71.431835140100077</v>
      </c>
      <c r="AH135" s="11">
        <v>-86.046910580450003</v>
      </c>
      <c r="AI135" s="11">
        <v>-80.482274461996781</v>
      </c>
      <c r="AJ135" s="11">
        <v>-93.790410193309981</v>
      </c>
      <c r="AK135" s="11">
        <v>-52.888657449079858</v>
      </c>
      <c r="AL135" s="11">
        <v>-40.750168823233366</v>
      </c>
      <c r="AM135" s="11">
        <v>-72.120475819760145</v>
      </c>
      <c r="AN135" s="11">
        <v>-120.93045589310339</v>
      </c>
      <c r="AO135" s="11">
        <f>AO136-AO134-AO133-AO132</f>
        <v>527.45466965316041</v>
      </c>
      <c r="AP135" s="11">
        <f t="shared" ref="AP135:BB135" si="18">AP136-AP134-AP133-AP132</f>
        <v>538.28879152126478</v>
      </c>
      <c r="AQ135" s="11">
        <f t="shared" si="18"/>
        <v>593.60765658663922</v>
      </c>
      <c r="AR135" s="11">
        <f t="shared" si="18"/>
        <v>585.51380928202479</v>
      </c>
      <c r="AS135" s="11">
        <f t="shared" si="18"/>
        <v>503.57917796196949</v>
      </c>
      <c r="AT135" s="11">
        <f t="shared" si="18"/>
        <v>458.20554590534061</v>
      </c>
      <c r="AU135" s="11">
        <f t="shared" si="18"/>
        <v>643.04658051622926</v>
      </c>
      <c r="AV135" s="11">
        <f t="shared" si="18"/>
        <v>645.95515673051295</v>
      </c>
      <c r="AW135" s="11">
        <f t="shared" si="18"/>
        <v>757.85374239748876</v>
      </c>
      <c r="AX135" s="11">
        <f t="shared" si="18"/>
        <v>956.96192122653156</v>
      </c>
      <c r="AY135" s="11">
        <f t="shared" si="18"/>
        <v>1424.527584934581</v>
      </c>
      <c r="AZ135" s="11">
        <f t="shared" si="18"/>
        <v>1061.9682047830929</v>
      </c>
      <c r="BA135" s="11">
        <f t="shared" si="18"/>
        <v>753.78835299417472</v>
      </c>
      <c r="BB135" s="11">
        <f t="shared" si="18"/>
        <v>805.56014087173116</v>
      </c>
    </row>
    <row r="136" spans="1:54" x14ac:dyDescent="0.2">
      <c r="A136" t="s">
        <v>12</v>
      </c>
      <c r="B136" s="11">
        <v>276.16399999999999</v>
      </c>
      <c r="C136" s="11">
        <v>279.221</v>
      </c>
      <c r="D136" s="11">
        <v>249.03800000000001</v>
      </c>
      <c r="E136" s="11">
        <v>198.36599999999999</v>
      </c>
      <c r="F136" s="11">
        <v>276.74900000000002</v>
      </c>
      <c r="G136" s="11">
        <v>235.94900000000001</v>
      </c>
      <c r="H136" s="11">
        <v>310.02699999999999</v>
      </c>
      <c r="I136" s="11">
        <v>232.81100000000001</v>
      </c>
      <c r="J136" s="11">
        <v>345.18</v>
      </c>
      <c r="K136" s="11">
        <v>350.51700000000005</v>
      </c>
      <c r="L136" s="11">
        <v>415.70899999999995</v>
      </c>
      <c r="M136" s="11">
        <v>367.95499999999998</v>
      </c>
      <c r="N136" s="11">
        <v>391.91100000000006</v>
      </c>
      <c r="O136" s="11">
        <v>446</v>
      </c>
      <c r="P136" s="11">
        <v>295.84000000000003</v>
      </c>
      <c r="Q136" s="11">
        <v>292.38200000000006</v>
      </c>
      <c r="R136" s="11">
        <v>312.59300000000007</v>
      </c>
      <c r="S136" s="11">
        <v>400.32400000000007</v>
      </c>
      <c r="T136" s="11">
        <v>353.85</v>
      </c>
      <c r="U136" s="11">
        <v>282.84900000000005</v>
      </c>
      <c r="V136" s="11">
        <v>357.53899999999999</v>
      </c>
      <c r="W136" s="11">
        <v>395.67200000000008</v>
      </c>
      <c r="X136" s="11">
        <v>417.548</v>
      </c>
      <c r="Y136" s="11">
        <v>391.24043629336006</v>
      </c>
      <c r="Z136" s="11">
        <v>347.51120311068007</v>
      </c>
      <c r="AA136" s="11">
        <v>457.75568202685992</v>
      </c>
      <c r="AB136" s="11">
        <v>439.69737094028005</v>
      </c>
      <c r="AC136" s="11">
        <v>375.46432415528</v>
      </c>
      <c r="AD136" s="11">
        <v>395.38425074778002</v>
      </c>
      <c r="AE136" s="11">
        <v>500.57530401221999</v>
      </c>
      <c r="AF136" s="11">
        <v>485.52647989130998</v>
      </c>
      <c r="AG136" s="11">
        <v>461.48640513529989</v>
      </c>
      <c r="AH136" s="11">
        <v>477.23473062444998</v>
      </c>
      <c r="AI136" s="11">
        <v>424.94413720326992</v>
      </c>
      <c r="AJ136" s="11">
        <v>299.12801889419001</v>
      </c>
      <c r="AK136" s="11">
        <v>445.79601680212005</v>
      </c>
      <c r="AL136" s="11">
        <v>542.42265727789993</v>
      </c>
      <c r="AM136" s="11">
        <v>521.40871419553991</v>
      </c>
      <c r="AN136" s="11">
        <v>473.44710818773001</v>
      </c>
      <c r="AO136" s="11">
        <f>AO131-AO137</f>
        <v>598.83400298649383</v>
      </c>
      <c r="AP136" s="11">
        <f t="shared" ref="AP136:BB136" si="19">AP131-AP137</f>
        <v>574.20560152126495</v>
      </c>
      <c r="AQ136" s="11">
        <f t="shared" si="19"/>
        <v>622.63912054663911</v>
      </c>
      <c r="AR136" s="11">
        <f t="shared" si="19"/>
        <v>672.87920437177718</v>
      </c>
      <c r="AS136" s="11">
        <f t="shared" si="19"/>
        <v>458.65666396266471</v>
      </c>
      <c r="AT136" s="11">
        <f t="shared" si="19"/>
        <v>435.72235644551625</v>
      </c>
      <c r="AU136" s="11">
        <f t="shared" si="19"/>
        <v>636.18778051622928</v>
      </c>
      <c r="AV136" s="11">
        <f t="shared" si="19"/>
        <v>878.43963879152284</v>
      </c>
      <c r="AW136" s="11">
        <f t="shared" si="19"/>
        <v>970.9560041057872</v>
      </c>
      <c r="AX136" s="11">
        <f t="shared" si="19"/>
        <v>1225.1138472019861</v>
      </c>
      <c r="AY136" s="11">
        <f t="shared" si="19"/>
        <v>1787.0391516012478</v>
      </c>
      <c r="AZ136" s="11">
        <f t="shared" si="19"/>
        <v>1386.509813371413</v>
      </c>
      <c r="BA136" s="11">
        <f t="shared" si="19"/>
        <v>779.97999116543815</v>
      </c>
      <c r="BB136" s="11">
        <f t="shared" si="19"/>
        <v>973.45510535608457</v>
      </c>
    </row>
    <row r="137" spans="1:54" x14ac:dyDescent="0.2">
      <c r="A137" t="s">
        <v>81</v>
      </c>
      <c r="B137" s="11">
        <v>229.83600000000001</v>
      </c>
      <c r="C137" s="11">
        <v>98.778999999999996</v>
      </c>
      <c r="D137" s="11">
        <v>71.962000000000003</v>
      </c>
      <c r="E137" s="11">
        <v>59.634</v>
      </c>
      <c r="F137" s="11">
        <v>170.751</v>
      </c>
      <c r="G137" s="11">
        <v>188.15100000000001</v>
      </c>
      <c r="H137" s="11">
        <v>244.94</v>
      </c>
      <c r="I137" s="11">
        <v>102.92400000000001</v>
      </c>
      <c r="J137" s="11">
        <v>161.17599999999999</v>
      </c>
      <c r="K137" s="11">
        <v>175.58799999999999</v>
      </c>
      <c r="L137" s="11">
        <v>358.476</v>
      </c>
      <c r="M137" s="11">
        <v>313.00700000000001</v>
      </c>
      <c r="N137" s="11">
        <v>254.48099999999999</v>
      </c>
      <c r="O137" s="11">
        <v>344.63400000000001</v>
      </c>
      <c r="P137" s="11">
        <v>175.696</v>
      </c>
      <c r="Q137" s="11">
        <v>316.05700000000002</v>
      </c>
      <c r="R137" s="11">
        <v>536.36500000000001</v>
      </c>
      <c r="S137" s="11">
        <v>436.447</v>
      </c>
      <c r="T137" s="11">
        <v>302.476</v>
      </c>
      <c r="U137" s="11">
        <v>182.029</v>
      </c>
      <c r="V137" s="11">
        <v>239.13900000000001</v>
      </c>
      <c r="W137" s="11">
        <v>329.04199999999997</v>
      </c>
      <c r="X137" s="11">
        <v>278.43700000000001</v>
      </c>
      <c r="Y137" s="11">
        <v>292.28399999999999</v>
      </c>
      <c r="Z137" s="11">
        <v>209.11699999999999</v>
      </c>
      <c r="AA137" s="11">
        <v>334.81400000000002</v>
      </c>
      <c r="AB137" s="11">
        <v>183.458</v>
      </c>
      <c r="AC137" s="11">
        <v>131.833</v>
      </c>
      <c r="AD137" s="11">
        <v>199.79900000000001</v>
      </c>
      <c r="AE137" s="11">
        <v>348.48200000000003</v>
      </c>
      <c r="AF137" s="11">
        <v>290.16199999999998</v>
      </c>
      <c r="AG137" s="11">
        <v>247.74700000000001</v>
      </c>
      <c r="AH137" s="11">
        <v>208.06100000000001</v>
      </c>
      <c r="AI137" s="11">
        <v>178.32900000000001</v>
      </c>
      <c r="AJ137" s="11">
        <v>112.414</v>
      </c>
      <c r="AK137" s="11">
        <v>255.738</v>
      </c>
      <c r="AL137" s="11">
        <v>449.32600000000002</v>
      </c>
      <c r="AM137" s="11">
        <v>573.80999999999995</v>
      </c>
      <c r="AN137" s="11">
        <v>205.03399999999999</v>
      </c>
      <c r="AO137" s="11">
        <f>'[1]Soy Complex'!AX$108</f>
        <v>0.30036774933926835</v>
      </c>
      <c r="AP137" s="11">
        <f>'[1]Soy Complex'!AY$108</f>
        <v>0.35681684891596349</v>
      </c>
      <c r="AQ137" s="11">
        <f>'[1]Soy Complex'!AZ$108</f>
        <v>0.5280604162829251</v>
      </c>
      <c r="AR137" s="11">
        <f>'[1]Soy Complex'!BA$108</f>
        <v>0.33678061040864254</v>
      </c>
      <c r="AS137" s="11">
        <f>'[1]Soy Complex'!BB$108</f>
        <v>0.44230775282348539</v>
      </c>
      <c r="AT137" s="11">
        <f>'[1]Soy Complex'!BC$108</f>
        <v>0.26792974893691385</v>
      </c>
      <c r="AU137" s="11">
        <f>'[1]Soy Complex'!BD$108</f>
        <v>0.42822160316319197</v>
      </c>
      <c r="AV137" s="11">
        <f>'[1]Soy Complex'!BE$108</f>
        <v>0.28901524265935563</v>
      </c>
      <c r="AW137" s="11">
        <f>'[1]Soy Complex'!BF$108</f>
        <v>0.45110228315991696</v>
      </c>
      <c r="AX137" s="11">
        <f>'[1]Soy Complex'!BG$108</f>
        <v>0.55723872405800345</v>
      </c>
      <c r="AY137" s="11">
        <f>'[1]Soy Complex'!BH$108</f>
        <v>1.0363795143773757</v>
      </c>
      <c r="AZ137" s="11">
        <f>'[1]Soy Complex'!BI$108</f>
        <v>0.60922079696091325</v>
      </c>
      <c r="BA137" s="11">
        <f>'[1]Soy Complex'!BJ$108</f>
        <v>0.49179900736650878</v>
      </c>
      <c r="BB137" s="11">
        <f>'[1]Soy Complex'!BK$108</f>
        <v>0.39285833719360719</v>
      </c>
    </row>
    <row r="138" spans="1:54" x14ac:dyDescent="0.2">
      <c r="A138" t="s">
        <v>14</v>
      </c>
      <c r="B138" s="15">
        <f t="shared" ref="B138:BA138" si="20">(B137-B134-B135)/B136</f>
        <v>0.85952549934097133</v>
      </c>
      <c r="C138" s="15">
        <f t="shared" si="20"/>
        <v>0.38686201969049605</v>
      </c>
      <c r="D138" s="15">
        <f t="shared" si="20"/>
        <v>0.31483548695379815</v>
      </c>
      <c r="E138" s="15">
        <f t="shared" si="20"/>
        <v>0.28370789348981201</v>
      </c>
      <c r="F138" s="15">
        <f t="shared" si="20"/>
        <v>0.68181637512692006</v>
      </c>
      <c r="G138" s="15">
        <f t="shared" si="20"/>
        <v>0.8772277059873107</v>
      </c>
      <c r="H138" s="15">
        <f t="shared" si="20"/>
        <v>0.78962154909088555</v>
      </c>
      <c r="I138" s="15">
        <f t="shared" si="20"/>
        <v>0.4398116927464768</v>
      </c>
      <c r="J138" s="15">
        <f t="shared" si="20"/>
        <v>0.49410549085501282</v>
      </c>
      <c r="K138" s="15">
        <f t="shared" si="20"/>
        <v>0.50801530310940668</v>
      </c>
      <c r="L138" s="15">
        <f t="shared" si="20"/>
        <v>0.86459117635974536</v>
      </c>
      <c r="M138" s="15">
        <f t="shared" si="20"/>
        <v>0.75714240418891809</v>
      </c>
      <c r="N138" s="15">
        <f t="shared" si="20"/>
        <v>0.63549547388735339</v>
      </c>
      <c r="O138" s="15">
        <f t="shared" si="20"/>
        <v>0.73311659192825118</v>
      </c>
      <c r="P138" s="15">
        <f t="shared" si="20"/>
        <v>0.68103366684694411</v>
      </c>
      <c r="Q138" s="15">
        <f t="shared" si="20"/>
        <v>1.1273778823593787</v>
      </c>
      <c r="R138" s="15">
        <f t="shared" si="20"/>
        <v>1.7294714426320053</v>
      </c>
      <c r="S138" s="15">
        <f t="shared" si="20"/>
        <v>1.1201618355798466</v>
      </c>
      <c r="T138" s="15">
        <f t="shared" si="20"/>
        <v>0.85097263435542347</v>
      </c>
      <c r="U138" s="15">
        <f t="shared" si="20"/>
        <v>0.67509047819390078</v>
      </c>
      <c r="V138" s="15">
        <f t="shared" si="20"/>
        <v>0.68309564364540187</v>
      </c>
      <c r="W138" s="15">
        <f t="shared" si="20"/>
        <v>0.84905679451666982</v>
      </c>
      <c r="X138" s="15">
        <f t="shared" si="20"/>
        <v>0.65646245228931754</v>
      </c>
      <c r="Y138" s="15">
        <f t="shared" si="20"/>
        <v>0.76353434614424531</v>
      </c>
      <c r="Z138" s="15">
        <f t="shared" si="20"/>
        <v>0.7052727200934592</v>
      </c>
      <c r="AA138" s="15">
        <f t="shared" si="20"/>
        <v>0.71170144627155907</v>
      </c>
      <c r="AB138" s="15">
        <f t="shared" si="20"/>
        <v>0.49853707936117225</v>
      </c>
      <c r="AC138" s="15">
        <f t="shared" si="20"/>
        <v>0.44557405340788453</v>
      </c>
      <c r="AD138" s="15">
        <f t="shared" si="20"/>
        <v>0.59872560859182333</v>
      </c>
      <c r="AE138" s="15">
        <f t="shared" si="20"/>
        <v>0.70700954165038143</v>
      </c>
      <c r="AF138" s="15">
        <f t="shared" si="20"/>
        <v>0.68240900664290782</v>
      </c>
      <c r="AG138" s="15">
        <f t="shared" si="20"/>
        <v>0.64455384130523197</v>
      </c>
      <c r="AH138" s="15">
        <f t="shared" si="20"/>
        <v>0.55130294108349753</v>
      </c>
      <c r="AI138" s="15">
        <f t="shared" si="20"/>
        <v>0.54879748664573946</v>
      </c>
      <c r="AJ138" s="15">
        <f t="shared" si="20"/>
        <v>0.62412210960200398</v>
      </c>
      <c r="AK138" s="15">
        <f t="shared" si="20"/>
        <v>0.66069378448443594</v>
      </c>
      <c r="AL138" s="15">
        <f t="shared" si="20"/>
        <v>0.87147570714593203</v>
      </c>
      <c r="AM138" s="15">
        <f t="shared" si="20"/>
        <v>1.2163557273841688</v>
      </c>
      <c r="AN138" s="15">
        <f t="shared" si="20"/>
        <v>0.62584911971964707</v>
      </c>
      <c r="AO138" s="15">
        <f t="shared" si="20"/>
        <v>-0.57941814315299889</v>
      </c>
      <c r="AP138" s="15">
        <f t="shared" si="20"/>
        <v>-0.64903270411770075</v>
      </c>
      <c r="AQ138" s="15">
        <f t="shared" si="20"/>
        <v>-0.69373496695591852</v>
      </c>
      <c r="AR138" s="15">
        <f t="shared" si="20"/>
        <v>-0.58094076956380836</v>
      </c>
      <c r="AS138" s="15">
        <f t="shared" si="20"/>
        <v>-0.69600330379299036</v>
      </c>
      <c r="AT138" s="15">
        <f t="shared" si="20"/>
        <v>-0.65274597595703343</v>
      </c>
      <c r="AU138" s="15">
        <f t="shared" si="20"/>
        <v>-0.67752433451121286</v>
      </c>
      <c r="AV138" s="15">
        <f t="shared" si="20"/>
        <v>-0.56734152750575129</v>
      </c>
      <c r="AW138" s="15">
        <f t="shared" si="20"/>
        <v>-0.63786996780324567</v>
      </c>
      <c r="AX138" s="15">
        <f t="shared" si="20"/>
        <v>-0.62276952840193944</v>
      </c>
      <c r="AY138" s="15">
        <f t="shared" si="20"/>
        <v>-0.7129279846984381</v>
      </c>
      <c r="AZ138" s="15">
        <f t="shared" si="20"/>
        <v>-0.71115502232459682</v>
      </c>
      <c r="BA138" s="15">
        <f t="shared" si="20"/>
        <v>-0.77008689728662338</v>
      </c>
      <c r="BB138" s="15">
        <f>(BB137-BB134-BB135)/BB136</f>
        <v>-0.63655732222531236</v>
      </c>
    </row>
    <row r="139" spans="1:54" x14ac:dyDescent="0.2">
      <c r="A139" t="s">
        <v>17</v>
      </c>
      <c r="B139" s="11">
        <v>150.15100000000001</v>
      </c>
      <c r="C139" s="11">
        <v>2.5</v>
      </c>
      <c r="D139" s="11">
        <v>0</v>
      </c>
      <c r="E139" s="11">
        <v>0</v>
      </c>
      <c r="F139" s="11">
        <v>0</v>
      </c>
      <c r="G139" s="11">
        <v>0</v>
      </c>
      <c r="H139" s="11">
        <v>0</v>
      </c>
      <c r="I139" s="11">
        <v>3.5</v>
      </c>
      <c r="J139" s="11">
        <v>17.600000000000001</v>
      </c>
      <c r="K139" s="11">
        <v>12.5</v>
      </c>
      <c r="L139" s="11">
        <v>42</v>
      </c>
      <c r="M139" s="11">
        <v>56.4</v>
      </c>
      <c r="N139" s="11">
        <v>83.9</v>
      </c>
      <c r="O139" s="11">
        <v>119.4</v>
      </c>
      <c r="P139" s="11">
        <v>27.2</v>
      </c>
      <c r="Q139" s="11">
        <v>157</v>
      </c>
      <c r="R139" s="11">
        <v>323.5</v>
      </c>
      <c r="S139" s="11">
        <v>148</v>
      </c>
      <c r="T139" s="11">
        <v>42.5</v>
      </c>
      <c r="U139" s="11">
        <v>16.899999999999999</v>
      </c>
      <c r="V139" s="11">
        <v>26.7</v>
      </c>
      <c r="W139" s="11">
        <v>53.4</v>
      </c>
      <c r="X139" s="11">
        <v>39.799999999999997</v>
      </c>
      <c r="Y139" s="11">
        <v>56</v>
      </c>
      <c r="Z139" s="11">
        <v>10.3</v>
      </c>
      <c r="AA139" s="11">
        <v>51.7</v>
      </c>
      <c r="AB139" s="11">
        <v>18.2</v>
      </c>
      <c r="AC139" s="11">
        <v>15.7</v>
      </c>
      <c r="AD139" s="11">
        <v>45.7</v>
      </c>
      <c r="AE139" s="11">
        <v>58.128999999999998</v>
      </c>
      <c r="AF139" s="11">
        <v>48.113999999999997</v>
      </c>
      <c r="AG139" s="11">
        <v>28.576000000000001</v>
      </c>
      <c r="AH139" s="11">
        <v>25.719000000000001</v>
      </c>
      <c r="AI139" s="11">
        <v>43.015000000000001</v>
      </c>
      <c r="AJ139" s="11">
        <v>12.923</v>
      </c>
      <c r="AK139" s="11">
        <v>58.49</v>
      </c>
      <c r="AL139" s="11">
        <v>119.947</v>
      </c>
      <c r="AM139" s="11">
        <v>56.36</v>
      </c>
      <c r="AN139" s="11">
        <v>7.1749999999999998</v>
      </c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</row>
    <row r="140" spans="1:54" x14ac:dyDescent="0.2">
      <c r="A140" t="s">
        <v>19</v>
      </c>
      <c r="B140" s="11">
        <v>46.710999999999999</v>
      </c>
      <c r="C140" s="11">
        <v>8.8870000000000005</v>
      </c>
      <c r="D140" s="11">
        <v>1.494</v>
      </c>
      <c r="E140" s="11">
        <v>0.219</v>
      </c>
      <c r="F140" s="11">
        <v>0.80600000000000005</v>
      </c>
      <c r="G140" s="11">
        <v>0.44700000000000001</v>
      </c>
      <c r="H140" s="11">
        <v>0</v>
      </c>
      <c r="I140" s="11">
        <v>0</v>
      </c>
      <c r="J140" s="11">
        <v>0</v>
      </c>
      <c r="K140" s="11">
        <v>0</v>
      </c>
      <c r="L140" s="11">
        <v>0</v>
      </c>
      <c r="M140" s="11">
        <v>0</v>
      </c>
      <c r="N140" s="11">
        <v>0.5</v>
      </c>
      <c r="O140" s="11">
        <v>20.9</v>
      </c>
      <c r="P140" s="11">
        <v>0.7</v>
      </c>
      <c r="Q140" s="11">
        <v>4.4000000000000004</v>
      </c>
      <c r="R140" s="11">
        <v>131.30000000000001</v>
      </c>
      <c r="S140" s="11">
        <v>249.2</v>
      </c>
      <c r="T140" s="11">
        <v>6.9</v>
      </c>
      <c r="U140" s="11">
        <v>0.3</v>
      </c>
      <c r="V140" s="11">
        <v>0</v>
      </c>
      <c r="W140" s="11">
        <v>0</v>
      </c>
      <c r="X140" s="11">
        <v>0</v>
      </c>
      <c r="Y140" s="11">
        <v>0</v>
      </c>
      <c r="Z140" s="11">
        <v>0</v>
      </c>
      <c r="AA140" s="11">
        <v>0.5</v>
      </c>
      <c r="AB140" s="11">
        <v>0</v>
      </c>
      <c r="AC140" s="11">
        <v>0</v>
      </c>
      <c r="AD140" s="11">
        <v>0.6</v>
      </c>
      <c r="AE140" s="11">
        <v>3.8</v>
      </c>
      <c r="AF140" s="11">
        <v>7</v>
      </c>
      <c r="AG140" s="11">
        <v>2</v>
      </c>
      <c r="AH140" s="11">
        <v>2.7</v>
      </c>
      <c r="AI140" s="11">
        <v>0.7</v>
      </c>
      <c r="AJ140" s="11">
        <v>0</v>
      </c>
      <c r="AK140" s="11">
        <v>0</v>
      </c>
      <c r="AL140" s="11">
        <v>0.1</v>
      </c>
      <c r="AM140" s="11">
        <v>1.0509999999999999</v>
      </c>
      <c r="AN140" s="11">
        <v>0</v>
      </c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</row>
    <row r="141" spans="1:54" x14ac:dyDescent="0.2">
      <c r="A141" t="s">
        <v>20</v>
      </c>
      <c r="B141" s="11">
        <v>196.86200000000002</v>
      </c>
      <c r="C141" s="11">
        <v>11.387</v>
      </c>
      <c r="D141" s="11">
        <v>1.494</v>
      </c>
      <c r="E141" s="11">
        <v>0.219</v>
      </c>
      <c r="F141" s="11">
        <v>0.80600000000000005</v>
      </c>
      <c r="G141" s="11">
        <v>0.44700000000000001</v>
      </c>
      <c r="H141" s="11">
        <v>0</v>
      </c>
      <c r="I141" s="11">
        <v>3.5</v>
      </c>
      <c r="J141" s="11">
        <v>17.600000000000001</v>
      </c>
      <c r="K141" s="11">
        <v>12.5</v>
      </c>
      <c r="L141" s="11">
        <v>42</v>
      </c>
      <c r="M141" s="11">
        <v>56.4</v>
      </c>
      <c r="N141" s="11">
        <v>84.4</v>
      </c>
      <c r="O141" s="11">
        <v>140.30000000000001</v>
      </c>
      <c r="P141" s="11">
        <v>27.9</v>
      </c>
      <c r="Q141" s="11">
        <v>161.4</v>
      </c>
      <c r="R141" s="11">
        <v>454.8</v>
      </c>
      <c r="S141" s="11">
        <v>397.2</v>
      </c>
      <c r="T141" s="11">
        <v>49.4</v>
      </c>
      <c r="U141" s="11">
        <v>17.2</v>
      </c>
      <c r="V141" s="11">
        <v>26.7</v>
      </c>
      <c r="W141" s="11">
        <v>53.4</v>
      </c>
      <c r="X141" s="11">
        <v>39.799999999999997</v>
      </c>
      <c r="Y141" s="11">
        <v>56</v>
      </c>
      <c r="Z141" s="11">
        <v>10.3</v>
      </c>
      <c r="AA141" s="11">
        <v>52.2</v>
      </c>
      <c r="AB141" s="11">
        <v>18.2</v>
      </c>
      <c r="AC141" s="11">
        <v>15.7</v>
      </c>
      <c r="AD141" s="11">
        <v>46.300000000000004</v>
      </c>
      <c r="AE141" s="11">
        <v>61.928999999999995</v>
      </c>
      <c r="AF141" s="11">
        <v>55.113999999999997</v>
      </c>
      <c r="AG141" s="11">
        <v>30.576000000000001</v>
      </c>
      <c r="AH141" s="11">
        <v>28.419</v>
      </c>
      <c r="AI141" s="11">
        <v>43.715000000000003</v>
      </c>
      <c r="AJ141" s="11">
        <v>12.923</v>
      </c>
      <c r="AK141" s="11">
        <v>58.49</v>
      </c>
      <c r="AL141" s="11">
        <v>120.047</v>
      </c>
      <c r="AM141" s="11">
        <v>57.411000000000001</v>
      </c>
      <c r="AN141" s="11">
        <v>7.1749999999999998</v>
      </c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</row>
    <row r="142" spans="1:54" x14ac:dyDescent="0.2">
      <c r="A142" t="s">
        <v>21</v>
      </c>
      <c r="B142" s="11">
        <v>32.97399999999999</v>
      </c>
      <c r="C142" s="11">
        <v>87.391999999999996</v>
      </c>
      <c r="D142" s="11">
        <v>70.468000000000004</v>
      </c>
      <c r="E142" s="11">
        <v>59.414999999999999</v>
      </c>
      <c r="F142" s="11">
        <v>169.94499999999999</v>
      </c>
      <c r="G142" s="11">
        <v>187.70400000000001</v>
      </c>
      <c r="H142" s="11">
        <v>244.94</v>
      </c>
      <c r="I142" s="11">
        <v>99.424000000000007</v>
      </c>
      <c r="J142" s="11">
        <v>143.57599999999999</v>
      </c>
      <c r="K142" s="11">
        <v>163.08799999999999</v>
      </c>
      <c r="L142" s="11">
        <v>316.476</v>
      </c>
      <c r="M142" s="11">
        <v>256.60700000000003</v>
      </c>
      <c r="N142" s="11">
        <v>170.08099999999999</v>
      </c>
      <c r="O142" s="11">
        <v>204.334</v>
      </c>
      <c r="P142" s="11">
        <v>147.79599999999999</v>
      </c>
      <c r="Q142" s="11">
        <v>154.65700000000001</v>
      </c>
      <c r="R142" s="11">
        <v>81.564999999999998</v>
      </c>
      <c r="S142" s="11">
        <v>39.247000000000014</v>
      </c>
      <c r="T142" s="11">
        <v>253.07599999999999</v>
      </c>
      <c r="U142" s="11">
        <v>164.82900000000001</v>
      </c>
      <c r="V142" s="11">
        <v>212.43900000000002</v>
      </c>
      <c r="W142" s="11">
        <v>275.642</v>
      </c>
      <c r="X142" s="11">
        <v>238.637</v>
      </c>
      <c r="Y142" s="11">
        <v>236.28399999999999</v>
      </c>
      <c r="Z142" s="11">
        <v>198.81699999999998</v>
      </c>
      <c r="AA142" s="11">
        <v>282.61400000000003</v>
      </c>
      <c r="AB142" s="11">
        <v>165.25800000000001</v>
      </c>
      <c r="AC142" s="11">
        <v>116.133</v>
      </c>
      <c r="AD142" s="11">
        <v>153.499</v>
      </c>
      <c r="AE142" s="11">
        <v>286.55300000000005</v>
      </c>
      <c r="AF142" s="11">
        <v>235.04799999999997</v>
      </c>
      <c r="AG142" s="11">
        <v>217.17100000000002</v>
      </c>
      <c r="AH142" s="11">
        <v>179.642</v>
      </c>
      <c r="AI142" s="11">
        <v>134.614</v>
      </c>
      <c r="AJ142" s="11">
        <v>99.491</v>
      </c>
      <c r="AK142" s="11">
        <v>197.24799999999999</v>
      </c>
      <c r="AL142" s="11">
        <v>329.279</v>
      </c>
      <c r="AM142" s="11">
        <v>516.39899999999989</v>
      </c>
      <c r="AN142" s="11">
        <v>197.85899999999998</v>
      </c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</row>
    <row r="143" spans="1:54" x14ac:dyDescent="0.2">
      <c r="A143" t="s">
        <v>72</v>
      </c>
      <c r="B143" s="11"/>
      <c r="C143" s="11"/>
      <c r="D143" s="11"/>
      <c r="E143" s="11"/>
      <c r="F143" s="11"/>
      <c r="G143" s="11"/>
      <c r="H143" s="11">
        <v>86.159000000000006</v>
      </c>
      <c r="I143" s="11">
        <v>32.756</v>
      </c>
      <c r="J143" s="11">
        <v>59.131999999999998</v>
      </c>
      <c r="K143" s="11">
        <v>61.509</v>
      </c>
      <c r="L143" s="11">
        <v>128.596</v>
      </c>
      <c r="M143" s="11">
        <v>153.571</v>
      </c>
      <c r="N143" s="11">
        <v>117.749</v>
      </c>
      <c r="O143" s="11">
        <v>118.574</v>
      </c>
      <c r="P143" s="11">
        <v>67.912000000000006</v>
      </c>
      <c r="Q143" s="11">
        <v>143.221</v>
      </c>
      <c r="R143" s="11">
        <v>167.09</v>
      </c>
      <c r="S143" s="11">
        <v>107.95</v>
      </c>
      <c r="T143" s="11">
        <v>105.05</v>
      </c>
      <c r="U143" s="11">
        <v>87.32</v>
      </c>
      <c r="V143" s="11">
        <v>86</v>
      </c>
      <c r="W143" s="11">
        <v>118.4</v>
      </c>
      <c r="X143" s="11">
        <v>105</v>
      </c>
      <c r="Y143" s="11">
        <v>124.97</v>
      </c>
      <c r="Z143" s="11">
        <v>59.08</v>
      </c>
      <c r="AA143" s="11">
        <v>105.13</v>
      </c>
      <c r="AB143" s="11">
        <v>59.523000000000003</v>
      </c>
      <c r="AC143" s="11">
        <v>43.6</v>
      </c>
      <c r="AD143" s="11">
        <v>84.3</v>
      </c>
      <c r="AE143" s="11">
        <v>145</v>
      </c>
      <c r="AF143" s="11">
        <v>112.5</v>
      </c>
      <c r="AG143" s="11">
        <v>83.5</v>
      </c>
      <c r="AH143" s="11">
        <v>62.7</v>
      </c>
      <c r="AI143" s="11">
        <v>58</v>
      </c>
      <c r="AJ143" s="11">
        <v>29.4</v>
      </c>
      <c r="AK143" s="11">
        <v>99.7</v>
      </c>
      <c r="AL143" s="11">
        <v>176.3</v>
      </c>
      <c r="AM143" s="11">
        <v>143</v>
      </c>
      <c r="AN143" s="11">
        <v>47</v>
      </c>
      <c r="AO143" s="11">
        <f>'[1]Soy Complex'!AX$110</f>
        <v>103.09800000000001</v>
      </c>
      <c r="AP143" s="11">
        <f>'[1]Soy Complex'!AY$110</f>
        <v>115.48499999999999</v>
      </c>
      <c r="AQ143" s="11">
        <f>'[1]Soy Complex'!AZ$110</f>
        <v>166.51300000000001</v>
      </c>
      <c r="AR143" s="11">
        <f>'[1]Soy Complex'!BA$110</f>
        <v>131.12</v>
      </c>
      <c r="AS143" s="11">
        <f>'[1]Soy Complex'!BB$110</f>
        <v>101.00699999999999</v>
      </c>
      <c r="AT143" s="11">
        <f>'[1]Soy Complex'!BC$110</f>
        <v>70.665999999999997</v>
      </c>
      <c r="AU143" s="11">
        <f>'[1]Soy Complex'!BD$110</f>
        <v>140.91000000000003</v>
      </c>
      <c r="AV143" s="11">
        <f>'[1]Soy Complex'!BE$110</f>
        <v>155.16900000000001</v>
      </c>
      <c r="AW143" s="11">
        <f>'[1]Soy Complex'!BF$110</f>
        <v>213.69500000000002</v>
      </c>
      <c r="AX143" s="11">
        <f>'[1]Soy Complex'!BG$110</f>
        <v>337.10500000000002</v>
      </c>
      <c r="AY143" s="11">
        <f>'[1]Soy Complex'!BH$110</f>
        <v>644.05200000000002</v>
      </c>
      <c r="AZ143" s="11">
        <f>'[1]Soy Complex'!BI$110</f>
        <v>383.34100000000007</v>
      </c>
      <c r="BA143" s="11">
        <f>'[1]Soy Complex'!BJ$110</f>
        <v>188.87899999999999</v>
      </c>
      <c r="BB143" s="11">
        <f>'[1]Soy Complex'!BK$110</f>
        <v>211.464</v>
      </c>
    </row>
    <row r="144" spans="1:54" x14ac:dyDescent="0.2">
      <c r="A144" t="s">
        <v>73</v>
      </c>
      <c r="B144" s="11"/>
      <c r="C144" s="11"/>
      <c r="D144" s="11"/>
      <c r="E144" s="11"/>
      <c r="F144" s="11"/>
      <c r="G144" s="11"/>
      <c r="H144" s="11">
        <v>158.78100000000001</v>
      </c>
      <c r="I144" s="11">
        <v>70.168000000000006</v>
      </c>
      <c r="J144" s="11">
        <v>102.04399999999998</v>
      </c>
      <c r="K144" s="11">
        <v>114.07899999999999</v>
      </c>
      <c r="L144" s="11">
        <v>229.88</v>
      </c>
      <c r="M144" s="11">
        <v>159.43600000000001</v>
      </c>
      <c r="N144" s="11">
        <v>136.732</v>
      </c>
      <c r="O144" s="11">
        <v>226.06</v>
      </c>
      <c r="P144" s="11">
        <v>107.78399999999999</v>
      </c>
      <c r="Q144" s="11">
        <v>172.83600000000001</v>
      </c>
      <c r="R144" s="11">
        <v>369.27499999999998</v>
      </c>
      <c r="S144" s="11">
        <v>328.49700000000001</v>
      </c>
      <c r="T144" s="11">
        <v>197.42599999999999</v>
      </c>
      <c r="U144" s="11">
        <v>94.709000000000003</v>
      </c>
      <c r="V144" s="11">
        <v>153.13900000000001</v>
      </c>
      <c r="W144" s="11">
        <v>210.64199999999997</v>
      </c>
      <c r="X144" s="11">
        <v>173.43700000000001</v>
      </c>
      <c r="Y144" s="11">
        <v>167.31399999999999</v>
      </c>
      <c r="Z144" s="11">
        <v>150.03699999999998</v>
      </c>
      <c r="AA144" s="11">
        <v>229.68400000000003</v>
      </c>
      <c r="AB144" s="11">
        <v>123.935</v>
      </c>
      <c r="AC144" s="11">
        <v>88.233000000000004</v>
      </c>
      <c r="AD144" s="11">
        <v>115.49900000000001</v>
      </c>
      <c r="AE144" s="11">
        <v>203.48200000000003</v>
      </c>
      <c r="AF144" s="11">
        <v>177.66199999999998</v>
      </c>
      <c r="AG144" s="11">
        <v>164.24700000000001</v>
      </c>
      <c r="AH144" s="11">
        <v>145.36099999999999</v>
      </c>
      <c r="AI144" s="11">
        <v>120.32900000000001</v>
      </c>
      <c r="AJ144" s="11">
        <v>83.01400000000001</v>
      </c>
      <c r="AK144" s="11">
        <v>156.03800000000001</v>
      </c>
      <c r="AL144" s="11">
        <v>273.02600000000001</v>
      </c>
      <c r="AM144" s="11">
        <v>430.80999999999995</v>
      </c>
      <c r="AN144" s="11">
        <v>158.03399999999999</v>
      </c>
      <c r="AO144" s="11" t="e">
        <f>'[1]Soy Complex'!AX$111</f>
        <v>#REF!</v>
      </c>
      <c r="AP144" s="11" t="e">
        <f>'[1]Soy Complex'!AY$111</f>
        <v>#REF!</v>
      </c>
      <c r="AQ144" s="11" t="e">
        <f>'[1]Soy Complex'!AZ$111</f>
        <v>#REF!</v>
      </c>
      <c r="AR144" s="11" t="e">
        <f>'[1]Soy Complex'!BA$111</f>
        <v>#REF!</v>
      </c>
      <c r="AS144" s="11" t="e">
        <f>'[1]Soy Complex'!BB$111</f>
        <v>#REF!</v>
      </c>
      <c r="AT144" s="11" t="e">
        <f>'[1]Soy Complex'!BC$111</f>
        <v>#REF!</v>
      </c>
      <c r="AU144" s="11" t="e">
        <f>'[1]Soy Complex'!BD$111</f>
        <v>#REF!</v>
      </c>
      <c r="AV144" s="11" t="e">
        <f>'[1]Soy Complex'!BE$111</f>
        <v>#REF!</v>
      </c>
      <c r="AW144" s="11" t="e">
        <f>'[1]Soy Complex'!BF$111</f>
        <v>#REF!</v>
      </c>
      <c r="AX144" s="11" t="e">
        <f>'[1]Soy Complex'!BG$111</f>
        <v>#REF!</v>
      </c>
      <c r="AY144" s="11" t="e">
        <f>'[1]Soy Complex'!BH$111</f>
        <v>#REF!</v>
      </c>
      <c r="AZ144" s="11" t="e">
        <f>'[1]Soy Complex'!BI$111</f>
        <v>#REF!</v>
      </c>
      <c r="BA144" s="11" t="e">
        <f>'[1]Soy Complex'!BJ$111</f>
        <v>#REF!</v>
      </c>
      <c r="BB144" s="11" t="e">
        <f>'[1]Soy Complex'!BK$111</f>
        <v>#REF!</v>
      </c>
    </row>
    <row r="145" spans="1:54" ht="13.5" thickBot="1" x14ac:dyDescent="0.25">
      <c r="A145" t="s">
        <v>74</v>
      </c>
      <c r="O145" s="17">
        <v>6.6583684210526304</v>
      </c>
      <c r="P145" s="17">
        <v>7.2141250000000001</v>
      </c>
      <c r="Q145" s="17">
        <v>5.395294117647059</v>
      </c>
      <c r="R145" s="17">
        <v>5.1093893129770995</v>
      </c>
      <c r="S145" s="17">
        <v>5.2132812499999996</v>
      </c>
      <c r="T145" s="17">
        <v>8.3223931623931637</v>
      </c>
      <c r="U145" s="17">
        <v>6.6759154929577464</v>
      </c>
      <c r="V145" s="17">
        <v>5.9568461538461541</v>
      </c>
      <c r="W145" s="17">
        <v>5.5297916666666662</v>
      </c>
      <c r="X145" s="17">
        <v>5.6507031249999997</v>
      </c>
      <c r="Y145" s="17">
        <v>6.2669569013259396</v>
      </c>
      <c r="Z145" s="17">
        <v>6.0730708661417321</v>
      </c>
      <c r="AA145" s="17">
        <v>5.8137837837837836</v>
      </c>
      <c r="AB145" s="17">
        <v>7.6271074380165285</v>
      </c>
      <c r="AC145" s="17">
        <v>7.6123076923076924</v>
      </c>
      <c r="AD145" s="17">
        <v>5.9528658536585368</v>
      </c>
      <c r="AE145" s="17">
        <v>4.3405025125628143</v>
      </c>
      <c r="AF145" s="17">
        <v>4.5879141104294474</v>
      </c>
      <c r="AG145" s="17">
        <v>4.6832167832167837</v>
      </c>
      <c r="AH145" s="17">
        <v>5.257862595419847</v>
      </c>
      <c r="AI145" s="17">
        <v>5.8635000000000002</v>
      </c>
      <c r="AJ145" s="17">
        <v>8.0222727272727283</v>
      </c>
      <c r="AK145" s="17">
        <v>6.4617829457364353</v>
      </c>
      <c r="AL145" s="17">
        <v>5.4627179487179491</v>
      </c>
      <c r="AM145" s="17">
        <v>7.5916470588235292</v>
      </c>
      <c r="AN145" s="17">
        <v>13.128971962616824</v>
      </c>
      <c r="AO145" s="17">
        <f>'[1]Soy Complex'!AX$112</f>
        <v>0</v>
      </c>
      <c r="AP145" s="17">
        <f>'[1]Soy Complex'!AY$112</f>
        <v>0</v>
      </c>
      <c r="AQ145" s="17">
        <f>'[1]Soy Complex'!AZ$112</f>
        <v>0</v>
      </c>
      <c r="AR145" s="17">
        <f>'[1]Soy Complex'!BA$112</f>
        <v>0</v>
      </c>
      <c r="AS145" s="17">
        <f>'[1]Soy Complex'!BB$112</f>
        <v>0</v>
      </c>
      <c r="AT145" s="17">
        <f>'[1]Soy Complex'!BC$112</f>
        <v>0</v>
      </c>
      <c r="AU145" s="17">
        <f>'[1]Soy Complex'!BD$112</f>
        <v>0</v>
      </c>
      <c r="AV145" s="17">
        <f>'[1]Soy Complex'!BE$112</f>
        <v>0</v>
      </c>
      <c r="AW145" s="17">
        <f>'[1]Soy Complex'!BF$112</f>
        <v>0</v>
      </c>
      <c r="AX145" s="17">
        <f>'[1]Soy Complex'!BG$112</f>
        <v>0</v>
      </c>
      <c r="AY145" s="17">
        <f>'[1]Soy Complex'!BH$112</f>
        <v>0</v>
      </c>
      <c r="AZ145" s="17">
        <f>'[1]Soy Complex'!BI$112</f>
        <v>0</v>
      </c>
      <c r="BA145" s="17">
        <f>'[1]Soy Complex'!BJ$112</f>
        <v>0</v>
      </c>
      <c r="BB145" s="17">
        <f>'[1]Soy Complex'!BK$112</f>
        <v>0</v>
      </c>
    </row>
    <row r="146" spans="1:54" ht="13.5" thickBot="1" x14ac:dyDescent="0.25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</row>
    <row r="147" spans="1:54" ht="13.5" thickBot="1" x14ac:dyDescent="0.25">
      <c r="A147" s="21" t="s">
        <v>82</v>
      </c>
      <c r="B147" s="22" t="s">
        <v>83</v>
      </c>
      <c r="C147" s="22" t="s">
        <v>84</v>
      </c>
      <c r="D147" s="22" t="s">
        <v>85</v>
      </c>
      <c r="E147" s="22" t="s">
        <v>86</v>
      </c>
      <c r="F147" s="22" t="s">
        <v>87</v>
      </c>
      <c r="G147" s="22" t="s">
        <v>88</v>
      </c>
      <c r="H147" s="22" t="s">
        <v>89</v>
      </c>
      <c r="I147" s="22" t="s">
        <v>90</v>
      </c>
      <c r="J147" s="22" t="s">
        <v>91</v>
      </c>
      <c r="K147" s="22" t="s">
        <v>92</v>
      </c>
      <c r="L147" s="22" t="s">
        <v>93</v>
      </c>
      <c r="M147" s="22" t="s">
        <v>94</v>
      </c>
      <c r="N147" s="22" t="s">
        <v>83</v>
      </c>
      <c r="O147" s="22" t="s">
        <v>84</v>
      </c>
      <c r="P147" s="22" t="s">
        <v>85</v>
      </c>
      <c r="Q147" s="22" t="s">
        <v>86</v>
      </c>
      <c r="R147" s="22" t="s">
        <v>87</v>
      </c>
      <c r="S147" s="22" t="s">
        <v>88</v>
      </c>
      <c r="T147" s="22" t="s">
        <v>89</v>
      </c>
    </row>
    <row r="148" spans="1:54" x14ac:dyDescent="0.2">
      <c r="A148" s="23" t="s">
        <v>95</v>
      </c>
      <c r="B148" s="11"/>
      <c r="C148" s="11"/>
      <c r="D148" s="11"/>
      <c r="E148" s="11"/>
      <c r="F148" s="11">
        <v>1464</v>
      </c>
      <c r="G148" s="11">
        <v>1408</v>
      </c>
      <c r="H148" s="11">
        <v>1410</v>
      </c>
      <c r="I148" s="11">
        <v>1375</v>
      </c>
      <c r="J148" s="11">
        <v>1387</v>
      </c>
      <c r="K148" s="11"/>
      <c r="L148" s="11">
        <v>1387</v>
      </c>
      <c r="M148" s="11"/>
      <c r="N148" s="11"/>
      <c r="O148" s="11"/>
      <c r="P148" s="11">
        <v>1457</v>
      </c>
      <c r="Q148" s="11">
        <v>1467</v>
      </c>
      <c r="R148" s="11">
        <v>1467</v>
      </c>
      <c r="S148" s="11">
        <v>1455</v>
      </c>
      <c r="T148" s="11">
        <v>1455</v>
      </c>
    </row>
    <row r="149" spans="1:54" x14ac:dyDescent="0.2">
      <c r="A149" s="23" t="s">
        <v>96</v>
      </c>
      <c r="B149" s="11"/>
      <c r="C149" s="11"/>
      <c r="D149" s="11">
        <v>1490</v>
      </c>
      <c r="E149" s="11">
        <v>1399</v>
      </c>
      <c r="F149" s="11">
        <v>1401</v>
      </c>
      <c r="G149" s="11">
        <v>1374</v>
      </c>
      <c r="H149" s="11">
        <v>1356</v>
      </c>
      <c r="I149" s="11"/>
      <c r="J149" s="11">
        <v>1305</v>
      </c>
      <c r="K149" s="11"/>
      <c r="L149" s="11">
        <v>1269</v>
      </c>
      <c r="M149" s="11"/>
      <c r="N149" s="11"/>
      <c r="O149" s="11">
        <v>1179</v>
      </c>
      <c r="P149" s="11">
        <v>1169</v>
      </c>
      <c r="Q149" s="11">
        <v>1184</v>
      </c>
      <c r="R149" s="11">
        <v>1184</v>
      </c>
      <c r="S149" s="11">
        <v>1218</v>
      </c>
      <c r="T149" s="11">
        <v>1218</v>
      </c>
    </row>
    <row r="150" spans="1:54" x14ac:dyDescent="0.2">
      <c r="A150" s="23" t="s">
        <v>97</v>
      </c>
      <c r="B150" s="11"/>
      <c r="C150" s="11">
        <v>1255</v>
      </c>
      <c r="D150" s="11">
        <v>1255</v>
      </c>
      <c r="E150" s="11">
        <v>1278</v>
      </c>
      <c r="F150" s="11">
        <v>1282</v>
      </c>
      <c r="G150" s="11">
        <v>1285</v>
      </c>
      <c r="H150" s="11">
        <v>1331</v>
      </c>
      <c r="I150" s="11"/>
      <c r="J150" s="11"/>
      <c r="K150" s="11"/>
      <c r="L150" s="11">
        <v>1426</v>
      </c>
      <c r="M150" s="11"/>
      <c r="N150" s="11"/>
      <c r="O150" s="11">
        <v>1476</v>
      </c>
      <c r="P150" s="11">
        <v>1506</v>
      </c>
      <c r="Q150" s="11">
        <v>1506</v>
      </c>
      <c r="R150" s="11">
        <v>1486</v>
      </c>
      <c r="S150" s="11">
        <v>1462</v>
      </c>
      <c r="T150" s="11">
        <v>1462</v>
      </c>
    </row>
    <row r="151" spans="1:54" x14ac:dyDescent="0.2">
      <c r="A151" s="23" t="s">
        <v>98</v>
      </c>
      <c r="B151" s="11"/>
      <c r="C151" s="11">
        <v>1440</v>
      </c>
      <c r="D151" s="11">
        <v>1450</v>
      </c>
      <c r="E151" s="11">
        <v>1424</v>
      </c>
      <c r="F151" s="11">
        <v>1384</v>
      </c>
      <c r="G151" s="11">
        <v>1394</v>
      </c>
      <c r="H151" s="11">
        <v>1411</v>
      </c>
      <c r="I151" s="11"/>
      <c r="J151" s="11"/>
      <c r="K151" s="11"/>
      <c r="L151" s="11"/>
      <c r="M151" s="11"/>
      <c r="N151" s="11">
        <v>1445</v>
      </c>
      <c r="O151" s="11"/>
      <c r="P151" s="11">
        <v>1445</v>
      </c>
      <c r="Q151" s="11">
        <v>1435</v>
      </c>
      <c r="R151" s="11">
        <v>1425</v>
      </c>
      <c r="S151" s="11">
        <v>1407</v>
      </c>
      <c r="T151" s="11">
        <v>1407</v>
      </c>
    </row>
    <row r="152" spans="1:54" x14ac:dyDescent="0.2">
      <c r="A152" s="23" t="s">
        <v>99</v>
      </c>
      <c r="B152" s="11">
        <v>1440</v>
      </c>
      <c r="C152" s="11"/>
      <c r="D152" s="11">
        <v>1520</v>
      </c>
      <c r="E152" s="11">
        <v>1532</v>
      </c>
      <c r="F152" s="11">
        <v>1529</v>
      </c>
      <c r="G152" s="11">
        <v>1535</v>
      </c>
      <c r="H152" s="11">
        <v>1536</v>
      </c>
      <c r="I152" s="11"/>
      <c r="J152" s="11"/>
      <c r="K152" s="11"/>
      <c r="L152" s="11">
        <v>1604</v>
      </c>
      <c r="M152" s="11"/>
      <c r="N152" s="11">
        <v>1649</v>
      </c>
      <c r="O152" s="11"/>
      <c r="P152" s="11">
        <v>1694</v>
      </c>
      <c r="Q152" s="11">
        <v>1694</v>
      </c>
      <c r="R152" s="11">
        <v>1684</v>
      </c>
      <c r="S152" s="11">
        <v>1706</v>
      </c>
      <c r="T152" s="11">
        <v>1706</v>
      </c>
    </row>
    <row r="153" spans="1:54" x14ac:dyDescent="0.2">
      <c r="A153" s="23" t="s">
        <v>100</v>
      </c>
      <c r="B153" s="11">
        <v>1690</v>
      </c>
      <c r="C153" s="11"/>
      <c r="D153" s="11">
        <v>1780</v>
      </c>
      <c r="E153" s="11">
        <v>1760</v>
      </c>
      <c r="F153" s="11">
        <v>1757</v>
      </c>
      <c r="G153" s="11">
        <v>1781</v>
      </c>
      <c r="H153" s="11">
        <v>1804</v>
      </c>
      <c r="I153" s="11">
        <v>1814</v>
      </c>
      <c r="J153" s="11"/>
      <c r="K153" s="11">
        <v>1854</v>
      </c>
      <c r="L153" s="11">
        <v>1864</v>
      </c>
      <c r="M153" s="11"/>
      <c r="N153" s="11"/>
      <c r="O153" s="11"/>
      <c r="P153" s="11">
        <v>1869</v>
      </c>
      <c r="Q153" s="11">
        <v>1864</v>
      </c>
      <c r="R153" s="11">
        <v>1859</v>
      </c>
      <c r="S153" s="11">
        <v>1858</v>
      </c>
      <c r="T153" s="11">
        <v>1858</v>
      </c>
    </row>
    <row r="154" spans="1:54" x14ac:dyDescent="0.2">
      <c r="A154" s="23" t="s">
        <v>101</v>
      </c>
      <c r="B154" s="11"/>
      <c r="C154" s="11"/>
      <c r="D154" s="11">
        <v>1945</v>
      </c>
      <c r="E154" s="11">
        <v>1994</v>
      </c>
      <c r="F154" s="11">
        <v>2004</v>
      </c>
      <c r="G154" s="11">
        <v>2006</v>
      </c>
      <c r="H154" s="11">
        <v>2009</v>
      </c>
      <c r="I154" s="11"/>
      <c r="J154" s="11">
        <v>2001</v>
      </c>
      <c r="K154" s="11"/>
      <c r="L154" s="11">
        <v>2017</v>
      </c>
      <c r="M154" s="11"/>
      <c r="N154" s="11">
        <v>2042</v>
      </c>
      <c r="O154" s="11"/>
      <c r="P154" s="11">
        <v>2077</v>
      </c>
      <c r="Q154" s="11">
        <v>2057</v>
      </c>
      <c r="R154" s="11">
        <v>2087</v>
      </c>
      <c r="S154" s="11">
        <v>2083</v>
      </c>
      <c r="T154" s="11">
        <v>2083</v>
      </c>
    </row>
    <row r="155" spans="1:54" x14ac:dyDescent="0.2">
      <c r="A155" s="23" t="s">
        <v>102</v>
      </c>
      <c r="B155" s="11">
        <v>2052.5</v>
      </c>
      <c r="C155" s="11"/>
      <c r="D155" s="11">
        <v>2062.5</v>
      </c>
      <c r="E155" s="11">
        <v>1980</v>
      </c>
      <c r="F155" s="11">
        <v>1981</v>
      </c>
      <c r="G155" s="11">
        <v>1951</v>
      </c>
      <c r="H155" s="11">
        <v>1954</v>
      </c>
      <c r="I155" s="11">
        <v>1954</v>
      </c>
      <c r="J155" s="11">
        <v>1966</v>
      </c>
      <c r="K155" s="11">
        <v>1956</v>
      </c>
      <c r="L155" s="11">
        <v>1941</v>
      </c>
      <c r="M155" s="11">
        <v>1901</v>
      </c>
      <c r="N155" s="11">
        <v>1901</v>
      </c>
      <c r="O155" s="11">
        <v>1891</v>
      </c>
      <c r="P155" s="11">
        <v>1881</v>
      </c>
      <c r="Q155" s="11">
        <v>1831</v>
      </c>
      <c r="R155" s="11">
        <v>1831</v>
      </c>
      <c r="S155" s="11">
        <v>1831</v>
      </c>
      <c r="T155" s="11">
        <v>1831</v>
      </c>
    </row>
    <row r="156" spans="1:54" x14ac:dyDescent="0.2">
      <c r="A156" s="23" t="s">
        <v>103</v>
      </c>
      <c r="B156" s="11">
        <v>2005</v>
      </c>
      <c r="C156" s="11">
        <v>2005</v>
      </c>
      <c r="D156" s="11">
        <v>1995</v>
      </c>
      <c r="E156" s="11">
        <v>1952</v>
      </c>
      <c r="F156" s="11">
        <v>2004</v>
      </c>
      <c r="G156" s="11">
        <v>2007</v>
      </c>
      <c r="H156" s="11">
        <v>1992</v>
      </c>
      <c r="I156" s="11">
        <v>2002</v>
      </c>
      <c r="J156" s="11">
        <v>1990</v>
      </c>
      <c r="K156" s="11">
        <v>1998</v>
      </c>
      <c r="L156" s="11">
        <v>1998</v>
      </c>
      <c r="M156" s="11">
        <v>2013</v>
      </c>
      <c r="N156" s="11">
        <v>2033</v>
      </c>
      <c r="O156" s="11">
        <v>2043</v>
      </c>
      <c r="P156" s="11">
        <v>2078</v>
      </c>
      <c r="Q156" s="11">
        <v>2078</v>
      </c>
      <c r="R156" s="11">
        <v>2078</v>
      </c>
      <c r="S156" s="11">
        <v>2050</v>
      </c>
      <c r="T156" s="11">
        <v>2050</v>
      </c>
    </row>
    <row r="157" spans="1:54" x14ac:dyDescent="0.2">
      <c r="A157" s="23" t="s">
        <v>104</v>
      </c>
      <c r="B157" s="11">
        <v>2085</v>
      </c>
      <c r="C157" s="11">
        <v>2080</v>
      </c>
      <c r="D157" s="11">
        <v>2080</v>
      </c>
      <c r="E157" s="11">
        <v>2143</v>
      </c>
      <c r="F157" s="11">
        <v>2144</v>
      </c>
      <c r="G157" s="11">
        <v>2138</v>
      </c>
      <c r="H157" s="11">
        <v>2118</v>
      </c>
      <c r="I157" s="11">
        <v>2138</v>
      </c>
      <c r="J157" s="11">
        <v>2155</v>
      </c>
      <c r="K157" s="11">
        <v>2155</v>
      </c>
      <c r="L157" s="11">
        <v>2153</v>
      </c>
      <c r="M157" s="11">
        <v>2168</v>
      </c>
      <c r="N157" s="11">
        <v>2148</v>
      </c>
      <c r="O157" s="11">
        <v>2103</v>
      </c>
      <c r="P157" s="11">
        <v>2088</v>
      </c>
      <c r="Q157" s="11">
        <v>2088</v>
      </c>
      <c r="R157" s="11">
        <v>2088</v>
      </c>
      <c r="S157" s="11">
        <v>2109</v>
      </c>
      <c r="T157" s="11">
        <v>2109</v>
      </c>
    </row>
    <row r="158" spans="1:54" x14ac:dyDescent="0.2">
      <c r="A158" s="23" t="s">
        <v>105</v>
      </c>
      <c r="B158" s="11">
        <v>2160</v>
      </c>
      <c r="C158" s="11">
        <v>2160</v>
      </c>
      <c r="D158" s="11">
        <v>2120</v>
      </c>
      <c r="E158" s="11">
        <v>2023</v>
      </c>
      <c r="F158" s="11">
        <v>1840</v>
      </c>
      <c r="G158" s="11">
        <v>1784</v>
      </c>
      <c r="H158" s="11">
        <v>1784</v>
      </c>
      <c r="I158" s="11">
        <v>1774</v>
      </c>
      <c r="J158" s="11">
        <v>1797</v>
      </c>
      <c r="K158" s="11">
        <v>1828</v>
      </c>
      <c r="L158" s="11">
        <v>1828</v>
      </c>
      <c r="M158" s="11">
        <v>1833</v>
      </c>
      <c r="N158" s="11">
        <v>1873</v>
      </c>
      <c r="O158" s="11">
        <v>1873</v>
      </c>
      <c r="P158" s="11">
        <v>1807</v>
      </c>
      <c r="Q158" s="11">
        <v>1817</v>
      </c>
      <c r="R158" s="11">
        <v>1802</v>
      </c>
      <c r="S158" s="11">
        <v>1806</v>
      </c>
      <c r="T158" s="11">
        <v>1806</v>
      </c>
    </row>
    <row r="159" spans="1:54" x14ac:dyDescent="0.2">
      <c r="A159" s="23" t="s">
        <v>106</v>
      </c>
      <c r="B159" s="11">
        <v>1965</v>
      </c>
      <c r="C159" s="11">
        <v>1965</v>
      </c>
      <c r="D159" s="11">
        <v>1905</v>
      </c>
      <c r="E159" s="11">
        <v>1880</v>
      </c>
      <c r="F159" s="11">
        <v>1878</v>
      </c>
      <c r="G159" s="11">
        <v>1897</v>
      </c>
      <c r="H159" s="11">
        <v>1877</v>
      </c>
      <c r="I159" s="11">
        <v>1862</v>
      </c>
      <c r="J159" s="11">
        <v>1852</v>
      </c>
      <c r="K159" s="11">
        <v>1842</v>
      </c>
      <c r="L159" s="11">
        <v>1817</v>
      </c>
      <c r="M159" s="11">
        <v>1812</v>
      </c>
      <c r="N159" s="11">
        <v>1772</v>
      </c>
      <c r="O159" s="11">
        <v>1762</v>
      </c>
      <c r="P159" s="11">
        <v>1752</v>
      </c>
      <c r="Q159" s="11">
        <v>1717</v>
      </c>
      <c r="R159" s="11">
        <v>1727</v>
      </c>
      <c r="S159" s="11">
        <v>1719</v>
      </c>
      <c r="T159" s="11">
        <v>1719</v>
      </c>
    </row>
    <row r="160" spans="1:54" x14ac:dyDescent="0.2">
      <c r="A160" s="23" t="s">
        <v>107</v>
      </c>
      <c r="B160" s="11">
        <v>1820</v>
      </c>
      <c r="C160" s="11">
        <v>1780</v>
      </c>
      <c r="D160" s="11">
        <v>1795</v>
      </c>
      <c r="E160" s="11">
        <v>1814</v>
      </c>
      <c r="F160" s="11">
        <v>1818</v>
      </c>
      <c r="G160" s="11">
        <v>1826</v>
      </c>
      <c r="H160" s="11">
        <v>1832</v>
      </c>
      <c r="I160" s="11">
        <v>1832</v>
      </c>
      <c r="J160" s="11">
        <v>1867</v>
      </c>
      <c r="K160" s="11">
        <v>1895</v>
      </c>
      <c r="L160" s="11">
        <v>1915</v>
      </c>
      <c r="M160" s="11">
        <v>1925</v>
      </c>
      <c r="N160" s="11">
        <v>1925</v>
      </c>
      <c r="O160" s="11">
        <v>1920</v>
      </c>
      <c r="P160" s="11">
        <v>1900</v>
      </c>
      <c r="Q160" s="11">
        <v>1890</v>
      </c>
      <c r="R160" s="11">
        <v>1880</v>
      </c>
      <c r="S160" s="11">
        <v>1879</v>
      </c>
      <c r="T160" s="11">
        <v>1879</v>
      </c>
    </row>
    <row r="161" spans="1:20" x14ac:dyDescent="0.2">
      <c r="A161" s="23" t="s">
        <v>108</v>
      </c>
      <c r="B161" s="11">
        <v>1920</v>
      </c>
      <c r="C161" s="11">
        <v>1925</v>
      </c>
      <c r="D161" s="11">
        <v>1900</v>
      </c>
      <c r="E161" s="11">
        <v>1904</v>
      </c>
      <c r="F161" s="11">
        <v>1925</v>
      </c>
      <c r="G161" s="11">
        <v>1928</v>
      </c>
      <c r="H161" s="11">
        <v>1930</v>
      </c>
      <c r="I161" s="11">
        <v>1930</v>
      </c>
      <c r="J161" s="11">
        <v>1928</v>
      </c>
      <c r="K161" s="11">
        <v>1928</v>
      </c>
      <c r="L161" s="11">
        <v>1908</v>
      </c>
      <c r="M161" s="11">
        <v>1933</v>
      </c>
      <c r="N161" s="11">
        <v>1948</v>
      </c>
      <c r="O161" s="11">
        <v>1963</v>
      </c>
      <c r="P161" s="11">
        <v>1983</v>
      </c>
      <c r="Q161" s="11">
        <v>2038</v>
      </c>
      <c r="R161" s="11">
        <v>2063</v>
      </c>
      <c r="S161" s="11">
        <v>2040</v>
      </c>
      <c r="T161" s="11">
        <v>2040</v>
      </c>
    </row>
    <row r="162" spans="1:20" x14ac:dyDescent="0.2">
      <c r="A162" s="23" t="s">
        <v>109</v>
      </c>
      <c r="B162" s="11">
        <v>1900</v>
      </c>
      <c r="C162" s="11">
        <v>1910</v>
      </c>
      <c r="D162" s="11">
        <v>1915</v>
      </c>
      <c r="E162" s="11">
        <v>1960</v>
      </c>
      <c r="F162" s="11">
        <v>1957</v>
      </c>
      <c r="G162" s="11">
        <v>1994</v>
      </c>
      <c r="H162" s="11">
        <v>2021</v>
      </c>
      <c r="I162" s="11">
        <v>2061</v>
      </c>
      <c r="J162" s="11">
        <v>2046</v>
      </c>
      <c r="K162" s="11">
        <v>2036</v>
      </c>
      <c r="L162" s="11">
        <v>2026</v>
      </c>
      <c r="M162" s="11">
        <v>2051</v>
      </c>
      <c r="N162" s="11">
        <v>2066</v>
      </c>
      <c r="O162" s="11">
        <v>2066</v>
      </c>
      <c r="P162" s="11">
        <v>2051</v>
      </c>
      <c r="Q162" s="11">
        <v>2061</v>
      </c>
      <c r="R162" s="11">
        <v>2061</v>
      </c>
      <c r="S162" s="11">
        <v>2057</v>
      </c>
      <c r="T162" s="11">
        <v>2057</v>
      </c>
    </row>
    <row r="163" spans="1:20" x14ac:dyDescent="0.2">
      <c r="A163" s="23" t="s">
        <v>110</v>
      </c>
      <c r="B163" s="11">
        <v>2010</v>
      </c>
      <c r="C163" s="11">
        <v>2000</v>
      </c>
      <c r="D163" s="11">
        <v>1795</v>
      </c>
      <c r="E163" s="11">
        <v>1654</v>
      </c>
      <c r="F163" s="11">
        <v>1652</v>
      </c>
      <c r="G163" s="11">
        <v>1678</v>
      </c>
      <c r="H163" s="11">
        <v>1689</v>
      </c>
      <c r="I163" s="11">
        <v>1689</v>
      </c>
      <c r="J163" s="11">
        <v>1701</v>
      </c>
      <c r="K163" s="11">
        <v>1701</v>
      </c>
      <c r="L163" s="11">
        <v>1696</v>
      </c>
      <c r="M163" s="11">
        <v>1696</v>
      </c>
      <c r="N163" s="11">
        <v>1706</v>
      </c>
      <c r="O163" s="11">
        <v>1716</v>
      </c>
      <c r="P163" s="11">
        <v>1716</v>
      </c>
      <c r="Q163" s="11">
        <v>1686</v>
      </c>
      <c r="R163" s="11">
        <v>1686</v>
      </c>
      <c r="S163" s="11">
        <v>1668</v>
      </c>
      <c r="T163" s="11">
        <v>1668</v>
      </c>
    </row>
    <row r="164" spans="1:20" x14ac:dyDescent="0.2">
      <c r="A164" s="23" t="s">
        <v>111</v>
      </c>
      <c r="B164" s="11">
        <v>1800</v>
      </c>
      <c r="C164" s="11">
        <v>1800</v>
      </c>
      <c r="D164" s="11">
        <v>1810</v>
      </c>
      <c r="E164" s="11">
        <v>1775</v>
      </c>
      <c r="F164" s="11">
        <v>1769</v>
      </c>
      <c r="G164" s="11">
        <v>1783</v>
      </c>
      <c r="H164" s="11">
        <v>1784</v>
      </c>
      <c r="I164" s="11">
        <v>1784</v>
      </c>
      <c r="J164" s="11">
        <v>1774</v>
      </c>
      <c r="K164" s="11">
        <v>1774</v>
      </c>
      <c r="L164" s="11">
        <v>1779</v>
      </c>
      <c r="M164" s="11">
        <v>1804</v>
      </c>
      <c r="N164" s="11">
        <v>1807</v>
      </c>
      <c r="O164" s="11">
        <v>1817</v>
      </c>
      <c r="P164" s="11">
        <v>1837</v>
      </c>
      <c r="Q164" s="11">
        <v>1847</v>
      </c>
      <c r="R164" s="11">
        <v>1862</v>
      </c>
      <c r="S164" s="11">
        <v>1870</v>
      </c>
      <c r="T164" s="11">
        <v>1870</v>
      </c>
    </row>
    <row r="165" spans="1:20" x14ac:dyDescent="0.2">
      <c r="A165" s="23" t="s">
        <v>112</v>
      </c>
      <c r="B165" s="11">
        <v>1878</v>
      </c>
      <c r="C165" s="11">
        <v>1878</v>
      </c>
      <c r="D165" s="11">
        <v>1875</v>
      </c>
      <c r="E165" s="11">
        <v>1881</v>
      </c>
      <c r="F165" s="11">
        <v>1890</v>
      </c>
      <c r="G165" s="11">
        <v>1892</v>
      </c>
      <c r="H165" s="11">
        <v>1890</v>
      </c>
      <c r="I165" s="11">
        <v>1880</v>
      </c>
      <c r="J165" s="11">
        <v>1863</v>
      </c>
      <c r="K165" s="11">
        <v>1843</v>
      </c>
      <c r="L165" s="11">
        <v>1813</v>
      </c>
      <c r="M165" s="11">
        <v>1803</v>
      </c>
      <c r="N165" s="11">
        <v>1808</v>
      </c>
      <c r="O165" s="11">
        <v>1808</v>
      </c>
      <c r="P165" s="11">
        <v>1813</v>
      </c>
      <c r="Q165" s="11">
        <v>1838</v>
      </c>
      <c r="R165" s="11">
        <v>1843</v>
      </c>
      <c r="S165" s="11">
        <v>1838</v>
      </c>
      <c r="T165" s="11">
        <v>1838</v>
      </c>
    </row>
    <row r="166" spans="1:20" x14ac:dyDescent="0.2">
      <c r="A166" s="23" t="s">
        <v>113</v>
      </c>
      <c r="B166" s="11">
        <v>1885</v>
      </c>
      <c r="C166" s="11">
        <v>1885</v>
      </c>
      <c r="D166" s="11">
        <v>1950</v>
      </c>
      <c r="E166" s="11">
        <v>1899</v>
      </c>
      <c r="F166" s="11">
        <v>1892</v>
      </c>
      <c r="G166" s="11">
        <v>1948</v>
      </c>
      <c r="H166" s="11">
        <v>1981</v>
      </c>
      <c r="I166" s="11">
        <v>1981</v>
      </c>
      <c r="J166" s="11">
        <v>1995</v>
      </c>
      <c r="K166" s="11">
        <v>1995</v>
      </c>
      <c r="L166" s="11">
        <v>1995</v>
      </c>
      <c r="M166" s="11">
        <v>2015</v>
      </c>
      <c r="N166" s="11">
        <v>2025</v>
      </c>
      <c r="O166" s="11">
        <v>2020</v>
      </c>
      <c r="P166" s="11">
        <v>2010</v>
      </c>
      <c r="Q166" s="11">
        <v>2035</v>
      </c>
      <c r="R166" s="11">
        <v>2035</v>
      </c>
      <c r="S166" s="11">
        <v>2040</v>
      </c>
      <c r="T166" s="11">
        <v>2041</v>
      </c>
    </row>
    <row r="167" spans="1:20" x14ac:dyDescent="0.2">
      <c r="A167" s="23" t="s">
        <v>114</v>
      </c>
      <c r="B167" s="11">
        <v>1980</v>
      </c>
      <c r="C167" s="11">
        <v>1980</v>
      </c>
      <c r="D167" s="11">
        <v>2005</v>
      </c>
      <c r="E167" s="11">
        <v>2049</v>
      </c>
      <c r="F167" s="11">
        <v>2060</v>
      </c>
      <c r="G167" s="11">
        <v>2083</v>
      </c>
      <c r="H167" s="11">
        <v>2097</v>
      </c>
      <c r="I167" s="11">
        <v>2107</v>
      </c>
      <c r="J167" s="11">
        <v>2122</v>
      </c>
      <c r="K167" s="11">
        <v>2122</v>
      </c>
      <c r="L167" s="11">
        <v>2137</v>
      </c>
      <c r="M167" s="11">
        <v>2137</v>
      </c>
      <c r="N167" s="11">
        <v>2152</v>
      </c>
      <c r="O167" s="11">
        <v>2167</v>
      </c>
      <c r="P167" s="11">
        <v>2187</v>
      </c>
      <c r="Q167" s="11">
        <v>2187</v>
      </c>
      <c r="R167" s="11">
        <v>2187</v>
      </c>
      <c r="S167" s="11">
        <v>2176</v>
      </c>
      <c r="T167" s="11">
        <v>2176</v>
      </c>
    </row>
    <row r="168" spans="1:20" x14ac:dyDescent="0.2">
      <c r="A168" s="23" t="s">
        <v>115</v>
      </c>
      <c r="B168" s="11">
        <v>2093</v>
      </c>
      <c r="C168" s="11">
        <v>2093</v>
      </c>
      <c r="D168" s="11">
        <v>2045</v>
      </c>
      <c r="E168" s="11">
        <v>2007</v>
      </c>
      <c r="F168" s="11">
        <v>1989</v>
      </c>
      <c r="G168" s="11">
        <v>1983</v>
      </c>
      <c r="H168" s="11">
        <v>1961</v>
      </c>
      <c r="I168" s="11">
        <v>1966</v>
      </c>
      <c r="J168" s="11">
        <v>1956</v>
      </c>
      <c r="K168" s="11">
        <v>1951</v>
      </c>
      <c r="L168" s="11">
        <v>1951</v>
      </c>
      <c r="M168" s="11">
        <v>1946</v>
      </c>
      <c r="N168" s="11">
        <v>1951</v>
      </c>
      <c r="O168" s="11">
        <v>1946</v>
      </c>
      <c r="P168" s="11">
        <v>1936</v>
      </c>
      <c r="Q168" s="11">
        <v>1936</v>
      </c>
      <c r="R168" s="11">
        <v>1957</v>
      </c>
      <c r="S168" s="11">
        <v>1958</v>
      </c>
      <c r="T168" s="11">
        <v>1958</v>
      </c>
    </row>
    <row r="169" spans="1:20" x14ac:dyDescent="0.2">
      <c r="A169" s="24" t="s">
        <v>116</v>
      </c>
      <c r="B169" s="11">
        <v>1980</v>
      </c>
      <c r="C169" s="11">
        <v>2000</v>
      </c>
      <c r="D169" s="11">
        <v>2030</v>
      </c>
      <c r="E169" s="11">
        <v>2087</v>
      </c>
      <c r="F169" s="11">
        <v>2101</v>
      </c>
      <c r="G169" s="11">
        <v>2207</v>
      </c>
      <c r="H169" s="11">
        <v>2242</v>
      </c>
      <c r="I169" s="11">
        <v>2257</v>
      </c>
      <c r="J169" s="11">
        <v>2265</v>
      </c>
      <c r="K169" s="11">
        <v>2265</v>
      </c>
      <c r="L169" s="11">
        <v>2265</v>
      </c>
      <c r="M169" s="11">
        <v>2340</v>
      </c>
      <c r="N169" s="11">
        <v>2351</v>
      </c>
      <c r="O169" s="11">
        <v>2165</v>
      </c>
      <c r="P169" s="11">
        <v>2388</v>
      </c>
      <c r="Q169" s="11">
        <v>2393</v>
      </c>
      <c r="R169" s="11">
        <v>2418</v>
      </c>
      <c r="S169" s="11">
        <v>2396</v>
      </c>
      <c r="T169" s="11">
        <v>2396</v>
      </c>
    </row>
    <row r="170" spans="1:20" x14ac:dyDescent="0.2">
      <c r="A170" s="24" t="s">
        <v>117</v>
      </c>
      <c r="B170" s="11">
        <v>2250</v>
      </c>
      <c r="C170" s="11">
        <v>2270</v>
      </c>
      <c r="D170" s="11">
        <v>2305</v>
      </c>
      <c r="E170" s="11">
        <v>2306</v>
      </c>
      <c r="F170" s="11">
        <v>2314</v>
      </c>
      <c r="G170" s="11">
        <v>2311</v>
      </c>
      <c r="H170" s="11">
        <v>2308</v>
      </c>
      <c r="I170" s="11">
        <v>2308</v>
      </c>
      <c r="J170" s="11">
        <v>2301</v>
      </c>
      <c r="K170" s="11">
        <v>2302</v>
      </c>
      <c r="L170" s="11">
        <v>2292</v>
      </c>
      <c r="M170" s="11">
        <v>2302</v>
      </c>
      <c r="N170" s="11">
        <v>2302</v>
      </c>
      <c r="O170" s="11">
        <v>2297</v>
      </c>
      <c r="P170" s="11">
        <v>2312</v>
      </c>
      <c r="Q170" s="11">
        <v>2322</v>
      </c>
      <c r="R170" s="11">
        <v>2322</v>
      </c>
      <c r="S170" s="11">
        <v>2333</v>
      </c>
      <c r="T170" s="11">
        <v>2333</v>
      </c>
    </row>
    <row r="171" spans="1:20" x14ac:dyDescent="0.2">
      <c r="A171" s="24" t="s">
        <v>118</v>
      </c>
      <c r="B171" s="11">
        <v>2280</v>
      </c>
      <c r="C171" s="11">
        <v>2300</v>
      </c>
      <c r="D171" s="11">
        <v>2315</v>
      </c>
      <c r="E171" s="11">
        <v>2300</v>
      </c>
      <c r="F171" s="11">
        <v>2285</v>
      </c>
      <c r="G171" s="11">
        <v>2340</v>
      </c>
      <c r="H171" s="11">
        <v>2380</v>
      </c>
      <c r="I171" s="11">
        <v>2410</v>
      </c>
      <c r="J171" s="11">
        <v>2415</v>
      </c>
      <c r="K171" s="11">
        <v>2430</v>
      </c>
      <c r="L171" s="11">
        <v>2431</v>
      </c>
      <c r="M171" s="11">
        <v>2446</v>
      </c>
      <c r="N171" s="11">
        <v>2451</v>
      </c>
      <c r="O171" s="11">
        <v>2456</v>
      </c>
      <c r="P171" s="11">
        <v>2461</v>
      </c>
      <c r="Q171" s="11">
        <v>2451</v>
      </c>
      <c r="R171" s="11">
        <v>2461</v>
      </c>
      <c r="S171" s="11">
        <v>2444</v>
      </c>
      <c r="T171" s="11">
        <v>2443</v>
      </c>
    </row>
    <row r="172" spans="1:20" x14ac:dyDescent="0.2">
      <c r="A172" s="24" t="s">
        <v>119</v>
      </c>
      <c r="B172" s="11">
        <v>2470</v>
      </c>
      <c r="C172" s="11">
        <v>2495</v>
      </c>
      <c r="D172" s="11">
        <v>2535</v>
      </c>
      <c r="E172" s="11">
        <v>2569</v>
      </c>
      <c r="F172" s="11">
        <v>2580</v>
      </c>
      <c r="G172" s="11">
        <v>2589</v>
      </c>
      <c r="H172" s="11">
        <v>2617</v>
      </c>
      <c r="I172" s="11">
        <v>2617</v>
      </c>
      <c r="J172" s="11">
        <v>2613</v>
      </c>
      <c r="K172" s="11">
        <v>2619</v>
      </c>
      <c r="L172" s="11">
        <v>2610</v>
      </c>
      <c r="M172" s="11">
        <v>2630</v>
      </c>
      <c r="N172" s="11">
        <v>2625</v>
      </c>
      <c r="O172" s="11">
        <v>2625</v>
      </c>
      <c r="P172" s="11">
        <v>2648</v>
      </c>
      <c r="Q172" s="11">
        <v>2653</v>
      </c>
      <c r="R172" s="11">
        <v>2663</v>
      </c>
      <c r="S172" s="11">
        <v>2639</v>
      </c>
      <c r="T172" s="11">
        <v>2639</v>
      </c>
    </row>
    <row r="173" spans="1:20" x14ac:dyDescent="0.2">
      <c r="A173" s="24" t="s">
        <v>120</v>
      </c>
      <c r="B173" s="11">
        <v>2636</v>
      </c>
      <c r="C173" s="11">
        <v>2621</v>
      </c>
      <c r="D173" s="11">
        <v>2615</v>
      </c>
      <c r="E173" s="11">
        <v>2611</v>
      </c>
      <c r="F173" s="11">
        <v>2630</v>
      </c>
      <c r="G173" s="11">
        <v>2580</v>
      </c>
      <c r="H173" s="11">
        <v>2603</v>
      </c>
      <c r="I173" s="11">
        <v>2593</v>
      </c>
      <c r="J173" s="11">
        <v>2573</v>
      </c>
      <c r="K173" s="11">
        <v>2553</v>
      </c>
      <c r="L173" s="11">
        <v>2493</v>
      </c>
      <c r="M173" s="11">
        <v>2533</v>
      </c>
      <c r="N173" s="11">
        <v>2533</v>
      </c>
      <c r="O173" s="11">
        <v>2533</v>
      </c>
      <c r="P173" s="11">
        <v>2566</v>
      </c>
      <c r="Q173" s="11">
        <v>2576</v>
      </c>
      <c r="R173" s="11">
        <v>2596</v>
      </c>
      <c r="S173" s="11">
        <v>2597</v>
      </c>
      <c r="T173" s="11">
        <v>2596</v>
      </c>
    </row>
    <row r="174" spans="1:20" x14ac:dyDescent="0.2">
      <c r="A174" s="24" t="s">
        <v>121</v>
      </c>
      <c r="B174" s="11">
        <v>2720</v>
      </c>
      <c r="C174" s="11">
        <v>2720</v>
      </c>
      <c r="D174" s="11">
        <v>2744</v>
      </c>
      <c r="E174" s="11">
        <v>2719</v>
      </c>
      <c r="F174" s="11">
        <v>2687</v>
      </c>
      <c r="G174" s="11">
        <v>2664</v>
      </c>
      <c r="H174" s="11">
        <v>2629</v>
      </c>
      <c r="I174" s="11">
        <v>2629</v>
      </c>
      <c r="J174" s="11">
        <v>2629</v>
      </c>
      <c r="K174" s="11">
        <v>2649</v>
      </c>
      <c r="L174" s="11">
        <v>2669</v>
      </c>
      <c r="M174" s="11">
        <v>2694</v>
      </c>
      <c r="N174" s="11">
        <v>2694</v>
      </c>
      <c r="O174" s="11">
        <v>2694</v>
      </c>
      <c r="P174" s="11">
        <v>2705</v>
      </c>
      <c r="Q174" s="11">
        <v>2715</v>
      </c>
      <c r="R174" s="11">
        <v>2730</v>
      </c>
      <c r="S174" s="11">
        <v>2719</v>
      </c>
      <c r="T174" s="11">
        <v>2719</v>
      </c>
    </row>
    <row r="175" spans="1:20" x14ac:dyDescent="0.2">
      <c r="A175" s="24" t="s">
        <v>122</v>
      </c>
      <c r="B175" s="11">
        <v>2763</v>
      </c>
      <c r="C175" s="11">
        <v>2763</v>
      </c>
      <c r="D175" s="11">
        <v>2752</v>
      </c>
      <c r="E175" s="11">
        <v>2808</v>
      </c>
      <c r="F175" s="11">
        <v>2802</v>
      </c>
      <c r="G175" s="11">
        <v>2749</v>
      </c>
      <c r="H175" s="11">
        <v>2717</v>
      </c>
      <c r="I175" s="11">
        <v>2747</v>
      </c>
      <c r="J175" s="11">
        <v>2743</v>
      </c>
      <c r="K175" s="11">
        <v>2718</v>
      </c>
      <c r="L175" s="11">
        <v>2733</v>
      </c>
      <c r="M175" s="11">
        <v>2763</v>
      </c>
      <c r="N175" s="11">
        <v>2768</v>
      </c>
      <c r="O175" s="11">
        <v>2793</v>
      </c>
      <c r="P175" s="11">
        <v>2808</v>
      </c>
      <c r="Q175" s="11">
        <v>2813</v>
      </c>
      <c r="R175" s="11">
        <v>2823</v>
      </c>
      <c r="S175" s="11">
        <v>2804</v>
      </c>
      <c r="T175" s="11">
        <v>2804</v>
      </c>
    </row>
    <row r="176" spans="1:20" x14ac:dyDescent="0.2">
      <c r="A176" s="24" t="s">
        <v>123</v>
      </c>
      <c r="B176" s="11">
        <v>2783</v>
      </c>
      <c r="C176" s="11">
        <v>2818</v>
      </c>
      <c r="D176" s="11">
        <v>2749</v>
      </c>
      <c r="E176" s="11">
        <v>2821</v>
      </c>
      <c r="F176" s="11">
        <v>2823</v>
      </c>
      <c r="G176" s="11">
        <v>2813</v>
      </c>
      <c r="H176" s="11">
        <v>2820</v>
      </c>
      <c r="I176" s="11">
        <v>2845</v>
      </c>
      <c r="J176" s="11">
        <v>2858</v>
      </c>
      <c r="K176" s="11">
        <v>2873</v>
      </c>
      <c r="L176" s="11">
        <v>2878</v>
      </c>
      <c r="M176" s="11">
        <v>2876</v>
      </c>
      <c r="N176" s="11">
        <v>2881</v>
      </c>
      <c r="O176" s="11">
        <v>2902</v>
      </c>
      <c r="P176" s="11">
        <v>2931</v>
      </c>
      <c r="Q176" s="11">
        <v>2946</v>
      </c>
      <c r="R176" s="11">
        <v>2946</v>
      </c>
      <c r="S176" s="11">
        <v>2933</v>
      </c>
      <c r="T176" s="11">
        <v>2933</v>
      </c>
    </row>
    <row r="177" spans="1:20" x14ac:dyDescent="0.2">
      <c r="A177" s="24" t="s">
        <v>124</v>
      </c>
      <c r="B177" s="11">
        <v>2859</v>
      </c>
      <c r="C177" s="11">
        <v>2849</v>
      </c>
      <c r="D177" s="11">
        <v>2844</v>
      </c>
      <c r="E177" s="11">
        <v>2674</v>
      </c>
      <c r="F177" s="11">
        <v>2696</v>
      </c>
      <c r="G177" s="11">
        <v>2690</v>
      </c>
      <c r="H177" s="11">
        <v>2715</v>
      </c>
      <c r="I177" s="11">
        <v>2725</v>
      </c>
      <c r="J177" s="11">
        <v>2750</v>
      </c>
      <c r="K177" s="11">
        <v>2775</v>
      </c>
      <c r="L177" s="11">
        <v>2780</v>
      </c>
      <c r="M177" s="11">
        <v>2795</v>
      </c>
      <c r="N177" s="11">
        <v>2807</v>
      </c>
      <c r="O177" s="11">
        <v>2802</v>
      </c>
      <c r="P177" s="11">
        <v>2787</v>
      </c>
      <c r="Q177" s="11">
        <v>2797</v>
      </c>
      <c r="R177" s="11">
        <v>2802</v>
      </c>
      <c r="S177" s="11">
        <v>2792</v>
      </c>
      <c r="T177" s="11">
        <v>2793</v>
      </c>
    </row>
    <row r="178" spans="1:20" x14ac:dyDescent="0.2">
      <c r="A178" s="24" t="s">
        <v>125</v>
      </c>
      <c r="B178" s="11">
        <v>2749</v>
      </c>
      <c r="C178" s="11">
        <v>2749</v>
      </c>
      <c r="D178" s="11">
        <v>2784</v>
      </c>
      <c r="E178" s="11">
        <v>2791</v>
      </c>
      <c r="F178" s="11">
        <v>2652</v>
      </c>
      <c r="G178" s="11">
        <v>2515</v>
      </c>
      <c r="H178" s="11">
        <v>2505</v>
      </c>
      <c r="I178" s="11">
        <v>2505</v>
      </c>
      <c r="J178" s="11">
        <v>2479</v>
      </c>
      <c r="K178" s="11">
        <v>2479</v>
      </c>
      <c r="L178" s="11">
        <v>2489</v>
      </c>
      <c r="M178" s="11">
        <v>2489</v>
      </c>
      <c r="N178" s="11">
        <v>2489</v>
      </c>
      <c r="O178" s="11">
        <v>2489</v>
      </c>
      <c r="P178" s="11">
        <v>2497</v>
      </c>
      <c r="Q178" s="11">
        <v>2497</v>
      </c>
      <c r="R178" s="11">
        <v>2497</v>
      </c>
      <c r="S178" s="11">
        <v>2526</v>
      </c>
      <c r="T178" s="11">
        <v>2525</v>
      </c>
    </row>
    <row r="179" spans="1:20" x14ac:dyDescent="0.2">
      <c r="A179" s="24" t="s">
        <v>126</v>
      </c>
      <c r="B179" s="11">
        <v>2895</v>
      </c>
      <c r="C179" s="11">
        <v>2865</v>
      </c>
      <c r="D179" s="11">
        <v>2841</v>
      </c>
      <c r="E179" s="11">
        <v>2798</v>
      </c>
      <c r="F179" s="11">
        <v>2758</v>
      </c>
      <c r="G179" s="11">
        <v>2820</v>
      </c>
      <c r="H179" s="11">
        <v>2808</v>
      </c>
      <c r="I179" s="11">
        <v>2808</v>
      </c>
      <c r="J179" s="11">
        <v>2823</v>
      </c>
      <c r="K179" s="11">
        <v>2818</v>
      </c>
      <c r="L179" s="11">
        <v>2848</v>
      </c>
      <c r="M179" s="11">
        <v>2883</v>
      </c>
      <c r="N179" s="11">
        <v>2903</v>
      </c>
      <c r="O179" s="11">
        <v>2938</v>
      </c>
      <c r="P179" s="11">
        <v>2969</v>
      </c>
      <c r="Q179" s="11">
        <v>2958</v>
      </c>
      <c r="R179" s="11">
        <v>2963</v>
      </c>
      <c r="S179" s="11">
        <v>2987</v>
      </c>
      <c r="T179" s="11">
        <v>2985</v>
      </c>
    </row>
    <row r="180" spans="1:20" x14ac:dyDescent="0.2">
      <c r="A180" s="24" t="s">
        <v>127</v>
      </c>
      <c r="B180" s="11">
        <v>2964</v>
      </c>
      <c r="C180" s="11">
        <v>2964</v>
      </c>
      <c r="D180" s="11">
        <v>2973</v>
      </c>
      <c r="E180" s="11">
        <v>2914</v>
      </c>
      <c r="F180" s="11">
        <v>2950</v>
      </c>
      <c r="G180" s="11">
        <v>2966</v>
      </c>
      <c r="H180" s="11">
        <v>2953</v>
      </c>
      <c r="I180" s="11">
        <v>2898</v>
      </c>
      <c r="J180" s="11">
        <v>2841</v>
      </c>
      <c r="K180" s="11">
        <v>2792</v>
      </c>
      <c r="L180" s="11">
        <v>2782</v>
      </c>
      <c r="M180" s="11">
        <v>2782</v>
      </c>
      <c r="N180" s="11">
        <v>2782</v>
      </c>
      <c r="O180" s="11">
        <v>2777</v>
      </c>
      <c r="P180" s="11">
        <v>2802</v>
      </c>
      <c r="Q180" s="11">
        <v>2832</v>
      </c>
      <c r="R180" s="11">
        <v>2862</v>
      </c>
      <c r="S180" s="11">
        <v>2874</v>
      </c>
      <c r="T180" s="11">
        <v>2874</v>
      </c>
    </row>
    <row r="181" spans="1:20" x14ac:dyDescent="0.2">
      <c r="A181" s="24" t="s">
        <v>128</v>
      </c>
      <c r="B181" s="11">
        <v>2999</v>
      </c>
      <c r="C181" s="11">
        <v>2999</v>
      </c>
      <c r="D181" s="11">
        <v>2998</v>
      </c>
      <c r="E181" s="11">
        <v>2996</v>
      </c>
      <c r="F181" s="11">
        <v>3051</v>
      </c>
      <c r="G181" s="11">
        <v>3086</v>
      </c>
      <c r="H181" s="11">
        <v>3091</v>
      </c>
      <c r="I181" s="11">
        <v>3091</v>
      </c>
      <c r="J181" s="11">
        <v>3066</v>
      </c>
      <c r="K181" s="11">
        <v>3046</v>
      </c>
      <c r="L181" s="11">
        <v>3046</v>
      </c>
      <c r="M181" s="11">
        <v>3027</v>
      </c>
      <c r="N181" s="11">
        <v>3032</v>
      </c>
      <c r="O181" s="11">
        <v>3032</v>
      </c>
      <c r="P181" s="11">
        <v>3041</v>
      </c>
      <c r="Q181" s="11">
        <v>3066</v>
      </c>
      <c r="R181" s="11">
        <v>3091</v>
      </c>
      <c r="S181" s="11">
        <v>3074</v>
      </c>
      <c r="T181" s="11">
        <v>3074</v>
      </c>
    </row>
    <row r="182" spans="1:20" x14ac:dyDescent="0.2">
      <c r="A182" s="24" t="s">
        <v>129</v>
      </c>
      <c r="B182" s="11">
        <v>3039</v>
      </c>
      <c r="C182" s="11">
        <v>3039</v>
      </c>
      <c r="D182" s="11">
        <v>2985</v>
      </c>
      <c r="E182" s="11">
        <v>2985</v>
      </c>
      <c r="F182" s="11">
        <v>2964</v>
      </c>
      <c r="G182" s="11">
        <v>2962</v>
      </c>
      <c r="H182" s="11">
        <v>2963</v>
      </c>
      <c r="I182" s="11">
        <v>2988</v>
      </c>
      <c r="J182" s="11">
        <v>2990</v>
      </c>
      <c r="K182" s="11">
        <v>3005</v>
      </c>
      <c r="L182" s="11">
        <v>3025</v>
      </c>
      <c r="M182" s="11">
        <v>3009</v>
      </c>
      <c r="N182" s="11">
        <v>3024</v>
      </c>
      <c r="O182" s="11">
        <v>3044</v>
      </c>
      <c r="P182" s="11">
        <v>3044</v>
      </c>
      <c r="Q182" s="11">
        <v>3034</v>
      </c>
      <c r="R182" s="11">
        <v>3029</v>
      </c>
      <c r="S182" s="11">
        <v>3055</v>
      </c>
      <c r="T182" s="11">
        <v>3054</v>
      </c>
    </row>
    <row r="183" spans="1:20" x14ac:dyDescent="0.2">
      <c r="A183" s="24" t="s">
        <v>130</v>
      </c>
      <c r="B183" s="11">
        <v>3073</v>
      </c>
      <c r="C183" s="11">
        <v>3063</v>
      </c>
      <c r="D183" s="11">
        <v>2996</v>
      </c>
      <c r="E183" s="11">
        <v>2980</v>
      </c>
      <c r="F183" s="11">
        <v>2949</v>
      </c>
      <c r="G183" s="11">
        <v>2945</v>
      </c>
      <c r="H183" s="11">
        <v>2928</v>
      </c>
      <c r="I183" s="11">
        <v>2927</v>
      </c>
      <c r="J183" s="11">
        <v>2948</v>
      </c>
      <c r="K183" s="11">
        <v>2963</v>
      </c>
      <c r="L183" s="11">
        <v>2988</v>
      </c>
      <c r="M183" s="11">
        <v>3011</v>
      </c>
      <c r="N183" s="11">
        <v>3046</v>
      </c>
      <c r="O183" s="11">
        <v>3066</v>
      </c>
      <c r="P183" s="11">
        <v>3070</v>
      </c>
      <c r="Q183" s="11">
        <v>3069</v>
      </c>
      <c r="R183" s="11">
        <v>3069</v>
      </c>
      <c r="S183" s="11">
        <v>3049</v>
      </c>
      <c r="T183" s="11">
        <v>3047</v>
      </c>
    </row>
    <row r="184" spans="1:20" x14ac:dyDescent="0.2">
      <c r="A184" s="24" t="s">
        <v>131</v>
      </c>
      <c r="B184" s="11">
        <v>3107</v>
      </c>
      <c r="C184" s="11">
        <v>3107</v>
      </c>
      <c r="D184" s="11">
        <v>3130</v>
      </c>
      <c r="E184" s="11">
        <v>3109</v>
      </c>
      <c r="F184" s="11">
        <v>3145</v>
      </c>
      <c r="G184" s="11">
        <v>3169</v>
      </c>
      <c r="H184" s="11">
        <v>3195</v>
      </c>
      <c r="I184" s="11">
        <v>3210</v>
      </c>
      <c r="J184" s="11">
        <v>3262</v>
      </c>
      <c r="K184" s="11">
        <v>3297</v>
      </c>
      <c r="L184" s="11">
        <v>3322</v>
      </c>
      <c r="M184" s="11">
        <v>3323</v>
      </c>
      <c r="N184" s="11">
        <v>3323</v>
      </c>
      <c r="O184" s="11">
        <v>3328</v>
      </c>
      <c r="P184" s="11">
        <v>3338</v>
      </c>
      <c r="Q184" s="11">
        <v>3353</v>
      </c>
      <c r="R184" s="11">
        <v>3363</v>
      </c>
      <c r="S184" s="11">
        <v>3361</v>
      </c>
      <c r="T184" s="11">
        <v>3361</v>
      </c>
    </row>
    <row r="185" spans="1:20" x14ac:dyDescent="0.2">
      <c r="A185" s="24" t="s">
        <v>132</v>
      </c>
      <c r="B185" s="11">
        <v>3144</v>
      </c>
      <c r="C185" s="11">
        <v>3144</v>
      </c>
      <c r="D185" s="11">
        <v>3170</v>
      </c>
      <c r="E185" s="11">
        <v>3243</v>
      </c>
      <c r="F185" s="11">
        <v>3293</v>
      </c>
      <c r="G185" s="11">
        <v>3305</v>
      </c>
      <c r="H185" s="11">
        <v>3351</v>
      </c>
      <c r="I185" s="11">
        <v>3371</v>
      </c>
      <c r="J185" s="11">
        <v>3355</v>
      </c>
      <c r="K185" s="11">
        <v>3355</v>
      </c>
      <c r="L185" s="11">
        <v>3355</v>
      </c>
      <c r="M185" s="11">
        <v>3355</v>
      </c>
      <c r="N185" s="11">
        <v>3325</v>
      </c>
      <c r="O185" s="11">
        <v>3315</v>
      </c>
      <c r="P185" s="11">
        <v>3295</v>
      </c>
      <c r="Q185" s="11">
        <v>3265</v>
      </c>
      <c r="R185" s="11">
        <v>3270</v>
      </c>
      <c r="S185" s="11">
        <v>3280</v>
      </c>
      <c r="T185" s="11">
        <v>3280</v>
      </c>
    </row>
    <row r="186" spans="1:20" x14ac:dyDescent="0.2">
      <c r="A186" s="24" t="s">
        <v>133</v>
      </c>
      <c r="B186" s="11">
        <v>3310</v>
      </c>
      <c r="C186" s="11">
        <v>3290</v>
      </c>
      <c r="D186" s="11">
        <v>3264</v>
      </c>
      <c r="E186" s="11">
        <v>3146</v>
      </c>
      <c r="F186" s="11">
        <v>3161</v>
      </c>
      <c r="G186" s="11">
        <v>3130</v>
      </c>
      <c r="H186" s="11">
        <v>3080</v>
      </c>
      <c r="I186" s="11">
        <v>3045</v>
      </c>
      <c r="J186" s="11">
        <v>3011</v>
      </c>
      <c r="K186" s="11">
        <v>3011</v>
      </c>
      <c r="L186" s="11">
        <v>3011</v>
      </c>
      <c r="M186" s="11">
        <v>3036</v>
      </c>
      <c r="N186" s="11">
        <v>3076</v>
      </c>
      <c r="O186" s="11">
        <v>3111</v>
      </c>
      <c r="P186" s="11">
        <v>3116</v>
      </c>
      <c r="Q186" s="11">
        <v>3141</v>
      </c>
      <c r="R186" s="11">
        <v>3157</v>
      </c>
      <c r="S186" s="11">
        <v>3155</v>
      </c>
      <c r="T186" s="11">
        <v>3155</v>
      </c>
    </row>
    <row r="187" spans="1:20" x14ac:dyDescent="0.2">
      <c r="A187" s="24" t="s">
        <v>134</v>
      </c>
      <c r="B187" s="11">
        <v>3285</v>
      </c>
      <c r="C187" s="11">
        <v>3255</v>
      </c>
      <c r="D187" s="11">
        <v>3105</v>
      </c>
      <c r="E187" s="11">
        <v>2742</v>
      </c>
      <c r="F187" s="11">
        <v>2670</v>
      </c>
      <c r="G187" s="11">
        <v>2920</v>
      </c>
      <c r="H187" s="11">
        <v>3021</v>
      </c>
      <c r="I187" s="11">
        <v>3031</v>
      </c>
      <c r="J187" s="11">
        <v>3070</v>
      </c>
      <c r="K187" s="11">
        <v>3080</v>
      </c>
      <c r="L187" s="11">
        <v>3080</v>
      </c>
      <c r="M187" s="11">
        <v>3080</v>
      </c>
      <c r="N187" s="11">
        <v>3080</v>
      </c>
      <c r="O187" s="11">
        <v>3085</v>
      </c>
      <c r="P187" s="11">
        <v>3085</v>
      </c>
      <c r="Q187" s="11">
        <v>3094</v>
      </c>
      <c r="R187" s="11">
        <v>3099</v>
      </c>
      <c r="S187" s="11">
        <v>3099</v>
      </c>
      <c r="T187" s="11">
        <v>3098</v>
      </c>
    </row>
    <row r="188" spans="1:20" x14ac:dyDescent="0.2">
      <c r="A188" s="24" t="s">
        <v>135</v>
      </c>
      <c r="B188" s="11">
        <v>3264</v>
      </c>
      <c r="C188" s="11">
        <v>3264</v>
      </c>
      <c r="D188" s="11">
        <v>3264</v>
      </c>
      <c r="E188" s="11">
        <v>3176</v>
      </c>
      <c r="F188" s="11">
        <v>3140</v>
      </c>
      <c r="G188" s="11">
        <v>3140</v>
      </c>
      <c r="H188" s="11">
        <v>3243</v>
      </c>
      <c r="I188" s="11">
        <v>3274</v>
      </c>
      <c r="J188" s="11">
        <v>3304</v>
      </c>
      <c r="K188" s="11">
        <v>3309</v>
      </c>
      <c r="L188" s="11">
        <v>3319</v>
      </c>
      <c r="M188" s="11">
        <v>3360</v>
      </c>
      <c r="N188" s="11">
        <v>3390</v>
      </c>
      <c r="O188" s="11">
        <v>3395</v>
      </c>
      <c r="P188" s="11">
        <v>3374</v>
      </c>
      <c r="Q188" s="11">
        <v>3369</v>
      </c>
      <c r="R188" s="11">
        <v>3379</v>
      </c>
      <c r="S188" s="11">
        <v>3478</v>
      </c>
      <c r="T188" s="11">
        <v>3478</v>
      </c>
    </row>
    <row r="189" spans="1:20" x14ac:dyDescent="0.2">
      <c r="A189" s="24" t="s">
        <v>136</v>
      </c>
      <c r="B189" s="11">
        <v>3450</v>
      </c>
      <c r="C189" s="11">
        <v>3450</v>
      </c>
      <c r="D189" s="11">
        <v>3541</v>
      </c>
      <c r="E189" s="11">
        <v>3541</v>
      </c>
      <c r="F189" s="11">
        <v>3583</v>
      </c>
      <c r="G189" s="11">
        <v>3583</v>
      </c>
      <c r="H189" s="11">
        <v>3615</v>
      </c>
      <c r="I189" s="11">
        <v>3655</v>
      </c>
      <c r="J189" s="11">
        <v>3666</v>
      </c>
      <c r="K189" s="11">
        <v>3701</v>
      </c>
      <c r="L189" s="11">
        <v>3701</v>
      </c>
      <c r="M189" s="11">
        <v>3721</v>
      </c>
      <c r="N189" s="11">
        <v>3741</v>
      </c>
      <c r="O189" s="11">
        <v>3761</v>
      </c>
      <c r="P189" s="11">
        <v>3836</v>
      </c>
      <c r="Q189" s="11">
        <v>3851</v>
      </c>
      <c r="R189" s="11">
        <v>3884</v>
      </c>
      <c r="S189" s="11">
        <v>3861</v>
      </c>
      <c r="T189" s="11">
        <v>3861</v>
      </c>
    </row>
    <row r="190" spans="1:20" x14ac:dyDescent="0.2">
      <c r="A190" s="24" t="s">
        <v>137</v>
      </c>
      <c r="B190" s="11">
        <v>3729</v>
      </c>
      <c r="C190" s="11">
        <v>3734</v>
      </c>
      <c r="D190" s="11">
        <v>3744</v>
      </c>
      <c r="E190" s="11">
        <v>3717</v>
      </c>
      <c r="F190" s="11">
        <v>3725</v>
      </c>
      <c r="G190" s="11">
        <v>3685</v>
      </c>
      <c r="H190" s="11">
        <v>3738</v>
      </c>
      <c r="I190" s="11">
        <v>3738</v>
      </c>
      <c r="J190" s="11">
        <v>3711</v>
      </c>
      <c r="K190" s="11">
        <v>3701</v>
      </c>
      <c r="L190" s="11">
        <v>3690</v>
      </c>
      <c r="M190" s="11">
        <v>3705</v>
      </c>
      <c r="N190" s="11">
        <v>3750</v>
      </c>
      <c r="O190" s="11">
        <v>3780</v>
      </c>
      <c r="P190" s="11">
        <v>3794</v>
      </c>
      <c r="Q190" s="11">
        <v>3889</v>
      </c>
      <c r="R190" s="11">
        <v>3949</v>
      </c>
      <c r="S190" s="11">
        <v>3943</v>
      </c>
      <c r="T190" s="11">
        <v>3943</v>
      </c>
    </row>
    <row r="191" spans="1:20" x14ac:dyDescent="0.2">
      <c r="A191" s="24" t="s">
        <v>138</v>
      </c>
      <c r="B191" s="11">
        <v>3925</v>
      </c>
      <c r="C191" s="11">
        <v>3940</v>
      </c>
      <c r="D191" s="11">
        <v>3970</v>
      </c>
      <c r="E191" s="11">
        <v>4016</v>
      </c>
      <c r="F191" s="11">
        <v>4061</v>
      </c>
      <c r="G191" s="11">
        <v>4101</v>
      </c>
      <c r="H191" s="11">
        <v>4108</v>
      </c>
      <c r="I191" s="11">
        <v>4108</v>
      </c>
      <c r="J191" s="11">
        <v>4108</v>
      </c>
      <c r="K191" s="11">
        <v>4108</v>
      </c>
      <c r="L191" s="11">
        <v>4093</v>
      </c>
      <c r="M191" s="11">
        <v>4083</v>
      </c>
      <c r="N191" s="11">
        <v>4093</v>
      </c>
      <c r="O191" s="11">
        <v>4078</v>
      </c>
      <c r="P191" s="11">
        <v>4118</v>
      </c>
      <c r="Q191" s="11">
        <v>4158</v>
      </c>
      <c r="R191" s="11">
        <v>4183</v>
      </c>
      <c r="S191" s="11">
        <v>4214</v>
      </c>
      <c r="T191" s="11">
        <v>4214</v>
      </c>
    </row>
    <row r="192" spans="1:20" x14ac:dyDescent="0.2">
      <c r="A192" s="24" t="s">
        <v>139</v>
      </c>
      <c r="B192" s="11">
        <v>4235</v>
      </c>
      <c r="C192" s="11">
        <v>4235</v>
      </c>
      <c r="D192" s="11">
        <v>4235</v>
      </c>
      <c r="E192" s="11">
        <v>4301</v>
      </c>
      <c r="F192" s="11">
        <v>4326</v>
      </c>
      <c r="G192" s="11">
        <v>4326</v>
      </c>
      <c r="H192" s="11">
        <v>4326</v>
      </c>
      <c r="I192" s="11">
        <v>4306</v>
      </c>
      <c r="J192" s="11">
        <v>4248</v>
      </c>
      <c r="K192" s="11">
        <v>4188</v>
      </c>
      <c r="L192" s="11">
        <v>4163</v>
      </c>
      <c r="M192" s="11">
        <v>4168</v>
      </c>
      <c r="N192" s="11">
        <v>4188</v>
      </c>
      <c r="O192" s="11">
        <v>4213</v>
      </c>
      <c r="P192" s="11">
        <v>4251</v>
      </c>
      <c r="Q192" s="11">
        <v>4286</v>
      </c>
      <c r="R192" s="11">
        <v>4321</v>
      </c>
      <c r="S192" s="11">
        <v>4296</v>
      </c>
      <c r="T192" s="11">
        <v>4296</v>
      </c>
    </row>
    <row r="193" spans="1:21" x14ac:dyDescent="0.2">
      <c r="A193" s="24" t="s">
        <v>140</v>
      </c>
      <c r="B193" s="11">
        <v>4420</v>
      </c>
      <c r="C193" s="11">
        <v>4425</v>
      </c>
      <c r="D193" s="11">
        <v>4220</v>
      </c>
      <c r="E193" s="11">
        <v>4256</v>
      </c>
      <c r="F193" s="11">
        <v>4268</v>
      </c>
      <c r="G193" s="11">
        <v>4268</v>
      </c>
      <c r="H193" s="11">
        <v>4107</v>
      </c>
      <c r="I193" s="11">
        <v>4107</v>
      </c>
      <c r="J193" s="25">
        <v>4107</v>
      </c>
      <c r="K193" s="11">
        <v>4092</v>
      </c>
      <c r="L193" s="11">
        <v>4102</v>
      </c>
      <c r="M193" s="11">
        <v>4104</v>
      </c>
      <c r="N193" s="11">
        <v>4004</v>
      </c>
      <c r="O193" s="11">
        <v>3929</v>
      </c>
      <c r="P193" s="11">
        <v>3949</v>
      </c>
      <c r="Q193" s="11">
        <v>3929</v>
      </c>
      <c r="R193" s="11">
        <v>3994</v>
      </c>
      <c r="S193" s="11">
        <v>3967</v>
      </c>
      <c r="T193" s="11">
        <v>3967</v>
      </c>
    </row>
    <row r="194" spans="1:21" x14ac:dyDescent="0.2">
      <c r="A194" s="24" t="s">
        <v>141</v>
      </c>
      <c r="B194" s="11">
        <v>4195</v>
      </c>
      <c r="C194" s="11">
        <v>4195</v>
      </c>
      <c r="D194" s="11">
        <v>4120</v>
      </c>
      <c r="E194" s="11">
        <v>4016</v>
      </c>
      <c r="F194" s="11">
        <v>4018</v>
      </c>
      <c r="G194" s="11">
        <v>4023</v>
      </c>
      <c r="H194" s="11">
        <v>4008</v>
      </c>
      <c r="I194" s="11">
        <v>4008</v>
      </c>
      <c r="J194" s="11">
        <v>4008</v>
      </c>
      <c r="K194" s="11">
        <v>4058</v>
      </c>
      <c r="L194" s="11">
        <v>4058</v>
      </c>
      <c r="M194" s="11">
        <v>4002</v>
      </c>
      <c r="N194" s="11">
        <v>3901</v>
      </c>
      <c r="O194" s="11">
        <v>3891</v>
      </c>
      <c r="P194" s="11">
        <v>3857</v>
      </c>
      <c r="Q194" s="11">
        <v>3862</v>
      </c>
      <c r="R194" s="11">
        <v>3903</v>
      </c>
      <c r="S194" s="11">
        <v>3953</v>
      </c>
      <c r="T194" s="11">
        <v>3953</v>
      </c>
    </row>
    <row r="195" spans="1:21" x14ac:dyDescent="0.2">
      <c r="A195" s="24" t="s">
        <v>142</v>
      </c>
      <c r="B195" s="11">
        <v>4315</v>
      </c>
      <c r="C195" s="11">
        <v>4330</v>
      </c>
      <c r="D195" s="11">
        <v>4345</v>
      </c>
      <c r="E195" s="11">
        <v>4445</v>
      </c>
      <c r="F195" s="11">
        <v>4442</v>
      </c>
      <c r="G195" s="11">
        <v>4516</v>
      </c>
      <c r="H195" s="11">
        <v>4519</v>
      </c>
      <c r="I195" s="11">
        <v>4534</v>
      </c>
      <c r="J195" s="11">
        <v>4555</v>
      </c>
      <c r="K195" s="11">
        <v>4575</v>
      </c>
      <c r="L195" s="11">
        <v>4575</v>
      </c>
      <c r="M195" s="11">
        <v>4575</v>
      </c>
      <c r="N195" s="11">
        <v>4575</v>
      </c>
      <c r="O195" s="26">
        <f>'[1]Soy Complex'!$BJ$16</f>
        <v>4503.7283515407598</v>
      </c>
      <c r="P195" s="26">
        <f>'[1]Soy Complex'!$BJ$16</f>
        <v>4503.7283515407598</v>
      </c>
      <c r="Q195" s="26">
        <f>'[1]Soy Complex'!$BJ$16</f>
        <v>4503.7283515407598</v>
      </c>
      <c r="R195" s="26">
        <f>'[1]Soy Complex'!$BJ$16</f>
        <v>4503.7283515407598</v>
      </c>
      <c r="S195" s="26">
        <f>'[1]Soy Complex'!$BJ$16</f>
        <v>4503.7283515407598</v>
      </c>
      <c r="T195" s="26">
        <f>'[1]Soy Complex'!$BJ$16</f>
        <v>4503.7283515407598</v>
      </c>
    </row>
    <row r="196" spans="1:21" x14ac:dyDescent="0.2">
      <c r="A196" s="24" t="s">
        <v>143</v>
      </c>
      <c r="B196" s="11">
        <v>4420</v>
      </c>
      <c r="C196" s="26">
        <f>'[1]Soy Complex'!$BK$16</f>
        <v>4463.5855402293</v>
      </c>
      <c r="D196" s="26">
        <f>'[1]Soy Complex'!$BK$16</f>
        <v>4463.5855402293</v>
      </c>
      <c r="E196" s="26">
        <f>'[1]Soy Complex'!$BK$16</f>
        <v>4463.5855402293</v>
      </c>
      <c r="F196" s="26">
        <f>'[1]Soy Complex'!$BK$16</f>
        <v>4463.5855402293</v>
      </c>
      <c r="G196" s="26">
        <f>'[1]Soy Complex'!$BK$16</f>
        <v>4463.5855402293</v>
      </c>
      <c r="H196" s="26">
        <f>'[1]Soy Complex'!$BK$16</f>
        <v>4463.5855402293</v>
      </c>
      <c r="I196" s="26">
        <f>'[1]Soy Complex'!$BK$16</f>
        <v>4463.5855402293</v>
      </c>
      <c r="J196" s="26">
        <f>'[1]Soy Complex'!$BK$16</f>
        <v>4463.5855402293</v>
      </c>
      <c r="K196" s="26">
        <f>'[1]Soy Complex'!$BK$16</f>
        <v>4463.5855402293</v>
      </c>
      <c r="L196" s="26">
        <f>'[1]Soy Complex'!$BK$16</f>
        <v>4463.5855402293</v>
      </c>
      <c r="M196" s="26">
        <f>'[1]Soy Complex'!$BK$16</f>
        <v>4463.5855402293</v>
      </c>
      <c r="N196" s="26">
        <f>'[1]Soy Complex'!$BK$16</f>
        <v>4463.5855402293</v>
      </c>
      <c r="O196" s="26">
        <f>'[1]Soy Complex'!$BK$16</f>
        <v>4463.5855402293</v>
      </c>
      <c r="P196" s="26">
        <f>'[1]Soy Complex'!$BK$16</f>
        <v>4463.5855402293</v>
      </c>
      <c r="Q196" s="26">
        <f>'[1]Soy Complex'!$BK$16</f>
        <v>4463.5855402293</v>
      </c>
      <c r="R196" s="26">
        <f>'[1]Soy Complex'!$BK$16</f>
        <v>4463.5855402293</v>
      </c>
      <c r="S196" s="26">
        <f>'[1]Soy Complex'!$BK$16</f>
        <v>4463.5855402293</v>
      </c>
      <c r="T196" s="26">
        <f>'[1]Soy Complex'!$BK$16</f>
        <v>4463.5855402293</v>
      </c>
    </row>
    <row r="198" spans="1:21" ht="13.5" thickBot="1" x14ac:dyDescent="0.25"/>
    <row r="199" spans="1:21" ht="13.5" thickBot="1" x14ac:dyDescent="0.25">
      <c r="A199" s="21" t="s">
        <v>144</v>
      </c>
      <c r="B199" s="22" t="s">
        <v>83</v>
      </c>
      <c r="C199" s="22" t="s">
        <v>84</v>
      </c>
      <c r="D199" s="22" t="s">
        <v>85</v>
      </c>
      <c r="E199" s="22" t="s">
        <v>86</v>
      </c>
      <c r="F199" s="22" t="s">
        <v>87</v>
      </c>
      <c r="G199" s="22" t="s">
        <v>88</v>
      </c>
      <c r="H199" s="22" t="s">
        <v>89</v>
      </c>
      <c r="I199" s="22" t="s">
        <v>90</v>
      </c>
      <c r="J199" s="22" t="s">
        <v>91</v>
      </c>
      <c r="K199" s="22" t="s">
        <v>92</v>
      </c>
      <c r="L199" s="22" t="s">
        <v>93</v>
      </c>
      <c r="M199" s="22" t="s">
        <v>94</v>
      </c>
      <c r="N199" s="22" t="s">
        <v>83</v>
      </c>
      <c r="O199" s="22" t="s">
        <v>84</v>
      </c>
      <c r="P199" s="22" t="s">
        <v>85</v>
      </c>
      <c r="Q199" s="22" t="s">
        <v>86</v>
      </c>
      <c r="R199" s="22" t="s">
        <v>87</v>
      </c>
      <c r="S199" s="22" t="s">
        <v>88</v>
      </c>
      <c r="T199" s="22" t="s">
        <v>89</v>
      </c>
      <c r="U199" s="22" t="s">
        <v>145</v>
      </c>
    </row>
    <row r="200" spans="1:21" x14ac:dyDescent="0.2">
      <c r="A200" s="23" t="s">
        <v>146</v>
      </c>
      <c r="U200" s="11">
        <v>98.778999999999996</v>
      </c>
    </row>
    <row r="201" spans="1:21" x14ac:dyDescent="0.2">
      <c r="A201" s="23" t="s">
        <v>147</v>
      </c>
      <c r="U201" s="11">
        <v>71.962000000000003</v>
      </c>
    </row>
    <row r="202" spans="1:21" x14ac:dyDescent="0.2">
      <c r="A202" s="23" t="s">
        <v>148</v>
      </c>
      <c r="U202" s="11">
        <v>59.634</v>
      </c>
    </row>
    <row r="203" spans="1:21" x14ac:dyDescent="0.2">
      <c r="A203" s="23" t="s">
        <v>95</v>
      </c>
      <c r="B203" s="11"/>
      <c r="C203" s="11"/>
      <c r="D203" s="11"/>
      <c r="E203" s="11"/>
      <c r="F203" s="11">
        <v>200</v>
      </c>
      <c r="G203" s="11">
        <v>240</v>
      </c>
      <c r="H203" s="11">
        <v>225</v>
      </c>
      <c r="I203" s="11">
        <v>260</v>
      </c>
      <c r="J203" s="11">
        <v>240</v>
      </c>
      <c r="K203" s="11"/>
      <c r="L203" s="11">
        <v>240</v>
      </c>
      <c r="M203" s="11"/>
      <c r="N203" s="11"/>
      <c r="O203" s="11"/>
      <c r="P203" s="11">
        <v>170</v>
      </c>
      <c r="Q203" s="11">
        <v>160</v>
      </c>
      <c r="R203" s="11">
        <v>160</v>
      </c>
      <c r="S203" s="11">
        <v>172</v>
      </c>
      <c r="T203" s="11">
        <v>172</v>
      </c>
      <c r="U203" s="11">
        <v>170.751</v>
      </c>
    </row>
    <row r="204" spans="1:21" x14ac:dyDescent="0.2">
      <c r="A204" s="23" t="s">
        <v>96</v>
      </c>
      <c r="B204" s="11"/>
      <c r="C204" s="11"/>
      <c r="D204" s="11">
        <v>110</v>
      </c>
      <c r="E204" s="11">
        <v>75</v>
      </c>
      <c r="F204" s="11">
        <v>75</v>
      </c>
      <c r="G204" s="11">
        <v>60</v>
      </c>
      <c r="H204" s="11">
        <v>60</v>
      </c>
      <c r="I204" s="11"/>
      <c r="J204" s="11">
        <v>100</v>
      </c>
      <c r="K204" s="11"/>
      <c r="L204" s="11">
        <v>135</v>
      </c>
      <c r="M204" s="11"/>
      <c r="N204" s="11"/>
      <c r="O204" s="11">
        <v>225</v>
      </c>
      <c r="P204" s="11">
        <v>235</v>
      </c>
      <c r="Q204" s="11">
        <v>220</v>
      </c>
      <c r="R204" s="11">
        <v>220</v>
      </c>
      <c r="S204" s="11">
        <v>186</v>
      </c>
      <c r="T204" s="11">
        <v>186</v>
      </c>
      <c r="U204" s="11">
        <v>188.15100000000001</v>
      </c>
    </row>
    <row r="205" spans="1:21" x14ac:dyDescent="0.2">
      <c r="A205" s="23" t="s">
        <v>97</v>
      </c>
      <c r="B205" s="11"/>
      <c r="C205" s="11">
        <v>470</v>
      </c>
      <c r="D205" s="11">
        <v>430</v>
      </c>
      <c r="E205" s="11">
        <v>400</v>
      </c>
      <c r="F205" s="11">
        <v>380</v>
      </c>
      <c r="G205" s="11">
        <v>375</v>
      </c>
      <c r="H205" s="11">
        <v>375</v>
      </c>
      <c r="I205" s="11"/>
      <c r="J205" s="11"/>
      <c r="K205" s="11"/>
      <c r="L205" s="11">
        <v>280</v>
      </c>
      <c r="M205" s="11"/>
      <c r="N205" s="11"/>
      <c r="O205" s="11">
        <v>230</v>
      </c>
      <c r="P205" s="11">
        <v>200</v>
      </c>
      <c r="Q205" s="11">
        <v>200</v>
      </c>
      <c r="R205" s="11">
        <v>220</v>
      </c>
      <c r="S205" s="11">
        <v>244</v>
      </c>
      <c r="T205" s="11">
        <v>244</v>
      </c>
      <c r="U205" s="11">
        <v>244.94</v>
      </c>
    </row>
    <row r="206" spans="1:21" x14ac:dyDescent="0.2">
      <c r="A206" s="23" t="s">
        <v>98</v>
      </c>
      <c r="B206" s="11"/>
      <c r="C206" s="11">
        <v>140</v>
      </c>
      <c r="D206" s="11">
        <v>100</v>
      </c>
      <c r="E206" s="11">
        <v>120</v>
      </c>
      <c r="F206" s="11">
        <v>110</v>
      </c>
      <c r="G206" s="11">
        <v>100</v>
      </c>
      <c r="H206" s="11">
        <v>85</v>
      </c>
      <c r="I206" s="11"/>
      <c r="J206" s="11"/>
      <c r="K206" s="11"/>
      <c r="L206" s="11"/>
      <c r="M206" s="11"/>
      <c r="N206" s="11">
        <v>65</v>
      </c>
      <c r="O206" s="11"/>
      <c r="P206" s="11">
        <v>65</v>
      </c>
      <c r="Q206" s="11">
        <v>75</v>
      </c>
      <c r="R206" s="11">
        <v>85</v>
      </c>
      <c r="S206" s="11">
        <v>103</v>
      </c>
      <c r="T206" s="11">
        <v>103</v>
      </c>
      <c r="U206" s="11">
        <v>102.92400000000001</v>
      </c>
    </row>
    <row r="207" spans="1:21" x14ac:dyDescent="0.2">
      <c r="A207" s="23" t="s">
        <v>99</v>
      </c>
      <c r="B207" s="11">
        <v>117.5</v>
      </c>
      <c r="C207" s="11"/>
      <c r="D207" s="11">
        <v>140</v>
      </c>
      <c r="E207" s="11">
        <v>145</v>
      </c>
      <c r="F207" s="11">
        <v>200</v>
      </c>
      <c r="G207" s="11">
        <v>215</v>
      </c>
      <c r="H207" s="11">
        <v>250</v>
      </c>
      <c r="I207" s="11"/>
      <c r="J207" s="11"/>
      <c r="K207" s="11"/>
      <c r="L207" s="11">
        <v>215</v>
      </c>
      <c r="M207" s="11"/>
      <c r="N207" s="11">
        <v>170</v>
      </c>
      <c r="O207" s="11"/>
      <c r="P207" s="11">
        <v>125</v>
      </c>
      <c r="Q207" s="11">
        <v>125</v>
      </c>
      <c r="R207" s="11">
        <v>135</v>
      </c>
      <c r="S207" s="11">
        <v>159</v>
      </c>
      <c r="T207" s="11">
        <v>159</v>
      </c>
      <c r="U207" s="11">
        <v>161.17599999999999</v>
      </c>
    </row>
    <row r="208" spans="1:21" x14ac:dyDescent="0.2">
      <c r="A208" s="23" t="s">
        <v>100</v>
      </c>
      <c r="B208" s="11">
        <v>205</v>
      </c>
      <c r="C208" s="11"/>
      <c r="D208" s="11">
        <v>145</v>
      </c>
      <c r="E208" s="11">
        <v>130</v>
      </c>
      <c r="F208" s="11">
        <v>150</v>
      </c>
      <c r="G208" s="11">
        <v>170</v>
      </c>
      <c r="H208" s="11">
        <v>165</v>
      </c>
      <c r="I208" s="11">
        <v>155</v>
      </c>
      <c r="J208" s="11"/>
      <c r="K208" s="11">
        <v>150</v>
      </c>
      <c r="L208" s="11">
        <v>140</v>
      </c>
      <c r="M208" s="11"/>
      <c r="N208" s="11"/>
      <c r="O208" s="11"/>
      <c r="P208" s="11">
        <v>150</v>
      </c>
      <c r="Q208" s="11">
        <v>155</v>
      </c>
      <c r="R208" s="11">
        <v>160</v>
      </c>
      <c r="S208" s="11">
        <v>173</v>
      </c>
      <c r="T208" s="11">
        <v>173</v>
      </c>
      <c r="U208" s="11">
        <v>175.58799999999999</v>
      </c>
    </row>
    <row r="209" spans="1:21" x14ac:dyDescent="0.2">
      <c r="A209" s="23" t="s">
        <v>101</v>
      </c>
      <c r="B209" s="11"/>
      <c r="C209" s="11"/>
      <c r="D209" s="11">
        <v>237.5</v>
      </c>
      <c r="E209" s="11">
        <v>290</v>
      </c>
      <c r="F209" s="11">
        <v>330</v>
      </c>
      <c r="G209" s="11">
        <v>380</v>
      </c>
      <c r="H209" s="11">
        <v>400</v>
      </c>
      <c r="I209" s="11"/>
      <c r="J209" s="11">
        <v>440</v>
      </c>
      <c r="K209" s="11"/>
      <c r="L209" s="11">
        <v>425</v>
      </c>
      <c r="M209" s="11"/>
      <c r="N209" s="11">
        <v>400</v>
      </c>
      <c r="O209" s="11"/>
      <c r="P209" s="11">
        <v>380</v>
      </c>
      <c r="Q209" s="11">
        <v>400</v>
      </c>
      <c r="R209" s="11">
        <v>370</v>
      </c>
      <c r="S209" s="11">
        <v>359</v>
      </c>
      <c r="T209" s="11">
        <v>359</v>
      </c>
      <c r="U209" s="11">
        <v>358.476</v>
      </c>
    </row>
    <row r="210" spans="1:21" x14ac:dyDescent="0.2">
      <c r="A210" s="23" t="s">
        <v>102</v>
      </c>
      <c r="B210" s="11">
        <v>430</v>
      </c>
      <c r="C210" s="11"/>
      <c r="D210" s="11">
        <v>357.5</v>
      </c>
      <c r="E210" s="11">
        <v>300</v>
      </c>
      <c r="F210" s="11">
        <v>220</v>
      </c>
      <c r="G210" s="11">
        <v>165</v>
      </c>
      <c r="H210" s="11">
        <v>180</v>
      </c>
      <c r="I210" s="11">
        <v>180</v>
      </c>
      <c r="J210" s="11">
        <v>210</v>
      </c>
      <c r="K210" s="11">
        <v>220</v>
      </c>
      <c r="L210" s="11">
        <v>235</v>
      </c>
      <c r="M210" s="11">
        <v>275</v>
      </c>
      <c r="N210" s="11">
        <v>275</v>
      </c>
      <c r="O210" s="11">
        <v>285</v>
      </c>
      <c r="P210" s="11">
        <v>295</v>
      </c>
      <c r="Q210" s="11">
        <v>345</v>
      </c>
      <c r="R210" s="11">
        <v>345</v>
      </c>
      <c r="S210" s="11">
        <v>320</v>
      </c>
      <c r="T210" s="11">
        <v>320</v>
      </c>
      <c r="U210" s="11">
        <v>313.00700000000001</v>
      </c>
    </row>
    <row r="211" spans="1:21" x14ac:dyDescent="0.2">
      <c r="A211" s="23" t="s">
        <v>103</v>
      </c>
      <c r="B211" s="11">
        <v>275</v>
      </c>
      <c r="C211" s="11">
        <v>285</v>
      </c>
      <c r="D211" s="11">
        <v>305</v>
      </c>
      <c r="E211" s="11">
        <v>410</v>
      </c>
      <c r="F211" s="11">
        <v>430</v>
      </c>
      <c r="G211" s="11">
        <v>420</v>
      </c>
      <c r="H211" s="11">
        <v>405</v>
      </c>
      <c r="I211" s="11">
        <v>395</v>
      </c>
      <c r="J211" s="11">
        <v>360</v>
      </c>
      <c r="K211" s="11">
        <v>350</v>
      </c>
      <c r="L211" s="11">
        <v>350</v>
      </c>
      <c r="M211" s="11">
        <v>335</v>
      </c>
      <c r="N211" s="11">
        <v>315</v>
      </c>
      <c r="O211" s="11">
        <v>305</v>
      </c>
      <c r="P211" s="11">
        <v>270</v>
      </c>
      <c r="Q211" s="11">
        <v>270</v>
      </c>
      <c r="R211" s="11">
        <v>270</v>
      </c>
      <c r="S211" s="11">
        <v>268</v>
      </c>
      <c r="T211" s="11">
        <v>268</v>
      </c>
      <c r="U211" s="11">
        <v>254.48099999999999</v>
      </c>
    </row>
    <row r="212" spans="1:21" x14ac:dyDescent="0.2">
      <c r="A212" s="23" t="s">
        <v>104</v>
      </c>
      <c r="B212" s="11">
        <v>330</v>
      </c>
      <c r="C212" s="11">
        <v>325</v>
      </c>
      <c r="D212" s="11">
        <v>345</v>
      </c>
      <c r="E212" s="11">
        <v>420</v>
      </c>
      <c r="F212" s="11">
        <v>440</v>
      </c>
      <c r="G212" s="11">
        <v>430</v>
      </c>
      <c r="H212" s="11">
        <v>450</v>
      </c>
      <c r="I212" s="11">
        <v>430</v>
      </c>
      <c r="J212" s="11">
        <v>390</v>
      </c>
      <c r="K212" s="11">
        <v>390</v>
      </c>
      <c r="L212" s="11">
        <v>390</v>
      </c>
      <c r="M212" s="11">
        <v>375</v>
      </c>
      <c r="N212" s="11">
        <v>395</v>
      </c>
      <c r="O212" s="11">
        <v>440</v>
      </c>
      <c r="P212" s="11">
        <v>455</v>
      </c>
      <c r="Q212" s="11">
        <v>455</v>
      </c>
      <c r="R212" s="11">
        <v>455</v>
      </c>
      <c r="S212" s="11">
        <v>387</v>
      </c>
      <c r="T212" s="11">
        <v>387</v>
      </c>
      <c r="U212" s="11">
        <v>344.63400000000001</v>
      </c>
    </row>
    <row r="213" spans="1:21" x14ac:dyDescent="0.2">
      <c r="A213" s="23" t="s">
        <v>105</v>
      </c>
      <c r="B213" s="11">
        <v>310</v>
      </c>
      <c r="C213" s="11">
        <v>355</v>
      </c>
      <c r="D213" s="11">
        <v>325</v>
      </c>
      <c r="E213" s="11">
        <v>275</v>
      </c>
      <c r="F213" s="11">
        <v>150</v>
      </c>
      <c r="G213" s="11">
        <v>120</v>
      </c>
      <c r="H213" s="11">
        <v>140</v>
      </c>
      <c r="I213" s="11">
        <v>150</v>
      </c>
      <c r="J213" s="11">
        <v>185</v>
      </c>
      <c r="K213" s="11">
        <v>150</v>
      </c>
      <c r="L213" s="11">
        <v>150</v>
      </c>
      <c r="M213" s="11">
        <v>145</v>
      </c>
      <c r="N213" s="11">
        <v>105</v>
      </c>
      <c r="O213" s="11">
        <v>105</v>
      </c>
      <c r="P213" s="11">
        <v>105</v>
      </c>
      <c r="Q213" s="11">
        <v>95</v>
      </c>
      <c r="R213" s="11">
        <v>110</v>
      </c>
      <c r="S213" s="11">
        <v>175</v>
      </c>
      <c r="T213" s="11">
        <v>175</v>
      </c>
      <c r="U213" s="11">
        <v>175.696</v>
      </c>
    </row>
    <row r="214" spans="1:21" x14ac:dyDescent="0.2">
      <c r="A214" s="23" t="s">
        <v>106</v>
      </c>
      <c r="B214" s="11">
        <v>215</v>
      </c>
      <c r="C214" s="11">
        <v>215</v>
      </c>
      <c r="D214" s="11">
        <v>225</v>
      </c>
      <c r="E214" s="11">
        <v>250</v>
      </c>
      <c r="F214" s="11">
        <v>260</v>
      </c>
      <c r="G214" s="11">
        <v>250</v>
      </c>
      <c r="H214" s="11">
        <v>200</v>
      </c>
      <c r="I214" s="11">
        <v>215</v>
      </c>
      <c r="J214" s="11">
        <v>225</v>
      </c>
      <c r="K214" s="11">
        <v>195</v>
      </c>
      <c r="L214" s="11">
        <v>220</v>
      </c>
      <c r="M214" s="11">
        <v>225</v>
      </c>
      <c r="N214" s="11">
        <v>265</v>
      </c>
      <c r="O214" s="11">
        <v>275</v>
      </c>
      <c r="P214" s="11">
        <v>285</v>
      </c>
      <c r="Q214" s="11">
        <v>320</v>
      </c>
      <c r="R214" s="11">
        <v>310</v>
      </c>
      <c r="S214" s="11">
        <v>318</v>
      </c>
      <c r="T214" s="11">
        <v>318</v>
      </c>
      <c r="U214" s="11">
        <v>316.05700000000002</v>
      </c>
    </row>
    <row r="215" spans="1:21" x14ac:dyDescent="0.2">
      <c r="A215" s="23" t="s">
        <v>107</v>
      </c>
      <c r="B215" s="11">
        <v>370</v>
      </c>
      <c r="C215" s="11">
        <v>420</v>
      </c>
      <c r="D215" s="11">
        <v>390</v>
      </c>
      <c r="E215" s="11">
        <v>465</v>
      </c>
      <c r="F215" s="11">
        <v>555</v>
      </c>
      <c r="G215" s="11">
        <v>600</v>
      </c>
      <c r="H215" s="11">
        <v>615</v>
      </c>
      <c r="I215" s="11">
        <v>615</v>
      </c>
      <c r="J215" s="11">
        <v>580</v>
      </c>
      <c r="K215" s="11">
        <v>520</v>
      </c>
      <c r="L215" s="11">
        <v>500</v>
      </c>
      <c r="M215" s="11">
        <v>490</v>
      </c>
      <c r="N215" s="11">
        <v>490</v>
      </c>
      <c r="O215" s="11">
        <v>495</v>
      </c>
      <c r="P215" s="11">
        <v>515</v>
      </c>
      <c r="Q215" s="11">
        <v>525</v>
      </c>
      <c r="R215" s="11">
        <v>535</v>
      </c>
      <c r="S215" s="11">
        <v>536</v>
      </c>
      <c r="T215" s="11">
        <v>536</v>
      </c>
      <c r="U215" s="11">
        <v>536.36500000000001</v>
      </c>
    </row>
    <row r="216" spans="1:21" x14ac:dyDescent="0.2">
      <c r="A216" s="23" t="s">
        <v>108</v>
      </c>
      <c r="B216" s="11">
        <v>470</v>
      </c>
      <c r="C216" s="11">
        <v>470</v>
      </c>
      <c r="D216" s="11">
        <v>515</v>
      </c>
      <c r="E216" s="11">
        <v>600</v>
      </c>
      <c r="F216" s="11">
        <v>590</v>
      </c>
      <c r="G216" s="11">
        <v>600</v>
      </c>
      <c r="H216" s="11">
        <v>615</v>
      </c>
      <c r="I216" s="11">
        <v>615</v>
      </c>
      <c r="J216" s="11">
        <v>615</v>
      </c>
      <c r="K216" s="11">
        <v>615</v>
      </c>
      <c r="L216" s="11">
        <v>635</v>
      </c>
      <c r="M216" s="11">
        <v>610</v>
      </c>
      <c r="N216" s="11">
        <v>595</v>
      </c>
      <c r="O216" s="11">
        <v>580</v>
      </c>
      <c r="P216" s="11">
        <v>560</v>
      </c>
      <c r="Q216" s="11">
        <v>505</v>
      </c>
      <c r="R216" s="11">
        <v>480</v>
      </c>
      <c r="S216" s="11">
        <v>436</v>
      </c>
      <c r="T216" s="11">
        <v>436</v>
      </c>
      <c r="U216" s="11">
        <v>436.447</v>
      </c>
    </row>
    <row r="217" spans="1:21" x14ac:dyDescent="0.2">
      <c r="A217" s="23" t="s">
        <v>109</v>
      </c>
      <c r="B217" s="11">
        <v>520</v>
      </c>
      <c r="C217" s="11">
        <v>495</v>
      </c>
      <c r="D217" s="11">
        <v>545</v>
      </c>
      <c r="E217" s="11">
        <v>545</v>
      </c>
      <c r="F217" s="11">
        <v>480</v>
      </c>
      <c r="G217" s="11">
        <v>410</v>
      </c>
      <c r="H217" s="11">
        <v>375</v>
      </c>
      <c r="I217" s="11">
        <v>335</v>
      </c>
      <c r="J217" s="11">
        <v>295</v>
      </c>
      <c r="K217" s="11">
        <v>305</v>
      </c>
      <c r="L217" s="11">
        <v>315</v>
      </c>
      <c r="M217" s="11">
        <v>290</v>
      </c>
      <c r="N217" s="11">
        <v>275</v>
      </c>
      <c r="O217" s="11">
        <v>275</v>
      </c>
      <c r="P217" s="11">
        <v>290</v>
      </c>
      <c r="Q217" s="11">
        <v>280</v>
      </c>
      <c r="R217" s="11">
        <v>280</v>
      </c>
      <c r="S217" s="11">
        <v>302</v>
      </c>
      <c r="T217" s="11">
        <v>302</v>
      </c>
      <c r="U217" s="11">
        <v>302.476</v>
      </c>
    </row>
    <row r="218" spans="1:21" x14ac:dyDescent="0.2">
      <c r="A218" s="23" t="s">
        <v>110</v>
      </c>
      <c r="B218" s="11">
        <v>145</v>
      </c>
      <c r="C218" s="11">
        <v>155</v>
      </c>
      <c r="D218" s="11">
        <v>145</v>
      </c>
      <c r="E218" s="11">
        <v>100</v>
      </c>
      <c r="F218" s="11">
        <v>100</v>
      </c>
      <c r="G218" s="11">
        <v>125</v>
      </c>
      <c r="H218" s="11">
        <v>125</v>
      </c>
      <c r="I218" s="11">
        <v>125</v>
      </c>
      <c r="J218" s="11">
        <v>140</v>
      </c>
      <c r="K218" s="11">
        <v>140</v>
      </c>
      <c r="L218" s="11">
        <v>145</v>
      </c>
      <c r="M218" s="11">
        <v>145</v>
      </c>
      <c r="N218" s="11">
        <v>135</v>
      </c>
      <c r="O218" s="11">
        <v>125</v>
      </c>
      <c r="P218" s="11">
        <v>125</v>
      </c>
      <c r="Q218" s="11">
        <v>155</v>
      </c>
      <c r="R218" s="11">
        <v>155</v>
      </c>
      <c r="S218" s="11">
        <v>182</v>
      </c>
      <c r="T218" s="11">
        <v>182</v>
      </c>
      <c r="U218" s="11">
        <v>182.029</v>
      </c>
    </row>
    <row r="219" spans="1:21" x14ac:dyDescent="0.2">
      <c r="A219" s="23" t="s">
        <v>111</v>
      </c>
      <c r="B219" s="11">
        <v>285</v>
      </c>
      <c r="C219" s="11">
        <v>275</v>
      </c>
      <c r="D219" s="11">
        <v>265</v>
      </c>
      <c r="E219" s="11">
        <v>285</v>
      </c>
      <c r="F219" s="11">
        <v>275</v>
      </c>
      <c r="G219" s="11">
        <v>325</v>
      </c>
      <c r="H219" s="11">
        <v>335</v>
      </c>
      <c r="I219" s="11">
        <v>335</v>
      </c>
      <c r="J219" s="11">
        <v>335</v>
      </c>
      <c r="K219" s="11">
        <v>335</v>
      </c>
      <c r="L219" s="11">
        <v>330</v>
      </c>
      <c r="M219" s="11">
        <v>305</v>
      </c>
      <c r="N219" s="11">
        <v>305</v>
      </c>
      <c r="O219" s="11">
        <v>295</v>
      </c>
      <c r="P219" s="11">
        <v>275</v>
      </c>
      <c r="Q219" s="11">
        <v>265</v>
      </c>
      <c r="R219" s="11">
        <v>250</v>
      </c>
      <c r="S219" s="11">
        <v>239</v>
      </c>
      <c r="T219" s="11">
        <v>239</v>
      </c>
      <c r="U219" s="11">
        <v>239.13900000000001</v>
      </c>
    </row>
    <row r="220" spans="1:21" x14ac:dyDescent="0.2">
      <c r="A220" s="23" t="s">
        <v>112</v>
      </c>
      <c r="B220" s="11">
        <v>355</v>
      </c>
      <c r="C220" s="11">
        <v>345</v>
      </c>
      <c r="D220" s="11">
        <v>265</v>
      </c>
      <c r="E220" s="11">
        <v>225</v>
      </c>
      <c r="F220" s="11">
        <v>200</v>
      </c>
      <c r="G220" s="11">
        <v>175</v>
      </c>
      <c r="H220" s="11">
        <v>255</v>
      </c>
      <c r="I220" s="11">
        <v>265</v>
      </c>
      <c r="J220" s="11">
        <v>300</v>
      </c>
      <c r="K220" s="11">
        <v>320</v>
      </c>
      <c r="L220" s="11">
        <v>350</v>
      </c>
      <c r="M220" s="11">
        <v>360</v>
      </c>
      <c r="N220" s="11">
        <v>355</v>
      </c>
      <c r="O220" s="11">
        <v>355</v>
      </c>
      <c r="P220" s="11">
        <v>350</v>
      </c>
      <c r="Q220" s="11">
        <v>325</v>
      </c>
      <c r="R220" s="11">
        <v>320</v>
      </c>
      <c r="S220" s="11">
        <v>329</v>
      </c>
      <c r="T220" s="11">
        <v>329</v>
      </c>
      <c r="U220" s="11">
        <v>329.04199999999997</v>
      </c>
    </row>
    <row r="221" spans="1:21" x14ac:dyDescent="0.2">
      <c r="A221" s="23" t="s">
        <v>113</v>
      </c>
      <c r="B221" s="11">
        <v>350</v>
      </c>
      <c r="C221" s="11">
        <v>350</v>
      </c>
      <c r="D221" s="11">
        <v>375</v>
      </c>
      <c r="E221" s="11">
        <v>300</v>
      </c>
      <c r="F221" s="11">
        <v>250</v>
      </c>
      <c r="G221" s="11">
        <v>320</v>
      </c>
      <c r="H221" s="11">
        <v>315</v>
      </c>
      <c r="I221" s="11">
        <v>315</v>
      </c>
      <c r="J221" s="11">
        <v>325</v>
      </c>
      <c r="K221" s="11">
        <v>325</v>
      </c>
      <c r="L221" s="11">
        <v>325</v>
      </c>
      <c r="M221" s="11">
        <v>305</v>
      </c>
      <c r="N221" s="11">
        <v>295</v>
      </c>
      <c r="O221" s="11">
        <v>300</v>
      </c>
      <c r="P221" s="11">
        <v>310</v>
      </c>
      <c r="Q221" s="11">
        <v>285</v>
      </c>
      <c r="R221" s="11">
        <v>285</v>
      </c>
      <c r="S221" s="11">
        <v>278</v>
      </c>
      <c r="T221" s="11">
        <v>278</v>
      </c>
      <c r="U221" s="11">
        <v>278.43700000000001</v>
      </c>
    </row>
    <row r="222" spans="1:21" x14ac:dyDescent="0.2">
      <c r="A222" s="23" t="s">
        <v>114</v>
      </c>
      <c r="B222" s="11">
        <v>235</v>
      </c>
      <c r="C222" s="11">
        <v>240</v>
      </c>
      <c r="D222" s="11">
        <v>285</v>
      </c>
      <c r="E222" s="11">
        <v>320</v>
      </c>
      <c r="F222" s="11">
        <v>315</v>
      </c>
      <c r="G222" s="11">
        <v>305</v>
      </c>
      <c r="H222" s="11">
        <v>350</v>
      </c>
      <c r="I222" s="11">
        <v>340</v>
      </c>
      <c r="J222" s="11">
        <v>355</v>
      </c>
      <c r="K222" s="11">
        <v>355</v>
      </c>
      <c r="L222" s="11">
        <v>340</v>
      </c>
      <c r="M222" s="11">
        <v>340</v>
      </c>
      <c r="N222" s="11">
        <v>325</v>
      </c>
      <c r="O222" s="11">
        <v>310</v>
      </c>
      <c r="P222" s="11">
        <v>290</v>
      </c>
      <c r="Q222" s="11">
        <v>290</v>
      </c>
      <c r="R222" s="11">
        <v>290</v>
      </c>
      <c r="S222" s="11">
        <v>292</v>
      </c>
      <c r="T222" s="11">
        <v>292</v>
      </c>
      <c r="U222" s="11">
        <v>292.28399999999999</v>
      </c>
    </row>
    <row r="223" spans="1:21" x14ac:dyDescent="0.2">
      <c r="A223" s="23" t="s">
        <v>115</v>
      </c>
      <c r="B223" s="11">
        <v>280</v>
      </c>
      <c r="C223" s="11">
        <v>265</v>
      </c>
      <c r="D223" s="11">
        <v>225</v>
      </c>
      <c r="E223" s="11">
        <v>190</v>
      </c>
      <c r="F223" s="11">
        <v>215</v>
      </c>
      <c r="G223" s="11">
        <v>205</v>
      </c>
      <c r="H223" s="11">
        <v>170</v>
      </c>
      <c r="I223" s="11">
        <v>165</v>
      </c>
      <c r="J223" s="11">
        <v>150</v>
      </c>
      <c r="K223" s="11">
        <v>155</v>
      </c>
      <c r="L223" s="11">
        <v>155</v>
      </c>
      <c r="M223" s="11">
        <v>160</v>
      </c>
      <c r="N223" s="11">
        <v>155</v>
      </c>
      <c r="O223" s="11">
        <v>160</v>
      </c>
      <c r="P223" s="11">
        <v>170</v>
      </c>
      <c r="Q223" s="11">
        <v>170</v>
      </c>
      <c r="R223" s="11">
        <v>150</v>
      </c>
      <c r="S223" s="11">
        <v>209</v>
      </c>
      <c r="T223" s="11">
        <v>209</v>
      </c>
      <c r="U223" s="11">
        <v>209.11699999999999</v>
      </c>
    </row>
    <row r="224" spans="1:21" x14ac:dyDescent="0.2">
      <c r="A224" s="24" t="s">
        <v>116</v>
      </c>
      <c r="B224" s="11">
        <v>280</v>
      </c>
      <c r="C224" s="11">
        <v>265</v>
      </c>
      <c r="D224" s="11">
        <v>300</v>
      </c>
      <c r="E224" s="11">
        <v>370</v>
      </c>
      <c r="F224" s="11">
        <v>370</v>
      </c>
      <c r="G224" s="11">
        <v>465</v>
      </c>
      <c r="H224" s="11">
        <v>495</v>
      </c>
      <c r="I224" s="11">
        <v>480</v>
      </c>
      <c r="J224" s="11">
        <v>510</v>
      </c>
      <c r="K224" s="11">
        <v>510</v>
      </c>
      <c r="L224" s="11">
        <v>510</v>
      </c>
      <c r="M224" s="11">
        <v>435</v>
      </c>
      <c r="N224" s="11">
        <v>425</v>
      </c>
      <c r="O224" s="11">
        <v>410</v>
      </c>
      <c r="P224" s="11">
        <v>385</v>
      </c>
      <c r="Q224" s="11">
        <v>380</v>
      </c>
      <c r="R224" s="11">
        <v>355</v>
      </c>
      <c r="S224" s="11">
        <v>335</v>
      </c>
      <c r="T224" s="11">
        <v>335</v>
      </c>
      <c r="U224" s="11">
        <v>334.81400000000002</v>
      </c>
    </row>
    <row r="225" spans="1:21" x14ac:dyDescent="0.2">
      <c r="A225" s="24" t="s">
        <v>117</v>
      </c>
      <c r="B225" s="11">
        <v>380</v>
      </c>
      <c r="C225" s="11">
        <v>355</v>
      </c>
      <c r="D225" s="11">
        <v>325</v>
      </c>
      <c r="E225" s="11">
        <v>325</v>
      </c>
      <c r="F225" s="11">
        <v>330</v>
      </c>
      <c r="G225" s="11">
        <v>220</v>
      </c>
      <c r="H225" s="11">
        <v>215</v>
      </c>
      <c r="I225" s="11">
        <v>215</v>
      </c>
      <c r="J225" s="11">
        <v>190</v>
      </c>
      <c r="K225" s="11">
        <v>190</v>
      </c>
      <c r="L225" s="11">
        <v>200</v>
      </c>
      <c r="M225" s="11">
        <v>190</v>
      </c>
      <c r="N225" s="11">
        <v>190</v>
      </c>
      <c r="O225" s="11">
        <v>195</v>
      </c>
      <c r="P225" s="11">
        <v>180</v>
      </c>
      <c r="Q225" s="11">
        <v>170</v>
      </c>
      <c r="R225" s="11">
        <v>170</v>
      </c>
      <c r="S225" s="11">
        <v>183</v>
      </c>
      <c r="T225" s="11">
        <v>183</v>
      </c>
      <c r="U225" s="11">
        <v>183.458</v>
      </c>
    </row>
    <row r="226" spans="1:21" x14ac:dyDescent="0.2">
      <c r="A226" s="24" t="s">
        <v>118</v>
      </c>
      <c r="B226" s="11">
        <v>190</v>
      </c>
      <c r="C226" s="11">
        <v>210</v>
      </c>
      <c r="D226" s="11">
        <v>185</v>
      </c>
      <c r="E226" s="11">
        <v>175</v>
      </c>
      <c r="F226" s="11">
        <v>160</v>
      </c>
      <c r="G226" s="11">
        <v>195</v>
      </c>
      <c r="H226" s="11">
        <v>210</v>
      </c>
      <c r="I226" s="11">
        <v>180</v>
      </c>
      <c r="J226" s="11">
        <v>155</v>
      </c>
      <c r="K226" s="11">
        <v>140</v>
      </c>
      <c r="L226" s="11">
        <v>140</v>
      </c>
      <c r="M226" s="11">
        <v>125</v>
      </c>
      <c r="N226" s="11">
        <v>125</v>
      </c>
      <c r="O226" s="11">
        <v>130</v>
      </c>
      <c r="P226" s="11">
        <v>125</v>
      </c>
      <c r="Q226" s="11">
        <v>125</v>
      </c>
      <c r="R226" s="11">
        <v>115</v>
      </c>
      <c r="S226" s="11">
        <v>132</v>
      </c>
      <c r="T226" s="11">
        <v>132</v>
      </c>
      <c r="U226" s="11">
        <v>131.833</v>
      </c>
    </row>
    <row r="227" spans="1:21" x14ac:dyDescent="0.2">
      <c r="A227" s="24" t="s">
        <v>119</v>
      </c>
      <c r="B227" s="11">
        <v>260</v>
      </c>
      <c r="C227" s="11">
        <v>240</v>
      </c>
      <c r="D227" s="11">
        <v>285</v>
      </c>
      <c r="E227" s="11">
        <v>305</v>
      </c>
      <c r="F227" s="11">
        <v>285</v>
      </c>
      <c r="G227" s="11">
        <v>270</v>
      </c>
      <c r="H227" s="11">
        <v>255</v>
      </c>
      <c r="I227" s="11">
        <v>255</v>
      </c>
      <c r="J227" s="11">
        <v>250</v>
      </c>
      <c r="K227" s="11">
        <v>245</v>
      </c>
      <c r="L227" s="11">
        <v>255</v>
      </c>
      <c r="M227" s="11">
        <v>235</v>
      </c>
      <c r="N227" s="11">
        <v>240</v>
      </c>
      <c r="O227" s="11">
        <v>240</v>
      </c>
      <c r="P227" s="11">
        <v>215</v>
      </c>
      <c r="Q227" s="11">
        <v>210</v>
      </c>
      <c r="R227" s="11">
        <v>200</v>
      </c>
      <c r="S227" s="11">
        <v>200</v>
      </c>
      <c r="T227" s="11">
        <v>200</v>
      </c>
      <c r="U227" s="11">
        <v>199.79900000000001</v>
      </c>
    </row>
    <row r="228" spans="1:21" x14ac:dyDescent="0.2">
      <c r="A228" s="24" t="s">
        <v>120</v>
      </c>
      <c r="B228" s="11">
        <v>410</v>
      </c>
      <c r="C228" s="11">
        <v>425</v>
      </c>
      <c r="D228" s="11">
        <v>435</v>
      </c>
      <c r="E228" s="11">
        <v>430</v>
      </c>
      <c r="F228" s="11">
        <v>485</v>
      </c>
      <c r="G228" s="11">
        <v>395</v>
      </c>
      <c r="H228" s="11">
        <v>365</v>
      </c>
      <c r="I228" s="11">
        <v>375</v>
      </c>
      <c r="J228" s="11">
        <v>390</v>
      </c>
      <c r="K228" s="11">
        <v>410</v>
      </c>
      <c r="L228" s="11">
        <v>470</v>
      </c>
      <c r="M228" s="11">
        <v>430</v>
      </c>
      <c r="N228" s="11">
        <v>430</v>
      </c>
      <c r="O228" s="11">
        <v>430</v>
      </c>
      <c r="P228" s="11">
        <v>395</v>
      </c>
      <c r="Q228" s="11">
        <v>590</v>
      </c>
      <c r="R228" s="11">
        <v>365</v>
      </c>
      <c r="S228" s="11">
        <v>348</v>
      </c>
      <c r="T228" s="11">
        <v>348</v>
      </c>
      <c r="U228" s="11">
        <v>348.48200000000003</v>
      </c>
    </row>
    <row r="229" spans="1:21" x14ac:dyDescent="0.2">
      <c r="A229" s="24" t="s">
        <v>121</v>
      </c>
      <c r="B229" s="11">
        <v>595</v>
      </c>
      <c r="C229" s="11">
        <v>595</v>
      </c>
      <c r="D229" s="11">
        <v>590</v>
      </c>
      <c r="E229" s="11">
        <v>540</v>
      </c>
      <c r="F229" s="11">
        <v>460</v>
      </c>
      <c r="G229" s="11">
        <v>385</v>
      </c>
      <c r="H229" s="11">
        <v>395</v>
      </c>
      <c r="I229" s="11">
        <v>395</v>
      </c>
      <c r="J229" s="11">
        <v>365</v>
      </c>
      <c r="K229" s="11">
        <v>345</v>
      </c>
      <c r="L229" s="11">
        <v>325</v>
      </c>
      <c r="M229" s="11">
        <v>300</v>
      </c>
      <c r="N229" s="11">
        <v>300</v>
      </c>
      <c r="O229" s="11">
        <v>300</v>
      </c>
      <c r="P229" s="11">
        <v>290</v>
      </c>
      <c r="Q229" s="11">
        <v>280</v>
      </c>
      <c r="R229" s="11">
        <v>265</v>
      </c>
      <c r="S229" s="11">
        <v>288</v>
      </c>
      <c r="T229" s="11">
        <v>288</v>
      </c>
      <c r="U229" s="11">
        <v>290.16199999999998</v>
      </c>
    </row>
    <row r="230" spans="1:21" x14ac:dyDescent="0.2">
      <c r="A230" s="24" t="s">
        <v>122</v>
      </c>
      <c r="B230" s="11">
        <v>495</v>
      </c>
      <c r="C230" s="11">
        <v>495</v>
      </c>
      <c r="D230" s="11">
        <v>480</v>
      </c>
      <c r="E230" s="11">
        <v>465</v>
      </c>
      <c r="F230" s="11">
        <v>365</v>
      </c>
      <c r="G230" s="11">
        <v>365</v>
      </c>
      <c r="H230" s="11">
        <v>350</v>
      </c>
      <c r="I230" s="11">
        <v>320</v>
      </c>
      <c r="J230" s="11">
        <v>320</v>
      </c>
      <c r="K230" s="11">
        <v>345</v>
      </c>
      <c r="L230" s="11">
        <v>330</v>
      </c>
      <c r="M230" s="11">
        <v>300</v>
      </c>
      <c r="N230" s="11">
        <v>295</v>
      </c>
      <c r="O230" s="11">
        <v>270</v>
      </c>
      <c r="P230" s="11">
        <v>255</v>
      </c>
      <c r="Q230" s="11">
        <v>250</v>
      </c>
      <c r="R230" s="11">
        <v>240</v>
      </c>
      <c r="S230" s="11">
        <v>248</v>
      </c>
      <c r="T230" s="11">
        <v>248</v>
      </c>
      <c r="U230" s="11">
        <v>247.74700000000001</v>
      </c>
    </row>
    <row r="231" spans="1:21" x14ac:dyDescent="0.2">
      <c r="A231" s="24" t="s">
        <v>123</v>
      </c>
      <c r="B231" s="11">
        <v>500</v>
      </c>
      <c r="C231" s="11">
        <v>440</v>
      </c>
      <c r="D231" s="11">
        <v>345</v>
      </c>
      <c r="E231" s="11">
        <v>300</v>
      </c>
      <c r="F231" s="11">
        <v>255</v>
      </c>
      <c r="G231" s="11">
        <v>345</v>
      </c>
      <c r="H231" s="11">
        <v>355</v>
      </c>
      <c r="I231" s="11">
        <v>330</v>
      </c>
      <c r="J231" s="11">
        <v>285</v>
      </c>
      <c r="K231" s="11">
        <v>270</v>
      </c>
      <c r="L231" s="11">
        <v>265</v>
      </c>
      <c r="M231" s="11">
        <v>265</v>
      </c>
      <c r="N231" s="11">
        <v>260</v>
      </c>
      <c r="O231" s="11">
        <v>240</v>
      </c>
      <c r="P231" s="11">
        <v>210</v>
      </c>
      <c r="Q231" s="11">
        <v>195</v>
      </c>
      <c r="R231" s="11">
        <v>195</v>
      </c>
      <c r="S231" s="11">
        <v>208</v>
      </c>
      <c r="T231" s="11">
        <v>208</v>
      </c>
      <c r="U231" s="11">
        <v>208.06100000000001</v>
      </c>
    </row>
    <row r="232" spans="1:21" x14ac:dyDescent="0.2">
      <c r="A232" s="24" t="s">
        <v>124</v>
      </c>
      <c r="B232" s="11">
        <v>255</v>
      </c>
      <c r="C232" s="11">
        <v>265</v>
      </c>
      <c r="D232" s="11">
        <v>230</v>
      </c>
      <c r="E232" s="11">
        <v>155</v>
      </c>
      <c r="F232" s="11">
        <v>160</v>
      </c>
      <c r="G232" s="11">
        <v>175</v>
      </c>
      <c r="H232" s="11">
        <v>185</v>
      </c>
      <c r="I232" s="11">
        <v>175</v>
      </c>
      <c r="J232" s="11">
        <v>190</v>
      </c>
      <c r="K232" s="11">
        <v>165</v>
      </c>
      <c r="L232" s="11">
        <v>160</v>
      </c>
      <c r="M232" s="11">
        <v>145</v>
      </c>
      <c r="N232" s="11">
        <v>135</v>
      </c>
      <c r="O232" s="11">
        <v>145</v>
      </c>
      <c r="P232" s="11">
        <v>155</v>
      </c>
      <c r="Q232" s="11">
        <v>145</v>
      </c>
      <c r="R232" s="11">
        <v>140</v>
      </c>
      <c r="S232" s="11">
        <v>169</v>
      </c>
      <c r="T232" s="11">
        <v>169</v>
      </c>
      <c r="U232" s="11">
        <v>178.32900000000001</v>
      </c>
    </row>
    <row r="233" spans="1:21" x14ac:dyDescent="0.2">
      <c r="A233" s="24" t="s">
        <v>125</v>
      </c>
      <c r="B233" s="11">
        <v>245</v>
      </c>
      <c r="C233" s="11">
        <v>250</v>
      </c>
      <c r="D233" s="11">
        <v>260</v>
      </c>
      <c r="E233" s="11">
        <v>220</v>
      </c>
      <c r="F233" s="11">
        <v>135</v>
      </c>
      <c r="G233" s="11">
        <v>130</v>
      </c>
      <c r="H233" s="11">
        <v>125</v>
      </c>
      <c r="I233" s="11">
        <v>125</v>
      </c>
      <c r="J233" s="11">
        <v>125</v>
      </c>
      <c r="K233" s="11">
        <v>125</v>
      </c>
      <c r="L233" s="11">
        <v>115</v>
      </c>
      <c r="M233" s="11">
        <v>115</v>
      </c>
      <c r="N233" s="11">
        <v>115</v>
      </c>
      <c r="O233" s="11">
        <v>115</v>
      </c>
      <c r="P233" s="11">
        <v>105</v>
      </c>
      <c r="Q233" s="11">
        <v>105</v>
      </c>
      <c r="R233" s="11">
        <v>105</v>
      </c>
      <c r="S233" s="11">
        <v>112</v>
      </c>
      <c r="T233" s="11">
        <v>112</v>
      </c>
      <c r="U233" s="11">
        <v>112.414</v>
      </c>
    </row>
    <row r="234" spans="1:21" x14ac:dyDescent="0.2">
      <c r="A234" s="24" t="s">
        <v>126</v>
      </c>
      <c r="B234" s="11">
        <v>190</v>
      </c>
      <c r="C234" s="11">
        <v>220</v>
      </c>
      <c r="D234" s="11">
        <v>210</v>
      </c>
      <c r="E234" s="11">
        <v>190</v>
      </c>
      <c r="F234" s="11">
        <v>190</v>
      </c>
      <c r="G234" s="11">
        <v>405</v>
      </c>
      <c r="H234" s="11">
        <v>460</v>
      </c>
      <c r="I234" s="11">
        <v>460</v>
      </c>
      <c r="J234" s="11">
        <v>435</v>
      </c>
      <c r="K234" s="11">
        <v>440</v>
      </c>
      <c r="L234" s="11">
        <v>410</v>
      </c>
      <c r="M234" s="11">
        <v>375</v>
      </c>
      <c r="N234" s="11">
        <v>355</v>
      </c>
      <c r="O234" s="11">
        <v>320</v>
      </c>
      <c r="P234" s="11">
        <v>290</v>
      </c>
      <c r="Q234" s="11">
        <v>300</v>
      </c>
      <c r="R234" s="11">
        <v>295</v>
      </c>
      <c r="S234" s="11">
        <v>256</v>
      </c>
      <c r="T234" s="11">
        <v>256</v>
      </c>
      <c r="U234" s="11">
        <v>255.738</v>
      </c>
    </row>
    <row r="235" spans="1:21" x14ac:dyDescent="0.2">
      <c r="A235" s="24" t="s">
        <v>127</v>
      </c>
      <c r="B235" s="11">
        <v>290</v>
      </c>
      <c r="C235" s="11">
        <v>255</v>
      </c>
      <c r="D235" s="11">
        <v>210</v>
      </c>
      <c r="E235" s="11">
        <v>180</v>
      </c>
      <c r="F235" s="11">
        <v>205</v>
      </c>
      <c r="G235" s="11">
        <v>260</v>
      </c>
      <c r="H235" s="11">
        <v>350</v>
      </c>
      <c r="I235" s="11">
        <v>405</v>
      </c>
      <c r="J235" s="11">
        <v>505</v>
      </c>
      <c r="K235" s="11">
        <v>555</v>
      </c>
      <c r="L235" s="11">
        <v>565</v>
      </c>
      <c r="M235" s="11">
        <v>565</v>
      </c>
      <c r="N235" s="11">
        <v>565</v>
      </c>
      <c r="O235" s="11">
        <v>570</v>
      </c>
      <c r="P235" s="11">
        <v>545</v>
      </c>
      <c r="Q235" s="11">
        <v>515</v>
      </c>
      <c r="R235" s="11">
        <v>485</v>
      </c>
      <c r="S235" s="11">
        <v>449</v>
      </c>
      <c r="T235" s="11">
        <v>449</v>
      </c>
      <c r="U235" s="11">
        <v>449.32600000000002</v>
      </c>
    </row>
    <row r="236" spans="1:21" x14ac:dyDescent="0.2">
      <c r="A236" s="24" t="s">
        <v>128</v>
      </c>
      <c r="B236" s="11">
        <v>650</v>
      </c>
      <c r="C236" s="11">
        <v>655</v>
      </c>
      <c r="D236" s="11">
        <v>560</v>
      </c>
      <c r="E236" s="11">
        <v>450</v>
      </c>
      <c r="F236" s="11">
        <v>530</v>
      </c>
      <c r="G236" s="11">
        <v>555</v>
      </c>
      <c r="H236" s="11">
        <v>565</v>
      </c>
      <c r="I236" s="11">
        <v>565</v>
      </c>
      <c r="J236" s="11">
        <v>575</v>
      </c>
      <c r="K236" s="11">
        <v>595</v>
      </c>
      <c r="L236" s="11">
        <v>595</v>
      </c>
      <c r="M236" s="11">
        <v>615</v>
      </c>
      <c r="N236" s="11">
        <v>610</v>
      </c>
      <c r="O236" s="11">
        <v>610</v>
      </c>
      <c r="P236" s="11">
        <v>600</v>
      </c>
      <c r="Q236" s="11">
        <v>575</v>
      </c>
      <c r="R236" s="11">
        <v>555</v>
      </c>
      <c r="S236" s="11">
        <v>573</v>
      </c>
      <c r="T236" s="11">
        <v>573</v>
      </c>
      <c r="U236" s="11">
        <v>573.80999999999995</v>
      </c>
    </row>
    <row r="237" spans="1:21" x14ac:dyDescent="0.2">
      <c r="A237" s="24" t="s">
        <v>129</v>
      </c>
      <c r="B237" s="11">
        <v>320</v>
      </c>
      <c r="C237" s="11">
        <v>320</v>
      </c>
      <c r="D237" s="11">
        <v>245</v>
      </c>
      <c r="E237" s="11">
        <v>220</v>
      </c>
      <c r="F237" s="11">
        <v>215</v>
      </c>
      <c r="G237" s="11">
        <v>215</v>
      </c>
      <c r="H237" s="11">
        <v>210</v>
      </c>
      <c r="I237" s="11">
        <v>185</v>
      </c>
      <c r="J237" s="11">
        <v>175</v>
      </c>
      <c r="K237" s="11">
        <v>160</v>
      </c>
      <c r="L237" s="11">
        <v>140</v>
      </c>
      <c r="M237" s="11">
        <v>160</v>
      </c>
      <c r="N237" s="11">
        <v>145</v>
      </c>
      <c r="O237" s="11">
        <v>125</v>
      </c>
      <c r="P237" s="11">
        <v>125</v>
      </c>
      <c r="Q237" s="11">
        <v>135</v>
      </c>
      <c r="R237" s="11">
        <v>140</v>
      </c>
      <c r="S237" s="11">
        <v>205</v>
      </c>
      <c r="T237" s="11">
        <v>205</v>
      </c>
      <c r="U237" s="11">
        <v>205.03399999999999</v>
      </c>
    </row>
    <row r="238" spans="1:21" x14ac:dyDescent="0.2">
      <c r="A238" s="24" t="s">
        <v>130</v>
      </c>
      <c r="B238" s="11">
        <v>185</v>
      </c>
      <c r="C238" s="11">
        <v>175</v>
      </c>
      <c r="D238" s="11">
        <v>140</v>
      </c>
      <c r="E238" s="11">
        <v>135</v>
      </c>
      <c r="F238" s="11">
        <v>135</v>
      </c>
      <c r="G238" s="11">
        <v>205</v>
      </c>
      <c r="H238" s="11">
        <v>205</v>
      </c>
      <c r="I238" s="11">
        <v>205</v>
      </c>
      <c r="J238" s="11">
        <v>225</v>
      </c>
      <c r="K238" s="11">
        <v>210</v>
      </c>
      <c r="L238" s="11">
        <v>185</v>
      </c>
      <c r="M238" s="11">
        <v>160</v>
      </c>
      <c r="N238" s="11">
        <v>130</v>
      </c>
      <c r="O238" s="11">
        <v>110</v>
      </c>
      <c r="P238" s="11">
        <v>110</v>
      </c>
      <c r="Q238" s="11">
        <v>110</v>
      </c>
      <c r="R238" s="11">
        <v>110</v>
      </c>
      <c r="S238" s="11">
        <v>138</v>
      </c>
      <c r="T238" s="11">
        <v>138</v>
      </c>
      <c r="U238" s="11">
        <v>138.19800000000001</v>
      </c>
    </row>
    <row r="239" spans="1:21" x14ac:dyDescent="0.2">
      <c r="A239" s="24" t="s">
        <v>131</v>
      </c>
      <c r="B239" s="11">
        <v>230</v>
      </c>
      <c r="C239" s="11">
        <v>210</v>
      </c>
      <c r="D239" s="11">
        <v>250</v>
      </c>
      <c r="E239" s="11">
        <v>210</v>
      </c>
      <c r="F239" s="11">
        <v>220</v>
      </c>
      <c r="G239" s="11">
        <v>230</v>
      </c>
      <c r="H239" s="11">
        <v>270</v>
      </c>
      <c r="I239" s="11">
        <v>255</v>
      </c>
      <c r="J239" s="11">
        <v>245</v>
      </c>
      <c r="K239" s="11">
        <v>210</v>
      </c>
      <c r="L239" s="11">
        <v>190</v>
      </c>
      <c r="M239" s="11">
        <v>190</v>
      </c>
      <c r="N239" s="11">
        <v>190</v>
      </c>
      <c r="O239" s="11">
        <v>185</v>
      </c>
      <c r="P239" s="11">
        <v>175</v>
      </c>
      <c r="Q239" s="11">
        <v>160</v>
      </c>
      <c r="R239" s="11">
        <v>150</v>
      </c>
      <c r="S239" s="11">
        <v>151</v>
      </c>
      <c r="T239" s="11">
        <v>151</v>
      </c>
      <c r="U239" s="11">
        <v>150.88499999999999</v>
      </c>
    </row>
    <row r="240" spans="1:21" x14ac:dyDescent="0.2">
      <c r="A240" s="24" t="s">
        <v>132</v>
      </c>
      <c r="B240" s="11">
        <v>365</v>
      </c>
      <c r="C240" s="11">
        <v>360</v>
      </c>
      <c r="D240" s="11">
        <v>360</v>
      </c>
      <c r="E240" s="11">
        <v>360</v>
      </c>
      <c r="F240" s="11">
        <v>350</v>
      </c>
      <c r="G240" s="11">
        <v>265</v>
      </c>
      <c r="H240" s="11">
        <v>185</v>
      </c>
      <c r="I240" s="11">
        <v>165</v>
      </c>
      <c r="J240" s="11">
        <v>140</v>
      </c>
      <c r="K240" s="11">
        <v>140</v>
      </c>
      <c r="L240" s="11">
        <v>140</v>
      </c>
      <c r="M240" s="11">
        <v>140</v>
      </c>
      <c r="N240" s="11">
        <v>170</v>
      </c>
      <c r="O240" s="11">
        <v>180</v>
      </c>
      <c r="P240" s="11">
        <v>200</v>
      </c>
      <c r="Q240" s="11">
        <v>230</v>
      </c>
      <c r="R240" s="11">
        <v>225</v>
      </c>
      <c r="S240" s="11">
        <v>215</v>
      </c>
      <c r="T240" s="11">
        <v>215</v>
      </c>
      <c r="U240" s="11">
        <v>215.01300000000001</v>
      </c>
    </row>
    <row r="241" spans="1:21" x14ac:dyDescent="0.2">
      <c r="A241" s="24" t="s">
        <v>133</v>
      </c>
      <c r="B241" s="11">
        <v>160</v>
      </c>
      <c r="C241" s="11">
        <v>190</v>
      </c>
      <c r="D241" s="11">
        <v>175</v>
      </c>
      <c r="E241" s="11">
        <v>155</v>
      </c>
      <c r="F241" s="11">
        <v>165</v>
      </c>
      <c r="G241" s="11">
        <v>160</v>
      </c>
      <c r="H241" s="11">
        <v>195</v>
      </c>
      <c r="I241" s="11">
        <v>230</v>
      </c>
      <c r="J241" s="11">
        <v>275</v>
      </c>
      <c r="K241" s="11">
        <v>275</v>
      </c>
      <c r="L241" s="11">
        <v>275</v>
      </c>
      <c r="M241" s="11">
        <v>250</v>
      </c>
      <c r="N241" s="11">
        <v>210</v>
      </c>
      <c r="O241" s="11">
        <v>175</v>
      </c>
      <c r="P241" s="11">
        <v>170</v>
      </c>
      <c r="Q241" s="11">
        <v>145</v>
      </c>
      <c r="R241" s="11">
        <v>130</v>
      </c>
      <c r="S241" s="11">
        <v>169</v>
      </c>
      <c r="T241" s="11">
        <v>169</v>
      </c>
      <c r="U241" s="11">
        <v>169.37</v>
      </c>
    </row>
    <row r="242" spans="1:21" x14ac:dyDescent="0.2">
      <c r="A242" s="24" t="s">
        <v>134</v>
      </c>
      <c r="B242" s="11">
        <v>145</v>
      </c>
      <c r="C242" s="11">
        <v>140</v>
      </c>
      <c r="D242" s="11">
        <v>130</v>
      </c>
      <c r="E242" s="11">
        <v>115</v>
      </c>
      <c r="F242" s="11">
        <v>115</v>
      </c>
      <c r="G242" s="11">
        <v>130</v>
      </c>
      <c r="H242" s="11">
        <v>140</v>
      </c>
      <c r="I242" s="11">
        <v>130</v>
      </c>
      <c r="J242" s="11">
        <v>135</v>
      </c>
      <c r="K242" s="11">
        <v>125</v>
      </c>
      <c r="L242" s="11">
        <v>125</v>
      </c>
      <c r="M242" s="11">
        <v>125</v>
      </c>
      <c r="N242" s="11">
        <v>125</v>
      </c>
      <c r="O242" s="11">
        <v>125</v>
      </c>
      <c r="P242" s="11">
        <v>125</v>
      </c>
      <c r="Q242" s="11">
        <v>125</v>
      </c>
      <c r="R242" s="11">
        <v>125</v>
      </c>
      <c r="S242" s="11">
        <v>141</v>
      </c>
      <c r="T242" s="11">
        <v>141</v>
      </c>
      <c r="U242" s="11">
        <v>140.55699999999999</v>
      </c>
    </row>
    <row r="243" spans="1:21" x14ac:dyDescent="0.2">
      <c r="A243" s="24" t="s">
        <v>135</v>
      </c>
      <c r="B243" s="11">
        <v>265</v>
      </c>
      <c r="C243" s="11">
        <v>265</v>
      </c>
      <c r="D243" s="11">
        <v>295</v>
      </c>
      <c r="E243" s="11">
        <v>220</v>
      </c>
      <c r="F243" s="11">
        <v>150</v>
      </c>
      <c r="G243" s="11">
        <v>150</v>
      </c>
      <c r="H243" s="11">
        <v>170</v>
      </c>
      <c r="I243" s="11">
        <v>150</v>
      </c>
      <c r="J243" s="11">
        <v>150</v>
      </c>
      <c r="K243" s="11">
        <v>150</v>
      </c>
      <c r="L243" s="11">
        <v>145</v>
      </c>
      <c r="M243" s="11">
        <v>135</v>
      </c>
      <c r="N243" s="11">
        <v>130</v>
      </c>
      <c r="O243" s="11">
        <v>125</v>
      </c>
      <c r="P243" s="11">
        <v>140</v>
      </c>
      <c r="Q243" s="11">
        <v>140</v>
      </c>
      <c r="R243" s="11">
        <v>130</v>
      </c>
      <c r="S243" s="11">
        <v>92</v>
      </c>
      <c r="T243" s="11">
        <v>91.991</v>
      </c>
      <c r="U243" s="11">
        <v>91.991</v>
      </c>
    </row>
    <row r="244" spans="1:21" x14ac:dyDescent="0.2">
      <c r="A244" s="24" t="s">
        <v>136</v>
      </c>
      <c r="B244" s="11">
        <v>330</v>
      </c>
      <c r="C244" s="11">
        <v>325</v>
      </c>
      <c r="D244" s="11">
        <v>415</v>
      </c>
      <c r="E244" s="11">
        <v>430</v>
      </c>
      <c r="F244" s="11">
        <v>475</v>
      </c>
      <c r="G244" s="11">
        <v>450</v>
      </c>
      <c r="H244" s="11">
        <v>450</v>
      </c>
      <c r="I244" s="11">
        <v>410</v>
      </c>
      <c r="J244" s="11">
        <v>410</v>
      </c>
      <c r="K244" s="11">
        <v>385</v>
      </c>
      <c r="L244" s="11">
        <v>385</v>
      </c>
      <c r="M244" s="11">
        <v>370</v>
      </c>
      <c r="N244" s="11">
        <v>350</v>
      </c>
      <c r="O244" s="11">
        <v>330</v>
      </c>
      <c r="P244" s="11">
        <v>255</v>
      </c>
      <c r="Q244" s="11">
        <v>240</v>
      </c>
      <c r="R244" s="11">
        <v>210</v>
      </c>
      <c r="S244" s="11">
        <v>191</v>
      </c>
      <c r="T244" s="11">
        <v>191</v>
      </c>
      <c r="U244" s="11">
        <v>190.61</v>
      </c>
    </row>
    <row r="245" spans="1:21" x14ac:dyDescent="0.2">
      <c r="A245" s="24" t="s">
        <v>137</v>
      </c>
      <c r="B245" s="11">
        <v>500</v>
      </c>
      <c r="C245" s="11">
        <v>475</v>
      </c>
      <c r="D245" s="11">
        <v>425</v>
      </c>
      <c r="E245" s="11">
        <v>470</v>
      </c>
      <c r="F245" s="11">
        <v>450</v>
      </c>
      <c r="G245" s="11">
        <v>425</v>
      </c>
      <c r="H245" s="11">
        <v>465</v>
      </c>
      <c r="I245" s="11">
        <v>465</v>
      </c>
      <c r="J245" s="11">
        <v>440</v>
      </c>
      <c r="K245" s="11">
        <v>450</v>
      </c>
      <c r="L245" s="11">
        <v>460</v>
      </c>
      <c r="M245" s="11">
        <v>445</v>
      </c>
      <c r="N245" s="11">
        <v>400</v>
      </c>
      <c r="O245" s="11">
        <v>350</v>
      </c>
      <c r="P245" s="11">
        <v>370</v>
      </c>
      <c r="Q245" s="11">
        <v>255</v>
      </c>
      <c r="R245" s="11">
        <v>195</v>
      </c>
      <c r="S245" s="11">
        <v>197</v>
      </c>
      <c r="T245" s="11">
        <v>197</v>
      </c>
      <c r="U245" s="11">
        <v>197</v>
      </c>
    </row>
    <row r="246" spans="1:21" x14ac:dyDescent="0.2">
      <c r="A246" s="24" t="s">
        <v>138</v>
      </c>
      <c r="B246" s="11">
        <v>305</v>
      </c>
      <c r="C246" s="11">
        <v>260</v>
      </c>
      <c r="D246" s="11">
        <v>290</v>
      </c>
      <c r="E246" s="11">
        <v>330</v>
      </c>
      <c r="F246" s="11">
        <v>365</v>
      </c>
      <c r="G246" s="11">
        <v>395</v>
      </c>
      <c r="H246" s="11">
        <v>480</v>
      </c>
      <c r="I246" s="11">
        <v>480</v>
      </c>
      <c r="J246" s="11">
        <v>420</v>
      </c>
      <c r="K246" s="11">
        <v>420</v>
      </c>
      <c r="L246" s="11">
        <v>435</v>
      </c>
      <c r="M246" s="11">
        <v>445</v>
      </c>
      <c r="N246" s="11">
        <v>435</v>
      </c>
      <c r="O246" s="11">
        <v>450</v>
      </c>
      <c r="P246" s="11">
        <v>410</v>
      </c>
      <c r="Q246" s="11">
        <v>370</v>
      </c>
      <c r="R246" s="11">
        <v>345</v>
      </c>
      <c r="S246" s="11">
        <v>301</v>
      </c>
      <c r="T246" s="11">
        <v>301</v>
      </c>
      <c r="U246" s="11">
        <f>AW$137</f>
        <v>0.45110228315991696</v>
      </c>
    </row>
    <row r="247" spans="1:21" x14ac:dyDescent="0.2">
      <c r="A247" s="24" t="s">
        <v>139</v>
      </c>
      <c r="B247" s="11">
        <v>480</v>
      </c>
      <c r="C247" s="11">
        <v>495</v>
      </c>
      <c r="D247" s="11">
        <v>460</v>
      </c>
      <c r="E247" s="11">
        <v>475</v>
      </c>
      <c r="F247" s="11">
        <v>475</v>
      </c>
      <c r="G247" s="11">
        <v>430</v>
      </c>
      <c r="H247" s="11">
        <v>425</v>
      </c>
      <c r="I247" s="11">
        <v>445</v>
      </c>
      <c r="J247" s="11">
        <v>470</v>
      </c>
      <c r="K247" s="11">
        <v>530</v>
      </c>
      <c r="L247" s="11">
        <v>555</v>
      </c>
      <c r="M247" s="11">
        <v>550</v>
      </c>
      <c r="N247" s="11">
        <v>530</v>
      </c>
      <c r="O247" s="11">
        <v>505</v>
      </c>
      <c r="P247" s="11">
        <v>465</v>
      </c>
      <c r="Q247" s="11">
        <v>430</v>
      </c>
      <c r="R247" s="11">
        <v>395</v>
      </c>
      <c r="S247" s="11">
        <v>438</v>
      </c>
      <c r="T247" s="11">
        <v>438</v>
      </c>
      <c r="U247" s="11">
        <f>AX$137</f>
        <v>0.55723872405800345</v>
      </c>
    </row>
    <row r="248" spans="1:21" x14ac:dyDescent="0.2">
      <c r="A248" s="24" t="s">
        <v>140</v>
      </c>
      <c r="B248" s="11">
        <v>415</v>
      </c>
      <c r="C248" s="11">
        <v>385</v>
      </c>
      <c r="D248" s="11">
        <v>580</v>
      </c>
      <c r="E248" s="11">
        <v>785</v>
      </c>
      <c r="F248" s="11">
        <v>845</v>
      </c>
      <c r="G248" s="11">
        <v>885</v>
      </c>
      <c r="H248" s="11">
        <v>955</v>
      </c>
      <c r="I248" s="11">
        <v>955</v>
      </c>
      <c r="J248" s="25">
        <v>955</v>
      </c>
      <c r="K248" s="11">
        <v>910</v>
      </c>
      <c r="L248" s="11">
        <v>900</v>
      </c>
      <c r="M248" s="11">
        <v>895</v>
      </c>
      <c r="N248" s="11">
        <v>995</v>
      </c>
      <c r="O248" s="11">
        <v>1070</v>
      </c>
      <c r="P248" s="11">
        <v>1050</v>
      </c>
      <c r="Q248" s="11">
        <v>1070</v>
      </c>
      <c r="R248" s="11">
        <v>1005</v>
      </c>
      <c r="S248" s="11">
        <v>913</v>
      </c>
      <c r="T248" s="11">
        <v>913</v>
      </c>
      <c r="U248" s="11">
        <f>AY$137</f>
        <v>1.0363795143773757</v>
      </c>
    </row>
    <row r="249" spans="1:21" x14ac:dyDescent="0.2">
      <c r="A249" s="24" t="s">
        <v>141</v>
      </c>
      <c r="B249" s="11">
        <v>970</v>
      </c>
      <c r="C249" s="11">
        <v>1045</v>
      </c>
      <c r="D249" s="11">
        <v>795</v>
      </c>
      <c r="E249" s="11">
        <v>755</v>
      </c>
      <c r="F249" s="11">
        <v>640</v>
      </c>
      <c r="G249" s="11">
        <v>460</v>
      </c>
      <c r="H249" s="11">
        <v>475</v>
      </c>
      <c r="I249" s="11">
        <v>475</v>
      </c>
      <c r="J249" s="11">
        <v>475</v>
      </c>
      <c r="K249" s="11">
        <v>425</v>
      </c>
      <c r="L249" s="11">
        <v>425</v>
      </c>
      <c r="M249" s="11">
        <v>480</v>
      </c>
      <c r="N249" s="11">
        <v>580</v>
      </c>
      <c r="O249" s="11">
        <v>585</v>
      </c>
      <c r="P249" s="11">
        <v>620</v>
      </c>
      <c r="Q249" s="11">
        <v>615</v>
      </c>
      <c r="R249" s="11">
        <v>575</v>
      </c>
      <c r="S249" s="11">
        <v>523</v>
      </c>
      <c r="T249" s="11">
        <v>523</v>
      </c>
      <c r="U249" s="11">
        <f>AZ$137</f>
        <v>0.60922079696091325</v>
      </c>
    </row>
    <row r="250" spans="1:21" x14ac:dyDescent="0.2">
      <c r="A250" s="24" t="s">
        <v>142</v>
      </c>
      <c r="B250" s="11">
        <v>405</v>
      </c>
      <c r="C250" s="11">
        <v>395</v>
      </c>
      <c r="D250" s="11">
        <v>425</v>
      </c>
      <c r="E250" s="11">
        <v>610</v>
      </c>
      <c r="F250" s="11">
        <v>460</v>
      </c>
      <c r="G250" s="11">
        <v>290</v>
      </c>
      <c r="H250" s="11">
        <v>190</v>
      </c>
      <c r="I250" s="11">
        <v>175</v>
      </c>
      <c r="J250" s="11">
        <v>140</v>
      </c>
      <c r="K250" s="11">
        <v>120</v>
      </c>
      <c r="L250" s="11">
        <v>120</v>
      </c>
      <c r="M250" s="11">
        <v>120</v>
      </c>
      <c r="N250" s="11">
        <v>120</v>
      </c>
      <c r="O250" s="26">
        <f>'[1]Soy Complex'!$BJ$17</f>
        <v>256.97899999999998</v>
      </c>
      <c r="P250" s="26">
        <f>'[1]Soy Complex'!$BJ$17</f>
        <v>256.97899999999998</v>
      </c>
      <c r="Q250" s="26">
        <f>'[1]Soy Complex'!$BJ$17</f>
        <v>256.97899999999998</v>
      </c>
      <c r="R250" s="26">
        <f>'[1]Soy Complex'!$BJ$17</f>
        <v>256.97899999999998</v>
      </c>
      <c r="S250" s="26">
        <f>'[1]Soy Complex'!$BJ$17</f>
        <v>256.97899999999998</v>
      </c>
      <c r="T250" s="26">
        <f>'[1]Soy Complex'!$BJ$17</f>
        <v>256.97899999999998</v>
      </c>
      <c r="U250" s="26">
        <f>'[1]Soy Complex'!$BJ$17</f>
        <v>256.97899999999998</v>
      </c>
    </row>
    <row r="251" spans="1:21" x14ac:dyDescent="0.2">
      <c r="A251" s="24" t="str">
        <f>A196</f>
        <v xml:space="preserve">21/22 </v>
      </c>
      <c r="B251" s="11">
        <v>140</v>
      </c>
      <c r="C251" s="26">
        <f>'[1]Soy Complex'!$BK$17</f>
        <v>274.39400000000001</v>
      </c>
      <c r="D251" s="26">
        <f>'[1]Soy Complex'!$BK$17</f>
        <v>274.39400000000001</v>
      </c>
      <c r="E251" s="26">
        <f>'[1]Soy Complex'!$BK$17</f>
        <v>274.39400000000001</v>
      </c>
      <c r="F251" s="26">
        <f>'[1]Soy Complex'!$BK$17</f>
        <v>274.39400000000001</v>
      </c>
      <c r="G251" s="26">
        <f>'[1]Soy Complex'!$BK$17</f>
        <v>274.39400000000001</v>
      </c>
      <c r="H251" s="26">
        <f>'[1]Soy Complex'!$BK$17</f>
        <v>274.39400000000001</v>
      </c>
      <c r="I251" s="26">
        <f>'[1]Soy Complex'!$BK$17</f>
        <v>274.39400000000001</v>
      </c>
      <c r="J251" s="26">
        <f>'[1]Soy Complex'!$BK$17</f>
        <v>274.39400000000001</v>
      </c>
      <c r="K251" s="26">
        <f>'[1]Soy Complex'!$BK$17</f>
        <v>274.39400000000001</v>
      </c>
      <c r="L251" s="26">
        <f>'[1]Soy Complex'!$BK$17</f>
        <v>274.39400000000001</v>
      </c>
      <c r="M251" s="26">
        <f>'[1]Soy Complex'!$BK$17</f>
        <v>274.39400000000001</v>
      </c>
      <c r="N251" s="26">
        <f>'[1]Soy Complex'!$BK$17</f>
        <v>274.39400000000001</v>
      </c>
      <c r="O251" s="26">
        <f>'[1]Soy Complex'!$BK$17</f>
        <v>274.39400000000001</v>
      </c>
      <c r="P251" s="26">
        <f>'[1]Soy Complex'!$BK$17</f>
        <v>274.39400000000001</v>
      </c>
      <c r="Q251" s="26">
        <f>'[1]Soy Complex'!$BK$17</f>
        <v>274.39400000000001</v>
      </c>
      <c r="R251" s="26">
        <f>'[1]Soy Complex'!$BK$17</f>
        <v>274.39400000000001</v>
      </c>
      <c r="S251" s="26">
        <f>'[1]Soy Complex'!$BK$17</f>
        <v>274.39400000000001</v>
      </c>
      <c r="T251" s="26">
        <f>'[1]Soy Complex'!$BK$17</f>
        <v>274.39400000000001</v>
      </c>
      <c r="U251" s="26">
        <f>'[1]Soy Complex'!$BK$17</f>
        <v>274.39400000000001</v>
      </c>
    </row>
    <row r="253" spans="1:21" ht="13.5" thickBot="1" x14ac:dyDescent="0.25"/>
    <row r="254" spans="1:21" ht="13.5" thickBot="1" x14ac:dyDescent="0.25">
      <c r="A254" s="27" t="s">
        <v>149</v>
      </c>
      <c r="B254" s="22" t="s">
        <v>83</v>
      </c>
      <c r="C254" s="22" t="s">
        <v>84</v>
      </c>
      <c r="D254" s="22" t="s">
        <v>85</v>
      </c>
      <c r="E254" s="22" t="s">
        <v>86</v>
      </c>
      <c r="F254" s="22" t="s">
        <v>87</v>
      </c>
      <c r="G254" s="22" t="s">
        <v>88</v>
      </c>
      <c r="H254" s="22" t="s">
        <v>89</v>
      </c>
      <c r="I254" s="22" t="s">
        <v>90</v>
      </c>
      <c r="J254" s="22" t="s">
        <v>91</v>
      </c>
      <c r="K254" s="22" t="s">
        <v>92</v>
      </c>
      <c r="L254" s="22" t="s">
        <v>93</v>
      </c>
      <c r="M254" s="22" t="s">
        <v>94</v>
      </c>
      <c r="N254" s="22" t="s">
        <v>83</v>
      </c>
      <c r="O254" s="22" t="s">
        <v>84</v>
      </c>
      <c r="P254" s="22" t="s">
        <v>85</v>
      </c>
      <c r="Q254" s="22" t="s">
        <v>86</v>
      </c>
      <c r="R254" s="22" t="s">
        <v>87</v>
      </c>
      <c r="S254" s="22" t="s">
        <v>88</v>
      </c>
      <c r="T254" s="22" t="s">
        <v>89</v>
      </c>
      <c r="U254" s="28"/>
    </row>
    <row r="255" spans="1:21" x14ac:dyDescent="0.2">
      <c r="A255" s="23" t="s">
        <v>95</v>
      </c>
      <c r="B255" s="29" t="str">
        <f>IF(B203="","",IF(B148="","",B203/B148))</f>
        <v/>
      </c>
      <c r="C255" s="29" t="str">
        <f t="shared" ref="C255:T255" si="21">IF(C203="","",IF(C148="","",C203/C148))</f>
        <v/>
      </c>
      <c r="D255" s="29" t="str">
        <f t="shared" si="21"/>
        <v/>
      </c>
      <c r="E255" s="29" t="str">
        <f t="shared" si="21"/>
        <v/>
      </c>
      <c r="F255" s="29">
        <f t="shared" si="21"/>
        <v>0.13661202185792351</v>
      </c>
      <c r="G255" s="29">
        <f t="shared" si="21"/>
        <v>0.17045454545454544</v>
      </c>
      <c r="H255" s="29">
        <f t="shared" si="21"/>
        <v>0.15957446808510639</v>
      </c>
      <c r="I255" s="29">
        <f t="shared" si="21"/>
        <v>0.18909090909090909</v>
      </c>
      <c r="J255" s="29">
        <f t="shared" si="21"/>
        <v>0.17303532804614274</v>
      </c>
      <c r="K255" s="29" t="str">
        <f t="shared" si="21"/>
        <v/>
      </c>
      <c r="L255" s="29">
        <f t="shared" si="21"/>
        <v>0.17303532804614274</v>
      </c>
      <c r="M255" s="29" t="str">
        <f t="shared" si="21"/>
        <v/>
      </c>
      <c r="N255" s="29" t="str">
        <f t="shared" si="21"/>
        <v/>
      </c>
      <c r="O255" s="29" t="str">
        <f t="shared" si="21"/>
        <v/>
      </c>
      <c r="P255" s="29">
        <f t="shared" si="21"/>
        <v>0.11667810569663692</v>
      </c>
      <c r="Q255" s="29">
        <f t="shared" si="21"/>
        <v>0.10906612133605999</v>
      </c>
      <c r="R255" s="29">
        <f t="shared" si="21"/>
        <v>0.10906612133605999</v>
      </c>
      <c r="S255" s="29">
        <f t="shared" si="21"/>
        <v>0.11821305841924398</v>
      </c>
      <c r="T255" s="29">
        <f t="shared" si="21"/>
        <v>0.11821305841924398</v>
      </c>
    </row>
    <row r="256" spans="1:21" x14ac:dyDescent="0.2">
      <c r="A256" s="23" t="s">
        <v>96</v>
      </c>
      <c r="B256" s="29" t="str">
        <f t="shared" ref="B256:T269" si="22">IF(B204="","",IF(B149="","",B204/B149))</f>
        <v/>
      </c>
      <c r="C256" s="29" t="str">
        <f t="shared" si="22"/>
        <v/>
      </c>
      <c r="D256" s="29">
        <f t="shared" si="22"/>
        <v>7.3825503355704702E-2</v>
      </c>
      <c r="E256" s="29">
        <f t="shared" si="22"/>
        <v>5.3609721229449604E-2</v>
      </c>
      <c r="F256" s="29">
        <f t="shared" si="22"/>
        <v>5.353319057815846E-2</v>
      </c>
      <c r="G256" s="29">
        <f t="shared" si="22"/>
        <v>4.3668122270742356E-2</v>
      </c>
      <c r="H256" s="29">
        <f t="shared" si="22"/>
        <v>4.4247787610619468E-2</v>
      </c>
      <c r="I256" s="29" t="str">
        <f t="shared" si="22"/>
        <v/>
      </c>
      <c r="J256" s="29">
        <f t="shared" si="22"/>
        <v>7.662835249042145E-2</v>
      </c>
      <c r="K256" s="29" t="str">
        <f t="shared" si="22"/>
        <v/>
      </c>
      <c r="L256" s="29">
        <f t="shared" si="22"/>
        <v>0.10638297872340426</v>
      </c>
      <c r="M256" s="29" t="str">
        <f t="shared" si="22"/>
        <v/>
      </c>
      <c r="N256" s="29" t="str">
        <f t="shared" si="22"/>
        <v/>
      </c>
      <c r="O256" s="29">
        <f t="shared" si="22"/>
        <v>0.19083969465648856</v>
      </c>
      <c r="P256" s="29">
        <f t="shared" si="22"/>
        <v>0.20102651839178784</v>
      </c>
      <c r="Q256" s="29">
        <f t="shared" si="22"/>
        <v>0.1858108108108108</v>
      </c>
      <c r="R256" s="29">
        <f t="shared" si="22"/>
        <v>0.1858108108108108</v>
      </c>
      <c r="S256" s="29">
        <f t="shared" si="22"/>
        <v>0.15270935960591134</v>
      </c>
      <c r="T256" s="29">
        <f t="shared" si="22"/>
        <v>0.15270935960591134</v>
      </c>
    </row>
    <row r="257" spans="1:20" x14ac:dyDescent="0.2">
      <c r="A257" s="23" t="s">
        <v>97</v>
      </c>
      <c r="B257" s="29" t="str">
        <f t="shared" si="22"/>
        <v/>
      </c>
      <c r="C257" s="29">
        <f t="shared" si="22"/>
        <v>0.37450199203187251</v>
      </c>
      <c r="D257" s="29">
        <f t="shared" si="22"/>
        <v>0.34262948207171312</v>
      </c>
      <c r="E257" s="29">
        <f t="shared" si="22"/>
        <v>0.3129890453834116</v>
      </c>
      <c r="F257" s="29">
        <f t="shared" si="22"/>
        <v>0.29641185647425899</v>
      </c>
      <c r="G257" s="29">
        <f t="shared" si="22"/>
        <v>0.29182879377431908</v>
      </c>
      <c r="H257" s="29">
        <f t="shared" si="22"/>
        <v>0.28174305033809166</v>
      </c>
      <c r="I257" s="29" t="str">
        <f t="shared" si="22"/>
        <v/>
      </c>
      <c r="J257" s="29" t="str">
        <f t="shared" si="22"/>
        <v/>
      </c>
      <c r="K257" s="29" t="str">
        <f t="shared" si="22"/>
        <v/>
      </c>
      <c r="L257" s="29">
        <f t="shared" si="22"/>
        <v>0.19635343618513323</v>
      </c>
      <c r="M257" s="29" t="str">
        <f t="shared" si="22"/>
        <v/>
      </c>
      <c r="N257" s="29" t="str">
        <f t="shared" si="22"/>
        <v/>
      </c>
      <c r="O257" s="29">
        <f t="shared" si="22"/>
        <v>0.15582655826558264</v>
      </c>
      <c r="P257" s="29">
        <f t="shared" si="22"/>
        <v>0.13280212483399734</v>
      </c>
      <c r="Q257" s="29">
        <f t="shared" si="22"/>
        <v>0.13280212483399734</v>
      </c>
      <c r="R257" s="29">
        <f t="shared" si="22"/>
        <v>0.1480484522207268</v>
      </c>
      <c r="S257" s="29">
        <f t="shared" si="22"/>
        <v>0.16689466484268126</v>
      </c>
      <c r="T257" s="29">
        <f t="shared" si="22"/>
        <v>0.16689466484268126</v>
      </c>
    </row>
    <row r="258" spans="1:20" x14ac:dyDescent="0.2">
      <c r="A258" s="23" t="s">
        <v>98</v>
      </c>
      <c r="B258" s="29" t="str">
        <f t="shared" si="22"/>
        <v/>
      </c>
      <c r="C258" s="29">
        <f t="shared" si="22"/>
        <v>9.7222222222222224E-2</v>
      </c>
      <c r="D258" s="29">
        <f t="shared" si="22"/>
        <v>6.8965517241379309E-2</v>
      </c>
      <c r="E258" s="29">
        <f t="shared" si="22"/>
        <v>8.4269662921348312E-2</v>
      </c>
      <c r="F258" s="29">
        <f t="shared" si="22"/>
        <v>7.947976878612717E-2</v>
      </c>
      <c r="G258" s="29">
        <f t="shared" si="22"/>
        <v>7.1736011477761832E-2</v>
      </c>
      <c r="H258" s="29">
        <f t="shared" si="22"/>
        <v>6.0240963855421686E-2</v>
      </c>
      <c r="I258" s="29" t="str">
        <f t="shared" si="22"/>
        <v/>
      </c>
      <c r="J258" s="29" t="str">
        <f t="shared" si="22"/>
        <v/>
      </c>
      <c r="K258" s="29" t="str">
        <f t="shared" si="22"/>
        <v/>
      </c>
      <c r="L258" s="29" t="str">
        <f t="shared" si="22"/>
        <v/>
      </c>
      <c r="M258" s="29" t="str">
        <f t="shared" si="22"/>
        <v/>
      </c>
      <c r="N258" s="29">
        <f t="shared" si="22"/>
        <v>4.4982698961937718E-2</v>
      </c>
      <c r="O258" s="29" t="str">
        <f t="shared" si="22"/>
        <v/>
      </c>
      <c r="P258" s="29">
        <f t="shared" si="22"/>
        <v>4.4982698961937718E-2</v>
      </c>
      <c r="Q258" s="29">
        <f t="shared" si="22"/>
        <v>5.2264808362369339E-2</v>
      </c>
      <c r="R258" s="29">
        <f t="shared" si="22"/>
        <v>5.9649122807017542E-2</v>
      </c>
      <c r="S258" s="29">
        <f t="shared" si="22"/>
        <v>7.3205401563610523E-2</v>
      </c>
      <c r="T258" s="29">
        <f t="shared" si="22"/>
        <v>7.3205401563610523E-2</v>
      </c>
    </row>
    <row r="259" spans="1:20" x14ac:dyDescent="0.2">
      <c r="A259" s="23" t="s">
        <v>99</v>
      </c>
      <c r="B259" s="29">
        <f t="shared" si="22"/>
        <v>8.1597222222222224E-2</v>
      </c>
      <c r="C259" s="29" t="str">
        <f t="shared" si="22"/>
        <v/>
      </c>
      <c r="D259" s="29">
        <f t="shared" si="22"/>
        <v>9.2105263157894732E-2</v>
      </c>
      <c r="E259" s="29">
        <f t="shared" si="22"/>
        <v>9.4647519582245432E-2</v>
      </c>
      <c r="F259" s="29">
        <f t="shared" si="22"/>
        <v>0.13080444735120994</v>
      </c>
      <c r="G259" s="29">
        <f t="shared" si="22"/>
        <v>0.14006514657980457</v>
      </c>
      <c r="H259" s="29">
        <f t="shared" si="22"/>
        <v>0.16276041666666666</v>
      </c>
      <c r="I259" s="29" t="str">
        <f t="shared" si="22"/>
        <v/>
      </c>
      <c r="J259" s="29" t="str">
        <f t="shared" si="22"/>
        <v/>
      </c>
      <c r="K259" s="29" t="str">
        <f t="shared" si="22"/>
        <v/>
      </c>
      <c r="L259" s="29">
        <f t="shared" si="22"/>
        <v>0.13403990024937656</v>
      </c>
      <c r="M259" s="29" t="str">
        <f t="shared" si="22"/>
        <v/>
      </c>
      <c r="N259" s="29">
        <f t="shared" si="22"/>
        <v>0.10309278350515463</v>
      </c>
      <c r="O259" s="29" t="str">
        <f t="shared" si="22"/>
        <v/>
      </c>
      <c r="P259" s="29">
        <f t="shared" si="22"/>
        <v>7.3789846517119242E-2</v>
      </c>
      <c r="Q259" s="29">
        <f t="shared" si="22"/>
        <v>7.3789846517119242E-2</v>
      </c>
      <c r="R259" s="29">
        <f t="shared" si="22"/>
        <v>8.0166270783847984E-2</v>
      </c>
      <c r="S259" s="29">
        <f t="shared" si="22"/>
        <v>9.3200468933177016E-2</v>
      </c>
      <c r="T259" s="29">
        <f t="shared" si="22"/>
        <v>9.3200468933177016E-2</v>
      </c>
    </row>
    <row r="260" spans="1:20" x14ac:dyDescent="0.2">
      <c r="A260" s="23" t="s">
        <v>100</v>
      </c>
      <c r="B260" s="29">
        <f t="shared" si="22"/>
        <v>0.12130177514792899</v>
      </c>
      <c r="C260" s="29" t="str">
        <f t="shared" si="22"/>
        <v/>
      </c>
      <c r="D260" s="29">
        <f t="shared" si="22"/>
        <v>8.1460674157303375E-2</v>
      </c>
      <c r="E260" s="29">
        <f t="shared" si="22"/>
        <v>7.3863636363636367E-2</v>
      </c>
      <c r="F260" s="29">
        <f t="shared" si="22"/>
        <v>8.5372794536141147E-2</v>
      </c>
      <c r="G260" s="29">
        <f t="shared" si="22"/>
        <v>9.5451993262212237E-2</v>
      </c>
      <c r="H260" s="29">
        <f t="shared" si="22"/>
        <v>9.1463414634146339E-2</v>
      </c>
      <c r="I260" s="29">
        <f t="shared" si="22"/>
        <v>8.544652701212789E-2</v>
      </c>
      <c r="J260" s="29" t="str">
        <f t="shared" si="22"/>
        <v/>
      </c>
      <c r="K260" s="29">
        <f t="shared" si="22"/>
        <v>8.0906148867313912E-2</v>
      </c>
      <c r="L260" s="29">
        <f t="shared" si="22"/>
        <v>7.5107296137339061E-2</v>
      </c>
      <c r="M260" s="29" t="str">
        <f t="shared" si="22"/>
        <v/>
      </c>
      <c r="N260" s="29" t="str">
        <f t="shared" si="22"/>
        <v/>
      </c>
      <c r="O260" s="29" t="str">
        <f t="shared" si="22"/>
        <v/>
      </c>
      <c r="P260" s="29">
        <f t="shared" si="22"/>
        <v>8.0256821829855537E-2</v>
      </c>
      <c r="Q260" s="29">
        <f t="shared" si="22"/>
        <v>8.3154506437768241E-2</v>
      </c>
      <c r="R260" s="29">
        <f t="shared" si="22"/>
        <v>8.606777837547068E-2</v>
      </c>
      <c r="S260" s="29">
        <f t="shared" si="22"/>
        <v>9.3110871905274492E-2</v>
      </c>
      <c r="T260" s="29">
        <f t="shared" si="22"/>
        <v>9.3110871905274492E-2</v>
      </c>
    </row>
    <row r="261" spans="1:20" x14ac:dyDescent="0.2">
      <c r="A261" s="23" t="s">
        <v>101</v>
      </c>
      <c r="B261" s="29" t="str">
        <f t="shared" si="22"/>
        <v/>
      </c>
      <c r="C261" s="29" t="str">
        <f t="shared" si="22"/>
        <v/>
      </c>
      <c r="D261" s="29">
        <f t="shared" si="22"/>
        <v>0.12210796915167095</v>
      </c>
      <c r="E261" s="29">
        <f t="shared" si="22"/>
        <v>0.14543630892678033</v>
      </c>
      <c r="F261" s="29">
        <f t="shared" si="22"/>
        <v>0.16467065868263472</v>
      </c>
      <c r="G261" s="29">
        <f t="shared" si="22"/>
        <v>0.18943170488534397</v>
      </c>
      <c r="H261" s="29">
        <f t="shared" si="22"/>
        <v>0.1991040318566451</v>
      </c>
      <c r="I261" s="29" t="str">
        <f t="shared" si="22"/>
        <v/>
      </c>
      <c r="J261" s="29">
        <f t="shared" si="22"/>
        <v>0.21989005497251374</v>
      </c>
      <c r="K261" s="29" t="str">
        <f t="shared" si="22"/>
        <v/>
      </c>
      <c r="L261" s="29">
        <f t="shared" si="22"/>
        <v>0.21070897372335151</v>
      </c>
      <c r="M261" s="29" t="str">
        <f t="shared" si="22"/>
        <v/>
      </c>
      <c r="N261" s="29">
        <f t="shared" si="22"/>
        <v>0.19588638589618021</v>
      </c>
      <c r="O261" s="29" t="str">
        <f t="shared" si="22"/>
        <v/>
      </c>
      <c r="P261" s="29">
        <f t="shared" si="22"/>
        <v>0.18295618680789599</v>
      </c>
      <c r="Q261" s="29">
        <f t="shared" si="22"/>
        <v>0.19445794846864364</v>
      </c>
      <c r="R261" s="29">
        <f t="shared" si="22"/>
        <v>0.17728797316722569</v>
      </c>
      <c r="S261" s="29">
        <f t="shared" si="22"/>
        <v>0.17234757561209793</v>
      </c>
      <c r="T261" s="29">
        <f t="shared" si="22"/>
        <v>0.17234757561209793</v>
      </c>
    </row>
    <row r="262" spans="1:20" x14ac:dyDescent="0.2">
      <c r="A262" s="23" t="s">
        <v>102</v>
      </c>
      <c r="B262" s="29">
        <f t="shared" si="22"/>
        <v>0.20950060901339829</v>
      </c>
      <c r="C262" s="29" t="str">
        <f t="shared" si="22"/>
        <v/>
      </c>
      <c r="D262" s="29">
        <f t="shared" si="22"/>
        <v>0.17333333333333334</v>
      </c>
      <c r="E262" s="29">
        <f t="shared" si="22"/>
        <v>0.15151515151515152</v>
      </c>
      <c r="F262" s="29">
        <f t="shared" si="22"/>
        <v>0.1110550227158001</v>
      </c>
      <c r="G262" s="29">
        <f t="shared" si="22"/>
        <v>8.4572014351614558E-2</v>
      </c>
      <c r="H262" s="29">
        <f t="shared" si="22"/>
        <v>9.2118730808597754E-2</v>
      </c>
      <c r="I262" s="29">
        <f t="shared" si="22"/>
        <v>9.2118730808597754E-2</v>
      </c>
      <c r="J262" s="29">
        <f t="shared" si="22"/>
        <v>0.10681586978636826</v>
      </c>
      <c r="K262" s="29">
        <f t="shared" si="22"/>
        <v>0.11247443762781185</v>
      </c>
      <c r="L262" s="29">
        <f t="shared" si="22"/>
        <v>0.12107161257083977</v>
      </c>
      <c r="M262" s="29">
        <f t="shared" si="22"/>
        <v>0.14466070489216201</v>
      </c>
      <c r="N262" s="29">
        <f t="shared" si="22"/>
        <v>0.14466070489216201</v>
      </c>
      <c r="O262" s="29">
        <f t="shared" si="22"/>
        <v>0.15071390798519302</v>
      </c>
      <c r="P262" s="29">
        <f t="shared" si="22"/>
        <v>0.15683147262094629</v>
      </c>
      <c r="Q262" s="29">
        <f t="shared" si="22"/>
        <v>0.1884216275259421</v>
      </c>
      <c r="R262" s="29">
        <f t="shared" si="22"/>
        <v>0.1884216275259421</v>
      </c>
      <c r="S262" s="29">
        <f t="shared" si="22"/>
        <v>0.17476788640087385</v>
      </c>
      <c r="T262" s="29">
        <f t="shared" si="22"/>
        <v>0.17476788640087385</v>
      </c>
    </row>
    <row r="263" spans="1:20" x14ac:dyDescent="0.2">
      <c r="A263" s="23" t="s">
        <v>103</v>
      </c>
      <c r="B263" s="29">
        <f t="shared" si="22"/>
        <v>0.13715710723192021</v>
      </c>
      <c r="C263" s="29">
        <f t="shared" si="22"/>
        <v>0.14214463840399003</v>
      </c>
      <c r="D263" s="29">
        <f t="shared" si="22"/>
        <v>0.15288220551378445</v>
      </c>
      <c r="E263" s="29">
        <f t="shared" si="22"/>
        <v>0.21004098360655737</v>
      </c>
      <c r="F263" s="29">
        <f t="shared" si="22"/>
        <v>0.21457085828343314</v>
      </c>
      <c r="G263" s="29">
        <f t="shared" si="22"/>
        <v>0.20926756352765322</v>
      </c>
      <c r="H263" s="29">
        <f t="shared" si="22"/>
        <v>0.2033132530120482</v>
      </c>
      <c r="I263" s="29">
        <f t="shared" si="22"/>
        <v>0.19730269730269731</v>
      </c>
      <c r="J263" s="29">
        <f t="shared" si="22"/>
        <v>0.18090452261306533</v>
      </c>
      <c r="K263" s="29">
        <f t="shared" si="22"/>
        <v>0.17517517517517517</v>
      </c>
      <c r="L263" s="29">
        <f t="shared" si="22"/>
        <v>0.17517517517517517</v>
      </c>
      <c r="M263" s="29">
        <f t="shared" si="22"/>
        <v>0.16641828117237953</v>
      </c>
      <c r="N263" s="29">
        <f t="shared" si="22"/>
        <v>0.15494343334972946</v>
      </c>
      <c r="O263" s="29">
        <f t="shared" si="22"/>
        <v>0.14929025942241803</v>
      </c>
      <c r="P263" s="29">
        <f t="shared" si="22"/>
        <v>0.12993262752646775</v>
      </c>
      <c r="Q263" s="29">
        <f t="shared" si="22"/>
        <v>0.12993262752646775</v>
      </c>
      <c r="R263" s="29">
        <f t="shared" si="22"/>
        <v>0.12993262752646775</v>
      </c>
      <c r="S263" s="29">
        <f t="shared" si="22"/>
        <v>0.13073170731707318</v>
      </c>
      <c r="T263" s="29">
        <f t="shared" si="22"/>
        <v>0.13073170731707318</v>
      </c>
    </row>
    <row r="264" spans="1:20" x14ac:dyDescent="0.2">
      <c r="A264" s="23" t="s">
        <v>104</v>
      </c>
      <c r="B264" s="29">
        <f t="shared" si="22"/>
        <v>0.15827338129496402</v>
      </c>
      <c r="C264" s="29">
        <f t="shared" si="22"/>
        <v>0.15625</v>
      </c>
      <c r="D264" s="29">
        <f t="shared" si="22"/>
        <v>0.16586538461538461</v>
      </c>
      <c r="E264" s="29">
        <f t="shared" si="22"/>
        <v>0.19598693420438637</v>
      </c>
      <c r="F264" s="29">
        <f t="shared" si="22"/>
        <v>0.20522388059701493</v>
      </c>
      <c r="G264" s="29">
        <f t="shared" si="22"/>
        <v>0.2011225444340505</v>
      </c>
      <c r="H264" s="29">
        <f t="shared" si="22"/>
        <v>0.21246458923512748</v>
      </c>
      <c r="I264" s="29">
        <f t="shared" si="22"/>
        <v>0.2011225444340505</v>
      </c>
      <c r="J264" s="29">
        <f t="shared" si="22"/>
        <v>0.18097447795823665</v>
      </c>
      <c r="K264" s="29">
        <f t="shared" si="22"/>
        <v>0.18097447795823665</v>
      </c>
      <c r="L264" s="29">
        <f t="shared" si="22"/>
        <v>0.18114259173246633</v>
      </c>
      <c r="M264" s="29">
        <f t="shared" si="22"/>
        <v>0.17297047970479704</v>
      </c>
      <c r="N264" s="29">
        <f t="shared" si="22"/>
        <v>0.18389199255121041</v>
      </c>
      <c r="O264" s="29">
        <f t="shared" si="22"/>
        <v>0.20922491678554447</v>
      </c>
      <c r="P264" s="29">
        <f t="shared" si="22"/>
        <v>0.21791187739463602</v>
      </c>
      <c r="Q264" s="29">
        <f t="shared" si="22"/>
        <v>0.21791187739463602</v>
      </c>
      <c r="R264" s="29">
        <f t="shared" si="22"/>
        <v>0.21791187739463602</v>
      </c>
      <c r="S264" s="29">
        <f t="shared" si="22"/>
        <v>0.18349928876244664</v>
      </c>
      <c r="T264" s="29">
        <f t="shared" si="22"/>
        <v>0.18349928876244664</v>
      </c>
    </row>
    <row r="265" spans="1:20" x14ac:dyDescent="0.2">
      <c r="A265" s="23" t="s">
        <v>105</v>
      </c>
      <c r="B265" s="29">
        <f t="shared" si="22"/>
        <v>0.14351851851851852</v>
      </c>
      <c r="C265" s="29">
        <f t="shared" si="22"/>
        <v>0.16435185185185186</v>
      </c>
      <c r="D265" s="29">
        <f t="shared" si="22"/>
        <v>0.15330188679245282</v>
      </c>
      <c r="E265" s="29">
        <f t="shared" si="22"/>
        <v>0.13593672763222936</v>
      </c>
      <c r="F265" s="29">
        <f t="shared" si="22"/>
        <v>8.1521739130434784E-2</v>
      </c>
      <c r="G265" s="29">
        <f t="shared" si="22"/>
        <v>6.726457399103139E-2</v>
      </c>
      <c r="H265" s="29">
        <f t="shared" si="22"/>
        <v>7.847533632286996E-2</v>
      </c>
      <c r="I265" s="29">
        <f t="shared" si="22"/>
        <v>8.4554678692220969E-2</v>
      </c>
      <c r="J265" s="29">
        <f t="shared" si="22"/>
        <v>0.10294936004451864</v>
      </c>
      <c r="K265" s="29">
        <f t="shared" si="22"/>
        <v>8.2056892778993432E-2</v>
      </c>
      <c r="L265" s="29">
        <f t="shared" si="22"/>
        <v>8.2056892778993432E-2</v>
      </c>
      <c r="M265" s="29">
        <f t="shared" si="22"/>
        <v>7.9105291871249317E-2</v>
      </c>
      <c r="N265" s="29">
        <f t="shared" si="22"/>
        <v>5.6059797116924721E-2</v>
      </c>
      <c r="O265" s="29">
        <f t="shared" si="22"/>
        <v>5.6059797116924721E-2</v>
      </c>
      <c r="P265" s="29">
        <f t="shared" si="22"/>
        <v>5.8107360265633644E-2</v>
      </c>
      <c r="Q265" s="29">
        <f t="shared" si="22"/>
        <v>5.2283984589983491E-2</v>
      </c>
      <c r="R265" s="29">
        <f t="shared" si="22"/>
        <v>6.1043285238623748E-2</v>
      </c>
      <c r="S265" s="29">
        <f t="shared" si="22"/>
        <v>9.6899224806201556E-2</v>
      </c>
      <c r="T265" s="29">
        <f t="shared" si="22"/>
        <v>9.6899224806201556E-2</v>
      </c>
    </row>
    <row r="266" spans="1:20" x14ac:dyDescent="0.2">
      <c r="A266" s="23" t="s">
        <v>106</v>
      </c>
      <c r="B266" s="29">
        <f t="shared" si="22"/>
        <v>0.10941475826972011</v>
      </c>
      <c r="C266" s="29">
        <f t="shared" si="22"/>
        <v>0.10941475826972011</v>
      </c>
      <c r="D266" s="29">
        <f t="shared" si="22"/>
        <v>0.11811023622047244</v>
      </c>
      <c r="E266" s="29">
        <f t="shared" si="22"/>
        <v>0.13297872340425532</v>
      </c>
      <c r="F266" s="29">
        <f t="shared" si="22"/>
        <v>0.13844515441959532</v>
      </c>
      <c r="G266" s="29">
        <f t="shared" si="22"/>
        <v>0.13178703215603585</v>
      </c>
      <c r="H266" s="29">
        <f t="shared" si="22"/>
        <v>0.10655301012253596</v>
      </c>
      <c r="I266" s="29">
        <f t="shared" si="22"/>
        <v>0.11546723952738991</v>
      </c>
      <c r="J266" s="29">
        <f t="shared" si="22"/>
        <v>0.12149028077753779</v>
      </c>
      <c r="K266" s="29">
        <f t="shared" si="22"/>
        <v>0.10586319218241043</v>
      </c>
      <c r="L266" s="29">
        <f t="shared" si="22"/>
        <v>0.12107870115575124</v>
      </c>
      <c r="M266" s="29">
        <f t="shared" si="22"/>
        <v>0.12417218543046357</v>
      </c>
      <c r="N266" s="29">
        <f t="shared" si="22"/>
        <v>0.14954853273137697</v>
      </c>
      <c r="O266" s="29">
        <f t="shared" si="22"/>
        <v>0.15607264472190693</v>
      </c>
      <c r="P266" s="29">
        <f t="shared" si="22"/>
        <v>0.16267123287671234</v>
      </c>
      <c r="Q266" s="29">
        <f t="shared" si="22"/>
        <v>0.18637157833430401</v>
      </c>
      <c r="R266" s="29">
        <f t="shared" si="22"/>
        <v>0.1795020266357846</v>
      </c>
      <c r="S266" s="29">
        <f t="shared" si="22"/>
        <v>0.18499127399650961</v>
      </c>
      <c r="T266" s="29">
        <f t="shared" si="22"/>
        <v>0.18499127399650961</v>
      </c>
    </row>
    <row r="267" spans="1:20" x14ac:dyDescent="0.2">
      <c r="A267" s="23" t="s">
        <v>107</v>
      </c>
      <c r="B267" s="29">
        <f t="shared" si="22"/>
        <v>0.2032967032967033</v>
      </c>
      <c r="C267" s="29">
        <f t="shared" si="22"/>
        <v>0.23595505617977527</v>
      </c>
      <c r="D267" s="29">
        <f t="shared" si="22"/>
        <v>0.21727019498607242</v>
      </c>
      <c r="E267" s="29">
        <f t="shared" si="22"/>
        <v>0.25633958103638366</v>
      </c>
      <c r="F267" s="29">
        <f t="shared" si="22"/>
        <v>0.30528052805280526</v>
      </c>
      <c r="G267" s="29">
        <f t="shared" si="22"/>
        <v>0.32858707557502737</v>
      </c>
      <c r="H267" s="29">
        <f t="shared" si="22"/>
        <v>0.3356986899563319</v>
      </c>
      <c r="I267" s="29">
        <f t="shared" si="22"/>
        <v>0.3356986899563319</v>
      </c>
      <c r="J267" s="29">
        <f t="shared" si="22"/>
        <v>0.31065881092662023</v>
      </c>
      <c r="K267" s="29">
        <f t="shared" si="22"/>
        <v>0.27440633245382584</v>
      </c>
      <c r="L267" s="29">
        <f t="shared" si="22"/>
        <v>0.26109660574412535</v>
      </c>
      <c r="M267" s="29">
        <f t="shared" si="22"/>
        <v>0.25454545454545452</v>
      </c>
      <c r="N267" s="29">
        <f t="shared" si="22"/>
        <v>0.25454545454545452</v>
      </c>
      <c r="O267" s="29">
        <f t="shared" si="22"/>
        <v>0.2578125</v>
      </c>
      <c r="P267" s="29">
        <f t="shared" si="22"/>
        <v>0.27105263157894738</v>
      </c>
      <c r="Q267" s="29">
        <f t="shared" si="22"/>
        <v>0.27777777777777779</v>
      </c>
      <c r="R267" s="29">
        <f t="shared" si="22"/>
        <v>0.28457446808510639</v>
      </c>
      <c r="S267" s="29">
        <f t="shared" si="22"/>
        <v>0.28525811601915912</v>
      </c>
      <c r="T267" s="29">
        <f t="shared" si="22"/>
        <v>0.28525811601915912</v>
      </c>
    </row>
    <row r="268" spans="1:20" x14ac:dyDescent="0.2">
      <c r="A268" s="23" t="s">
        <v>108</v>
      </c>
      <c r="B268" s="29">
        <f t="shared" si="22"/>
        <v>0.24479166666666666</v>
      </c>
      <c r="C268" s="29">
        <f t="shared" si="22"/>
        <v>0.24415584415584415</v>
      </c>
      <c r="D268" s="29">
        <f t="shared" si="22"/>
        <v>0.27105263157894738</v>
      </c>
      <c r="E268" s="29">
        <f t="shared" si="22"/>
        <v>0.31512605042016806</v>
      </c>
      <c r="F268" s="29">
        <f t="shared" si="22"/>
        <v>0.30649350649350648</v>
      </c>
      <c r="G268" s="29">
        <f t="shared" si="22"/>
        <v>0.31120331950207469</v>
      </c>
      <c r="H268" s="29">
        <f t="shared" si="22"/>
        <v>0.31865284974093266</v>
      </c>
      <c r="I268" s="29">
        <f t="shared" si="22"/>
        <v>0.31865284974093266</v>
      </c>
      <c r="J268" s="29">
        <f t="shared" si="22"/>
        <v>0.31898340248962653</v>
      </c>
      <c r="K268" s="29">
        <f t="shared" si="22"/>
        <v>0.31898340248962653</v>
      </c>
      <c r="L268" s="29">
        <f t="shared" si="22"/>
        <v>0.33280922431865828</v>
      </c>
      <c r="M268" s="29">
        <f t="shared" si="22"/>
        <v>0.31557165028453182</v>
      </c>
      <c r="N268" s="29">
        <f t="shared" si="22"/>
        <v>0.30544147843942504</v>
      </c>
      <c r="O268" s="29">
        <f t="shared" si="22"/>
        <v>0.29546612328069283</v>
      </c>
      <c r="P268" s="29">
        <f t="shared" si="22"/>
        <v>0.28240040342914774</v>
      </c>
      <c r="Q268" s="29">
        <f t="shared" si="22"/>
        <v>0.24779195289499509</v>
      </c>
      <c r="R268" s="29">
        <f t="shared" si="22"/>
        <v>0.23267086766844403</v>
      </c>
      <c r="S268" s="29">
        <f t="shared" si="22"/>
        <v>0.21372549019607842</v>
      </c>
      <c r="T268" s="29">
        <f t="shared" si="22"/>
        <v>0.21372549019607842</v>
      </c>
    </row>
    <row r="269" spans="1:20" x14ac:dyDescent="0.2">
      <c r="A269" s="23" t="s">
        <v>109</v>
      </c>
      <c r="B269" s="29">
        <f t="shared" si="22"/>
        <v>0.27368421052631581</v>
      </c>
      <c r="C269" s="29">
        <f t="shared" si="22"/>
        <v>0.25916230366492149</v>
      </c>
      <c r="D269" s="29">
        <f t="shared" si="22"/>
        <v>0.28459530026109658</v>
      </c>
      <c r="E269" s="29">
        <f t="shared" si="22"/>
        <v>0.27806122448979592</v>
      </c>
      <c r="F269" s="29">
        <f t="shared" si="22"/>
        <v>0.2452733776188043</v>
      </c>
      <c r="G269" s="29">
        <f t="shared" si="22"/>
        <v>0.20561685055165496</v>
      </c>
      <c r="H269" s="29">
        <f t="shared" si="22"/>
        <v>0.18555170707570509</v>
      </c>
      <c r="I269" s="29">
        <f t="shared" si="22"/>
        <v>0.16254245511887433</v>
      </c>
      <c r="J269" s="29">
        <f t="shared" ref="J269:T269" si="23">IF(J217="","",IF(J162="","",J217/J162))</f>
        <v>0.14418377321603129</v>
      </c>
      <c r="K269" s="29">
        <f t="shared" si="23"/>
        <v>0.14980353634577603</v>
      </c>
      <c r="L269" s="29">
        <f t="shared" si="23"/>
        <v>0.15547877591312931</v>
      </c>
      <c r="M269" s="29">
        <f t="shared" si="23"/>
        <v>0.14139444173573867</v>
      </c>
      <c r="N269" s="29">
        <f t="shared" si="23"/>
        <v>0.13310745401742496</v>
      </c>
      <c r="O269" s="29">
        <f t="shared" si="23"/>
        <v>0.13310745401742496</v>
      </c>
      <c r="P269" s="29">
        <f t="shared" si="23"/>
        <v>0.14139444173573867</v>
      </c>
      <c r="Q269" s="29">
        <f t="shared" si="23"/>
        <v>0.1358563803978651</v>
      </c>
      <c r="R269" s="29">
        <f t="shared" si="23"/>
        <v>0.1358563803978651</v>
      </c>
      <c r="S269" s="29">
        <f t="shared" si="23"/>
        <v>0.14681575109382597</v>
      </c>
      <c r="T269" s="29">
        <f t="shared" si="23"/>
        <v>0.14681575109382597</v>
      </c>
    </row>
    <row r="270" spans="1:20" x14ac:dyDescent="0.2">
      <c r="A270" s="23" t="s">
        <v>110</v>
      </c>
      <c r="B270" s="29">
        <f t="shared" ref="B270:T283" si="24">IF(B218="","",IF(B163="","",B218/B163))</f>
        <v>7.2139303482587069E-2</v>
      </c>
      <c r="C270" s="29">
        <f t="shared" si="24"/>
        <v>7.7499999999999999E-2</v>
      </c>
      <c r="D270" s="29">
        <f t="shared" si="24"/>
        <v>8.0779944289693595E-2</v>
      </c>
      <c r="E270" s="29">
        <f t="shared" si="24"/>
        <v>6.0459492140266025E-2</v>
      </c>
      <c r="F270" s="29">
        <f t="shared" si="24"/>
        <v>6.0532687651331719E-2</v>
      </c>
      <c r="G270" s="29">
        <f t="shared" si="24"/>
        <v>7.4493444576877232E-2</v>
      </c>
      <c r="H270" s="29">
        <f t="shared" si="24"/>
        <v>7.4008288928359978E-2</v>
      </c>
      <c r="I270" s="29">
        <f t="shared" si="24"/>
        <v>7.4008288928359978E-2</v>
      </c>
      <c r="J270" s="29">
        <f t="shared" si="24"/>
        <v>8.2304526748971193E-2</v>
      </c>
      <c r="K270" s="29">
        <f t="shared" si="24"/>
        <v>8.2304526748971193E-2</v>
      </c>
      <c r="L270" s="29">
        <f t="shared" si="24"/>
        <v>8.5495283018867926E-2</v>
      </c>
      <c r="M270" s="29">
        <f t="shared" si="24"/>
        <v>8.5495283018867926E-2</v>
      </c>
      <c r="N270" s="29">
        <f t="shared" si="24"/>
        <v>7.9132473622508789E-2</v>
      </c>
      <c r="O270" s="29">
        <f t="shared" si="24"/>
        <v>7.2843822843822847E-2</v>
      </c>
      <c r="P270" s="29">
        <f t="shared" si="24"/>
        <v>7.2843822843822847E-2</v>
      </c>
      <c r="Q270" s="29">
        <f t="shared" si="24"/>
        <v>9.1933570581257409E-2</v>
      </c>
      <c r="R270" s="29">
        <f t="shared" si="24"/>
        <v>9.1933570581257409E-2</v>
      </c>
      <c r="S270" s="29">
        <f t="shared" si="24"/>
        <v>0.10911270983213429</v>
      </c>
      <c r="T270" s="29">
        <f t="shared" si="24"/>
        <v>0.10911270983213429</v>
      </c>
    </row>
    <row r="271" spans="1:20" x14ac:dyDescent="0.2">
      <c r="A271" s="23" t="s">
        <v>111</v>
      </c>
      <c r="B271" s="29">
        <f t="shared" si="24"/>
        <v>0.15833333333333333</v>
      </c>
      <c r="C271" s="29">
        <f t="shared" si="24"/>
        <v>0.15277777777777779</v>
      </c>
      <c r="D271" s="29">
        <f t="shared" si="24"/>
        <v>0.14640883977900551</v>
      </c>
      <c r="E271" s="29">
        <f t="shared" si="24"/>
        <v>0.16056338028169015</v>
      </c>
      <c r="F271" s="29">
        <f t="shared" si="24"/>
        <v>0.15545505935556811</v>
      </c>
      <c r="G271" s="29">
        <f t="shared" si="24"/>
        <v>0.18227706113292205</v>
      </c>
      <c r="H271" s="29">
        <f t="shared" si="24"/>
        <v>0.18778026905829595</v>
      </c>
      <c r="I271" s="29">
        <f t="shared" si="24"/>
        <v>0.18778026905829595</v>
      </c>
      <c r="J271" s="29">
        <f t="shared" si="24"/>
        <v>0.18883878241262683</v>
      </c>
      <c r="K271" s="29">
        <f t="shared" si="24"/>
        <v>0.18883878241262683</v>
      </c>
      <c r="L271" s="29">
        <f t="shared" si="24"/>
        <v>0.18549747048903878</v>
      </c>
      <c r="M271" s="29">
        <f t="shared" si="24"/>
        <v>0.16906873614190687</v>
      </c>
      <c r="N271" s="29">
        <f t="shared" si="24"/>
        <v>0.16878804648588822</v>
      </c>
      <c r="O271" s="29">
        <f t="shared" si="24"/>
        <v>0.16235553109521189</v>
      </c>
      <c r="P271" s="29">
        <f t="shared" si="24"/>
        <v>0.1497005988023952</v>
      </c>
      <c r="Q271" s="29">
        <f t="shared" si="24"/>
        <v>0.14347590687601516</v>
      </c>
      <c r="R271" s="29">
        <f t="shared" si="24"/>
        <v>0.13426423200859292</v>
      </c>
      <c r="S271" s="29">
        <f t="shared" si="24"/>
        <v>0.12780748663101604</v>
      </c>
      <c r="T271" s="29">
        <f t="shared" si="24"/>
        <v>0.12780748663101604</v>
      </c>
    </row>
    <row r="272" spans="1:20" x14ac:dyDescent="0.2">
      <c r="A272" s="23" t="s">
        <v>112</v>
      </c>
      <c r="B272" s="29">
        <f t="shared" si="24"/>
        <v>0.18903088391906284</v>
      </c>
      <c r="C272" s="29">
        <f t="shared" si="24"/>
        <v>0.18370607028753994</v>
      </c>
      <c r="D272" s="29">
        <f t="shared" si="24"/>
        <v>0.14133333333333334</v>
      </c>
      <c r="E272" s="29">
        <f t="shared" si="24"/>
        <v>0.11961722488038277</v>
      </c>
      <c r="F272" s="29">
        <f t="shared" si="24"/>
        <v>0.10582010582010581</v>
      </c>
      <c r="G272" s="29">
        <f t="shared" si="24"/>
        <v>9.249471458773785E-2</v>
      </c>
      <c r="H272" s="29">
        <f t="shared" si="24"/>
        <v>0.13492063492063491</v>
      </c>
      <c r="I272" s="29">
        <f t="shared" si="24"/>
        <v>0.14095744680851063</v>
      </c>
      <c r="J272" s="29">
        <f t="shared" si="24"/>
        <v>0.1610305958132045</v>
      </c>
      <c r="K272" s="29">
        <f t="shared" si="24"/>
        <v>0.17362995116657623</v>
      </c>
      <c r="L272" s="29">
        <f t="shared" si="24"/>
        <v>0.19305019305019305</v>
      </c>
      <c r="M272" s="29">
        <f t="shared" si="24"/>
        <v>0.19966722129783693</v>
      </c>
      <c r="N272" s="29">
        <f t="shared" si="24"/>
        <v>0.19634955752212391</v>
      </c>
      <c r="O272" s="29">
        <f t="shared" si="24"/>
        <v>0.19634955752212391</v>
      </c>
      <c r="P272" s="29">
        <f t="shared" si="24"/>
        <v>0.19305019305019305</v>
      </c>
      <c r="Q272" s="29">
        <f t="shared" si="24"/>
        <v>0.17682263329706202</v>
      </c>
      <c r="R272" s="29">
        <f t="shared" si="24"/>
        <v>0.17362995116657623</v>
      </c>
      <c r="S272" s="29">
        <f t="shared" si="24"/>
        <v>0.17899891186071817</v>
      </c>
      <c r="T272" s="29">
        <f t="shared" si="24"/>
        <v>0.17899891186071817</v>
      </c>
    </row>
    <row r="273" spans="1:20" x14ac:dyDescent="0.2">
      <c r="A273" s="23" t="s">
        <v>113</v>
      </c>
      <c r="B273" s="29">
        <f t="shared" si="24"/>
        <v>0.1856763925729443</v>
      </c>
      <c r="C273" s="29">
        <f t="shared" si="24"/>
        <v>0.1856763925729443</v>
      </c>
      <c r="D273" s="29">
        <f t="shared" si="24"/>
        <v>0.19230769230769232</v>
      </c>
      <c r="E273" s="29">
        <f t="shared" si="24"/>
        <v>0.15797788309636651</v>
      </c>
      <c r="F273" s="29">
        <f t="shared" si="24"/>
        <v>0.1321353065539112</v>
      </c>
      <c r="G273" s="29">
        <f t="shared" si="24"/>
        <v>0.16427104722792607</v>
      </c>
      <c r="H273" s="29">
        <f t="shared" si="24"/>
        <v>0.15901060070671377</v>
      </c>
      <c r="I273" s="29">
        <f t="shared" si="24"/>
        <v>0.15901060070671377</v>
      </c>
      <c r="J273" s="29">
        <f t="shared" si="24"/>
        <v>0.16290726817042606</v>
      </c>
      <c r="K273" s="29">
        <f t="shared" si="24"/>
        <v>0.16290726817042606</v>
      </c>
      <c r="L273" s="29">
        <f t="shared" si="24"/>
        <v>0.16290726817042606</v>
      </c>
      <c r="M273" s="29">
        <f t="shared" si="24"/>
        <v>0.15136476426799009</v>
      </c>
      <c r="N273" s="29">
        <f t="shared" si="24"/>
        <v>0.14567901234567901</v>
      </c>
      <c r="O273" s="29">
        <f t="shared" si="24"/>
        <v>0.14851485148514851</v>
      </c>
      <c r="P273" s="29">
        <f t="shared" si="24"/>
        <v>0.15422885572139303</v>
      </c>
      <c r="Q273" s="29">
        <f t="shared" si="24"/>
        <v>0.14004914004914004</v>
      </c>
      <c r="R273" s="29">
        <f t="shared" si="24"/>
        <v>0.14004914004914004</v>
      </c>
      <c r="S273" s="29">
        <f t="shared" si="24"/>
        <v>0.13627450980392156</v>
      </c>
      <c r="T273" s="29">
        <f t="shared" si="24"/>
        <v>0.1362077413032827</v>
      </c>
    </row>
    <row r="274" spans="1:20" x14ac:dyDescent="0.2">
      <c r="A274" s="23" t="s">
        <v>114</v>
      </c>
      <c r="B274" s="29">
        <f t="shared" si="24"/>
        <v>0.11868686868686869</v>
      </c>
      <c r="C274" s="29">
        <f t="shared" si="24"/>
        <v>0.12121212121212122</v>
      </c>
      <c r="D274" s="29">
        <f t="shared" si="24"/>
        <v>0.14214463840399003</v>
      </c>
      <c r="E274" s="29">
        <f t="shared" si="24"/>
        <v>0.15617374328940947</v>
      </c>
      <c r="F274" s="29">
        <f t="shared" si="24"/>
        <v>0.15291262135922329</v>
      </c>
      <c r="G274" s="29">
        <f t="shared" si="24"/>
        <v>0.14642342774843975</v>
      </c>
      <c r="H274" s="29">
        <f t="shared" si="24"/>
        <v>0.16690510252742013</v>
      </c>
      <c r="I274" s="29">
        <f t="shared" si="24"/>
        <v>0.16136687233032748</v>
      </c>
      <c r="J274" s="29">
        <f t="shared" si="24"/>
        <v>0.16729500471253533</v>
      </c>
      <c r="K274" s="29">
        <f t="shared" si="24"/>
        <v>0.16729500471253533</v>
      </c>
      <c r="L274" s="29">
        <f t="shared" si="24"/>
        <v>0.15910154422087039</v>
      </c>
      <c r="M274" s="29">
        <f t="shared" si="24"/>
        <v>0.15910154422087039</v>
      </c>
      <c r="N274" s="29">
        <f t="shared" si="24"/>
        <v>0.15102230483271376</v>
      </c>
      <c r="O274" s="29">
        <f t="shared" si="24"/>
        <v>0.14305491462851869</v>
      </c>
      <c r="P274" s="29">
        <f t="shared" si="24"/>
        <v>0.13260173754000915</v>
      </c>
      <c r="Q274" s="29">
        <f t="shared" si="24"/>
        <v>0.13260173754000915</v>
      </c>
      <c r="R274" s="29">
        <f t="shared" si="24"/>
        <v>0.13260173754000915</v>
      </c>
      <c r="S274" s="29">
        <f t="shared" si="24"/>
        <v>0.13419117647058823</v>
      </c>
      <c r="T274" s="29">
        <f t="shared" si="24"/>
        <v>0.13419117647058823</v>
      </c>
    </row>
    <row r="275" spans="1:20" x14ac:dyDescent="0.2">
      <c r="A275" s="23" t="s">
        <v>115</v>
      </c>
      <c r="B275" s="29">
        <f t="shared" si="24"/>
        <v>0.13377926421404682</v>
      </c>
      <c r="C275" s="29">
        <f t="shared" si="24"/>
        <v>0.12661251791686573</v>
      </c>
      <c r="D275" s="29">
        <f t="shared" si="24"/>
        <v>0.1100244498777506</v>
      </c>
      <c r="E275" s="29">
        <f t="shared" si="24"/>
        <v>9.4668659691081222E-2</v>
      </c>
      <c r="F275" s="29">
        <f t="shared" si="24"/>
        <v>0.10809451985922575</v>
      </c>
      <c r="G275" s="29">
        <f t="shared" si="24"/>
        <v>0.10337871911245587</v>
      </c>
      <c r="H275" s="29">
        <f t="shared" si="24"/>
        <v>8.6690464048954613E-2</v>
      </c>
      <c r="I275" s="29">
        <f t="shared" si="24"/>
        <v>8.3926754832146497E-2</v>
      </c>
      <c r="J275" s="29">
        <f t="shared" si="24"/>
        <v>7.6687116564417179E-2</v>
      </c>
      <c r="K275" s="29">
        <f t="shared" si="24"/>
        <v>7.9446437724243979E-2</v>
      </c>
      <c r="L275" s="29">
        <f t="shared" si="24"/>
        <v>7.9446437724243979E-2</v>
      </c>
      <c r="M275" s="29">
        <f t="shared" si="24"/>
        <v>8.2219938335046247E-2</v>
      </c>
      <c r="N275" s="29">
        <f t="shared" si="24"/>
        <v>7.9446437724243979E-2</v>
      </c>
      <c r="O275" s="29">
        <f t="shared" si="24"/>
        <v>8.2219938335046247E-2</v>
      </c>
      <c r="P275" s="29">
        <f t="shared" si="24"/>
        <v>8.78099173553719E-2</v>
      </c>
      <c r="Q275" s="29">
        <f t="shared" si="24"/>
        <v>8.78099173553719E-2</v>
      </c>
      <c r="R275" s="29">
        <f t="shared" si="24"/>
        <v>7.6647930505876344E-2</v>
      </c>
      <c r="S275" s="29">
        <f t="shared" si="24"/>
        <v>0.10674157303370786</v>
      </c>
      <c r="T275" s="29">
        <f t="shared" si="24"/>
        <v>0.10674157303370786</v>
      </c>
    </row>
    <row r="276" spans="1:20" x14ac:dyDescent="0.2">
      <c r="A276" s="24" t="s">
        <v>116</v>
      </c>
      <c r="B276" s="29">
        <f t="shared" si="24"/>
        <v>0.14141414141414141</v>
      </c>
      <c r="C276" s="29">
        <f t="shared" si="24"/>
        <v>0.13250000000000001</v>
      </c>
      <c r="D276" s="29">
        <f t="shared" si="24"/>
        <v>0.14778325123152711</v>
      </c>
      <c r="E276" s="29">
        <f t="shared" si="24"/>
        <v>0.17728797316722569</v>
      </c>
      <c r="F276" s="29">
        <f t="shared" si="24"/>
        <v>0.17610661589719181</v>
      </c>
      <c r="G276" s="29">
        <f t="shared" si="24"/>
        <v>0.21069324875396467</v>
      </c>
      <c r="H276" s="29">
        <f t="shared" si="24"/>
        <v>0.22078501338090989</v>
      </c>
      <c r="I276" s="29">
        <f t="shared" si="24"/>
        <v>0.21267168808152415</v>
      </c>
      <c r="J276" s="29">
        <f t="shared" si="24"/>
        <v>0.2251655629139073</v>
      </c>
      <c r="K276" s="29">
        <f t="shared" si="24"/>
        <v>0.2251655629139073</v>
      </c>
      <c r="L276" s="29">
        <f t="shared" si="24"/>
        <v>0.2251655629139073</v>
      </c>
      <c r="M276" s="29">
        <f t="shared" si="24"/>
        <v>0.1858974358974359</v>
      </c>
      <c r="N276" s="29">
        <f t="shared" si="24"/>
        <v>0.18077413866439812</v>
      </c>
      <c r="O276" s="29">
        <f t="shared" si="24"/>
        <v>0.18937644341801385</v>
      </c>
      <c r="P276" s="29">
        <f t="shared" si="24"/>
        <v>0.16122278056951425</v>
      </c>
      <c r="Q276" s="29">
        <f t="shared" si="24"/>
        <v>0.15879648976180527</v>
      </c>
      <c r="R276" s="29">
        <f t="shared" si="24"/>
        <v>0.14681555004135649</v>
      </c>
      <c r="S276" s="29">
        <f t="shared" si="24"/>
        <v>0.13981636060100167</v>
      </c>
      <c r="T276" s="29">
        <f t="shared" si="24"/>
        <v>0.13981636060100167</v>
      </c>
    </row>
    <row r="277" spans="1:20" x14ac:dyDescent="0.2">
      <c r="A277" s="24" t="s">
        <v>117</v>
      </c>
      <c r="B277" s="29">
        <f t="shared" si="24"/>
        <v>0.16888888888888889</v>
      </c>
      <c r="C277" s="29">
        <f t="shared" si="24"/>
        <v>0.15638766519823788</v>
      </c>
      <c r="D277" s="29">
        <f t="shared" si="24"/>
        <v>0.14099783080260303</v>
      </c>
      <c r="E277" s="29">
        <f t="shared" si="24"/>
        <v>0.1409366869037294</v>
      </c>
      <c r="F277" s="29">
        <f t="shared" si="24"/>
        <v>0.14261019878997408</v>
      </c>
      <c r="G277" s="29">
        <f t="shared" si="24"/>
        <v>9.5196884465599305E-2</v>
      </c>
      <c r="H277" s="29">
        <f t="shared" si="24"/>
        <v>9.3154246100519936E-2</v>
      </c>
      <c r="I277" s="29">
        <f t="shared" si="24"/>
        <v>9.3154246100519936E-2</v>
      </c>
      <c r="J277" s="29">
        <f t="shared" si="24"/>
        <v>8.2572794437201211E-2</v>
      </c>
      <c r="K277" s="29">
        <f t="shared" si="24"/>
        <v>8.2536924413553425E-2</v>
      </c>
      <c r="L277" s="29">
        <f t="shared" si="24"/>
        <v>8.7260034904013961E-2</v>
      </c>
      <c r="M277" s="29">
        <f t="shared" si="24"/>
        <v>8.2536924413553425E-2</v>
      </c>
      <c r="N277" s="29">
        <f t="shared" si="24"/>
        <v>8.2536924413553425E-2</v>
      </c>
      <c r="O277" s="29">
        <f t="shared" si="24"/>
        <v>8.4893339138006091E-2</v>
      </c>
      <c r="P277" s="29">
        <f t="shared" si="24"/>
        <v>7.7854671280276816E-2</v>
      </c>
      <c r="Q277" s="29">
        <f t="shared" si="24"/>
        <v>7.3212747631352285E-2</v>
      </c>
      <c r="R277" s="29">
        <f t="shared" si="24"/>
        <v>7.3212747631352285E-2</v>
      </c>
      <c r="S277" s="29">
        <f t="shared" si="24"/>
        <v>7.8439777111015865E-2</v>
      </c>
      <c r="T277" s="29">
        <f t="shared" si="24"/>
        <v>7.8439777111015865E-2</v>
      </c>
    </row>
    <row r="278" spans="1:20" x14ac:dyDescent="0.2">
      <c r="A278" s="24" t="s">
        <v>118</v>
      </c>
      <c r="B278" s="29">
        <f t="shared" si="24"/>
        <v>8.3333333333333329E-2</v>
      </c>
      <c r="C278" s="29">
        <f t="shared" si="24"/>
        <v>9.1304347826086957E-2</v>
      </c>
      <c r="D278" s="29">
        <f t="shared" si="24"/>
        <v>7.9913606911447083E-2</v>
      </c>
      <c r="E278" s="29">
        <f t="shared" si="24"/>
        <v>7.6086956521739135E-2</v>
      </c>
      <c r="F278" s="29">
        <f t="shared" si="24"/>
        <v>7.0021881838074396E-2</v>
      </c>
      <c r="G278" s="29">
        <f t="shared" si="24"/>
        <v>8.3333333333333329E-2</v>
      </c>
      <c r="H278" s="29">
        <f t="shared" si="24"/>
        <v>8.8235294117647065E-2</v>
      </c>
      <c r="I278" s="29">
        <f t="shared" si="24"/>
        <v>7.4688796680497924E-2</v>
      </c>
      <c r="J278" s="29">
        <f t="shared" si="24"/>
        <v>6.4182194616977231E-2</v>
      </c>
      <c r="K278" s="29">
        <f t="shared" si="24"/>
        <v>5.7613168724279837E-2</v>
      </c>
      <c r="L278" s="29">
        <f t="shared" si="24"/>
        <v>5.7589469354175235E-2</v>
      </c>
      <c r="M278" s="29">
        <f t="shared" si="24"/>
        <v>5.1103843008994274E-2</v>
      </c>
      <c r="N278" s="29">
        <f t="shared" si="24"/>
        <v>5.0999592003263976E-2</v>
      </c>
      <c r="O278" s="29">
        <f t="shared" si="24"/>
        <v>5.2931596091205214E-2</v>
      </c>
      <c r="P278" s="29">
        <f t="shared" si="24"/>
        <v>5.0792360828931328E-2</v>
      </c>
      <c r="Q278" s="29">
        <f t="shared" si="24"/>
        <v>5.0999592003263976E-2</v>
      </c>
      <c r="R278" s="29">
        <f t="shared" si="24"/>
        <v>4.6728971962616821E-2</v>
      </c>
      <c r="S278" s="29">
        <f t="shared" si="24"/>
        <v>5.4009819967266774E-2</v>
      </c>
      <c r="T278" s="29">
        <f t="shared" si="24"/>
        <v>5.4031927957429393E-2</v>
      </c>
    </row>
    <row r="279" spans="1:20" x14ac:dyDescent="0.2">
      <c r="A279" s="24" t="s">
        <v>119</v>
      </c>
      <c r="B279" s="29">
        <f t="shared" si="24"/>
        <v>0.10526315789473684</v>
      </c>
      <c r="C279" s="29">
        <f t="shared" si="24"/>
        <v>9.6192384769539077E-2</v>
      </c>
      <c r="D279" s="29">
        <f t="shared" si="24"/>
        <v>0.11242603550295859</v>
      </c>
      <c r="E279" s="29">
        <f t="shared" si="24"/>
        <v>0.11872323861424679</v>
      </c>
      <c r="F279" s="29">
        <f t="shared" si="24"/>
        <v>0.11046511627906977</v>
      </c>
      <c r="G279" s="29">
        <f t="shared" si="24"/>
        <v>0.10428736964078796</v>
      </c>
      <c r="H279" s="29">
        <f t="shared" si="24"/>
        <v>9.7439816583874669E-2</v>
      </c>
      <c r="I279" s="29">
        <f t="shared" si="24"/>
        <v>9.7439816583874669E-2</v>
      </c>
      <c r="J279" s="29">
        <f t="shared" si="24"/>
        <v>9.5675468809797173E-2</v>
      </c>
      <c r="K279" s="29">
        <f t="shared" si="24"/>
        <v>9.3547155402825502E-2</v>
      </c>
      <c r="L279" s="29">
        <f t="shared" si="24"/>
        <v>9.7701149425287362E-2</v>
      </c>
      <c r="M279" s="29">
        <f t="shared" si="24"/>
        <v>8.9353612167300381E-2</v>
      </c>
      <c r="N279" s="29">
        <f t="shared" si="24"/>
        <v>9.1428571428571428E-2</v>
      </c>
      <c r="O279" s="29">
        <f t="shared" si="24"/>
        <v>9.1428571428571428E-2</v>
      </c>
      <c r="P279" s="29">
        <f t="shared" si="24"/>
        <v>8.1193353474320246E-2</v>
      </c>
      <c r="Q279" s="29">
        <f t="shared" si="24"/>
        <v>7.9155672823219003E-2</v>
      </c>
      <c r="R279" s="29">
        <f t="shared" si="24"/>
        <v>7.5103266992114157E-2</v>
      </c>
      <c r="S279" s="29">
        <f t="shared" si="24"/>
        <v>7.578628268283441E-2</v>
      </c>
      <c r="T279" s="29">
        <f t="shared" si="24"/>
        <v>7.578628268283441E-2</v>
      </c>
    </row>
    <row r="280" spans="1:20" x14ac:dyDescent="0.2">
      <c r="A280" s="24" t="s">
        <v>120</v>
      </c>
      <c r="B280" s="29">
        <f t="shared" si="24"/>
        <v>0.15553869499241274</v>
      </c>
      <c r="C280" s="29">
        <f t="shared" si="24"/>
        <v>0.16215185043876382</v>
      </c>
      <c r="D280" s="29">
        <f t="shared" si="24"/>
        <v>0.16634799235181644</v>
      </c>
      <c r="E280" s="29">
        <f t="shared" si="24"/>
        <v>0.16468785905783226</v>
      </c>
      <c r="F280" s="29">
        <f t="shared" si="24"/>
        <v>0.18441064638783269</v>
      </c>
      <c r="G280" s="29">
        <f t="shared" si="24"/>
        <v>0.15310077519379844</v>
      </c>
      <c r="H280" s="29">
        <f t="shared" si="24"/>
        <v>0.14022281982328083</v>
      </c>
      <c r="I280" s="29">
        <f t="shared" si="24"/>
        <v>0.14462013112225222</v>
      </c>
      <c r="J280" s="29">
        <f t="shared" si="24"/>
        <v>0.15157403808783521</v>
      </c>
      <c r="K280" s="29">
        <f t="shared" si="24"/>
        <v>0.16059537798668233</v>
      </c>
      <c r="L280" s="29">
        <f t="shared" si="24"/>
        <v>0.18852787805856397</v>
      </c>
      <c r="M280" s="29">
        <f t="shared" si="24"/>
        <v>0.16975917883932096</v>
      </c>
      <c r="N280" s="29">
        <f t="shared" si="24"/>
        <v>0.16975917883932096</v>
      </c>
      <c r="O280" s="29">
        <f t="shared" si="24"/>
        <v>0.16975917883932096</v>
      </c>
      <c r="P280" s="29">
        <f t="shared" si="24"/>
        <v>0.1539360872954014</v>
      </c>
      <c r="Q280" s="29">
        <f t="shared" si="24"/>
        <v>0.22903726708074534</v>
      </c>
      <c r="R280" s="29">
        <f t="shared" si="24"/>
        <v>0.14060092449922959</v>
      </c>
      <c r="S280" s="29">
        <f t="shared" si="24"/>
        <v>0.13400077011936851</v>
      </c>
      <c r="T280" s="29">
        <f t="shared" si="24"/>
        <v>0.13405238828967642</v>
      </c>
    </row>
    <row r="281" spans="1:20" x14ac:dyDescent="0.2">
      <c r="A281" s="24" t="s">
        <v>121</v>
      </c>
      <c r="B281" s="29">
        <f t="shared" si="24"/>
        <v>0.21875</v>
      </c>
      <c r="C281" s="29">
        <f t="shared" si="24"/>
        <v>0.21875</v>
      </c>
      <c r="D281" s="29">
        <f t="shared" si="24"/>
        <v>0.21501457725947523</v>
      </c>
      <c r="E281" s="29">
        <f t="shared" si="24"/>
        <v>0.1986024273630011</v>
      </c>
      <c r="F281" s="29">
        <f t="shared" si="24"/>
        <v>0.17119464086341646</v>
      </c>
      <c r="G281" s="29">
        <f t="shared" si="24"/>
        <v>0.14451951951951952</v>
      </c>
      <c r="H281" s="29">
        <f t="shared" si="24"/>
        <v>0.15024724229745151</v>
      </c>
      <c r="I281" s="29">
        <f t="shared" si="24"/>
        <v>0.15024724229745151</v>
      </c>
      <c r="J281" s="29">
        <f t="shared" si="24"/>
        <v>0.13883605933815138</v>
      </c>
      <c r="K281" s="29">
        <f t="shared" si="24"/>
        <v>0.13023782559456398</v>
      </c>
      <c r="L281" s="29">
        <f t="shared" si="24"/>
        <v>0.12176845260397152</v>
      </c>
      <c r="M281" s="29">
        <f t="shared" si="24"/>
        <v>0.111358574610245</v>
      </c>
      <c r="N281" s="29">
        <f t="shared" si="24"/>
        <v>0.111358574610245</v>
      </c>
      <c r="O281" s="29">
        <f t="shared" si="24"/>
        <v>0.111358574610245</v>
      </c>
      <c r="P281" s="29">
        <f t="shared" si="24"/>
        <v>0.10720887245841035</v>
      </c>
      <c r="Q281" s="29">
        <f t="shared" si="24"/>
        <v>0.10313075506445672</v>
      </c>
      <c r="R281" s="29">
        <f t="shared" si="24"/>
        <v>9.7069597069597072E-2</v>
      </c>
      <c r="S281" s="29">
        <f t="shared" si="24"/>
        <v>0.10592129459360058</v>
      </c>
      <c r="T281" s="29">
        <f t="shared" si="24"/>
        <v>0.10592129459360058</v>
      </c>
    </row>
    <row r="282" spans="1:20" x14ac:dyDescent="0.2">
      <c r="A282" s="24" t="s">
        <v>122</v>
      </c>
      <c r="B282" s="29">
        <f t="shared" si="24"/>
        <v>0.17915309446254071</v>
      </c>
      <c r="C282" s="29">
        <f t="shared" si="24"/>
        <v>0.17915309446254071</v>
      </c>
      <c r="D282" s="29">
        <f t="shared" si="24"/>
        <v>0.1744186046511628</v>
      </c>
      <c r="E282" s="29">
        <f t="shared" si="24"/>
        <v>0.16559829059829059</v>
      </c>
      <c r="F282" s="29">
        <f t="shared" si="24"/>
        <v>0.13026409707351891</v>
      </c>
      <c r="G282" s="29">
        <f t="shared" si="24"/>
        <v>0.13277555474718078</v>
      </c>
      <c r="H282" s="29">
        <f t="shared" si="24"/>
        <v>0.12881854987118144</v>
      </c>
      <c r="I282" s="29">
        <f t="shared" si="24"/>
        <v>0.11649071714597743</v>
      </c>
      <c r="J282" s="29">
        <f t="shared" si="24"/>
        <v>0.11666059059423989</v>
      </c>
      <c r="K282" s="29">
        <f t="shared" si="24"/>
        <v>0.12693156732891833</v>
      </c>
      <c r="L282" s="29">
        <f t="shared" si="24"/>
        <v>0.12074643249176729</v>
      </c>
      <c r="M282" s="29">
        <f t="shared" si="24"/>
        <v>0.10857763300760044</v>
      </c>
      <c r="N282" s="29">
        <f t="shared" si="24"/>
        <v>0.10657514450867052</v>
      </c>
      <c r="O282" s="29">
        <f t="shared" si="24"/>
        <v>9.6670247046186902E-2</v>
      </c>
      <c r="P282" s="29">
        <f t="shared" si="24"/>
        <v>9.0811965811965809E-2</v>
      </c>
      <c r="Q282" s="29">
        <f t="shared" si="24"/>
        <v>8.8873089228581587E-2</v>
      </c>
      <c r="R282" s="29">
        <f t="shared" si="24"/>
        <v>8.501594048884166E-2</v>
      </c>
      <c r="S282" s="29">
        <f t="shared" si="24"/>
        <v>8.8445078459343796E-2</v>
      </c>
      <c r="T282" s="29">
        <f t="shared" si="24"/>
        <v>8.8445078459343796E-2</v>
      </c>
    </row>
    <row r="283" spans="1:20" x14ac:dyDescent="0.2">
      <c r="A283" s="24" t="s">
        <v>123</v>
      </c>
      <c r="B283" s="29">
        <f t="shared" si="24"/>
        <v>0.17966223499820339</v>
      </c>
      <c r="C283" s="29">
        <f t="shared" si="24"/>
        <v>0.15613910574875797</v>
      </c>
      <c r="D283" s="29">
        <f t="shared" si="24"/>
        <v>0.12550018188432158</v>
      </c>
      <c r="E283" s="29">
        <f t="shared" si="24"/>
        <v>0.10634526763559021</v>
      </c>
      <c r="F283" s="29">
        <f t="shared" si="24"/>
        <v>9.0329436769394256E-2</v>
      </c>
      <c r="G283" s="29">
        <f t="shared" si="24"/>
        <v>0.12264486313544259</v>
      </c>
      <c r="H283" s="29">
        <f t="shared" si="24"/>
        <v>0.12588652482269502</v>
      </c>
      <c r="I283" s="29">
        <f t="shared" si="24"/>
        <v>0.11599297012302284</v>
      </c>
      <c r="J283" s="29">
        <f t="shared" ref="J283:T283" si="25">IF(J231="","",IF(J176="","",J231/J176))</f>
        <v>9.9720083974807555E-2</v>
      </c>
      <c r="K283" s="29">
        <f t="shared" si="25"/>
        <v>9.3978419770274976E-2</v>
      </c>
      <c r="L283" s="29">
        <f t="shared" si="25"/>
        <v>9.2077831827658094E-2</v>
      </c>
      <c r="M283" s="29">
        <f t="shared" si="25"/>
        <v>9.2141863699582757E-2</v>
      </c>
      <c r="N283" s="29">
        <f t="shared" si="25"/>
        <v>9.0246442207566821E-2</v>
      </c>
      <c r="O283" s="29">
        <f t="shared" si="25"/>
        <v>8.2701585113714685E-2</v>
      </c>
      <c r="P283" s="29">
        <f t="shared" si="25"/>
        <v>7.1647901740020475E-2</v>
      </c>
      <c r="Q283" s="29">
        <f t="shared" si="25"/>
        <v>6.6191446028513234E-2</v>
      </c>
      <c r="R283" s="29">
        <f t="shared" si="25"/>
        <v>6.6191446028513234E-2</v>
      </c>
      <c r="S283" s="29">
        <f t="shared" si="25"/>
        <v>7.091714967609955E-2</v>
      </c>
      <c r="T283" s="29">
        <f t="shared" si="25"/>
        <v>7.091714967609955E-2</v>
      </c>
    </row>
    <row r="284" spans="1:20" x14ac:dyDescent="0.2">
      <c r="A284" s="24" t="s">
        <v>124</v>
      </c>
      <c r="B284" s="29">
        <f t="shared" ref="B284:T297" si="26">IF(B232="","",IF(B177="","",B232/B177))</f>
        <v>8.9192025183630647E-2</v>
      </c>
      <c r="C284" s="29">
        <f t="shared" si="26"/>
        <v>9.3015093015093017E-2</v>
      </c>
      <c r="D284" s="29">
        <f t="shared" si="26"/>
        <v>8.0872011251758094E-2</v>
      </c>
      <c r="E284" s="29">
        <f t="shared" si="26"/>
        <v>5.7965594614809275E-2</v>
      </c>
      <c r="F284" s="29">
        <f t="shared" si="26"/>
        <v>5.9347181008902079E-2</v>
      </c>
      <c r="G284" s="29">
        <f t="shared" si="26"/>
        <v>6.5055762081784388E-2</v>
      </c>
      <c r="H284" s="29">
        <f t="shared" si="26"/>
        <v>6.8139963167587483E-2</v>
      </c>
      <c r="I284" s="29">
        <f t="shared" si="26"/>
        <v>6.4220183486238536E-2</v>
      </c>
      <c r="J284" s="29">
        <f t="shared" si="26"/>
        <v>6.9090909090909092E-2</v>
      </c>
      <c r="K284" s="29">
        <f t="shared" si="26"/>
        <v>5.9459459459459463E-2</v>
      </c>
      <c r="L284" s="29">
        <f t="shared" si="26"/>
        <v>5.7553956834532377E-2</v>
      </c>
      <c r="M284" s="29">
        <f t="shared" si="26"/>
        <v>5.1878354203935599E-2</v>
      </c>
      <c r="N284" s="29">
        <f t="shared" si="26"/>
        <v>4.8094050587816177E-2</v>
      </c>
      <c r="O284" s="29">
        <f t="shared" si="26"/>
        <v>5.1748750892219843E-2</v>
      </c>
      <c r="P284" s="29">
        <f t="shared" si="26"/>
        <v>5.561535701471116E-2</v>
      </c>
      <c r="Q284" s="29">
        <f t="shared" si="26"/>
        <v>5.1841258491240612E-2</v>
      </c>
      <c r="R284" s="29">
        <f t="shared" si="26"/>
        <v>4.9964311206281226E-2</v>
      </c>
      <c r="S284" s="29">
        <f t="shared" si="26"/>
        <v>6.0530085959885384E-2</v>
      </c>
      <c r="T284" s="29">
        <f t="shared" si="26"/>
        <v>6.0508413891872538E-2</v>
      </c>
    </row>
    <row r="285" spans="1:20" x14ac:dyDescent="0.2">
      <c r="A285" s="24" t="s">
        <v>125</v>
      </c>
      <c r="B285" s="29">
        <f t="shared" si="26"/>
        <v>8.9123317570025465E-2</v>
      </c>
      <c r="C285" s="29">
        <f t="shared" si="26"/>
        <v>9.0942160785740273E-2</v>
      </c>
      <c r="D285" s="29">
        <f t="shared" si="26"/>
        <v>9.3390804597701146E-2</v>
      </c>
      <c r="E285" s="29">
        <f t="shared" si="26"/>
        <v>7.8824793980652091E-2</v>
      </c>
      <c r="F285" s="29">
        <f t="shared" si="26"/>
        <v>5.090497737556561E-2</v>
      </c>
      <c r="G285" s="29">
        <f t="shared" si="26"/>
        <v>5.168986083499006E-2</v>
      </c>
      <c r="H285" s="29">
        <f t="shared" si="26"/>
        <v>4.9900199600798403E-2</v>
      </c>
      <c r="I285" s="29">
        <f t="shared" si="26"/>
        <v>4.9900199600798403E-2</v>
      </c>
      <c r="J285" s="29">
        <f t="shared" si="26"/>
        <v>5.0423557886244454E-2</v>
      </c>
      <c r="K285" s="29">
        <f t="shared" si="26"/>
        <v>5.0423557886244454E-2</v>
      </c>
      <c r="L285" s="29">
        <f t="shared" si="26"/>
        <v>4.6203294495781436E-2</v>
      </c>
      <c r="M285" s="29">
        <f t="shared" si="26"/>
        <v>4.6203294495781436E-2</v>
      </c>
      <c r="N285" s="29">
        <f t="shared" si="26"/>
        <v>4.6203294495781436E-2</v>
      </c>
      <c r="O285" s="29">
        <f t="shared" si="26"/>
        <v>4.6203294495781436E-2</v>
      </c>
      <c r="P285" s="29">
        <f t="shared" si="26"/>
        <v>4.2050460552663198E-2</v>
      </c>
      <c r="Q285" s="29">
        <f t="shared" si="26"/>
        <v>4.2050460552663198E-2</v>
      </c>
      <c r="R285" s="29">
        <f t="shared" si="26"/>
        <v>4.2050460552663198E-2</v>
      </c>
      <c r="S285" s="29">
        <f t="shared" si="26"/>
        <v>4.4338875692794932E-2</v>
      </c>
      <c r="T285" s="29">
        <f t="shared" si="26"/>
        <v>4.4356435643564354E-2</v>
      </c>
    </row>
    <row r="286" spans="1:20" x14ac:dyDescent="0.2">
      <c r="A286" s="24" t="s">
        <v>126</v>
      </c>
      <c r="B286" s="29">
        <f t="shared" si="26"/>
        <v>6.563039723661486E-2</v>
      </c>
      <c r="C286" s="29">
        <f t="shared" si="26"/>
        <v>7.6788830715532289E-2</v>
      </c>
      <c r="D286" s="29">
        <f t="shared" si="26"/>
        <v>7.3917634635691662E-2</v>
      </c>
      <c r="E286" s="29">
        <f t="shared" si="26"/>
        <v>6.7905646890636162E-2</v>
      </c>
      <c r="F286" s="29">
        <f t="shared" si="26"/>
        <v>6.8890500362581583E-2</v>
      </c>
      <c r="G286" s="29">
        <f t="shared" si="26"/>
        <v>0.14361702127659576</v>
      </c>
      <c r="H286" s="29">
        <f t="shared" si="26"/>
        <v>0.16381766381766383</v>
      </c>
      <c r="I286" s="29">
        <f t="shared" si="26"/>
        <v>0.16381766381766383</v>
      </c>
      <c r="J286" s="29">
        <f t="shared" si="26"/>
        <v>0.15409139213602552</v>
      </c>
      <c r="K286" s="29">
        <f t="shared" si="26"/>
        <v>0.15613910574875797</v>
      </c>
      <c r="L286" s="29">
        <f t="shared" si="26"/>
        <v>0.14396067415730338</v>
      </c>
      <c r="M286" s="29">
        <f t="shared" si="26"/>
        <v>0.13007284079084286</v>
      </c>
      <c r="N286" s="29">
        <f t="shared" si="26"/>
        <v>0.12228728901136755</v>
      </c>
      <c r="O286" s="29">
        <f t="shared" si="26"/>
        <v>0.10891763104152484</v>
      </c>
      <c r="P286" s="29">
        <f t="shared" si="26"/>
        <v>9.7675985180195352E-2</v>
      </c>
      <c r="Q286" s="29">
        <f t="shared" si="26"/>
        <v>0.10141987829614604</v>
      </c>
      <c r="R286" s="29">
        <f t="shared" si="26"/>
        <v>9.9561255484306443E-2</v>
      </c>
      <c r="S286" s="29">
        <f t="shared" si="26"/>
        <v>8.5704720455306332E-2</v>
      </c>
      <c r="T286" s="29">
        <f t="shared" si="26"/>
        <v>8.5762144053601344E-2</v>
      </c>
    </row>
    <row r="287" spans="1:20" x14ac:dyDescent="0.2">
      <c r="A287" s="24" t="s">
        <v>127</v>
      </c>
      <c r="B287" s="29">
        <f t="shared" si="26"/>
        <v>9.7840755735492571E-2</v>
      </c>
      <c r="C287" s="29">
        <f t="shared" si="26"/>
        <v>8.6032388663967604E-2</v>
      </c>
      <c r="D287" s="29">
        <f t="shared" si="26"/>
        <v>7.0635721493440967E-2</v>
      </c>
      <c r="E287" s="29">
        <f t="shared" si="26"/>
        <v>6.1770761839396018E-2</v>
      </c>
      <c r="F287" s="29">
        <f t="shared" si="26"/>
        <v>6.9491525423728814E-2</v>
      </c>
      <c r="G287" s="29">
        <f t="shared" si="26"/>
        <v>8.7660148347943362E-2</v>
      </c>
      <c r="H287" s="29">
        <f t="shared" si="26"/>
        <v>0.11852353538774128</v>
      </c>
      <c r="I287" s="29">
        <f t="shared" si="26"/>
        <v>0.13975155279503104</v>
      </c>
      <c r="J287" s="29">
        <f t="shared" si="26"/>
        <v>0.17775431186202043</v>
      </c>
      <c r="K287" s="29">
        <f t="shared" si="26"/>
        <v>0.19878223495702005</v>
      </c>
      <c r="L287" s="29">
        <f t="shared" si="26"/>
        <v>0.20309130122214233</v>
      </c>
      <c r="M287" s="29">
        <f t="shared" si="26"/>
        <v>0.20309130122214233</v>
      </c>
      <c r="N287" s="29">
        <f t="shared" si="26"/>
        <v>0.20309130122214233</v>
      </c>
      <c r="O287" s="29">
        <f t="shared" si="26"/>
        <v>0.20525747209218581</v>
      </c>
      <c r="P287" s="29">
        <f t="shared" si="26"/>
        <v>0.19450392576730907</v>
      </c>
      <c r="Q287" s="29">
        <f t="shared" si="26"/>
        <v>0.1818502824858757</v>
      </c>
      <c r="R287" s="29">
        <f t="shared" si="26"/>
        <v>0.16946191474493361</v>
      </c>
      <c r="S287" s="29">
        <f t="shared" si="26"/>
        <v>0.15622825330549756</v>
      </c>
      <c r="T287" s="29">
        <f t="shared" si="26"/>
        <v>0.15622825330549756</v>
      </c>
    </row>
    <row r="288" spans="1:20" x14ac:dyDescent="0.2">
      <c r="A288" s="24" t="s">
        <v>128</v>
      </c>
      <c r="B288" s="29">
        <f t="shared" si="26"/>
        <v>0.21673891297099032</v>
      </c>
      <c r="C288" s="29">
        <f t="shared" si="26"/>
        <v>0.21840613537845949</v>
      </c>
      <c r="D288" s="29">
        <f t="shared" si="26"/>
        <v>0.18679119412941961</v>
      </c>
      <c r="E288" s="29">
        <f t="shared" si="26"/>
        <v>0.15020026702269693</v>
      </c>
      <c r="F288" s="29">
        <f t="shared" si="26"/>
        <v>0.17371353654539495</v>
      </c>
      <c r="G288" s="29">
        <f t="shared" si="26"/>
        <v>0.1798444588464031</v>
      </c>
      <c r="H288" s="29">
        <f t="shared" si="26"/>
        <v>0.18278874150760271</v>
      </c>
      <c r="I288" s="29">
        <f t="shared" si="26"/>
        <v>0.18278874150760271</v>
      </c>
      <c r="J288" s="29">
        <f t="shared" si="26"/>
        <v>0.18754076973255054</v>
      </c>
      <c r="K288" s="29">
        <f t="shared" si="26"/>
        <v>0.1953381483913329</v>
      </c>
      <c r="L288" s="29">
        <f t="shared" si="26"/>
        <v>0.1953381483913329</v>
      </c>
      <c r="M288" s="29">
        <f t="shared" si="26"/>
        <v>0.20317145688800792</v>
      </c>
      <c r="N288" s="29">
        <f t="shared" si="26"/>
        <v>0.20118733509234829</v>
      </c>
      <c r="O288" s="29">
        <f t="shared" si="26"/>
        <v>0.20118733509234829</v>
      </c>
      <c r="P288" s="29">
        <f t="shared" si="26"/>
        <v>0.19730351857941467</v>
      </c>
      <c r="Q288" s="29">
        <f t="shared" si="26"/>
        <v>0.18754076973255054</v>
      </c>
      <c r="R288" s="29">
        <f t="shared" si="26"/>
        <v>0.17955354254286637</v>
      </c>
      <c r="S288" s="29">
        <f t="shared" si="26"/>
        <v>0.186402081977879</v>
      </c>
      <c r="T288" s="29">
        <f t="shared" si="26"/>
        <v>0.186402081977879</v>
      </c>
    </row>
    <row r="289" spans="1:20" x14ac:dyDescent="0.2">
      <c r="A289" s="24" t="s">
        <v>129</v>
      </c>
      <c r="B289" s="29">
        <f t="shared" si="26"/>
        <v>0.10529779532741033</v>
      </c>
      <c r="C289" s="29">
        <f t="shared" si="26"/>
        <v>0.10529779532741033</v>
      </c>
      <c r="D289" s="29">
        <f t="shared" si="26"/>
        <v>8.2077051926298161E-2</v>
      </c>
      <c r="E289" s="29">
        <f t="shared" si="26"/>
        <v>7.3701842546063656E-2</v>
      </c>
      <c r="F289" s="29">
        <f t="shared" si="26"/>
        <v>7.2537112010796226E-2</v>
      </c>
      <c r="G289" s="29">
        <f t="shared" si="26"/>
        <v>7.2586090479405813E-2</v>
      </c>
      <c r="H289" s="29">
        <f t="shared" si="26"/>
        <v>7.0874114073574079E-2</v>
      </c>
      <c r="I289" s="29">
        <f t="shared" si="26"/>
        <v>6.1914323962516733E-2</v>
      </c>
      <c r="J289" s="29">
        <f t="shared" si="26"/>
        <v>5.8528428093645488E-2</v>
      </c>
      <c r="K289" s="29">
        <f t="shared" si="26"/>
        <v>5.3244592346089852E-2</v>
      </c>
      <c r="L289" s="29">
        <f t="shared" si="26"/>
        <v>4.6280991735537187E-2</v>
      </c>
      <c r="M289" s="29">
        <f t="shared" si="26"/>
        <v>5.3173811897640415E-2</v>
      </c>
      <c r="N289" s="29">
        <f t="shared" si="26"/>
        <v>4.7949735449735451E-2</v>
      </c>
      <c r="O289" s="29">
        <f t="shared" si="26"/>
        <v>4.1064388961892247E-2</v>
      </c>
      <c r="P289" s="29">
        <f t="shared" si="26"/>
        <v>4.1064388961892247E-2</v>
      </c>
      <c r="Q289" s="29">
        <f t="shared" si="26"/>
        <v>4.4495715227422544E-2</v>
      </c>
      <c r="R289" s="29">
        <f t="shared" si="26"/>
        <v>4.6219874546054807E-2</v>
      </c>
      <c r="S289" s="29">
        <f t="shared" si="26"/>
        <v>6.7103109656301146E-2</v>
      </c>
      <c r="T289" s="29">
        <f t="shared" si="26"/>
        <v>6.7125081859855926E-2</v>
      </c>
    </row>
    <row r="290" spans="1:20" x14ac:dyDescent="0.2">
      <c r="A290" s="24" t="s">
        <v>130</v>
      </c>
      <c r="B290" s="29">
        <f t="shared" si="26"/>
        <v>6.0201757240481615E-2</v>
      </c>
      <c r="C290" s="29">
        <f t="shared" si="26"/>
        <v>5.7133529219719231E-2</v>
      </c>
      <c r="D290" s="29">
        <f t="shared" si="26"/>
        <v>4.6728971962616821E-2</v>
      </c>
      <c r="E290" s="29">
        <f t="shared" si="26"/>
        <v>4.5302013422818789E-2</v>
      </c>
      <c r="F290" s="29">
        <f t="shared" si="26"/>
        <v>4.5778229908443539E-2</v>
      </c>
      <c r="G290" s="29">
        <f t="shared" si="26"/>
        <v>6.9609507640067916E-2</v>
      </c>
      <c r="H290" s="29">
        <f t="shared" si="26"/>
        <v>7.0013661202185787E-2</v>
      </c>
      <c r="I290" s="29">
        <f t="shared" si="26"/>
        <v>7.0037581141100105E-2</v>
      </c>
      <c r="J290" s="29">
        <f t="shared" si="26"/>
        <v>7.632293080054274E-2</v>
      </c>
      <c r="K290" s="29">
        <f t="shared" si="26"/>
        <v>7.0874114073574079E-2</v>
      </c>
      <c r="L290" s="29">
        <f t="shared" si="26"/>
        <v>6.1914323962516733E-2</v>
      </c>
      <c r="M290" s="29">
        <f t="shared" si="26"/>
        <v>5.3138492195283958E-2</v>
      </c>
      <c r="N290" s="29">
        <f t="shared" si="26"/>
        <v>4.2678923177938283E-2</v>
      </c>
      <c r="O290" s="29">
        <f t="shared" si="26"/>
        <v>3.587736464448793E-2</v>
      </c>
      <c r="P290" s="29">
        <f t="shared" si="26"/>
        <v>3.5830618892508145E-2</v>
      </c>
      <c r="Q290" s="29">
        <f t="shared" si="26"/>
        <v>3.5842293906810034E-2</v>
      </c>
      <c r="R290" s="29">
        <f t="shared" si="26"/>
        <v>3.5842293906810034E-2</v>
      </c>
      <c r="S290" s="29">
        <f t="shared" si="26"/>
        <v>4.5260741226631686E-2</v>
      </c>
      <c r="T290" s="29">
        <f t="shared" si="26"/>
        <v>4.5290449622579589E-2</v>
      </c>
    </row>
    <row r="291" spans="1:20" x14ac:dyDescent="0.2">
      <c r="A291" s="24" t="s">
        <v>131</v>
      </c>
      <c r="B291" s="29">
        <f t="shared" si="26"/>
        <v>7.4026392018023815E-2</v>
      </c>
      <c r="C291" s="29">
        <f t="shared" si="26"/>
        <v>6.7589314451239141E-2</v>
      </c>
      <c r="D291" s="29">
        <f t="shared" si="26"/>
        <v>7.9872204472843447E-2</v>
      </c>
      <c r="E291" s="29">
        <f t="shared" si="26"/>
        <v>6.7545834673528468E-2</v>
      </c>
      <c r="F291" s="29">
        <f t="shared" si="26"/>
        <v>6.9952305246422888E-2</v>
      </c>
      <c r="G291" s="29">
        <f t="shared" si="26"/>
        <v>7.2578100347112651E-2</v>
      </c>
      <c r="H291" s="29">
        <f t="shared" si="26"/>
        <v>8.4507042253521125E-2</v>
      </c>
      <c r="I291" s="29">
        <f t="shared" si="26"/>
        <v>7.9439252336448593E-2</v>
      </c>
      <c r="J291" s="29">
        <f t="shared" si="26"/>
        <v>7.5107296137339061E-2</v>
      </c>
      <c r="K291" s="29">
        <f t="shared" si="26"/>
        <v>6.3694267515923567E-2</v>
      </c>
      <c r="L291" s="29">
        <f t="shared" si="26"/>
        <v>5.7194461167971104E-2</v>
      </c>
      <c r="M291" s="29">
        <f t="shared" si="26"/>
        <v>5.7177249473367442E-2</v>
      </c>
      <c r="N291" s="29">
        <f t="shared" si="26"/>
        <v>5.7177249473367442E-2</v>
      </c>
      <c r="O291" s="29">
        <f t="shared" si="26"/>
        <v>5.5588942307692304E-2</v>
      </c>
      <c r="P291" s="29">
        <f t="shared" si="26"/>
        <v>5.2426602756141402E-2</v>
      </c>
      <c r="Q291" s="29">
        <f t="shared" si="26"/>
        <v>4.7718461079630181E-2</v>
      </c>
      <c r="R291" s="29">
        <f t="shared" si="26"/>
        <v>4.4603033006244422E-2</v>
      </c>
      <c r="S291" s="29">
        <f t="shared" si="26"/>
        <v>4.4927105028265399E-2</v>
      </c>
      <c r="T291" s="29">
        <f t="shared" si="26"/>
        <v>4.4927105028265399E-2</v>
      </c>
    </row>
    <row r="292" spans="1:20" x14ac:dyDescent="0.2">
      <c r="A292" s="24" t="s">
        <v>132</v>
      </c>
      <c r="B292" s="29">
        <f t="shared" si="26"/>
        <v>0.1160941475826972</v>
      </c>
      <c r="C292" s="29">
        <f t="shared" si="26"/>
        <v>0.11450381679389313</v>
      </c>
      <c r="D292" s="29">
        <f t="shared" si="26"/>
        <v>0.11356466876971609</v>
      </c>
      <c r="E292" s="29">
        <f t="shared" si="26"/>
        <v>0.11100832562442182</v>
      </c>
      <c r="F292" s="29">
        <f t="shared" si="26"/>
        <v>0.10628606134224111</v>
      </c>
      <c r="G292" s="29">
        <f t="shared" si="26"/>
        <v>8.0181543116490173E-2</v>
      </c>
      <c r="H292" s="29">
        <f t="shared" si="26"/>
        <v>5.5207400775887795E-2</v>
      </c>
      <c r="I292" s="29">
        <f t="shared" si="26"/>
        <v>4.8946900029664786E-2</v>
      </c>
      <c r="J292" s="29">
        <f t="shared" si="26"/>
        <v>4.1728763040238454E-2</v>
      </c>
      <c r="K292" s="29">
        <f t="shared" si="26"/>
        <v>4.1728763040238454E-2</v>
      </c>
      <c r="L292" s="29">
        <f t="shared" si="26"/>
        <v>4.1728763040238454E-2</v>
      </c>
      <c r="M292" s="29">
        <f t="shared" si="26"/>
        <v>4.1728763040238454E-2</v>
      </c>
      <c r="N292" s="29">
        <f t="shared" si="26"/>
        <v>5.1127819548872182E-2</v>
      </c>
      <c r="O292" s="29">
        <f t="shared" si="26"/>
        <v>5.4298642533936653E-2</v>
      </c>
      <c r="P292" s="29">
        <f t="shared" si="26"/>
        <v>6.0698027314112293E-2</v>
      </c>
      <c r="Q292" s="29">
        <f t="shared" si="26"/>
        <v>7.0444104134762639E-2</v>
      </c>
      <c r="R292" s="29">
        <f t="shared" si="26"/>
        <v>6.8807339449541288E-2</v>
      </c>
      <c r="S292" s="29">
        <f t="shared" si="26"/>
        <v>6.5548780487804881E-2</v>
      </c>
      <c r="T292" s="29">
        <f t="shared" si="26"/>
        <v>6.5548780487804881E-2</v>
      </c>
    </row>
    <row r="293" spans="1:20" x14ac:dyDescent="0.2">
      <c r="A293" s="24" t="s">
        <v>133</v>
      </c>
      <c r="B293" s="29">
        <f t="shared" si="26"/>
        <v>4.8338368580060423E-2</v>
      </c>
      <c r="C293" s="29">
        <f t="shared" si="26"/>
        <v>5.7750759878419454E-2</v>
      </c>
      <c r="D293" s="29">
        <f t="shared" si="26"/>
        <v>5.3615196078431369E-2</v>
      </c>
      <c r="E293" s="29">
        <f t="shared" si="26"/>
        <v>4.9268912905276539E-2</v>
      </c>
      <c r="F293" s="29">
        <f t="shared" si="26"/>
        <v>5.2198671306548559E-2</v>
      </c>
      <c r="G293" s="29">
        <f t="shared" si="26"/>
        <v>5.1118210862619806E-2</v>
      </c>
      <c r="H293" s="29">
        <f t="shared" si="26"/>
        <v>6.3311688311688305E-2</v>
      </c>
      <c r="I293" s="29">
        <f t="shared" si="26"/>
        <v>7.5533661740558297E-2</v>
      </c>
      <c r="J293" s="29">
        <f t="shared" si="26"/>
        <v>9.13317834606443E-2</v>
      </c>
      <c r="K293" s="29">
        <f t="shared" si="26"/>
        <v>9.13317834606443E-2</v>
      </c>
      <c r="L293" s="29">
        <f t="shared" si="26"/>
        <v>9.13317834606443E-2</v>
      </c>
      <c r="M293" s="29">
        <f t="shared" si="26"/>
        <v>8.2345191040843216E-2</v>
      </c>
      <c r="N293" s="29">
        <f t="shared" si="26"/>
        <v>6.8270481144343309E-2</v>
      </c>
      <c r="O293" s="29">
        <f t="shared" si="26"/>
        <v>5.6252009000321443E-2</v>
      </c>
      <c r="P293" s="29">
        <f t="shared" si="26"/>
        <v>5.4557124518613609E-2</v>
      </c>
      <c r="Q293" s="29">
        <f t="shared" si="26"/>
        <v>4.6163642152180835E-2</v>
      </c>
      <c r="R293" s="29">
        <f t="shared" si="26"/>
        <v>4.1178333861260692E-2</v>
      </c>
      <c r="S293" s="29">
        <f t="shared" si="26"/>
        <v>5.3565768621236132E-2</v>
      </c>
      <c r="T293" s="29">
        <f t="shared" si="26"/>
        <v>5.3565768621236132E-2</v>
      </c>
    </row>
    <row r="294" spans="1:20" x14ac:dyDescent="0.2">
      <c r="A294" s="24" t="s">
        <v>134</v>
      </c>
      <c r="B294" s="29">
        <f t="shared" si="26"/>
        <v>4.4140030441400302E-2</v>
      </c>
      <c r="C294" s="29">
        <f t="shared" si="26"/>
        <v>4.3010752688172046E-2</v>
      </c>
      <c r="D294" s="29">
        <f t="shared" si="26"/>
        <v>4.1867954911433171E-2</v>
      </c>
      <c r="E294" s="29">
        <f t="shared" si="26"/>
        <v>4.1940189642596645E-2</v>
      </c>
      <c r="F294" s="29">
        <f t="shared" si="26"/>
        <v>4.307116104868914E-2</v>
      </c>
      <c r="G294" s="29">
        <f t="shared" si="26"/>
        <v>4.4520547945205477E-2</v>
      </c>
      <c r="H294" s="29">
        <f t="shared" si="26"/>
        <v>4.6342270771267791E-2</v>
      </c>
      <c r="I294" s="29">
        <f t="shared" si="26"/>
        <v>4.2890135268888158E-2</v>
      </c>
      <c r="J294" s="29">
        <f t="shared" si="26"/>
        <v>4.3973941368078175E-2</v>
      </c>
      <c r="K294" s="29">
        <f t="shared" si="26"/>
        <v>4.0584415584415584E-2</v>
      </c>
      <c r="L294" s="29">
        <f t="shared" si="26"/>
        <v>4.0584415584415584E-2</v>
      </c>
      <c r="M294" s="29">
        <f t="shared" si="26"/>
        <v>4.0584415584415584E-2</v>
      </c>
      <c r="N294" s="29">
        <f t="shared" si="26"/>
        <v>4.0584415584415584E-2</v>
      </c>
      <c r="O294" s="29">
        <f t="shared" si="26"/>
        <v>4.0518638573743923E-2</v>
      </c>
      <c r="P294" s="29">
        <f t="shared" si="26"/>
        <v>4.0518638573743923E-2</v>
      </c>
      <c r="Q294" s="29">
        <f t="shared" si="26"/>
        <v>4.0400775694893344E-2</v>
      </c>
      <c r="R294" s="29">
        <f t="shared" si="26"/>
        <v>4.0335592126492417E-2</v>
      </c>
      <c r="S294" s="29">
        <f t="shared" si="26"/>
        <v>4.5498547918683449E-2</v>
      </c>
      <c r="T294" s="29">
        <f t="shared" si="26"/>
        <v>4.5513234344738543E-2</v>
      </c>
    </row>
    <row r="295" spans="1:20" x14ac:dyDescent="0.2">
      <c r="A295" s="24" t="s">
        <v>135</v>
      </c>
      <c r="B295" s="29">
        <f t="shared" si="26"/>
        <v>8.1188725490196081E-2</v>
      </c>
      <c r="C295" s="29">
        <f t="shared" si="26"/>
        <v>8.1188725490196081E-2</v>
      </c>
      <c r="D295" s="29">
        <f t="shared" si="26"/>
        <v>9.0379901960784312E-2</v>
      </c>
      <c r="E295" s="29">
        <f t="shared" si="26"/>
        <v>6.9269521410579349E-2</v>
      </c>
      <c r="F295" s="29">
        <f t="shared" si="26"/>
        <v>4.7770700636942678E-2</v>
      </c>
      <c r="G295" s="29">
        <f t="shared" si="26"/>
        <v>4.7770700636942678E-2</v>
      </c>
      <c r="H295" s="29">
        <f t="shared" si="26"/>
        <v>5.2420598211532533E-2</v>
      </c>
      <c r="I295" s="29">
        <f t="shared" si="26"/>
        <v>4.5815516188149052E-2</v>
      </c>
      <c r="J295" s="29">
        <f t="shared" si="26"/>
        <v>4.5399515738498791E-2</v>
      </c>
      <c r="K295" s="29">
        <f t="shared" si="26"/>
        <v>4.5330915684496827E-2</v>
      </c>
      <c r="L295" s="29">
        <f t="shared" si="26"/>
        <v>4.3687857788490513E-2</v>
      </c>
      <c r="M295" s="29">
        <f t="shared" si="26"/>
        <v>4.0178571428571432E-2</v>
      </c>
      <c r="N295" s="29">
        <f t="shared" si="26"/>
        <v>3.8348082595870206E-2</v>
      </c>
      <c r="O295" s="29">
        <f t="shared" si="26"/>
        <v>3.6818851251840944E-2</v>
      </c>
      <c r="P295" s="29">
        <f t="shared" si="26"/>
        <v>4.1493775933609957E-2</v>
      </c>
      <c r="Q295" s="29">
        <f t="shared" si="26"/>
        <v>4.1555357672899973E-2</v>
      </c>
      <c r="R295" s="29">
        <f t="shared" si="26"/>
        <v>3.847292098253921E-2</v>
      </c>
      <c r="S295" s="29">
        <f t="shared" si="26"/>
        <v>2.645198389879241E-2</v>
      </c>
      <c r="T295" s="29">
        <f t="shared" si="26"/>
        <v>2.6449396204715352E-2</v>
      </c>
    </row>
    <row r="296" spans="1:20" x14ac:dyDescent="0.2">
      <c r="A296" s="24" t="s">
        <v>136</v>
      </c>
      <c r="B296" s="29">
        <f t="shared" si="26"/>
        <v>9.5652173913043481E-2</v>
      </c>
      <c r="C296" s="29">
        <f t="shared" si="26"/>
        <v>9.420289855072464E-2</v>
      </c>
      <c r="D296" s="29">
        <f t="shared" si="26"/>
        <v>0.11719853148828015</v>
      </c>
      <c r="E296" s="29">
        <f t="shared" si="26"/>
        <v>0.12143462298785654</v>
      </c>
      <c r="F296" s="29">
        <f t="shared" si="26"/>
        <v>0.13257047167178343</v>
      </c>
      <c r="G296" s="29">
        <f t="shared" si="26"/>
        <v>0.12559307842590009</v>
      </c>
      <c r="H296" s="29">
        <f t="shared" si="26"/>
        <v>0.12448132780082988</v>
      </c>
      <c r="I296" s="29">
        <f t="shared" si="26"/>
        <v>0.11217510259917921</v>
      </c>
      <c r="J296" s="29">
        <f t="shared" si="26"/>
        <v>0.11183851609383524</v>
      </c>
      <c r="K296" s="29">
        <f t="shared" si="26"/>
        <v>0.10402593893542286</v>
      </c>
      <c r="L296" s="29">
        <f t="shared" si="26"/>
        <v>0.10402593893542286</v>
      </c>
      <c r="M296" s="29">
        <f t="shared" si="26"/>
        <v>9.943563558183284E-2</v>
      </c>
      <c r="N296" s="29">
        <f t="shared" si="26"/>
        <v>9.3557872226677358E-2</v>
      </c>
      <c r="O296" s="29">
        <f t="shared" si="26"/>
        <v>8.7742621643180002E-2</v>
      </c>
      <c r="P296" s="29">
        <f t="shared" si="26"/>
        <v>6.6475495307612098E-2</v>
      </c>
      <c r="Q296" s="29">
        <f t="shared" si="26"/>
        <v>6.2321474941573619E-2</v>
      </c>
      <c r="R296" s="29">
        <f t="shared" si="26"/>
        <v>5.4067971163748715E-2</v>
      </c>
      <c r="S296" s="29">
        <f t="shared" si="26"/>
        <v>4.9469049469049467E-2</v>
      </c>
      <c r="T296" s="29">
        <f t="shared" si="26"/>
        <v>4.9469049469049467E-2</v>
      </c>
    </row>
    <row r="297" spans="1:20" x14ac:dyDescent="0.2">
      <c r="A297" s="24" t="s">
        <v>137</v>
      </c>
      <c r="B297" s="29">
        <f t="shared" si="26"/>
        <v>0.13408420488066505</v>
      </c>
      <c r="C297" s="29">
        <f t="shared" si="26"/>
        <v>0.1272094268880557</v>
      </c>
      <c r="D297" s="29">
        <f t="shared" si="26"/>
        <v>0.11351495726495726</v>
      </c>
      <c r="E297" s="29">
        <f t="shared" si="26"/>
        <v>0.12644605864944847</v>
      </c>
      <c r="F297" s="29">
        <f t="shared" si="26"/>
        <v>0.12080536912751678</v>
      </c>
      <c r="G297" s="29">
        <f t="shared" si="26"/>
        <v>0.11533242876526459</v>
      </c>
      <c r="H297" s="29">
        <f t="shared" si="26"/>
        <v>0.12439807383627609</v>
      </c>
      <c r="I297" s="29">
        <f t="shared" si="26"/>
        <v>0.12439807383627609</v>
      </c>
      <c r="J297" s="29">
        <f t="shared" ref="J297:T297" si="27">IF(J245="","",IF(J190="","",J245/J190))</f>
        <v>0.11856642414443547</v>
      </c>
      <c r="K297" s="29">
        <f t="shared" si="27"/>
        <v>0.1215887597946501</v>
      </c>
      <c r="L297" s="29">
        <f t="shared" si="27"/>
        <v>0.12466124661246612</v>
      </c>
      <c r="M297" s="29">
        <f t="shared" si="27"/>
        <v>0.12010796221322537</v>
      </c>
      <c r="N297" s="29">
        <f t="shared" si="27"/>
        <v>0.10666666666666667</v>
      </c>
      <c r="O297" s="29">
        <f t="shared" si="27"/>
        <v>9.2592592592592587E-2</v>
      </c>
      <c r="P297" s="29">
        <f t="shared" si="27"/>
        <v>9.752240379546652E-2</v>
      </c>
      <c r="Q297" s="29">
        <f t="shared" si="27"/>
        <v>6.5569555155566978E-2</v>
      </c>
      <c r="R297" s="29">
        <f t="shared" si="27"/>
        <v>4.9379589769561916E-2</v>
      </c>
      <c r="S297" s="29">
        <f t="shared" si="27"/>
        <v>4.9961957900076084E-2</v>
      </c>
      <c r="T297" s="29">
        <f t="shared" si="27"/>
        <v>4.9961957900076084E-2</v>
      </c>
    </row>
    <row r="298" spans="1:20" x14ac:dyDescent="0.2">
      <c r="A298" s="24" t="s">
        <v>138</v>
      </c>
      <c r="B298" s="29">
        <f t="shared" ref="B298:T303" si="28">IF(B246="","",IF(B191="","",B246/B191))</f>
        <v>7.7707006369426748E-2</v>
      </c>
      <c r="C298" s="29">
        <f t="shared" si="28"/>
        <v>6.5989847715736044E-2</v>
      </c>
      <c r="D298" s="29">
        <f t="shared" si="28"/>
        <v>7.3047858942065488E-2</v>
      </c>
      <c r="E298" s="29">
        <f t="shared" si="28"/>
        <v>8.2171314741035853E-2</v>
      </c>
      <c r="F298" s="29">
        <f t="shared" si="28"/>
        <v>8.9879340064023636E-2</v>
      </c>
      <c r="G298" s="29">
        <f t="shared" si="28"/>
        <v>9.6317971226530116E-2</v>
      </c>
      <c r="H298" s="29">
        <f t="shared" si="28"/>
        <v>0.11684518013631938</v>
      </c>
      <c r="I298" s="29">
        <f t="shared" si="28"/>
        <v>0.11684518013631938</v>
      </c>
      <c r="J298" s="29">
        <f t="shared" si="28"/>
        <v>0.10223953261927946</v>
      </c>
      <c r="K298" s="29">
        <f t="shared" si="28"/>
        <v>0.10223953261927946</v>
      </c>
      <c r="L298" s="29">
        <f t="shared" si="28"/>
        <v>0.10627901294893721</v>
      </c>
      <c r="M298" s="29">
        <f t="shared" si="28"/>
        <v>0.10898848885623316</v>
      </c>
      <c r="N298" s="29">
        <f t="shared" si="28"/>
        <v>0.10627901294893721</v>
      </c>
      <c r="O298" s="29">
        <f t="shared" si="28"/>
        <v>0.11034820990681707</v>
      </c>
      <c r="P298" s="29">
        <f t="shared" si="28"/>
        <v>9.9562894609033517E-2</v>
      </c>
      <c r="Q298" s="29">
        <f t="shared" si="28"/>
        <v>8.8985088985088986E-2</v>
      </c>
      <c r="R298" s="29">
        <f t="shared" si="28"/>
        <v>8.2476691369830268E-2</v>
      </c>
      <c r="S298" s="29">
        <f t="shared" si="28"/>
        <v>7.1428571428571425E-2</v>
      </c>
      <c r="T298" s="29">
        <f t="shared" si="28"/>
        <v>7.1428571428571425E-2</v>
      </c>
    </row>
    <row r="299" spans="1:20" x14ac:dyDescent="0.2">
      <c r="A299" s="24" t="s">
        <v>139</v>
      </c>
      <c r="B299" s="29">
        <f t="shared" si="28"/>
        <v>0.11334120425029516</v>
      </c>
      <c r="C299" s="29">
        <f t="shared" si="28"/>
        <v>0.11688311688311688</v>
      </c>
      <c r="D299" s="29">
        <f t="shared" si="28"/>
        <v>0.10861865407319952</v>
      </c>
      <c r="E299" s="29">
        <f t="shared" si="28"/>
        <v>0.11043943269007207</v>
      </c>
      <c r="F299" s="29">
        <f t="shared" si="28"/>
        <v>0.10980120203421175</v>
      </c>
      <c r="G299" s="29">
        <f t="shared" si="28"/>
        <v>9.9398982894128532E-2</v>
      </c>
      <c r="H299" s="29">
        <f t="shared" si="28"/>
        <v>9.8243180767452615E-2</v>
      </c>
      <c r="I299" s="29">
        <f t="shared" si="28"/>
        <v>0.10334417092429168</v>
      </c>
      <c r="J299" s="29">
        <f t="shared" si="28"/>
        <v>0.11064030131826742</v>
      </c>
      <c r="K299" s="29">
        <f t="shared" si="28"/>
        <v>0.1265520534861509</v>
      </c>
      <c r="L299" s="29">
        <f t="shared" si="28"/>
        <v>0.13331731924093201</v>
      </c>
      <c r="M299" s="29">
        <f t="shared" si="28"/>
        <v>0.13195777351247601</v>
      </c>
      <c r="N299" s="29">
        <f t="shared" si="28"/>
        <v>0.1265520534861509</v>
      </c>
      <c r="O299" s="29">
        <f t="shared" si="28"/>
        <v>0.11986707809162117</v>
      </c>
      <c r="P299" s="29">
        <f t="shared" si="28"/>
        <v>0.10938602681721948</v>
      </c>
      <c r="Q299" s="29">
        <f t="shared" si="28"/>
        <v>0.10032664489034064</v>
      </c>
      <c r="R299" s="29">
        <f t="shared" si="28"/>
        <v>9.1414024531358481E-2</v>
      </c>
      <c r="S299" s="29">
        <f t="shared" si="28"/>
        <v>0.10195530726256984</v>
      </c>
      <c r="T299" s="29">
        <f t="shared" si="28"/>
        <v>0.10195530726256984</v>
      </c>
    </row>
    <row r="300" spans="1:20" x14ac:dyDescent="0.2">
      <c r="A300" s="24" t="s">
        <v>140</v>
      </c>
      <c r="B300" s="29">
        <f t="shared" si="28"/>
        <v>9.3891402714932126E-2</v>
      </c>
      <c r="C300" s="29">
        <f t="shared" si="28"/>
        <v>8.7005649717514122E-2</v>
      </c>
      <c r="D300" s="29">
        <f t="shared" si="28"/>
        <v>0.13744075829383887</v>
      </c>
      <c r="E300" s="29">
        <f t="shared" si="28"/>
        <v>0.18444548872180452</v>
      </c>
      <c r="F300" s="29">
        <f t="shared" si="28"/>
        <v>0.19798500468603561</v>
      </c>
      <c r="G300" s="29">
        <f t="shared" si="28"/>
        <v>0.20735707591377694</v>
      </c>
      <c r="H300" s="29">
        <f t="shared" si="28"/>
        <v>0.23252982712442172</v>
      </c>
      <c r="I300" s="29">
        <f t="shared" si="28"/>
        <v>0.23252982712442172</v>
      </c>
      <c r="J300" s="29">
        <f t="shared" si="28"/>
        <v>0.23252982712442172</v>
      </c>
      <c r="K300" s="29">
        <f t="shared" si="28"/>
        <v>0.22238514173998045</v>
      </c>
      <c r="L300" s="29">
        <f t="shared" si="28"/>
        <v>0.21940516821062897</v>
      </c>
      <c r="M300" s="29">
        <f t="shared" si="28"/>
        <v>0.21807992202729046</v>
      </c>
      <c r="N300" s="29">
        <f t="shared" si="28"/>
        <v>0.2485014985014985</v>
      </c>
      <c r="O300" s="29">
        <f t="shared" si="28"/>
        <v>0.27233392720794097</v>
      </c>
      <c r="P300" s="29">
        <f t="shared" si="28"/>
        <v>0.26589009875917952</v>
      </c>
      <c r="Q300" s="29">
        <f t="shared" si="28"/>
        <v>0.27233392720794097</v>
      </c>
      <c r="R300" s="29">
        <f t="shared" si="28"/>
        <v>0.25162744116174263</v>
      </c>
      <c r="S300" s="29">
        <f t="shared" si="28"/>
        <v>0.23014872699773128</v>
      </c>
      <c r="T300" s="29">
        <f t="shared" si="28"/>
        <v>0.23014872699773128</v>
      </c>
    </row>
    <row r="301" spans="1:20" x14ac:dyDescent="0.2">
      <c r="A301" s="24" t="s">
        <v>141</v>
      </c>
      <c r="B301" s="29">
        <f t="shared" si="28"/>
        <v>0.23122765196662692</v>
      </c>
      <c r="C301" s="29">
        <f t="shared" si="28"/>
        <v>0.24910607866507747</v>
      </c>
      <c r="D301" s="29">
        <f t="shared" si="28"/>
        <v>0.19296116504854369</v>
      </c>
      <c r="E301" s="29">
        <f t="shared" si="28"/>
        <v>0.18799800796812749</v>
      </c>
      <c r="F301" s="29">
        <f t="shared" si="28"/>
        <v>0.15928322548531607</v>
      </c>
      <c r="G301" s="29">
        <f t="shared" si="28"/>
        <v>0.11434253044991299</v>
      </c>
      <c r="H301" s="29">
        <f t="shared" si="28"/>
        <v>0.1185129740518962</v>
      </c>
      <c r="I301" s="29">
        <f t="shared" si="28"/>
        <v>0.1185129740518962</v>
      </c>
      <c r="J301" s="29">
        <f t="shared" si="28"/>
        <v>0.1185129740518962</v>
      </c>
      <c r="K301" s="29">
        <f t="shared" si="28"/>
        <v>0.10473139477575161</v>
      </c>
      <c r="L301" s="29">
        <f t="shared" si="28"/>
        <v>0.10473139477575161</v>
      </c>
      <c r="M301" s="29">
        <f t="shared" si="28"/>
        <v>0.1199400299850075</v>
      </c>
      <c r="N301" s="29">
        <f t="shared" si="28"/>
        <v>0.14867982568572161</v>
      </c>
      <c r="O301" s="29">
        <f t="shared" si="28"/>
        <v>0.15034695451040864</v>
      </c>
      <c r="P301" s="29">
        <f t="shared" si="28"/>
        <v>0.16074669432201191</v>
      </c>
      <c r="Q301" s="29">
        <f t="shared" si="28"/>
        <v>0.15924391506991195</v>
      </c>
      <c r="R301" s="29">
        <f t="shared" si="28"/>
        <v>0.14732257238022034</v>
      </c>
      <c r="S301" s="29">
        <f t="shared" si="28"/>
        <v>0.1323045788009107</v>
      </c>
      <c r="T301" s="29">
        <f t="shared" si="28"/>
        <v>0.1323045788009107</v>
      </c>
    </row>
    <row r="302" spans="1:20" x14ac:dyDescent="0.2">
      <c r="A302" s="24" t="s">
        <v>142</v>
      </c>
      <c r="B302" s="29">
        <f t="shared" si="28"/>
        <v>9.3858632676709158E-2</v>
      </c>
      <c r="C302" s="29">
        <f t="shared" si="28"/>
        <v>9.1224018475750582E-2</v>
      </c>
      <c r="D302" s="29">
        <f t="shared" si="28"/>
        <v>9.7813578826237049E-2</v>
      </c>
      <c r="E302" s="29">
        <f t="shared" si="28"/>
        <v>0.13723284589426321</v>
      </c>
      <c r="F302" s="29">
        <f t="shared" si="28"/>
        <v>0.10355695632597929</v>
      </c>
      <c r="G302" s="29">
        <f t="shared" si="28"/>
        <v>6.4216120460584586E-2</v>
      </c>
      <c r="H302" s="29">
        <f t="shared" si="28"/>
        <v>4.2044700154901526E-2</v>
      </c>
      <c r="I302" s="29">
        <f t="shared" si="28"/>
        <v>3.8597265108072341E-2</v>
      </c>
      <c r="J302" s="29">
        <f t="shared" si="28"/>
        <v>3.0735455543358946E-2</v>
      </c>
      <c r="K302" s="29">
        <f t="shared" si="28"/>
        <v>2.6229508196721311E-2</v>
      </c>
      <c r="L302" s="29">
        <f t="shared" si="28"/>
        <v>2.6229508196721311E-2</v>
      </c>
      <c r="M302" s="29">
        <f t="shared" si="28"/>
        <v>2.6229508196721311E-2</v>
      </c>
      <c r="N302" s="29">
        <f t="shared" si="28"/>
        <v>2.6229508196721311E-2</v>
      </c>
      <c r="O302" s="30">
        <f t="shared" si="28"/>
        <v>5.705916963488384E-2</v>
      </c>
      <c r="P302" s="30">
        <f t="shared" si="28"/>
        <v>5.705916963488384E-2</v>
      </c>
      <c r="Q302" s="30">
        <f t="shared" si="28"/>
        <v>5.705916963488384E-2</v>
      </c>
      <c r="R302" s="30">
        <f t="shared" si="28"/>
        <v>5.705916963488384E-2</v>
      </c>
      <c r="S302" s="30">
        <f t="shared" si="28"/>
        <v>5.705916963488384E-2</v>
      </c>
      <c r="T302" s="30">
        <f t="shared" si="28"/>
        <v>5.705916963488384E-2</v>
      </c>
    </row>
    <row r="303" spans="1:20" x14ac:dyDescent="0.2">
      <c r="A303" s="31" t="str">
        <f>A251</f>
        <v xml:space="preserve">21/22 </v>
      </c>
      <c r="B303" s="29">
        <f t="shared" si="28"/>
        <v>3.1674208144796379E-2</v>
      </c>
      <c r="C303" s="30">
        <f t="shared" si="28"/>
        <v>6.1473897503912078E-2</v>
      </c>
      <c r="D303" s="30">
        <f t="shared" si="28"/>
        <v>6.1473897503912078E-2</v>
      </c>
      <c r="E303" s="30">
        <f t="shared" si="28"/>
        <v>6.1473897503912078E-2</v>
      </c>
      <c r="F303" s="30">
        <f t="shared" si="28"/>
        <v>6.1473897503912078E-2</v>
      </c>
      <c r="G303" s="30">
        <f t="shared" si="28"/>
        <v>6.1473897503912078E-2</v>
      </c>
      <c r="H303" s="30">
        <f t="shared" si="28"/>
        <v>6.1473897503912078E-2</v>
      </c>
      <c r="I303" s="30">
        <f t="shared" si="28"/>
        <v>6.1473897503912078E-2</v>
      </c>
      <c r="J303" s="30">
        <f t="shared" si="28"/>
        <v>6.1473897503912078E-2</v>
      </c>
      <c r="K303" s="30">
        <f t="shared" si="28"/>
        <v>6.1473897503912078E-2</v>
      </c>
      <c r="L303" s="30">
        <f t="shared" si="28"/>
        <v>6.1473897503912078E-2</v>
      </c>
      <c r="M303" s="30">
        <f t="shared" si="28"/>
        <v>6.1473897503912078E-2</v>
      </c>
      <c r="N303" s="30">
        <f t="shared" si="28"/>
        <v>6.1473897503912078E-2</v>
      </c>
      <c r="O303" s="30">
        <f t="shared" si="28"/>
        <v>6.1473897503912078E-2</v>
      </c>
      <c r="P303" s="30">
        <f t="shared" si="28"/>
        <v>6.1473897503912078E-2</v>
      </c>
      <c r="Q303" s="30">
        <f t="shared" si="28"/>
        <v>6.1473897503912078E-2</v>
      </c>
      <c r="R303" s="30">
        <f t="shared" si="28"/>
        <v>6.1473897503912078E-2</v>
      </c>
      <c r="S303" s="30">
        <f t="shared" si="28"/>
        <v>6.1473897503912078E-2</v>
      </c>
      <c r="T303" s="30">
        <f t="shared" si="28"/>
        <v>6.1473897503912078E-2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A7EFE-D316-490B-96A3-A094EBBFC9E8}">
  <dimension ref="A1:BR110"/>
  <sheetViews>
    <sheetView topLeftCell="A91" workbookViewId="0">
      <selection activeCell="BA46" sqref="BA46"/>
    </sheetView>
  </sheetViews>
  <sheetFormatPr defaultRowHeight="12.75" x14ac:dyDescent="0.2"/>
  <sheetData>
    <row r="1" spans="1:15" ht="13.5" thickBot="1" x14ac:dyDescent="0.25">
      <c r="A1" s="1" t="s">
        <v>150</v>
      </c>
    </row>
    <row r="2" spans="1:15" ht="13.5" thickBot="1" x14ac:dyDescent="0.25">
      <c r="A2" s="32"/>
      <c r="B2" s="32" t="s">
        <v>87</v>
      </c>
      <c r="C2" s="32" t="s">
        <v>88</v>
      </c>
      <c r="D2" s="32" t="s">
        <v>89</v>
      </c>
      <c r="E2" s="32" t="s">
        <v>90</v>
      </c>
      <c r="F2" s="32" t="s">
        <v>91</v>
      </c>
      <c r="G2" s="32" t="s">
        <v>92</v>
      </c>
      <c r="H2" s="32" t="s">
        <v>93</v>
      </c>
      <c r="I2" s="32" t="s">
        <v>94</v>
      </c>
      <c r="J2" s="32" t="s">
        <v>83</v>
      </c>
      <c r="K2" s="32" t="s">
        <v>84</v>
      </c>
      <c r="L2" s="32" t="s">
        <v>85</v>
      </c>
      <c r="M2" s="32" t="s">
        <v>86</v>
      </c>
      <c r="N2" s="32" t="s">
        <v>151</v>
      </c>
      <c r="O2" s="32" t="s">
        <v>152</v>
      </c>
    </row>
    <row r="3" spans="1:15" x14ac:dyDescent="0.2">
      <c r="A3" s="33" t="s">
        <v>146</v>
      </c>
      <c r="B3" s="12">
        <v>2.66</v>
      </c>
      <c r="C3" s="12">
        <v>2.77</v>
      </c>
      <c r="D3" s="12">
        <v>2.86</v>
      </c>
      <c r="E3" s="12">
        <v>2.77</v>
      </c>
      <c r="F3" s="12">
        <v>2.86</v>
      </c>
      <c r="G3" s="12">
        <v>2.92</v>
      </c>
      <c r="H3" s="12">
        <v>2.91</v>
      </c>
      <c r="I3" s="12">
        <v>2.8</v>
      </c>
      <c r="J3" s="12">
        <v>2.85</v>
      </c>
      <c r="K3" s="12">
        <v>2.98</v>
      </c>
      <c r="L3" s="12">
        <v>3.18</v>
      </c>
      <c r="M3" s="12">
        <v>3.09</v>
      </c>
      <c r="N3" s="12">
        <f>AVERAGE(B3:M3)</f>
        <v>2.8874999999999997</v>
      </c>
      <c r="O3" s="13">
        <f>'Balance Sheet Data'!C$24</f>
        <v>2.85</v>
      </c>
    </row>
    <row r="4" spans="1:15" x14ac:dyDescent="0.2">
      <c r="A4" s="33" t="s">
        <v>147</v>
      </c>
      <c r="B4" s="12">
        <v>2.95</v>
      </c>
      <c r="C4" s="12">
        <v>2.96</v>
      </c>
      <c r="D4" s="12">
        <v>2.84</v>
      </c>
      <c r="E4" s="12">
        <v>2.93</v>
      </c>
      <c r="F4" s="12">
        <v>2.92</v>
      </c>
      <c r="G4" s="12">
        <v>3</v>
      </c>
      <c r="H4" s="12">
        <v>3.2</v>
      </c>
      <c r="I4" s="12">
        <v>3.37</v>
      </c>
      <c r="J4" s="12">
        <v>3.35</v>
      </c>
      <c r="K4" s="12">
        <v>3.32</v>
      </c>
      <c r="L4" s="12">
        <v>3.34</v>
      </c>
      <c r="M4" s="12">
        <v>3.36</v>
      </c>
      <c r="N4" s="12">
        <f>AVERAGE(B4:M4)</f>
        <v>3.1283333333333339</v>
      </c>
      <c r="O4" s="13">
        <f>'Balance Sheet Data'!D$24</f>
        <v>3.03</v>
      </c>
    </row>
    <row r="5" spans="1:15" x14ac:dyDescent="0.2">
      <c r="A5" s="33" t="s">
        <v>148</v>
      </c>
      <c r="B5" s="12">
        <v>3.26</v>
      </c>
      <c r="C5" s="12">
        <v>3.13</v>
      </c>
      <c r="D5" s="12">
        <v>3.38</v>
      </c>
      <c r="E5" s="12">
        <v>3.95</v>
      </c>
      <c r="F5" s="12">
        <v>4.1100000000000003</v>
      </c>
      <c r="G5" s="12">
        <v>5.49</v>
      </c>
      <c r="H5" s="12">
        <v>6.04</v>
      </c>
      <c r="I5" s="12">
        <v>6.14</v>
      </c>
      <c r="J5" s="12">
        <v>8.27</v>
      </c>
      <c r="K5" s="12">
        <v>10</v>
      </c>
      <c r="L5" s="12">
        <v>6.69</v>
      </c>
      <c r="M5" s="12">
        <v>8.99</v>
      </c>
      <c r="N5" s="12">
        <f t="shared" ref="N5:N54" si="0">AVERAGE(B5:M5)</f>
        <v>5.7874999999999988</v>
      </c>
      <c r="O5" s="13">
        <f>'Balance Sheet Data'!E$24</f>
        <v>4.37</v>
      </c>
    </row>
    <row r="6" spans="1:15" x14ac:dyDescent="0.2">
      <c r="A6" s="33" t="s">
        <v>95</v>
      </c>
      <c r="B6" s="12">
        <v>5.81</v>
      </c>
      <c r="C6" s="12">
        <v>5.63</v>
      </c>
      <c r="D6" s="12">
        <v>5.14</v>
      </c>
      <c r="E6" s="12">
        <v>5.65</v>
      </c>
      <c r="F6" s="12">
        <v>5.87</v>
      </c>
      <c r="G6" s="12">
        <v>6.07</v>
      </c>
      <c r="H6" s="12">
        <v>5.96</v>
      </c>
      <c r="I6" s="12">
        <v>5.15</v>
      </c>
      <c r="J6" s="12">
        <v>5.21</v>
      </c>
      <c r="K6" s="12">
        <v>5.13</v>
      </c>
      <c r="L6" s="12">
        <v>6.11</v>
      </c>
      <c r="M6" s="12">
        <v>7.55</v>
      </c>
      <c r="N6" s="12">
        <f t="shared" si="0"/>
        <v>5.7733333333333334</v>
      </c>
      <c r="O6" s="13">
        <f>'Balance Sheet Data'!F$24</f>
        <v>5.68</v>
      </c>
    </row>
    <row r="7" spans="1:15" x14ac:dyDescent="0.2">
      <c r="A7" s="33" t="s">
        <v>96</v>
      </c>
      <c r="B7" s="12">
        <v>7.32</v>
      </c>
      <c r="C7" s="12">
        <v>8.17</v>
      </c>
      <c r="D7" s="12">
        <v>7.44</v>
      </c>
      <c r="E7" s="12">
        <v>7.03</v>
      </c>
      <c r="F7" s="12">
        <v>6.3</v>
      </c>
      <c r="G7" s="12">
        <v>5.72</v>
      </c>
      <c r="H7" s="12">
        <v>5.31</v>
      </c>
      <c r="I7" s="12">
        <v>5.6</v>
      </c>
      <c r="J7" s="12">
        <v>5</v>
      </c>
      <c r="K7" s="12">
        <v>4.9000000000000004</v>
      </c>
      <c r="L7" s="12">
        <v>5.28</v>
      </c>
      <c r="M7" s="12">
        <v>5.8</v>
      </c>
      <c r="N7" s="12">
        <f t="shared" si="0"/>
        <v>6.1558333333333328</v>
      </c>
      <c r="O7" s="13">
        <f>'Balance Sheet Data'!G$24</f>
        <v>6.64</v>
      </c>
    </row>
    <row r="8" spans="1:15" x14ac:dyDescent="0.2">
      <c r="A8" s="33" t="s">
        <v>97</v>
      </c>
      <c r="B8" s="12">
        <v>5.32</v>
      </c>
      <c r="C8" s="12">
        <v>4.92</v>
      </c>
      <c r="D8" s="12">
        <v>4.45</v>
      </c>
      <c r="E8" s="12">
        <v>4.28</v>
      </c>
      <c r="F8" s="12">
        <v>4.46</v>
      </c>
      <c r="G8" s="12">
        <v>4.5</v>
      </c>
      <c r="H8" s="12">
        <v>4.46</v>
      </c>
      <c r="I8" s="12">
        <v>4.5199999999999996</v>
      </c>
      <c r="J8" s="12">
        <v>4.87</v>
      </c>
      <c r="K8" s="12">
        <v>6.16</v>
      </c>
      <c r="L8" s="12">
        <v>6.73</v>
      </c>
      <c r="M8" s="12">
        <v>6.07</v>
      </c>
      <c r="N8" s="12">
        <f t="shared" si="0"/>
        <v>5.0616666666666665</v>
      </c>
      <c r="O8" s="13">
        <f>'Balance Sheet Data'!H$24</f>
        <v>4.92</v>
      </c>
    </row>
    <row r="9" spans="1:15" x14ac:dyDescent="0.2">
      <c r="A9" s="33" t="s">
        <v>98</v>
      </c>
      <c r="B9" s="12">
        <v>6.65</v>
      </c>
      <c r="C9" s="12">
        <v>5.9</v>
      </c>
      <c r="D9" s="12">
        <v>6.11</v>
      </c>
      <c r="E9" s="12">
        <v>6.56</v>
      </c>
      <c r="F9" s="12">
        <v>6.81</v>
      </c>
      <c r="G9" s="12">
        <v>7.06</v>
      </c>
      <c r="H9" s="12">
        <v>7.83</v>
      </c>
      <c r="I9" s="12">
        <v>9.0500000000000007</v>
      </c>
      <c r="J9" s="12">
        <v>9.24</v>
      </c>
      <c r="K9" s="12">
        <v>8.1300000000000008</v>
      </c>
      <c r="L9" s="12">
        <v>6.52</v>
      </c>
      <c r="M9" s="12">
        <v>5.48</v>
      </c>
      <c r="N9" s="12">
        <f t="shared" si="0"/>
        <v>7.1116666666666655</v>
      </c>
      <c r="O9" s="13">
        <f>'Balance Sheet Data'!I$24</f>
        <v>6.81</v>
      </c>
    </row>
    <row r="10" spans="1:15" x14ac:dyDescent="0.2">
      <c r="A10" s="33" t="s">
        <v>99</v>
      </c>
      <c r="B10" s="12">
        <v>5.17</v>
      </c>
      <c r="C10" s="12">
        <v>5.28</v>
      </c>
      <c r="D10" s="12">
        <v>5.61</v>
      </c>
      <c r="E10" s="12">
        <v>5.68</v>
      </c>
      <c r="F10" s="12">
        <v>5.75</v>
      </c>
      <c r="G10" s="12">
        <v>5.53</v>
      </c>
      <c r="H10" s="12">
        <v>6.2</v>
      </c>
      <c r="I10" s="12">
        <v>6.49</v>
      </c>
      <c r="J10" s="12">
        <v>6.77</v>
      </c>
      <c r="K10" s="12">
        <v>6.69</v>
      </c>
      <c r="L10" s="12">
        <v>6.4</v>
      </c>
      <c r="M10" s="12">
        <v>6.21</v>
      </c>
      <c r="N10" s="12">
        <f t="shared" si="0"/>
        <v>5.9816666666666665</v>
      </c>
      <c r="O10" s="13">
        <f>'Balance Sheet Data'!J$24</f>
        <v>5.88</v>
      </c>
    </row>
    <row r="11" spans="1:15" x14ac:dyDescent="0.2">
      <c r="A11" s="33" t="s">
        <v>100</v>
      </c>
      <c r="B11" s="12">
        <v>6.2</v>
      </c>
      <c r="C11" s="12">
        <v>6.26</v>
      </c>
      <c r="D11" s="12">
        <v>6.41</v>
      </c>
      <c r="E11" s="12">
        <v>6.49</v>
      </c>
      <c r="F11" s="12">
        <v>6.58</v>
      </c>
      <c r="G11" s="12">
        <v>6.99</v>
      </c>
      <c r="H11" s="12">
        <v>7.16</v>
      </c>
      <c r="I11" s="12">
        <v>7.06</v>
      </c>
      <c r="J11" s="12">
        <v>7.06</v>
      </c>
      <c r="K11" s="12">
        <v>7.36</v>
      </c>
      <c r="L11" s="12">
        <v>7.36</v>
      </c>
      <c r="M11" s="12">
        <v>7.07</v>
      </c>
      <c r="N11" s="12">
        <f t="shared" si="0"/>
        <v>6.833333333333333</v>
      </c>
      <c r="O11" s="13">
        <f>'Balance Sheet Data'!K$24</f>
        <v>6.66</v>
      </c>
    </row>
    <row r="12" spans="1:15" x14ac:dyDescent="0.2">
      <c r="A12" s="33" t="s">
        <v>101</v>
      </c>
      <c r="B12" s="12">
        <v>6.81</v>
      </c>
      <c r="C12" s="12">
        <v>6.35</v>
      </c>
      <c r="D12" s="12">
        <v>6.3</v>
      </c>
      <c r="E12" s="12">
        <v>6.27</v>
      </c>
      <c r="F12" s="12">
        <v>6.39</v>
      </c>
      <c r="G12" s="12">
        <v>6.2</v>
      </c>
      <c r="H12" s="12">
        <v>5.94</v>
      </c>
      <c r="I12" s="12">
        <v>5.63</v>
      </c>
      <c r="J12" s="12">
        <v>5.76</v>
      </c>
      <c r="K12" s="12">
        <v>5.91</v>
      </c>
      <c r="L12" s="12">
        <v>6.75</v>
      </c>
      <c r="M12" s="12">
        <v>7.18</v>
      </c>
      <c r="N12" s="12">
        <f t="shared" si="0"/>
        <v>6.2908333333333344</v>
      </c>
      <c r="O12" s="13">
        <f>'Balance Sheet Data'!L$24</f>
        <v>6.28</v>
      </c>
    </row>
    <row r="13" spans="1:15" x14ac:dyDescent="0.2">
      <c r="A13" s="33" t="s">
        <v>102</v>
      </c>
      <c r="B13" s="12">
        <v>7.59</v>
      </c>
      <c r="C13" s="12">
        <v>7.68</v>
      </c>
      <c r="D13" s="12">
        <v>8.18</v>
      </c>
      <c r="E13" s="12">
        <v>7.8</v>
      </c>
      <c r="F13" s="12">
        <v>7.8</v>
      </c>
      <c r="G13" s="12">
        <v>7.5</v>
      </c>
      <c r="H13" s="12">
        <v>7.59</v>
      </c>
      <c r="I13" s="12">
        <v>7.6</v>
      </c>
      <c r="J13" s="12">
        <v>7.4</v>
      </c>
      <c r="K13" s="12">
        <v>7.05</v>
      </c>
      <c r="L13" s="12">
        <v>7.13</v>
      </c>
      <c r="M13" s="12">
        <v>6.71</v>
      </c>
      <c r="N13" s="12">
        <f t="shared" si="0"/>
        <v>7.5024999999999986</v>
      </c>
      <c r="O13" s="13">
        <f>'Balance Sheet Data'!M$24</f>
        <v>7.57</v>
      </c>
    </row>
    <row r="14" spans="1:15" x14ac:dyDescent="0.2">
      <c r="A14" s="33" t="s">
        <v>103</v>
      </c>
      <c r="B14" s="12">
        <v>6.21</v>
      </c>
      <c r="C14" s="12">
        <v>6.06</v>
      </c>
      <c r="D14" s="12">
        <v>6.04</v>
      </c>
      <c r="E14" s="12">
        <v>6</v>
      </c>
      <c r="F14" s="12">
        <v>6.13</v>
      </c>
      <c r="G14" s="12">
        <v>6.04</v>
      </c>
      <c r="H14" s="12">
        <v>5.99</v>
      </c>
      <c r="I14" s="12">
        <v>6.17</v>
      </c>
      <c r="J14" s="12">
        <v>6.27</v>
      </c>
      <c r="K14" s="12">
        <v>6.12</v>
      </c>
      <c r="L14" s="12">
        <v>5.99</v>
      </c>
      <c r="M14" s="12">
        <v>5.59</v>
      </c>
      <c r="N14" s="12">
        <f t="shared" si="0"/>
        <v>6.0508333333333333</v>
      </c>
      <c r="O14" s="13">
        <f>'Balance Sheet Data'!N$24</f>
        <v>6.07</v>
      </c>
    </row>
    <row r="15" spans="1:15" x14ac:dyDescent="0.2">
      <c r="A15" s="33" t="s">
        <v>104</v>
      </c>
      <c r="B15" s="12">
        <v>5.22</v>
      </c>
      <c r="C15" s="12">
        <v>5.0599999999999996</v>
      </c>
      <c r="D15" s="12">
        <v>5.34</v>
      </c>
      <c r="E15" s="12">
        <v>5.46</v>
      </c>
      <c r="F15" s="12">
        <v>5.56</v>
      </c>
      <c r="G15" s="12">
        <v>5.66</v>
      </c>
      <c r="H15" s="12">
        <v>5.82</v>
      </c>
      <c r="I15" s="12">
        <v>6.09</v>
      </c>
      <c r="J15" s="12">
        <v>6.06</v>
      </c>
      <c r="K15" s="12">
        <v>5.9</v>
      </c>
      <c r="L15" s="12">
        <v>6.27</v>
      </c>
      <c r="M15" s="12">
        <v>7.57</v>
      </c>
      <c r="N15" s="12">
        <f t="shared" si="0"/>
        <v>5.8341666666666656</v>
      </c>
      <c r="O15" s="13">
        <f>'Balance Sheet Data'!O$24</f>
        <v>5.71</v>
      </c>
    </row>
    <row r="16" spans="1:15" x14ac:dyDescent="0.2">
      <c r="A16" s="33" t="s">
        <v>105</v>
      </c>
      <c r="B16" s="12">
        <v>8.2799999999999994</v>
      </c>
      <c r="C16" s="12">
        <v>7.96</v>
      </c>
      <c r="D16" s="12">
        <v>7.81</v>
      </c>
      <c r="E16" s="12">
        <v>7.75</v>
      </c>
      <c r="F16" s="12">
        <v>7.85</v>
      </c>
      <c r="G16" s="12">
        <v>7.28</v>
      </c>
      <c r="H16" s="12">
        <v>7.68</v>
      </c>
      <c r="I16" s="12">
        <v>7.83</v>
      </c>
      <c r="J16" s="12">
        <v>8.1199999999999992</v>
      </c>
      <c r="K16" s="12">
        <v>7.99</v>
      </c>
      <c r="L16" s="12">
        <v>6.95</v>
      </c>
      <c r="M16" s="12">
        <v>6.5</v>
      </c>
      <c r="N16" s="12">
        <f t="shared" si="0"/>
        <v>7.666666666666667</v>
      </c>
      <c r="O16" s="13">
        <f>'Balance Sheet Data'!P$24</f>
        <v>7.83</v>
      </c>
    </row>
    <row r="17" spans="1:15" x14ac:dyDescent="0.2">
      <c r="A17" s="33" t="s">
        <v>106</v>
      </c>
      <c r="B17" s="12">
        <v>6.09</v>
      </c>
      <c r="C17" s="12">
        <v>6.07</v>
      </c>
      <c r="D17" s="12">
        <v>6.01</v>
      </c>
      <c r="E17" s="12">
        <v>5.82</v>
      </c>
      <c r="F17" s="12">
        <v>5.91</v>
      </c>
      <c r="G17" s="12">
        <v>5.77</v>
      </c>
      <c r="H17" s="12">
        <v>5.88</v>
      </c>
      <c r="I17" s="12">
        <v>5.88</v>
      </c>
      <c r="J17" s="12">
        <v>5.7</v>
      </c>
      <c r="K17" s="12">
        <v>5.62</v>
      </c>
      <c r="L17" s="12">
        <v>5.42</v>
      </c>
      <c r="M17" s="12">
        <v>5.0999999999999996</v>
      </c>
      <c r="N17" s="12">
        <f t="shared" si="0"/>
        <v>5.7725</v>
      </c>
      <c r="O17" s="13">
        <f>'Balance Sheet Data'!Q$24</f>
        <v>5.84</v>
      </c>
    </row>
    <row r="18" spans="1:15" x14ac:dyDescent="0.2">
      <c r="A18" s="33" t="s">
        <v>107</v>
      </c>
      <c r="B18" s="12">
        <v>4.99</v>
      </c>
      <c r="C18" s="12">
        <v>4.8499999999999996</v>
      </c>
      <c r="D18" s="12">
        <v>4.92</v>
      </c>
      <c r="E18" s="12">
        <v>5.01</v>
      </c>
      <c r="F18" s="12">
        <v>5.16</v>
      </c>
      <c r="G18" s="12">
        <v>5.18</v>
      </c>
      <c r="H18" s="12">
        <v>5.23</v>
      </c>
      <c r="I18" s="12">
        <v>5.23</v>
      </c>
      <c r="J18" s="12">
        <v>5.25</v>
      </c>
      <c r="K18" s="12">
        <v>5.19</v>
      </c>
      <c r="L18" s="12">
        <v>5.1100000000000003</v>
      </c>
      <c r="M18" s="12">
        <v>4.99</v>
      </c>
      <c r="N18" s="12">
        <f t="shared" si="0"/>
        <v>5.0925000000000002</v>
      </c>
      <c r="O18" s="13">
        <f>'Balance Sheet Data'!R$24</f>
        <v>5.05</v>
      </c>
    </row>
    <row r="19" spans="1:15" x14ac:dyDescent="0.2">
      <c r="A19" s="33" t="s">
        <v>108</v>
      </c>
      <c r="B19" s="12">
        <v>4.8499999999999996</v>
      </c>
      <c r="C19" s="12">
        <v>4.55</v>
      </c>
      <c r="D19" s="12">
        <v>4.6399999999999997</v>
      </c>
      <c r="E19" s="12">
        <v>4.67</v>
      </c>
      <c r="F19" s="12">
        <v>4.7</v>
      </c>
      <c r="G19" s="12">
        <v>4.6900000000000004</v>
      </c>
      <c r="H19" s="12">
        <v>4.7300000000000004</v>
      </c>
      <c r="I19" s="12">
        <v>4.9000000000000004</v>
      </c>
      <c r="J19" s="12">
        <v>5.2</v>
      </c>
      <c r="K19" s="12">
        <v>5.36</v>
      </c>
      <c r="L19" s="12">
        <v>5.25</v>
      </c>
      <c r="M19" s="12">
        <v>5.0199999999999996</v>
      </c>
      <c r="N19" s="12">
        <f t="shared" si="0"/>
        <v>4.88</v>
      </c>
      <c r="O19" s="13">
        <f>'Balance Sheet Data'!S$24</f>
        <v>4.78</v>
      </c>
    </row>
    <row r="20" spans="1:15" x14ac:dyDescent="0.2">
      <c r="A20" s="33" t="s">
        <v>109</v>
      </c>
      <c r="B20" s="12">
        <v>5.0199999999999996</v>
      </c>
      <c r="C20" s="12">
        <v>5.04</v>
      </c>
      <c r="D20" s="12">
        <v>5.36</v>
      </c>
      <c r="E20" s="12">
        <v>5.63</v>
      </c>
      <c r="F20" s="12">
        <v>5.73</v>
      </c>
      <c r="G20" s="12">
        <v>5.96</v>
      </c>
      <c r="H20" s="12">
        <v>6.05</v>
      </c>
      <c r="I20" s="12">
        <v>6.39</v>
      </c>
      <c r="J20" s="12">
        <v>6.98</v>
      </c>
      <c r="K20" s="12">
        <v>8.18</v>
      </c>
      <c r="L20" s="12">
        <v>8.5</v>
      </c>
      <c r="M20" s="12">
        <v>8.33</v>
      </c>
      <c r="N20" s="12">
        <f t="shared" si="0"/>
        <v>6.4308333333333332</v>
      </c>
      <c r="O20" s="13">
        <f>'Balance Sheet Data'!T$24</f>
        <v>5.88</v>
      </c>
    </row>
    <row r="21" spans="1:15" x14ac:dyDescent="0.2">
      <c r="A21" s="33" t="s">
        <v>110</v>
      </c>
      <c r="B21" s="12">
        <v>7.93</v>
      </c>
      <c r="C21" s="12">
        <v>7.53</v>
      </c>
      <c r="D21" s="12">
        <v>7.43</v>
      </c>
      <c r="E21" s="12">
        <v>7.53</v>
      </c>
      <c r="F21" s="12">
        <v>7.69</v>
      </c>
      <c r="G21" s="12">
        <v>7.41</v>
      </c>
      <c r="H21" s="12">
        <v>7.51</v>
      </c>
      <c r="I21" s="12">
        <v>7.29</v>
      </c>
      <c r="J21" s="12">
        <v>7.2</v>
      </c>
      <c r="K21" s="12">
        <v>7.05</v>
      </c>
      <c r="L21" s="12">
        <v>6.83</v>
      </c>
      <c r="M21" s="12">
        <v>6.07</v>
      </c>
      <c r="N21" s="12">
        <f t="shared" si="0"/>
        <v>7.2891666666666666</v>
      </c>
      <c r="O21" s="13">
        <f>'Balance Sheet Data'!U$24</f>
        <v>7.42</v>
      </c>
    </row>
    <row r="22" spans="1:15" x14ac:dyDescent="0.2">
      <c r="A22" s="33" t="s">
        <v>111</v>
      </c>
      <c r="B22" s="12">
        <v>5.7</v>
      </c>
      <c r="C22" s="12">
        <v>5.55</v>
      </c>
      <c r="D22" s="12">
        <v>5.66</v>
      </c>
      <c r="E22" s="12">
        <v>5.64</v>
      </c>
      <c r="F22" s="12">
        <v>5.65</v>
      </c>
      <c r="G22" s="12">
        <v>5.56</v>
      </c>
      <c r="H22" s="12">
        <v>5.65</v>
      </c>
      <c r="I22" s="12">
        <v>5.82</v>
      </c>
      <c r="J22" s="12">
        <v>5.97</v>
      </c>
      <c r="K22" s="12">
        <v>5.88</v>
      </c>
      <c r="L22" s="12">
        <v>5.97</v>
      </c>
      <c r="M22" s="12">
        <v>6</v>
      </c>
      <c r="N22" s="12">
        <f t="shared" si="0"/>
        <v>5.7541666666666673</v>
      </c>
      <c r="O22" s="13">
        <f>'Balance Sheet Data'!V$24</f>
        <v>5.69</v>
      </c>
    </row>
    <row r="23" spans="1:15" x14ac:dyDescent="0.2">
      <c r="A23" s="33" t="s">
        <v>112</v>
      </c>
      <c r="B23" s="12">
        <v>5.99</v>
      </c>
      <c r="C23" s="12">
        <v>5.88</v>
      </c>
      <c r="D23" s="12">
        <v>5.78</v>
      </c>
      <c r="E23" s="12">
        <v>5.72</v>
      </c>
      <c r="F23" s="12">
        <v>5.71</v>
      </c>
      <c r="G23" s="12">
        <v>5.65</v>
      </c>
      <c r="H23" s="12">
        <v>5.76</v>
      </c>
      <c r="I23" s="12">
        <v>5.77</v>
      </c>
      <c r="J23" s="12">
        <v>5.67</v>
      </c>
      <c r="K23" s="12">
        <v>5.56</v>
      </c>
      <c r="L23" s="12">
        <v>5.36</v>
      </c>
      <c r="M23" s="12">
        <v>5.66</v>
      </c>
      <c r="N23" s="12">
        <f t="shared" si="0"/>
        <v>5.7091666666666674</v>
      </c>
      <c r="O23" s="13">
        <f>'Balance Sheet Data'!W$24</f>
        <v>5.74</v>
      </c>
    </row>
    <row r="24" spans="1:15" x14ac:dyDescent="0.2">
      <c r="A24" s="33" t="s">
        <v>113</v>
      </c>
      <c r="B24" s="12">
        <v>5.64</v>
      </c>
      <c r="C24" s="12">
        <v>5.48</v>
      </c>
      <c r="D24" s="12">
        <v>5.48</v>
      </c>
      <c r="E24" s="12">
        <v>5.45</v>
      </c>
      <c r="F24" s="12">
        <v>5.54</v>
      </c>
      <c r="G24" s="12">
        <v>5.59</v>
      </c>
      <c r="H24" s="12">
        <v>5.67</v>
      </c>
      <c r="I24" s="12">
        <v>5.66</v>
      </c>
      <c r="J24" s="12">
        <v>5.87</v>
      </c>
      <c r="K24" s="12">
        <v>5.94</v>
      </c>
      <c r="L24" s="12">
        <v>5.59</v>
      </c>
      <c r="M24" s="12">
        <v>5.4</v>
      </c>
      <c r="N24" s="12">
        <f t="shared" si="0"/>
        <v>5.6091666666666669</v>
      </c>
      <c r="O24" s="13">
        <f>'Balance Sheet Data'!X$24</f>
        <v>5.58</v>
      </c>
    </row>
    <row r="25" spans="1:15" x14ac:dyDescent="0.2">
      <c r="A25" s="33" t="s">
        <v>114</v>
      </c>
      <c r="B25" s="12">
        <v>5.36</v>
      </c>
      <c r="C25" s="12">
        <v>5.26</v>
      </c>
      <c r="D25" s="12">
        <v>5.36</v>
      </c>
      <c r="E25" s="12">
        <v>5.46</v>
      </c>
      <c r="F25" s="12">
        <v>5.58</v>
      </c>
      <c r="G25" s="12">
        <v>5.56</v>
      </c>
      <c r="H25" s="12">
        <v>5.65</v>
      </c>
      <c r="I25" s="12">
        <v>5.73</v>
      </c>
      <c r="J25" s="12">
        <v>5.81</v>
      </c>
      <c r="K25" s="12">
        <v>5.9</v>
      </c>
      <c r="L25" s="12">
        <v>6.56</v>
      </c>
      <c r="M25" s="12">
        <v>6.56</v>
      </c>
      <c r="N25" s="12">
        <f t="shared" si="0"/>
        <v>5.7325000000000008</v>
      </c>
      <c r="O25" s="13">
        <f>'Balance Sheet Data'!Y$24</f>
        <v>5.56</v>
      </c>
    </row>
    <row r="26" spans="1:15" x14ac:dyDescent="0.2">
      <c r="A26" s="33" t="s">
        <v>115</v>
      </c>
      <c r="B26" s="12">
        <v>6.21</v>
      </c>
      <c r="C26" s="12">
        <v>6.01</v>
      </c>
      <c r="D26" s="12">
        <v>6.32</v>
      </c>
      <c r="E26" s="12">
        <v>6.64</v>
      </c>
      <c r="F26" s="12">
        <v>6.72</v>
      </c>
      <c r="G26" s="12">
        <v>6.71</v>
      </c>
      <c r="H26" s="12">
        <v>6.73</v>
      </c>
      <c r="I26" s="12">
        <v>6.57</v>
      </c>
      <c r="J26" s="12">
        <v>6.77</v>
      </c>
      <c r="K26" s="12">
        <v>6.72</v>
      </c>
      <c r="L26" s="12">
        <v>5.92</v>
      </c>
      <c r="M26" s="12">
        <v>5.58</v>
      </c>
      <c r="N26" s="12">
        <f t="shared" si="0"/>
        <v>6.4083333333333341</v>
      </c>
      <c r="O26" s="13">
        <f>'Balance Sheet Data'!Z$24</f>
        <v>0</v>
      </c>
    </row>
    <row r="27" spans="1:15" x14ac:dyDescent="0.2">
      <c r="A27" s="33" t="s">
        <v>116</v>
      </c>
      <c r="B27" s="12">
        <v>5.47</v>
      </c>
      <c r="C27" s="12">
        <v>5.3</v>
      </c>
      <c r="D27" s="12">
        <v>5.36</v>
      </c>
      <c r="E27" s="12">
        <v>5.41</v>
      </c>
      <c r="F27" s="12">
        <v>5.47</v>
      </c>
      <c r="G27" s="12">
        <v>5.4</v>
      </c>
      <c r="H27" s="12">
        <v>5.51</v>
      </c>
      <c r="I27" s="12">
        <v>5.55</v>
      </c>
      <c r="J27" s="12">
        <v>5.56</v>
      </c>
      <c r="K27" s="12">
        <v>5.68</v>
      </c>
      <c r="L27" s="12">
        <v>5.9</v>
      </c>
      <c r="M27" s="12">
        <v>5.83</v>
      </c>
      <c r="N27" s="12">
        <f t="shared" si="0"/>
        <v>5.5366666666666662</v>
      </c>
      <c r="O27" s="13" t="e">
        <f>'Balance Sheet Data'!AA$24</f>
        <v>#REF!</v>
      </c>
    </row>
    <row r="28" spans="1:15" x14ac:dyDescent="0.2">
      <c r="A28" s="33" t="s">
        <v>117</v>
      </c>
      <c r="B28" s="12">
        <v>5.98</v>
      </c>
      <c r="C28" s="12">
        <v>6.16</v>
      </c>
      <c r="D28" s="12">
        <v>6.4</v>
      </c>
      <c r="E28" s="12">
        <v>6.76</v>
      </c>
      <c r="F28" s="12">
        <v>6.78</v>
      </c>
      <c r="G28" s="12">
        <v>7</v>
      </c>
      <c r="H28" s="12">
        <v>7</v>
      </c>
      <c r="I28" s="12">
        <v>7.43</v>
      </c>
      <c r="J28" s="12">
        <v>7.69</v>
      </c>
      <c r="K28" s="12">
        <v>7.41</v>
      </c>
      <c r="L28" s="12">
        <v>7.62</v>
      </c>
      <c r="M28" s="12">
        <v>7.82</v>
      </c>
      <c r="N28" s="12">
        <f t="shared" si="0"/>
        <v>7.0041666666666673</v>
      </c>
      <c r="O28" s="13" t="e">
        <f>'Balance Sheet Data'!AB$24</f>
        <v>#REF!</v>
      </c>
    </row>
    <row r="29" spans="1:15" x14ac:dyDescent="0.2">
      <c r="A29" s="33" t="s">
        <v>118</v>
      </c>
      <c r="B29" s="12">
        <v>7.79</v>
      </c>
      <c r="C29" s="12">
        <v>6.94</v>
      </c>
      <c r="D29" s="12">
        <v>6.9</v>
      </c>
      <c r="E29" s="12">
        <v>6.91</v>
      </c>
      <c r="F29" s="12">
        <v>7.13</v>
      </c>
      <c r="G29" s="12">
        <v>7.38</v>
      </c>
      <c r="H29" s="12">
        <v>7.97</v>
      </c>
      <c r="I29" s="12">
        <v>8.23</v>
      </c>
      <c r="J29" s="12">
        <v>8.4</v>
      </c>
      <c r="K29" s="12">
        <v>8.16</v>
      </c>
      <c r="L29" s="12">
        <v>7.52</v>
      </c>
      <c r="M29" s="12">
        <v>7.25</v>
      </c>
      <c r="N29" s="12">
        <f t="shared" si="0"/>
        <v>7.5483333333333329</v>
      </c>
      <c r="O29" s="13" t="e">
        <f>'Balance Sheet Data'!AC$24</f>
        <v>#REF!</v>
      </c>
    </row>
    <row r="30" spans="1:15" x14ac:dyDescent="0.2">
      <c r="A30" s="33" t="s">
        <v>119</v>
      </c>
      <c r="B30" s="12">
        <v>6.72</v>
      </c>
      <c r="C30" s="12">
        <v>6.49</v>
      </c>
      <c r="D30" s="12">
        <v>6.86</v>
      </c>
      <c r="E30" s="12">
        <v>6.72</v>
      </c>
      <c r="F30" s="12">
        <v>6.69</v>
      </c>
      <c r="G30" s="12">
        <v>6.57</v>
      </c>
      <c r="H30" s="12">
        <v>6.4</v>
      </c>
      <c r="I30" s="12">
        <v>6.26</v>
      </c>
      <c r="J30" s="12">
        <v>6.26</v>
      </c>
      <c r="K30" s="12">
        <v>6.16</v>
      </c>
      <c r="L30" s="12">
        <v>6.14</v>
      </c>
      <c r="M30" s="12">
        <v>5.43</v>
      </c>
      <c r="N30" s="12">
        <f t="shared" si="0"/>
        <v>6.3916666666666657</v>
      </c>
      <c r="O30" s="13" t="e">
        <f>'Balance Sheet Data'!AD$24</f>
        <v>#REF!</v>
      </c>
    </row>
    <row r="31" spans="1:15" x14ac:dyDescent="0.2">
      <c r="A31" s="33" t="s">
        <v>120</v>
      </c>
      <c r="B31" s="12">
        <v>5.25</v>
      </c>
      <c r="C31" s="12">
        <v>5.18</v>
      </c>
      <c r="D31" s="12">
        <v>5.39</v>
      </c>
      <c r="E31" s="12">
        <v>5.37</v>
      </c>
      <c r="F31" s="12">
        <v>5.32</v>
      </c>
      <c r="G31" s="12">
        <v>4.8</v>
      </c>
      <c r="H31" s="12">
        <v>4.6100000000000003</v>
      </c>
      <c r="I31" s="12">
        <v>4.63</v>
      </c>
      <c r="J31" s="12">
        <v>4.5</v>
      </c>
      <c r="K31" s="12">
        <v>4.4400000000000004</v>
      </c>
      <c r="L31" s="12">
        <v>4.1900000000000004</v>
      </c>
      <c r="M31" s="12">
        <v>4.3899999999999997</v>
      </c>
      <c r="N31" s="12">
        <f t="shared" si="0"/>
        <v>4.8391666666666664</v>
      </c>
      <c r="O31" s="13" t="e">
        <f>'Balance Sheet Data'!AE$24</f>
        <v>#REF!</v>
      </c>
    </row>
    <row r="32" spans="1:15" x14ac:dyDescent="0.2">
      <c r="A32" s="33" t="s">
        <v>121</v>
      </c>
      <c r="B32" s="12">
        <v>4.57</v>
      </c>
      <c r="C32" s="12">
        <v>4.4800000000000004</v>
      </c>
      <c r="D32" s="12">
        <v>4.45</v>
      </c>
      <c r="E32" s="12">
        <v>4.43</v>
      </c>
      <c r="F32" s="12">
        <v>4.62</v>
      </c>
      <c r="G32" s="12">
        <v>4.79</v>
      </c>
      <c r="H32" s="12">
        <v>4.91</v>
      </c>
      <c r="I32" s="12">
        <v>5</v>
      </c>
      <c r="J32" s="12">
        <v>5.19</v>
      </c>
      <c r="K32" s="12">
        <v>4.93</v>
      </c>
      <c r="L32" s="12">
        <v>4.53</v>
      </c>
      <c r="M32" s="12">
        <v>4.45</v>
      </c>
      <c r="N32" s="12">
        <f t="shared" si="0"/>
        <v>4.6958333333333337</v>
      </c>
      <c r="O32" s="13" t="e">
        <f>'Balance Sheet Data'!AF$24</f>
        <v>#REF!</v>
      </c>
    </row>
    <row r="33" spans="1:15" x14ac:dyDescent="0.2">
      <c r="A33" s="33" t="s">
        <v>122</v>
      </c>
      <c r="B33" s="12">
        <v>4.59</v>
      </c>
      <c r="C33" s="12">
        <v>4.45</v>
      </c>
      <c r="D33" s="12">
        <v>4.55</v>
      </c>
      <c r="E33" s="12">
        <v>4.78</v>
      </c>
      <c r="F33" s="12">
        <v>4.68</v>
      </c>
      <c r="G33" s="12">
        <v>4.46</v>
      </c>
      <c r="H33" s="12">
        <v>4.3899999999999997</v>
      </c>
      <c r="I33" s="12">
        <v>4.22</v>
      </c>
      <c r="J33" s="12">
        <v>4.33</v>
      </c>
      <c r="K33" s="12">
        <v>4.46</v>
      </c>
      <c r="L33" s="12">
        <v>4.79</v>
      </c>
      <c r="M33" s="12">
        <v>4.8499999999999996</v>
      </c>
      <c r="N33" s="12">
        <f t="shared" si="0"/>
        <v>4.5458333333333334</v>
      </c>
      <c r="O33" s="13" t="e">
        <f>'Balance Sheet Data'!AG$24</f>
        <v>#REF!</v>
      </c>
    </row>
    <row r="34" spans="1:15" x14ac:dyDescent="0.2">
      <c r="A34" s="34" t="s">
        <v>123</v>
      </c>
      <c r="B34" s="12">
        <v>4.53</v>
      </c>
      <c r="C34" s="12">
        <v>4.09</v>
      </c>
      <c r="D34" s="12">
        <v>4.16</v>
      </c>
      <c r="E34" s="12">
        <v>4.2</v>
      </c>
      <c r="F34" s="12">
        <v>4.22</v>
      </c>
      <c r="G34" s="12">
        <v>4.22</v>
      </c>
      <c r="H34" s="12">
        <v>4.38</v>
      </c>
      <c r="I34" s="12">
        <v>4.47</v>
      </c>
      <c r="J34" s="12">
        <v>4.6399999999999997</v>
      </c>
      <c r="K34" s="12">
        <v>4.88</v>
      </c>
      <c r="L34" s="12">
        <v>5.35</v>
      </c>
      <c r="M34" s="12">
        <v>5.53</v>
      </c>
      <c r="N34" s="12">
        <f t="shared" si="0"/>
        <v>4.5558333333333332</v>
      </c>
      <c r="O34" s="13" t="e">
        <f>'Balance Sheet Data'!AH$24</f>
        <v>#REF!</v>
      </c>
    </row>
    <row r="35" spans="1:15" x14ac:dyDescent="0.2">
      <c r="A35" s="34" t="s">
        <v>124</v>
      </c>
      <c r="B35" s="12">
        <v>5.39</v>
      </c>
      <c r="C35" s="12">
        <v>5.2</v>
      </c>
      <c r="D35" s="12">
        <v>5.46</v>
      </c>
      <c r="E35" s="12">
        <v>5.46</v>
      </c>
      <c r="F35" s="12">
        <v>5.51</v>
      </c>
      <c r="G35" s="12">
        <v>5.55</v>
      </c>
      <c r="H35" s="12">
        <v>5.59</v>
      </c>
      <c r="I35" s="12">
        <v>5.82</v>
      </c>
      <c r="J35" s="12">
        <v>6.07</v>
      </c>
      <c r="K35" s="12">
        <v>6.09</v>
      </c>
      <c r="L35" s="12">
        <v>5.82</v>
      </c>
      <c r="M35" s="12">
        <v>5.68</v>
      </c>
      <c r="N35" s="12">
        <f t="shared" si="0"/>
        <v>5.6366666666666667</v>
      </c>
      <c r="O35" s="13" t="e">
        <f>'Balance Sheet Data'!AI$24</f>
        <v>#REF!</v>
      </c>
    </row>
    <row r="36" spans="1:15" x14ac:dyDescent="0.2">
      <c r="A36" s="34" t="s">
        <v>125</v>
      </c>
      <c r="B36" s="12">
        <v>6.06</v>
      </c>
      <c r="C36" s="12">
        <v>6.6</v>
      </c>
      <c r="D36" s="12">
        <v>7.05</v>
      </c>
      <c r="E36" s="12">
        <v>7.17</v>
      </c>
      <c r="F36" s="12">
        <v>7.35</v>
      </c>
      <c r="G36" s="12">
        <v>8.2799999999999994</v>
      </c>
      <c r="H36" s="12">
        <v>9.2799999999999994</v>
      </c>
      <c r="I36" s="12">
        <v>9.6199999999999992</v>
      </c>
      <c r="J36" s="12">
        <v>9.56</v>
      </c>
      <c r="K36" s="12">
        <v>9.08</v>
      </c>
      <c r="L36" s="12">
        <v>8.4600000000000009</v>
      </c>
      <c r="M36" s="12">
        <v>6.83</v>
      </c>
      <c r="N36" s="12">
        <f t="shared" si="0"/>
        <v>7.9449999999999994</v>
      </c>
      <c r="O36" s="13" t="e">
        <f>'Balance Sheet Data'!AJ$24</f>
        <v>#REF!</v>
      </c>
    </row>
    <row r="37" spans="1:15" x14ac:dyDescent="0.2">
      <c r="A37" s="34" t="s">
        <v>126</v>
      </c>
      <c r="B37" s="12">
        <v>5.83</v>
      </c>
      <c r="C37" s="12">
        <v>5.56</v>
      </c>
      <c r="D37" s="12">
        <v>5.36</v>
      </c>
      <c r="E37" s="12">
        <v>5.45</v>
      </c>
      <c r="F37" s="12">
        <v>5.57</v>
      </c>
      <c r="G37" s="12">
        <v>5.42</v>
      </c>
      <c r="H37" s="12">
        <v>5.95</v>
      </c>
      <c r="I37" s="12">
        <v>6.03</v>
      </c>
      <c r="J37" s="12">
        <v>6.21</v>
      </c>
      <c r="K37" s="12">
        <v>6.58</v>
      </c>
      <c r="L37" s="12">
        <v>6.65</v>
      </c>
      <c r="M37" s="12">
        <v>6.15</v>
      </c>
      <c r="N37" s="12">
        <f t="shared" si="0"/>
        <v>5.8966666666666674</v>
      </c>
      <c r="O37" s="13" t="e">
        <f>'Balance Sheet Data'!AK$24</f>
        <v>#REF!</v>
      </c>
    </row>
    <row r="38" spans="1:15" x14ac:dyDescent="0.2">
      <c r="A38" s="34" t="s">
        <v>127</v>
      </c>
      <c r="B38" s="12">
        <v>5.77</v>
      </c>
      <c r="C38" s="12">
        <v>5.67</v>
      </c>
      <c r="D38" s="12">
        <v>5.62</v>
      </c>
      <c r="E38" s="12">
        <v>5.78</v>
      </c>
      <c r="F38" s="12">
        <v>5.87</v>
      </c>
      <c r="G38" s="12">
        <v>5.67</v>
      </c>
      <c r="H38" s="12">
        <v>5.57</v>
      </c>
      <c r="I38" s="12">
        <v>5.52</v>
      </c>
      <c r="J38" s="12">
        <v>5.68</v>
      </c>
      <c r="K38" s="12">
        <v>5.62</v>
      </c>
      <c r="L38" s="12">
        <v>5.61</v>
      </c>
      <c r="M38" s="12">
        <v>5.23</v>
      </c>
      <c r="N38" s="12">
        <f t="shared" si="0"/>
        <v>5.6341666666666663</v>
      </c>
      <c r="O38" s="13" t="e">
        <f>'Balance Sheet Data'!AL$24</f>
        <v>#REF!</v>
      </c>
    </row>
    <row r="39" spans="1:15" x14ac:dyDescent="0.2">
      <c r="A39" s="34" t="s">
        <v>128</v>
      </c>
      <c r="B39" s="12">
        <v>5.23</v>
      </c>
      <c r="C39" s="12">
        <v>5.52</v>
      </c>
      <c r="D39" s="12">
        <v>6.08</v>
      </c>
      <c r="E39" s="12">
        <v>6.18</v>
      </c>
      <c r="F39" s="12">
        <v>6.37</v>
      </c>
      <c r="G39" s="12">
        <v>6.87</v>
      </c>
      <c r="H39" s="12">
        <v>6.95</v>
      </c>
      <c r="I39" s="12">
        <v>6.88</v>
      </c>
      <c r="J39" s="12">
        <v>7.12</v>
      </c>
      <c r="K39" s="12">
        <v>7.51</v>
      </c>
      <c r="L39" s="12">
        <v>7.56</v>
      </c>
      <c r="M39" s="12">
        <v>7.72</v>
      </c>
      <c r="N39" s="12">
        <f t="shared" si="0"/>
        <v>6.6658333333333344</v>
      </c>
      <c r="O39" s="13" t="e">
        <f>'Balance Sheet Data'!AM$24</f>
        <v>#REF!</v>
      </c>
    </row>
    <row r="40" spans="1:15" x14ac:dyDescent="0.2">
      <c r="A40" s="34" t="s">
        <v>129</v>
      </c>
      <c r="B40" s="12">
        <v>8.15</v>
      </c>
      <c r="C40" s="12">
        <v>8.36</v>
      </c>
      <c r="D40" s="12">
        <v>9.42</v>
      </c>
      <c r="E40" s="12">
        <v>10</v>
      </c>
      <c r="F40" s="12">
        <v>9.9499999999999993</v>
      </c>
      <c r="G40" s="12">
        <v>11.7</v>
      </c>
      <c r="H40" s="12">
        <v>11.4</v>
      </c>
      <c r="I40" s="12">
        <v>12</v>
      </c>
      <c r="J40" s="12">
        <v>12.1</v>
      </c>
      <c r="K40" s="12">
        <v>13.1</v>
      </c>
      <c r="L40" s="12">
        <v>13.3</v>
      </c>
      <c r="M40" s="12">
        <v>12.8</v>
      </c>
      <c r="N40" s="12">
        <f t="shared" si="0"/>
        <v>11.023333333333333</v>
      </c>
      <c r="O40" s="13" t="e">
        <f>'Balance Sheet Data'!AN$24</f>
        <v>#REF!</v>
      </c>
    </row>
    <row r="41" spans="1:15" x14ac:dyDescent="0.2">
      <c r="A41" s="34" t="s">
        <v>130</v>
      </c>
      <c r="B41" s="12">
        <v>10.8</v>
      </c>
      <c r="C41" s="12">
        <v>9.9499999999999993</v>
      </c>
      <c r="D41" s="12">
        <v>9.39</v>
      </c>
      <c r="E41" s="12">
        <v>9.24</v>
      </c>
      <c r="F41" s="12">
        <v>9.9700000000000006</v>
      </c>
      <c r="G41" s="12">
        <v>9.5399999999999991</v>
      </c>
      <c r="H41" s="12">
        <v>9.1199999999999992</v>
      </c>
      <c r="I41" s="12">
        <v>9.7899999999999991</v>
      </c>
      <c r="J41" s="12">
        <v>10.7</v>
      </c>
      <c r="K41" s="12">
        <v>11.4</v>
      </c>
      <c r="L41" s="12">
        <v>10.8</v>
      </c>
      <c r="M41" s="12">
        <v>10.8</v>
      </c>
      <c r="N41" s="12">
        <f t="shared" si="0"/>
        <v>10.125000000000002</v>
      </c>
      <c r="O41" s="13" t="e">
        <f>'Balance Sheet Data'!AO$24</f>
        <v>#REF!</v>
      </c>
    </row>
    <row r="42" spans="1:15" x14ac:dyDescent="0.2">
      <c r="A42" s="34" t="s">
        <v>131</v>
      </c>
      <c r="B42" s="12">
        <v>9.75</v>
      </c>
      <c r="C42" s="12">
        <v>9.43</v>
      </c>
      <c r="D42" s="12">
        <v>9.5299999999999994</v>
      </c>
      <c r="E42" s="12">
        <v>9.8000000000000007</v>
      </c>
      <c r="F42" s="12">
        <v>9.7899999999999991</v>
      </c>
      <c r="G42" s="12">
        <v>9.41</v>
      </c>
      <c r="H42" s="12">
        <v>9.39</v>
      </c>
      <c r="I42" s="12">
        <v>9.4700000000000006</v>
      </c>
      <c r="J42" s="12">
        <v>9.41</v>
      </c>
      <c r="K42" s="12">
        <v>9.4499999999999993</v>
      </c>
      <c r="L42" s="12">
        <v>9.7899999999999991</v>
      </c>
      <c r="M42" s="12">
        <v>10.1</v>
      </c>
      <c r="N42" s="12">
        <f t="shared" si="0"/>
        <v>9.61</v>
      </c>
      <c r="O42" s="13" t="e">
        <f>'Balance Sheet Data'!AP$24</f>
        <v>#REF!</v>
      </c>
    </row>
    <row r="43" spans="1:15" x14ac:dyDescent="0.2">
      <c r="A43" s="34" t="s">
        <v>132</v>
      </c>
      <c r="B43" s="12">
        <v>9.98</v>
      </c>
      <c r="C43" s="12">
        <v>10.199999999999999</v>
      </c>
      <c r="D43" s="12">
        <v>11.1</v>
      </c>
      <c r="E43" s="12">
        <v>11.6</v>
      </c>
      <c r="F43" s="12">
        <v>11.6</v>
      </c>
      <c r="G43" s="12">
        <v>12.7</v>
      </c>
      <c r="H43" s="12">
        <v>12.7</v>
      </c>
      <c r="I43" s="12">
        <v>13.1</v>
      </c>
      <c r="J43" s="12">
        <v>13.2</v>
      </c>
      <c r="K43" s="12">
        <v>13.2</v>
      </c>
      <c r="L43" s="12">
        <v>13.2</v>
      </c>
      <c r="M43" s="12">
        <v>13.4</v>
      </c>
      <c r="N43" s="12">
        <f t="shared" si="0"/>
        <v>12.165000000000001</v>
      </c>
      <c r="O43" s="13" t="e">
        <f>'Balance Sheet Data'!AQ$24</f>
        <v>#REF!</v>
      </c>
    </row>
    <row r="44" spans="1:15" x14ac:dyDescent="0.2">
      <c r="A44" s="34" t="s">
        <v>133</v>
      </c>
      <c r="B44" s="12">
        <v>12.2</v>
      </c>
      <c r="C44" s="12">
        <v>11.8</v>
      </c>
      <c r="D44" s="12">
        <v>11.7</v>
      </c>
      <c r="E44" s="12">
        <v>11.5</v>
      </c>
      <c r="F44" s="12">
        <v>11.9</v>
      </c>
      <c r="G44" s="12">
        <v>12.2</v>
      </c>
      <c r="H44" s="12">
        <v>13</v>
      </c>
      <c r="I44" s="12">
        <v>13.8</v>
      </c>
      <c r="J44" s="12">
        <v>14</v>
      </c>
      <c r="K44" s="12">
        <v>13.9</v>
      </c>
      <c r="L44" s="12">
        <v>15.4</v>
      </c>
      <c r="M44" s="12">
        <v>16.2</v>
      </c>
      <c r="N44" s="12">
        <f t="shared" si="0"/>
        <v>13.133333333333333</v>
      </c>
      <c r="O44" s="13" t="e">
        <f>'Balance Sheet Data'!AR$24</f>
        <v>#REF!</v>
      </c>
    </row>
    <row r="45" spans="1:15" x14ac:dyDescent="0.2">
      <c r="A45" s="34" t="s">
        <v>134</v>
      </c>
      <c r="B45" s="12">
        <v>14.3</v>
      </c>
      <c r="C45" s="12">
        <v>14.2</v>
      </c>
      <c r="D45" s="12">
        <v>14.3</v>
      </c>
      <c r="E45" s="12">
        <v>14.3</v>
      </c>
      <c r="F45" s="12">
        <v>14.3</v>
      </c>
      <c r="G45" s="12">
        <v>14.6</v>
      </c>
      <c r="H45" s="12">
        <v>14.6</v>
      </c>
      <c r="I45" s="12">
        <v>14.4</v>
      </c>
      <c r="J45" s="12">
        <v>14.9</v>
      </c>
      <c r="K45" s="12">
        <v>15.1</v>
      </c>
      <c r="L45" s="12">
        <v>15.3</v>
      </c>
      <c r="M45" s="12">
        <v>14.1</v>
      </c>
      <c r="N45" s="12">
        <f t="shared" si="0"/>
        <v>14.533333333333331</v>
      </c>
      <c r="O45" s="13" t="e">
        <f>'Balance Sheet Data'!AS$24</f>
        <v>#REF!</v>
      </c>
    </row>
    <row r="46" spans="1:15" x14ac:dyDescent="0.2">
      <c r="A46" s="34" t="s">
        <v>135</v>
      </c>
      <c r="B46" s="12">
        <v>13.3</v>
      </c>
      <c r="C46" s="12">
        <v>12.5</v>
      </c>
      <c r="D46" s="12">
        <v>12.7</v>
      </c>
      <c r="E46" s="12">
        <v>13</v>
      </c>
      <c r="F46" s="12">
        <v>12.9</v>
      </c>
      <c r="G46" s="12">
        <v>13.2</v>
      </c>
      <c r="H46" s="12">
        <v>13.7</v>
      </c>
      <c r="I46" s="12">
        <v>14.3</v>
      </c>
      <c r="J46" s="12">
        <v>14.4</v>
      </c>
      <c r="K46" s="12">
        <v>14.3</v>
      </c>
      <c r="L46" s="12">
        <v>13.1</v>
      </c>
      <c r="M46" s="12">
        <v>12.4</v>
      </c>
      <c r="N46" s="12">
        <f t="shared" si="0"/>
        <v>13.316666666666668</v>
      </c>
      <c r="O46" s="13" t="e">
        <f>'Balance Sheet Data'!AT$24</f>
        <v>#REF!</v>
      </c>
    </row>
    <row r="47" spans="1:15" x14ac:dyDescent="0.2">
      <c r="A47" s="34" t="s">
        <v>136</v>
      </c>
      <c r="B47" s="12">
        <v>10.9</v>
      </c>
      <c r="C47" s="12">
        <v>9.9700000000000006</v>
      </c>
      <c r="D47" s="12">
        <v>10.199999999999999</v>
      </c>
      <c r="E47" s="12">
        <v>10.3</v>
      </c>
      <c r="F47" s="12">
        <v>10.3</v>
      </c>
      <c r="G47" s="12">
        <v>9.91</v>
      </c>
      <c r="H47" s="12">
        <v>9.85</v>
      </c>
      <c r="I47" s="12">
        <v>9.69</v>
      </c>
      <c r="J47" s="12">
        <v>9.58</v>
      </c>
      <c r="K47" s="12">
        <v>9.58</v>
      </c>
      <c r="L47" s="12">
        <v>9.9499999999999993</v>
      </c>
      <c r="M47" s="12">
        <v>9.7100000000000009</v>
      </c>
      <c r="N47" s="12">
        <f t="shared" si="0"/>
        <v>9.9949999999999992</v>
      </c>
      <c r="O47" s="13" t="e">
        <f>'Balance Sheet Data'!AU$24</f>
        <v>#REF!</v>
      </c>
    </row>
    <row r="48" spans="1:15" x14ac:dyDescent="0.2">
      <c r="A48" s="34" t="s">
        <v>137</v>
      </c>
      <c r="B48" s="12">
        <v>9.0500000000000007</v>
      </c>
      <c r="C48" s="12">
        <v>8.81</v>
      </c>
      <c r="D48" s="12">
        <v>8.68</v>
      </c>
      <c r="E48" s="12">
        <v>8.76</v>
      </c>
      <c r="F48" s="12">
        <v>8.7100000000000009</v>
      </c>
      <c r="G48" s="12">
        <v>8.51</v>
      </c>
      <c r="H48" s="12">
        <v>8.56</v>
      </c>
      <c r="I48" s="12">
        <v>9.0399999999999991</v>
      </c>
      <c r="J48" s="12">
        <v>9.76</v>
      </c>
      <c r="K48" s="12">
        <v>10.199999999999999</v>
      </c>
      <c r="L48" s="12">
        <v>10.199999999999999</v>
      </c>
      <c r="M48" s="12">
        <v>9.93</v>
      </c>
      <c r="N48" s="12">
        <f t="shared" si="0"/>
        <v>9.1841666666666679</v>
      </c>
      <c r="O48" s="13" t="e">
        <f>'Balance Sheet Data'!AV$24</f>
        <v>#REF!</v>
      </c>
    </row>
    <row r="49" spans="1:70" x14ac:dyDescent="0.2">
      <c r="A49" s="34" t="s">
        <v>138</v>
      </c>
      <c r="B49" s="12">
        <f>'[1]Soy Complex'!$BF$498</f>
        <v>28.768678094275472</v>
      </c>
      <c r="C49" s="12">
        <v>9.3000000000000007</v>
      </c>
      <c r="D49" s="12">
        <v>9.4600000000000009</v>
      </c>
      <c r="E49" s="12">
        <v>9.64</v>
      </c>
      <c r="F49" s="12">
        <v>9.7100000000000009</v>
      </c>
      <c r="G49" s="12">
        <v>9.86</v>
      </c>
      <c r="H49" s="12">
        <v>9.69</v>
      </c>
      <c r="I49" s="12">
        <v>9.32</v>
      </c>
      <c r="J49" s="12">
        <v>9.26</v>
      </c>
      <c r="K49" s="12">
        <v>8.965340666666668</v>
      </c>
      <c r="L49" s="12">
        <v>9.9608106666666671</v>
      </c>
      <c r="M49" s="12">
        <v>10.127914000000001</v>
      </c>
      <c r="N49" s="12">
        <f t="shared" si="0"/>
        <v>11.171895285634067</v>
      </c>
      <c r="O49" s="13" t="e">
        <f>'Balance Sheet Data'!AW$24</f>
        <v>#REF!</v>
      </c>
    </row>
    <row r="50" spans="1:70" x14ac:dyDescent="0.2">
      <c r="A50" s="24" t="s">
        <v>139</v>
      </c>
      <c r="B50" s="13">
        <f>'[1]Soy Complex'!$BG$498</f>
        <v>23.625378130774202</v>
      </c>
      <c r="C50" s="13">
        <f>'[1]Soy Complex'!$BG$499</f>
        <v>26.213908236365775</v>
      </c>
      <c r="D50" s="13">
        <f>'[1]Soy Complex'!$BG$500</f>
        <v>33.851087096671606</v>
      </c>
      <c r="E50" s="13">
        <f>'[1]Soy Complex'!$BG$501</f>
        <v>40.166307906471381</v>
      </c>
      <c r="F50" s="13">
        <f>'[1]Soy Complex'!$BG$502</f>
        <v>38.909928558694212</v>
      </c>
      <c r="G50" s="13">
        <f>'[1]Soy Complex'!$BG$503</f>
        <v>36.410938204004047</v>
      </c>
      <c r="H50" s="13">
        <f>'[1]Soy Complex'!$BG$504</f>
        <v>46.110589559075095</v>
      </c>
      <c r="I50" s="13">
        <f>'[1]Soy Complex'!$BG$505</f>
        <v>31.785997101711043</v>
      </c>
      <c r="J50" s="13">
        <f>'[1]Soy Complex'!$BG$506</f>
        <v>33.927710585334822</v>
      </c>
      <c r="K50" s="13">
        <f>'[1]Soy Complex'!$BG$507</f>
        <v>36.997719675417891</v>
      </c>
      <c r="L50" s="13">
        <f>'[1]Soy Complex'!$BG$508</f>
        <v>32.119984182387867</v>
      </c>
      <c r="M50" s="13">
        <f>'[1]Soy Complex'!$BG$509</f>
        <v>27.508831727625893</v>
      </c>
      <c r="N50" s="12">
        <f t="shared" si="0"/>
        <v>33.969031747044482</v>
      </c>
      <c r="O50" s="13" t="e">
        <f>'Balance Sheet Data'!AX$24</f>
        <v>#REF!</v>
      </c>
    </row>
    <row r="51" spans="1:70" x14ac:dyDescent="0.2">
      <c r="A51" s="24" t="s">
        <v>140</v>
      </c>
      <c r="B51" s="13">
        <f>'[1]Soy Complex'!$BH$498</f>
        <v>29.978690417988499</v>
      </c>
      <c r="C51" s="13">
        <f>'[1]Soy Complex'!$BH$499</f>
        <v>25.423264775247365</v>
      </c>
      <c r="D51" s="13">
        <f>'[1]Soy Complex'!$BH$500</f>
        <v>28.263058268621975</v>
      </c>
      <c r="E51" s="13">
        <f>'[1]Soy Complex'!$BH$501</f>
        <v>29.767643797703794</v>
      </c>
      <c r="F51" s="13">
        <f>'[1]Soy Complex'!$BH$502</f>
        <v>33.728206721586098</v>
      </c>
      <c r="G51" s="13">
        <f>'[1]Soy Complex'!$BH$503</f>
        <v>33.914199486535537</v>
      </c>
      <c r="H51" s="13">
        <f>'[1]Soy Complex'!$BH$504</f>
        <v>35.107219660825464</v>
      </c>
      <c r="I51" s="13">
        <f>'[1]Soy Complex'!$BH$505</f>
        <v>28.587773257271305</v>
      </c>
      <c r="J51" s="13">
        <f>'[1]Soy Complex'!$BH$506</f>
        <v>32.652986982215111</v>
      </c>
      <c r="K51" s="13">
        <f>'[1]Soy Complex'!$BH$507</f>
        <v>30.084290192356104</v>
      </c>
      <c r="L51" s="13">
        <f>'[1]Soy Complex'!$BH$508</f>
        <v>24.172719933950894</v>
      </c>
      <c r="M51" s="13">
        <f>'[1]Soy Complex'!$BH$509</f>
        <v>27.218406842492197</v>
      </c>
      <c r="N51" s="12">
        <f t="shared" si="0"/>
        <v>29.908205028066192</v>
      </c>
      <c r="O51" s="13" t="e">
        <f>'Balance Sheet Data'!AY$24</f>
        <v>#REF!</v>
      </c>
    </row>
    <row r="52" spans="1:70" x14ac:dyDescent="0.2">
      <c r="A52" s="24" t="s">
        <v>141</v>
      </c>
      <c r="B52" s="13">
        <f>'[1]Soy Complex'!$BI$498</f>
        <v>26.442909073749451</v>
      </c>
      <c r="C52" s="13">
        <f>'[1]Soy Complex'!$BI$499</f>
        <v>27.237047487240211</v>
      </c>
      <c r="D52" s="13">
        <f>'[1]Soy Complex'!$BI$500</f>
        <v>34.954809580014704</v>
      </c>
      <c r="E52" s="13">
        <f>'[1]Soy Complex'!$BI$501</f>
        <v>37.162529157157067</v>
      </c>
      <c r="F52" s="13">
        <f>'[1]Soy Complex'!$BI$502</f>
        <v>34.34891169539295</v>
      </c>
      <c r="G52" s="13">
        <f>'[1]Soy Complex'!$BI$503</f>
        <v>31.702404496753008</v>
      </c>
      <c r="H52" s="13">
        <f>'[1]Soy Complex'!$BI$504</f>
        <v>42.172574865781023</v>
      </c>
      <c r="I52" s="13">
        <f>'[1]Soy Complex'!$BI$505</f>
        <v>33.886028074460732</v>
      </c>
      <c r="J52" s="13">
        <f>'[1]Soy Complex'!$BI$506</f>
        <v>30.479214950129503</v>
      </c>
      <c r="K52" s="13">
        <f>'[1]Soy Complex'!$BI$507</f>
        <v>28.642270547853684</v>
      </c>
      <c r="L52" s="13">
        <f>'[1]Soy Complex'!$BI$508</f>
        <v>27.237047487240211</v>
      </c>
      <c r="M52" s="13">
        <f>'[1]Soy Complex'!$BI$509</f>
        <v>26.709859650284514</v>
      </c>
      <c r="N52" s="12">
        <f t="shared" si="0"/>
        <v>31.747967255504758</v>
      </c>
      <c r="O52" s="13" t="e">
        <f>'Balance Sheet Data'!AZ$24</f>
        <v>#REF!</v>
      </c>
    </row>
    <row r="53" spans="1:70" x14ac:dyDescent="0.2">
      <c r="A53" s="24" t="s">
        <v>142</v>
      </c>
      <c r="B53" s="13">
        <f>'[1]Soy Complex'!$BJ$498</f>
        <v>27.887987405935291</v>
      </c>
      <c r="C53" s="13">
        <f>'[1]Soy Complex'!$BJ$499</f>
        <v>30.550977781346429</v>
      </c>
      <c r="D53" s="35">
        <f>'[1]Soy Complex'!$BJ$500</f>
        <v>28.887550683426138</v>
      </c>
      <c r="E53" s="35">
        <f>'[1]Soy Complex'!$BJ$501</f>
        <v>33.522342968796899</v>
      </c>
      <c r="F53" s="35">
        <f>'[1]Soy Complex'!$BJ$502</f>
        <v>33.177955693534997</v>
      </c>
      <c r="G53" s="35">
        <f>'[1]Soy Complex'!$BJ$503</f>
        <v>30.206270270299957</v>
      </c>
      <c r="H53" s="35">
        <f>'[1]Soy Complex'!$BJ$504</f>
        <v>31.406252808071947</v>
      </c>
      <c r="I53" s="35">
        <f>'[1]Soy Complex'!$BJ$505</f>
        <v>31.843452021149599</v>
      </c>
      <c r="J53" s="35">
        <f>'[1]Soy Complex'!$BJ$506</f>
        <v>31.810049428407879</v>
      </c>
      <c r="K53" s="35">
        <f>'[1]Soy Complex'!$BJ$507</f>
        <v>30.505348702561797</v>
      </c>
      <c r="L53" s="35">
        <f>'[1]Soy Complex'!$BJ$508</f>
        <v>34.135297884904674</v>
      </c>
      <c r="M53" s="35">
        <f>'[1]Soy Complex'!$BJ$509</f>
        <v>31.567406791050761</v>
      </c>
      <c r="N53" s="36">
        <f t="shared" si="0"/>
        <v>31.291741036623865</v>
      </c>
      <c r="O53" s="35" t="e">
        <f>'Balance Sheet Data'!BA$24</f>
        <v>#REF!</v>
      </c>
    </row>
    <row r="54" spans="1:70" x14ac:dyDescent="0.2">
      <c r="A54" s="24" t="s">
        <v>143</v>
      </c>
      <c r="B54" s="35">
        <f>'[1]Soy Complex'!$BK$498</f>
        <v>34.756941164666294</v>
      </c>
      <c r="C54" s="35">
        <f>'[1]Soy Complex'!$BK$499</f>
        <v>32.080731469576222</v>
      </c>
      <c r="D54" s="35">
        <f>'[1]Soy Complex'!$BK$500</f>
        <v>33.296656954706073</v>
      </c>
      <c r="E54" s="35">
        <f>'[1]Soy Complex'!$BK$501</f>
        <v>34.296142287258448</v>
      </c>
      <c r="F54" s="35">
        <f>'[1]Soy Complex'!$BK$502</f>
        <v>35.579619609426338</v>
      </c>
      <c r="G54" s="35">
        <f>'[1]Soy Complex'!$BK$503</f>
        <v>31.020371543188766</v>
      </c>
      <c r="H54" s="35">
        <f>'[1]Soy Complex'!$BK$504</f>
        <v>33.419469278242246</v>
      </c>
      <c r="I54" s="35">
        <f>'[1]Soy Complex'!$BK$505</f>
        <v>33.240463896407086</v>
      </c>
      <c r="J54" s="35">
        <f>'[1]Soy Complex'!$BK$506</f>
        <v>32.131988980218772</v>
      </c>
      <c r="K54" s="35">
        <f>'[1]Soy Complex'!$BK$507</f>
        <v>30.309136849446279</v>
      </c>
      <c r="L54" s="35">
        <f>'[1]Soy Complex'!$BK$508</f>
        <v>27.681605422044157</v>
      </c>
      <c r="M54" s="35">
        <f>'[1]Soy Complex'!$BK$509</f>
        <v>28.253139135168141</v>
      </c>
      <c r="N54" s="36">
        <f t="shared" si="0"/>
        <v>32.17218888252907</v>
      </c>
      <c r="O54" s="35" t="e">
        <f>'Balance Sheet Data'!BA$24</f>
        <v>#REF!</v>
      </c>
    </row>
    <row r="57" spans="1:70" ht="13.5" thickBot="1" x14ac:dyDescent="0.25">
      <c r="A57" s="37" t="s">
        <v>153</v>
      </c>
    </row>
    <row r="58" spans="1:70" ht="13.5" thickBot="1" x14ac:dyDescent="0.25">
      <c r="A58" s="32"/>
      <c r="B58" s="32" t="s">
        <v>87</v>
      </c>
      <c r="C58" s="32" t="s">
        <v>88</v>
      </c>
      <c r="D58" s="32" t="s">
        <v>89</v>
      </c>
      <c r="E58" s="32" t="s">
        <v>90</v>
      </c>
      <c r="F58" s="32" t="s">
        <v>91</v>
      </c>
      <c r="G58" s="32" t="s">
        <v>92</v>
      </c>
      <c r="H58" s="32" t="s">
        <v>93</v>
      </c>
      <c r="I58" s="32" t="s">
        <v>94</v>
      </c>
      <c r="J58" s="32" t="s">
        <v>83</v>
      </c>
      <c r="K58" s="32" t="s">
        <v>84</v>
      </c>
      <c r="L58" s="32" t="s">
        <v>85</v>
      </c>
      <c r="M58" s="32" t="s">
        <v>86</v>
      </c>
      <c r="N58" s="32" t="s">
        <v>151</v>
      </c>
    </row>
    <row r="59" spans="1:70" x14ac:dyDescent="0.2">
      <c r="A59" s="33" t="str">
        <f>A3</f>
        <v xml:space="preserve">70/71 </v>
      </c>
      <c r="B59" s="38">
        <f>[3]Prices!$J11</f>
        <v>2.75</v>
      </c>
      <c r="C59" s="38">
        <f>[3]Prices!$J12</f>
        <v>2.9</v>
      </c>
      <c r="D59" s="38">
        <f>[3]Prices!$J13</f>
        <v>2.97</v>
      </c>
      <c r="E59" s="38">
        <f>[3]Prices!$J14</f>
        <v>2.88</v>
      </c>
      <c r="F59" s="38">
        <f>[3]Prices!$J15</f>
        <v>2.99</v>
      </c>
      <c r="G59" s="38">
        <f>[3]Prices!$J16</f>
        <v>3.01</v>
      </c>
      <c r="H59" s="38">
        <f>[3]Prices!$J17</f>
        <v>3</v>
      </c>
      <c r="I59" s="38">
        <f>[3]Prices!$J18</f>
        <v>2.91</v>
      </c>
      <c r="J59" s="38">
        <f>[3]Prices!$J19</f>
        <v>2.99</v>
      </c>
      <c r="K59" s="38">
        <f>[3]Prices!$J20</f>
        <v>3.12</v>
      </c>
      <c r="L59" s="38">
        <f>[3]Prices!$J21</f>
        <v>3.3</v>
      </c>
      <c r="M59" s="38">
        <f>[3]Prices!$J22</f>
        <v>3.23</v>
      </c>
      <c r="N59" s="38">
        <f>AVERAGE(B59:M59)</f>
        <v>3.0041666666666664</v>
      </c>
      <c r="P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BH59" s="38"/>
      <c r="BI59" s="38"/>
      <c r="BJ59" s="38"/>
      <c r="BK59" s="38"/>
      <c r="BL59" s="38"/>
      <c r="BM59" s="38"/>
      <c r="BN59" s="38"/>
      <c r="BO59" s="38"/>
      <c r="BP59" s="38"/>
      <c r="BQ59" s="38"/>
      <c r="BR59" s="38"/>
    </row>
    <row r="60" spans="1:70" x14ac:dyDescent="0.2">
      <c r="A60" s="33" t="str">
        <f t="shared" ref="A60:A109" si="1">A4</f>
        <v xml:space="preserve">71/72 </v>
      </c>
      <c r="B60" s="38">
        <f>[3]Prices!$J23</f>
        <v>3.01</v>
      </c>
      <c r="C60" s="38">
        <f>[3]Prices!$J24</f>
        <v>3.01</v>
      </c>
      <c r="D60" s="38">
        <f>[3]Prices!$J25</f>
        <v>2.98</v>
      </c>
      <c r="E60" s="38">
        <f>[3]Prices!$J26</f>
        <v>3.06</v>
      </c>
      <c r="F60" s="38">
        <f>[3]Prices!$J27</f>
        <v>3.05</v>
      </c>
      <c r="G60" s="38">
        <f>[3]Prices!$J28</f>
        <v>3.14</v>
      </c>
      <c r="H60" s="38">
        <f>[3]Prices!$J29</f>
        <v>3.35</v>
      </c>
      <c r="I60" s="38">
        <f>[3]Prices!$J30</f>
        <v>3.47</v>
      </c>
      <c r="J60" s="38">
        <f>[3]Prices!$J31</f>
        <v>3.47</v>
      </c>
      <c r="K60" s="38">
        <f>[3]Prices!$J32</f>
        <v>3.44</v>
      </c>
      <c r="L60" s="38">
        <f>[3]Prices!$J33</f>
        <v>3.48</v>
      </c>
      <c r="M60" s="38">
        <f>[3]Prices!$J34</f>
        <v>3.45</v>
      </c>
      <c r="N60" s="38">
        <f t="shared" ref="N60:N110" si="2">AVERAGE(B60:M60)</f>
        <v>3.2425000000000002</v>
      </c>
      <c r="P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8"/>
      <c r="BG60" s="38"/>
      <c r="BH60" s="38"/>
      <c r="BI60" s="38"/>
      <c r="BJ60" s="38"/>
      <c r="BK60" s="38"/>
      <c r="BL60" s="38"/>
      <c r="BM60" s="38"/>
      <c r="BN60" s="38"/>
      <c r="BO60" s="38"/>
      <c r="BP60" s="38"/>
      <c r="BQ60" s="38"/>
      <c r="BR60" s="38"/>
    </row>
    <row r="61" spans="1:70" x14ac:dyDescent="0.2">
      <c r="A61" s="33" t="str">
        <f t="shared" si="1"/>
        <v xml:space="preserve">72/73 </v>
      </c>
      <c r="B61" s="38">
        <f>[3]Prices!$J35</f>
        <v>3.42</v>
      </c>
      <c r="C61" s="38">
        <f>[3]Prices!$J36</f>
        <v>3</v>
      </c>
      <c r="D61" s="38">
        <f>[3]Prices!$J37</f>
        <v>3.61</v>
      </c>
      <c r="E61" s="38">
        <f>[3]Prices!$J38</f>
        <v>4.07</v>
      </c>
      <c r="F61" s="38">
        <f>[3]Prices!$J39</f>
        <v>4.46</v>
      </c>
      <c r="G61" s="38">
        <f>[3]Prices!$J40</f>
        <v>5.8</v>
      </c>
      <c r="H61" s="38">
        <f>[3]Prices!$J41</f>
        <v>6.15</v>
      </c>
      <c r="I61" s="38">
        <f>[3]Prices!$J42</f>
        <v>6.52</v>
      </c>
      <c r="J61" s="38">
        <f>[3]Prices!$J43</f>
        <v>8.94</v>
      </c>
      <c r="K61" s="38">
        <f>[3]Prices!$J44</f>
        <v>10.84</v>
      </c>
      <c r="L61" s="38">
        <f>[3]Prices!$J45</f>
        <v>8.4700000000000006</v>
      </c>
      <c r="M61" s="38">
        <f>[3]Prices!$J46</f>
        <v>9</v>
      </c>
      <c r="N61" s="38">
        <f t="shared" si="2"/>
        <v>6.19</v>
      </c>
      <c r="P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  <c r="BL61" s="38"/>
      <c r="BM61" s="38"/>
      <c r="BN61" s="38"/>
      <c r="BO61" s="38"/>
      <c r="BP61" s="38"/>
      <c r="BQ61" s="38"/>
      <c r="BR61" s="38"/>
    </row>
    <row r="62" spans="1:70" x14ac:dyDescent="0.2">
      <c r="A62" s="33" t="str">
        <f t="shared" si="1"/>
        <v xml:space="preserve">73/74 </v>
      </c>
      <c r="B62" s="38">
        <f>[3]Prices!$J47</f>
        <v>6.1</v>
      </c>
      <c r="C62" s="38">
        <f>[3]Prices!$J48</f>
        <v>5.62</v>
      </c>
      <c r="D62" s="38">
        <f>[3]Prices!$J49</f>
        <v>5.57</v>
      </c>
      <c r="E62" s="38">
        <f>[3]Prices!$J50</f>
        <v>5.92</v>
      </c>
      <c r="F62" s="38">
        <f>[3]Prices!$J51</f>
        <v>6.19</v>
      </c>
      <c r="G62" s="38">
        <f>[3]Prices!$J52</f>
        <v>6.35</v>
      </c>
      <c r="H62" s="38">
        <f>[3]Prices!$J53</f>
        <v>6.29</v>
      </c>
      <c r="I62" s="38">
        <f>[3]Prices!$J54</f>
        <v>5.59</v>
      </c>
      <c r="J62" s="38">
        <f>[3]Prices!$J55</f>
        <v>5.47</v>
      </c>
      <c r="K62" s="38">
        <f>[3]Prices!$J56</f>
        <v>5.51</v>
      </c>
      <c r="L62" s="38">
        <f>[3]Prices!$J57</f>
        <v>7.11</v>
      </c>
      <c r="M62" s="38">
        <f>[3]Prices!$J58</f>
        <v>7.76</v>
      </c>
      <c r="N62" s="38">
        <f t="shared" si="2"/>
        <v>6.123333333333334</v>
      </c>
      <c r="P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  <c r="BL62" s="38"/>
      <c r="BM62" s="38"/>
      <c r="BN62" s="38"/>
      <c r="BO62" s="38"/>
      <c r="BP62" s="38"/>
      <c r="BQ62" s="38"/>
      <c r="BR62" s="38"/>
    </row>
    <row r="63" spans="1:70" x14ac:dyDescent="0.2">
      <c r="A63" s="33" t="str">
        <f t="shared" si="1"/>
        <v xml:space="preserve">74/75 </v>
      </c>
      <c r="B63" s="38">
        <f>[3]Prices!$J59</f>
        <v>7.64</v>
      </c>
      <c r="C63" s="38">
        <f>[3]Prices!$J60</f>
        <v>8.3000000000000007</v>
      </c>
      <c r="D63" s="38">
        <f>[3]Prices!$J61</f>
        <v>7.54</v>
      </c>
      <c r="E63" s="38">
        <f>[3]Prices!$J62</f>
        <v>7.23</v>
      </c>
      <c r="F63" s="38">
        <f>[3]Prices!$J63</f>
        <v>6.38</v>
      </c>
      <c r="G63" s="38">
        <f>[3]Prices!$J64</f>
        <v>5.69</v>
      </c>
      <c r="H63" s="38">
        <f>[3]Prices!$J65</f>
        <v>5.6</v>
      </c>
      <c r="I63" s="38">
        <f>[3]Prices!$J66</f>
        <v>5.55</v>
      </c>
      <c r="J63" s="38">
        <f>[3]Prices!$J67</f>
        <v>5.23</v>
      </c>
      <c r="K63" s="38">
        <f>[3]Prices!$J68</f>
        <v>5.16</v>
      </c>
      <c r="L63" s="38">
        <f>[3]Prices!$J69</f>
        <v>5.6</v>
      </c>
      <c r="M63" s="38">
        <f>[3]Prices!$J70</f>
        <v>6.02</v>
      </c>
      <c r="N63" s="38">
        <f t="shared" si="2"/>
        <v>6.3283333333333323</v>
      </c>
      <c r="P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</row>
    <row r="64" spans="1:70" x14ac:dyDescent="0.2">
      <c r="A64" s="33" t="str">
        <f t="shared" si="1"/>
        <v xml:space="preserve">75/76 </v>
      </c>
      <c r="B64" s="38">
        <f>[3]Prices!$J71</f>
        <v>5.57</v>
      </c>
      <c r="C64" s="38">
        <f>[3]Prices!$J72</f>
        <v>5.01</v>
      </c>
      <c r="D64" s="38">
        <f>[3]Prices!$J73</f>
        <v>4.71</v>
      </c>
      <c r="E64" s="38">
        <f>[3]Prices!$J74</f>
        <v>4.58</v>
      </c>
      <c r="F64" s="38">
        <f>[3]Prices!$J75</f>
        <v>4.6399999999999997</v>
      </c>
      <c r="G64" s="38">
        <f>[3]Prices!$J76</f>
        <v>4.75</v>
      </c>
      <c r="H64" s="38">
        <f>[3]Prices!$J77</f>
        <v>4.72</v>
      </c>
      <c r="I64" s="38">
        <f>[3]Prices!$J78</f>
        <v>4.75</v>
      </c>
      <c r="J64" s="38">
        <f>[3]Prices!$J79</f>
        <v>5.23</v>
      </c>
      <c r="K64" s="38">
        <f>[3]Prices!$J80</f>
        <v>6.23</v>
      </c>
      <c r="L64" s="38">
        <f>[3]Prices!$J81</f>
        <v>6.66</v>
      </c>
      <c r="M64" s="38">
        <f>[3]Prices!$J82</f>
        <v>6.31</v>
      </c>
      <c r="N64" s="38">
        <f t="shared" si="2"/>
        <v>5.2633333333333328</v>
      </c>
      <c r="P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</row>
    <row r="65" spans="1:70" x14ac:dyDescent="0.2">
      <c r="A65" s="33" t="str">
        <f t="shared" si="1"/>
        <v xml:space="preserve">76/77 </v>
      </c>
      <c r="B65" s="38">
        <f>[3]Prices!$J83</f>
        <v>6.59</v>
      </c>
      <c r="C65" s="38">
        <f>[3]Prices!$J84</f>
        <v>6.22</v>
      </c>
      <c r="D65" s="38">
        <f>[3]Prices!$J85</f>
        <v>6.55</v>
      </c>
      <c r="E65" s="38">
        <f>[3]Prices!$J86</f>
        <v>6.86</v>
      </c>
      <c r="F65" s="38">
        <f>[3]Prices!$J87</f>
        <v>7.06</v>
      </c>
      <c r="G65" s="38">
        <f>[3]Prices!$J88</f>
        <v>7.26</v>
      </c>
      <c r="H65" s="38">
        <f>[3]Prices!$J89</f>
        <v>8.25</v>
      </c>
      <c r="I65" s="38">
        <f>[3]Prices!$J90</f>
        <v>9.6</v>
      </c>
      <c r="J65" s="38">
        <f>[3]Prices!$J91</f>
        <v>9.42</v>
      </c>
      <c r="K65" s="38">
        <f>[3]Prices!$J92</f>
        <v>8.25</v>
      </c>
      <c r="L65" s="38">
        <f>[3]Prices!$J93</f>
        <v>6.4</v>
      </c>
      <c r="M65" s="38">
        <f>[3]Prices!$J94</f>
        <v>5.49</v>
      </c>
      <c r="N65" s="38">
        <f t="shared" si="2"/>
        <v>7.3291666666666666</v>
      </c>
      <c r="P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8"/>
    </row>
    <row r="66" spans="1:70" x14ac:dyDescent="0.2">
      <c r="A66" s="33" t="str">
        <f t="shared" si="1"/>
        <v xml:space="preserve">77/78 </v>
      </c>
      <c r="B66" s="38">
        <f>[3]Prices!$J95</f>
        <v>5.16</v>
      </c>
      <c r="C66" s="38">
        <f>[3]Prices!$J96</f>
        <v>5.07</v>
      </c>
      <c r="D66" s="38">
        <f>[3]Prices!$J97</f>
        <v>5.84</v>
      </c>
      <c r="E66" s="38">
        <f>[3]Prices!$J98</f>
        <v>5.94</v>
      </c>
      <c r="F66" s="38">
        <f>[3]Prices!$J99</f>
        <v>5.73</v>
      </c>
      <c r="G66" s="38">
        <f>[3]Prices!$J100</f>
        <v>5.65</v>
      </c>
      <c r="H66" s="38">
        <f>[3]Prices!$J101</f>
        <v>6.58</v>
      </c>
      <c r="I66" s="38">
        <f>[3]Prices!$J102</f>
        <v>6.81</v>
      </c>
      <c r="J66" s="38">
        <f>[3]Prices!$J103</f>
        <v>7.01</v>
      </c>
      <c r="K66" s="38">
        <f>[3]Prices!$J104</f>
        <v>6.76</v>
      </c>
      <c r="L66" s="38">
        <f>[3]Prices!$J105</f>
        <v>6.62</v>
      </c>
      <c r="M66" s="38">
        <f>[3]Prices!$J106</f>
        <v>6.47</v>
      </c>
      <c r="N66" s="38">
        <f t="shared" si="2"/>
        <v>6.1366666666666667</v>
      </c>
      <c r="P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8"/>
      <c r="BH66" s="38"/>
      <c r="BI66" s="38"/>
      <c r="BJ66" s="38"/>
      <c r="BK66" s="38"/>
      <c r="BL66" s="38"/>
      <c r="BM66" s="38"/>
      <c r="BN66" s="38"/>
      <c r="BO66" s="38"/>
      <c r="BP66" s="38"/>
      <c r="BQ66" s="38"/>
      <c r="BR66" s="38"/>
    </row>
    <row r="67" spans="1:70" x14ac:dyDescent="0.2">
      <c r="A67" s="33" t="str">
        <f t="shared" si="1"/>
        <v xml:space="preserve">78/79 </v>
      </c>
      <c r="B67" s="38">
        <f>[3]Prices!$J107</f>
        <v>6.42</v>
      </c>
      <c r="C67" s="38">
        <f>[3]Prices!$J108</f>
        <v>6.72</v>
      </c>
      <c r="D67" s="38">
        <f>[3]Prices!$J109</f>
        <v>6.68</v>
      </c>
      <c r="E67" s="38">
        <f>[3]Prices!$J110</f>
        <v>6.81</v>
      </c>
      <c r="F67" s="38">
        <f>[3]Prices!$J111</f>
        <v>6.89</v>
      </c>
      <c r="G67" s="38">
        <f>[3]Prices!$J112</f>
        <v>7.28</v>
      </c>
      <c r="H67" s="38">
        <f>[3]Prices!$J113</f>
        <v>7.45</v>
      </c>
      <c r="I67" s="38">
        <f>[3]Prices!$J114</f>
        <v>7.27</v>
      </c>
      <c r="J67" s="38">
        <f>[3]Prices!$J115</f>
        <v>7.21</v>
      </c>
      <c r="K67" s="38">
        <f>[3]Prices!$J116</f>
        <v>7.68</v>
      </c>
      <c r="L67" s="38">
        <f>[3]Prices!$J117</f>
        <v>7.64</v>
      </c>
      <c r="M67" s="38">
        <f>[3]Prices!$J118</f>
        <v>7.28</v>
      </c>
      <c r="N67" s="38">
        <f t="shared" si="2"/>
        <v>7.1108333333333329</v>
      </c>
      <c r="P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BH67" s="38"/>
      <c r="BI67" s="38"/>
      <c r="BJ67" s="38"/>
      <c r="BK67" s="38"/>
      <c r="BL67" s="38"/>
      <c r="BM67" s="38"/>
      <c r="BN67" s="38"/>
      <c r="BO67" s="38"/>
      <c r="BP67" s="38"/>
      <c r="BQ67" s="38"/>
      <c r="BR67" s="38"/>
    </row>
    <row r="68" spans="1:70" x14ac:dyDescent="0.2">
      <c r="A68" s="33" t="str">
        <f t="shared" si="1"/>
        <v xml:space="preserve">79/80 </v>
      </c>
      <c r="B68" s="38">
        <f>[3]Prices!$J119</f>
        <v>7.04</v>
      </c>
      <c r="C68" s="38">
        <f>[3]Prices!$J120</f>
        <v>6.56</v>
      </c>
      <c r="D68" s="38">
        <f>[3]Prices!$J121</f>
        <v>6.52</v>
      </c>
      <c r="E68" s="38">
        <f>[3]Prices!$J122</f>
        <v>6.53</v>
      </c>
      <c r="F68" s="38">
        <f>[3]Prices!$J123</f>
        <v>6.36</v>
      </c>
      <c r="G68" s="38">
        <f>[3]Prices!$J124</f>
        <v>6.42</v>
      </c>
      <c r="H68" s="38">
        <f>[3]Prices!$J125</f>
        <v>6.07</v>
      </c>
      <c r="I68" s="38">
        <f>[3]Prices!$J126</f>
        <v>5.8</v>
      </c>
      <c r="J68" s="38">
        <f>[3]Prices!$J127</f>
        <v>6.04</v>
      </c>
      <c r="K68" s="38">
        <f>[3]Prices!$J128</f>
        <v>6.1</v>
      </c>
      <c r="L68" s="38">
        <f>[3]Prices!$J129</f>
        <v>7.22</v>
      </c>
      <c r="M68" s="38">
        <f>[3]Prices!$J130</f>
        <v>7.45</v>
      </c>
      <c r="N68" s="38">
        <f t="shared" si="2"/>
        <v>6.5091666666666663</v>
      </c>
      <c r="P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8"/>
      <c r="BH68" s="38"/>
      <c r="BI68" s="38"/>
      <c r="BJ68" s="38"/>
      <c r="BK68" s="38"/>
      <c r="BL68" s="38"/>
      <c r="BM68" s="38"/>
      <c r="BN68" s="38"/>
      <c r="BO68" s="38"/>
      <c r="BP68" s="38"/>
      <c r="BQ68" s="38"/>
      <c r="BR68" s="38"/>
    </row>
    <row r="69" spans="1:70" x14ac:dyDescent="0.2">
      <c r="A69" s="33" t="str">
        <f t="shared" si="1"/>
        <v xml:space="preserve">80/81 </v>
      </c>
      <c r="B69" s="38">
        <f>[3]Prices!$J131</f>
        <v>8.1300000000000008</v>
      </c>
      <c r="C69" s="38">
        <f>[3]Prices!$J132</f>
        <v>8.27</v>
      </c>
      <c r="D69" s="38">
        <f>[3]Prices!$J133</f>
        <v>8.91</v>
      </c>
      <c r="E69" s="38">
        <f>[3]Prices!$J134</f>
        <v>7.73</v>
      </c>
      <c r="F69" s="38">
        <f>[3]Prices!$J135</f>
        <v>7.57</v>
      </c>
      <c r="G69" s="38">
        <f>[3]Prices!$J136</f>
        <v>7.34</v>
      </c>
      <c r="H69" s="38">
        <f>[3]Prices!$J137</f>
        <v>7.37</v>
      </c>
      <c r="I69" s="38">
        <f>[3]Prices!$J138</f>
        <v>7.72</v>
      </c>
      <c r="J69" s="38">
        <f>[3]Prices!$J139</f>
        <v>7.58</v>
      </c>
      <c r="K69" s="38">
        <f>[3]Prices!$J140</f>
        <v>7.13</v>
      </c>
      <c r="L69" s="38">
        <f>[3]Prices!$J141</f>
        <v>7.36</v>
      </c>
      <c r="M69" s="38">
        <f>[3]Prices!$J142</f>
        <v>6.94</v>
      </c>
      <c r="N69" s="38">
        <f t="shared" si="2"/>
        <v>7.6708333333333334</v>
      </c>
      <c r="P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8"/>
      <c r="BH69" s="38"/>
      <c r="BI69" s="38"/>
      <c r="BJ69" s="38"/>
      <c r="BK69" s="38"/>
      <c r="BL69" s="38"/>
      <c r="BM69" s="38"/>
      <c r="BN69" s="38"/>
      <c r="BO69" s="38"/>
      <c r="BP69" s="38"/>
      <c r="BQ69" s="38"/>
      <c r="BR69" s="38"/>
    </row>
    <row r="70" spans="1:70" x14ac:dyDescent="0.2">
      <c r="A70" s="33" t="str">
        <f t="shared" si="1"/>
        <v xml:space="preserve">81/82 </v>
      </c>
      <c r="B70" s="38">
        <f>[3]Prices!$J143</f>
        <v>6.44</v>
      </c>
      <c r="C70" s="38">
        <f>[3]Prices!$J144</f>
        <v>6.3</v>
      </c>
      <c r="D70" s="38">
        <f>[3]Prices!$J145</f>
        <v>6.28</v>
      </c>
      <c r="E70" s="38">
        <f>[3]Prices!$J146</f>
        <v>6.23</v>
      </c>
      <c r="F70" s="38">
        <f>[3]Prices!$J147</f>
        <v>6.3</v>
      </c>
      <c r="G70" s="38">
        <f>[3]Prices!$J148</f>
        <v>6.24</v>
      </c>
      <c r="H70" s="38">
        <f>[3]Prices!$J149</f>
        <v>6.16</v>
      </c>
      <c r="I70" s="38">
        <f>[3]Prices!$J150</f>
        <v>6.42</v>
      </c>
      <c r="J70" s="38">
        <f>[3]Prices!$J151</f>
        <v>6.56</v>
      </c>
      <c r="K70" s="38">
        <f>[3]Prices!$J152</f>
        <v>6.31</v>
      </c>
      <c r="L70" s="38">
        <f>[3]Prices!$J153</f>
        <v>6.2</v>
      </c>
      <c r="M70" s="38">
        <f>[3]Prices!$J154</f>
        <v>5.73</v>
      </c>
      <c r="N70" s="38">
        <f t="shared" si="2"/>
        <v>6.264166666666668</v>
      </c>
      <c r="P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8"/>
      <c r="BH70" s="38"/>
      <c r="BI70" s="38"/>
      <c r="BJ70" s="38"/>
      <c r="BK70" s="38"/>
      <c r="BL70" s="38"/>
      <c r="BM70" s="38"/>
      <c r="BN70" s="38"/>
      <c r="BO70" s="38"/>
      <c r="BP70" s="38"/>
      <c r="BQ70" s="38"/>
      <c r="BR70" s="38"/>
    </row>
    <row r="71" spans="1:70" x14ac:dyDescent="0.2">
      <c r="A71" s="33" t="str">
        <f t="shared" si="1"/>
        <v xml:space="preserve">82/83 </v>
      </c>
      <c r="B71" s="38">
        <f>[3]Prices!$J155</f>
        <v>5.4</v>
      </c>
      <c r="C71" s="38">
        <f>[3]Prices!$J156</f>
        <v>5.26</v>
      </c>
      <c r="D71" s="38">
        <f>[3]Prices!$J157</f>
        <v>5.7</v>
      </c>
      <c r="E71" s="38">
        <f>[3]Prices!$J158</f>
        <v>5.73</v>
      </c>
      <c r="F71" s="38">
        <f>[3]Prices!$J159</f>
        <v>5.81</v>
      </c>
      <c r="G71" s="38">
        <f>[3]Prices!$J160</f>
        <v>5.86</v>
      </c>
      <c r="H71" s="38">
        <f>[3]Prices!$J161</f>
        <v>5.98</v>
      </c>
      <c r="I71" s="38">
        <f>[3]Prices!$J162</f>
        <v>6.35</v>
      </c>
      <c r="J71" s="38">
        <f>[3]Prices!$J163</f>
        <v>6.27</v>
      </c>
      <c r="K71" s="38">
        <f>[3]Prices!$J164</f>
        <v>6.06</v>
      </c>
      <c r="L71" s="38">
        <f>[3]Prices!$J165</f>
        <v>6.59</v>
      </c>
      <c r="M71" s="38">
        <f>[3]Prices!$J166</f>
        <v>8.4600000000000009</v>
      </c>
      <c r="N71" s="38">
        <f t="shared" si="2"/>
        <v>6.1224999999999996</v>
      </c>
      <c r="P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N71" s="38"/>
      <c r="BO71" s="38"/>
      <c r="BP71" s="38"/>
    </row>
    <row r="72" spans="1:70" x14ac:dyDescent="0.2">
      <c r="A72" s="33" t="str">
        <f t="shared" si="1"/>
        <v xml:space="preserve">83/84 </v>
      </c>
      <c r="B72" s="38">
        <f>[3]Prices!$J167</f>
        <v>8.93</v>
      </c>
      <c r="C72" s="38">
        <f>[3]Prices!$J168</f>
        <v>8.4600000000000009</v>
      </c>
      <c r="D72" s="38">
        <f>[3]Prices!$J169</f>
        <v>8.1999999999999993</v>
      </c>
      <c r="E72" s="38">
        <f>[3]Prices!$J170</f>
        <v>7.77</v>
      </c>
      <c r="F72" s="38">
        <f>[3]Prices!$J171</f>
        <v>7.67</v>
      </c>
      <c r="G72" s="38">
        <f>[3]Prices!$J172</f>
        <v>7.37</v>
      </c>
      <c r="H72" s="38">
        <f>[3]Prices!$J173</f>
        <v>7.94</v>
      </c>
      <c r="I72" s="38">
        <f>[3]Prices!$J174</f>
        <v>7.98</v>
      </c>
      <c r="J72" s="38">
        <f>[3]Prices!$J175</f>
        <v>8.61</v>
      </c>
      <c r="K72" s="38">
        <f>[3]Prices!$J176</f>
        <v>7.91</v>
      </c>
      <c r="L72" s="38">
        <f>[3]Prices!$J177</f>
        <v>6.85</v>
      </c>
      <c r="M72" s="38">
        <f>[3]Prices!$J178</f>
        <v>6.63</v>
      </c>
      <c r="N72" s="38">
        <f t="shared" si="2"/>
        <v>7.8599999999999985</v>
      </c>
      <c r="P72" s="38"/>
    </row>
    <row r="73" spans="1:70" x14ac:dyDescent="0.2">
      <c r="A73" s="33" t="str">
        <f t="shared" si="1"/>
        <v xml:space="preserve">84/85 </v>
      </c>
      <c r="B73" s="38">
        <f>[3]Prices!$J179</f>
        <v>6.21</v>
      </c>
      <c r="C73" s="38">
        <f>[3]Prices!$J180</f>
        <v>6.27</v>
      </c>
      <c r="D73" s="38">
        <f>[3]Prices!$J181</f>
        <v>6.25</v>
      </c>
      <c r="E73" s="38">
        <f>[3]Prices!$J182</f>
        <v>6.07</v>
      </c>
      <c r="F73" s="38">
        <f>[3]Prices!$J183</f>
        <v>6.04</v>
      </c>
      <c r="G73" s="38">
        <f>[3]Prices!$J184</f>
        <v>5.97</v>
      </c>
      <c r="H73" s="38">
        <f>[3]Prices!$J185</f>
        <v>6.08</v>
      </c>
      <c r="I73" s="38">
        <f>[3]Prices!$J186</f>
        <v>6.13</v>
      </c>
      <c r="J73" s="38">
        <f>[3]Prices!$J187</f>
        <v>5.95</v>
      </c>
      <c r="K73" s="38">
        <f>[3]Prices!$J188</f>
        <v>5.88</v>
      </c>
      <c r="L73" s="38">
        <f>[3]Prices!$J189</f>
        <v>5.65</v>
      </c>
      <c r="M73" s="38">
        <f>[3]Prices!$J190</f>
        <v>5.28</v>
      </c>
      <c r="N73" s="38">
        <f t="shared" si="2"/>
        <v>5.9816666666666682</v>
      </c>
      <c r="P73" s="38"/>
    </row>
    <row r="74" spans="1:70" x14ac:dyDescent="0.2">
      <c r="A74" s="33" t="str">
        <f t="shared" si="1"/>
        <v xml:space="preserve">85/86 </v>
      </c>
      <c r="B74" s="38">
        <f>[3]Prices!$J191</f>
        <v>5.19</v>
      </c>
      <c r="C74" s="38">
        <f>[3]Prices!$J192</f>
        <v>5.05</v>
      </c>
      <c r="D74" s="38">
        <f>[3]Prices!$J193</f>
        <v>5.19</v>
      </c>
      <c r="E74" s="38">
        <f>[3]Prices!$J194</f>
        <v>5.32</v>
      </c>
      <c r="F74" s="38">
        <f>[3]Prices!$J195</f>
        <v>5.45</v>
      </c>
      <c r="G74" s="38">
        <f>[3]Prices!$J196</f>
        <v>5.38</v>
      </c>
      <c r="H74" s="38">
        <f>[3]Prices!$J197</f>
        <v>5.47</v>
      </c>
      <c r="I74" s="38">
        <f>[3]Prices!$J198</f>
        <v>5.4</v>
      </c>
      <c r="J74" s="38">
        <f>[3]Prices!$J199</f>
        <v>5.44</v>
      </c>
      <c r="K74" s="38">
        <f>[3]Prices!$J200</f>
        <v>5.43</v>
      </c>
      <c r="L74" s="38">
        <f>[3]Prices!$J201</f>
        <v>5.33</v>
      </c>
      <c r="M74" s="38">
        <f>[3]Prices!$J202</f>
        <v>5</v>
      </c>
      <c r="N74" s="38">
        <f t="shared" si="2"/>
        <v>5.3041666666666663</v>
      </c>
      <c r="P74" s="38"/>
    </row>
    <row r="75" spans="1:70" x14ac:dyDescent="0.2">
      <c r="A75" s="33" t="str">
        <f t="shared" si="1"/>
        <v xml:space="preserve">86/87 </v>
      </c>
      <c r="B75" s="38">
        <f>[3]Prices!$J203</f>
        <v>4.96</v>
      </c>
      <c r="C75" s="38">
        <f>[3]Prices!$J204</f>
        <v>4.8899999999999997</v>
      </c>
      <c r="D75" s="38">
        <f>[3]Prices!$J205</f>
        <v>5.08</v>
      </c>
      <c r="E75" s="38">
        <f>[3]Prices!$J206</f>
        <v>4.96</v>
      </c>
      <c r="F75" s="38">
        <f>[3]Prices!$J207</f>
        <v>4.9800000000000004</v>
      </c>
      <c r="G75" s="38">
        <f>[3]Prices!$J208</f>
        <v>4.8899999999999997</v>
      </c>
      <c r="H75" s="38">
        <f>[3]Prices!$J209</f>
        <v>4.92</v>
      </c>
      <c r="I75" s="38">
        <f>[3]Prices!$J210</f>
        <v>5.12</v>
      </c>
      <c r="J75" s="38">
        <f>[3]Prices!$J211</f>
        <v>5.52</v>
      </c>
      <c r="K75" s="38">
        <f>[3]Prices!$J212</f>
        <v>5.63</v>
      </c>
      <c r="L75" s="38">
        <f>[3]Prices!$J213</f>
        <v>5.47</v>
      </c>
      <c r="M75" s="38">
        <f>[3]Prices!$J214</f>
        <v>5.28</v>
      </c>
      <c r="N75" s="38">
        <f t="shared" si="2"/>
        <v>5.1416666666666666</v>
      </c>
      <c r="P75" s="38"/>
    </row>
    <row r="76" spans="1:70" x14ac:dyDescent="0.2">
      <c r="A76" s="33" t="str">
        <f t="shared" si="1"/>
        <v xml:space="preserve">87/88 </v>
      </c>
      <c r="B76" s="38">
        <f>[3]Prices!$J215</f>
        <v>5.27</v>
      </c>
      <c r="C76" s="38">
        <f>[3]Prices!$J216</f>
        <v>5.32</v>
      </c>
      <c r="D76" s="38">
        <f>[3]Prices!$J217</f>
        <v>5.64</v>
      </c>
      <c r="E76" s="38">
        <f>[3]Prices!$J218</f>
        <v>5.94</v>
      </c>
      <c r="F76" s="38">
        <f>[3]Prices!$J219</f>
        <v>6.17</v>
      </c>
      <c r="G76" s="38">
        <f>[3]Prices!$J220</f>
        <v>6.21</v>
      </c>
      <c r="H76" s="38">
        <f>[3]Prices!$J221</f>
        <v>6.3</v>
      </c>
      <c r="I76" s="38">
        <f>[3]Prices!$J222</f>
        <v>6.71</v>
      </c>
      <c r="J76" s="38">
        <f>[3]Prices!$J223</f>
        <v>7.31</v>
      </c>
      <c r="K76" s="38">
        <f>[3]Prices!$J224</f>
        <v>9.1300000000000008</v>
      </c>
      <c r="L76" s="38">
        <f>[3]Prices!$J225</f>
        <v>8.59</v>
      </c>
      <c r="M76" s="38">
        <f>[3]Prices!$J226</f>
        <v>8.52</v>
      </c>
      <c r="N76" s="38">
        <f t="shared" si="2"/>
        <v>6.7591666666666663</v>
      </c>
      <c r="P76" s="38"/>
    </row>
    <row r="77" spans="1:70" x14ac:dyDescent="0.2">
      <c r="A77" s="33" t="str">
        <f t="shared" si="1"/>
        <v xml:space="preserve">88/89 </v>
      </c>
      <c r="B77" s="38">
        <f>[3]Prices!$J227</f>
        <v>8.52</v>
      </c>
      <c r="C77" s="38">
        <f>[3]Prices!$J228</f>
        <v>7.92</v>
      </c>
      <c r="D77" s="38">
        <f>[3]Prices!$J229</f>
        <v>7.67</v>
      </c>
      <c r="E77" s="38">
        <f>[3]Prices!$J230</f>
        <v>7.83</v>
      </c>
      <c r="F77" s="38">
        <f>[3]Prices!$J231</f>
        <v>7.83</v>
      </c>
      <c r="G77" s="38">
        <f>[3]Prices!$J232</f>
        <v>7.6</v>
      </c>
      <c r="H77" s="38">
        <f>[3]Prices!$J233</f>
        <v>7.78</v>
      </c>
      <c r="I77" s="38">
        <f>[3]Prices!$J234</f>
        <v>7.39</v>
      </c>
      <c r="J77" s="38">
        <f>[3]Prices!$J235</f>
        <v>7.4</v>
      </c>
      <c r="K77" s="38">
        <f>[3]Prices!$J236</f>
        <v>7.25</v>
      </c>
      <c r="L77" s="38">
        <f>[3]Prices!$J237</f>
        <v>7.08</v>
      </c>
      <c r="M77" s="38">
        <f>[3]Prices!$J238</f>
        <v>6.06</v>
      </c>
      <c r="N77" s="38">
        <f t="shared" si="2"/>
        <v>7.5274999999999999</v>
      </c>
      <c r="P77" s="38"/>
    </row>
    <row r="78" spans="1:70" x14ac:dyDescent="0.2">
      <c r="A78" s="33" t="str">
        <f t="shared" si="1"/>
        <v xml:space="preserve">89/90 </v>
      </c>
      <c r="B78" s="38">
        <f>[3]Prices!$J239</f>
        <v>6</v>
      </c>
      <c r="C78" s="38">
        <f>[3]Prices!$J240</f>
        <v>5.64</v>
      </c>
      <c r="D78" s="38">
        <f>[3]Prices!$J241</f>
        <v>5.7</v>
      </c>
      <c r="E78" s="38">
        <f>[3]Prices!$J242</f>
        <v>5.82</v>
      </c>
      <c r="F78" s="38">
        <f>[3]Prices!$J243</f>
        <v>5.72</v>
      </c>
      <c r="G78" s="38">
        <f>[3]Prices!$J244</f>
        <v>5.85</v>
      </c>
      <c r="H78" s="38">
        <f>[3]Prices!$J245</f>
        <v>5.89</v>
      </c>
      <c r="I78" s="38">
        <f>[3]Prices!$J246</f>
        <v>6</v>
      </c>
      <c r="J78" s="38">
        <f>[3]Prices!$J247</f>
        <v>6.2</v>
      </c>
      <c r="K78" s="38">
        <f>[3]Prices!$J248</f>
        <v>6.09</v>
      </c>
      <c r="L78" s="38">
        <f>[3]Prices!$J249</f>
        <v>6.19</v>
      </c>
      <c r="M78" s="38">
        <f>[3]Prices!$J250</f>
        <v>6.26</v>
      </c>
      <c r="N78" s="38">
        <f t="shared" si="2"/>
        <v>5.9466666666666663</v>
      </c>
      <c r="P78" s="38"/>
    </row>
    <row r="79" spans="1:70" x14ac:dyDescent="0.2">
      <c r="A79" s="33" t="str">
        <f t="shared" si="1"/>
        <v xml:space="preserve">90/91 </v>
      </c>
      <c r="B79" s="38">
        <f>[3]Prices!$J251</f>
        <v>6.28</v>
      </c>
      <c r="C79" s="38">
        <f>[3]Prices!$J252</f>
        <v>6.14</v>
      </c>
      <c r="D79" s="38">
        <f>[3]Prices!$J253</f>
        <v>5.87</v>
      </c>
      <c r="E79" s="38">
        <f>[3]Prices!$J254</f>
        <v>5.91</v>
      </c>
      <c r="F79" s="38">
        <f>[3]Prices!$J255</f>
        <v>5.76</v>
      </c>
      <c r="G79" s="38">
        <f>[3]Prices!$J256</f>
        <v>5.85</v>
      </c>
      <c r="H79" s="38">
        <f>[3]Prices!$J257</f>
        <v>5.92</v>
      </c>
      <c r="I79" s="38">
        <f>[3]Prices!$J258</f>
        <v>6.01</v>
      </c>
      <c r="J79" s="38">
        <f>[3]Prices!$J259</f>
        <v>5.89</v>
      </c>
      <c r="K79" s="38">
        <f>[3]Prices!$J260</f>
        <v>5.83</v>
      </c>
      <c r="L79" s="38">
        <f>[3]Prices!$J261</f>
        <v>5.54</v>
      </c>
      <c r="M79" s="38">
        <f>[3]Prices!$J262</f>
        <v>5.78</v>
      </c>
      <c r="N79" s="38">
        <f t="shared" si="2"/>
        <v>5.8983333333333334</v>
      </c>
      <c r="P79" s="38"/>
    </row>
    <row r="80" spans="1:70" x14ac:dyDescent="0.2">
      <c r="A80" s="33" t="str">
        <f t="shared" si="1"/>
        <v xml:space="preserve">91/92 </v>
      </c>
      <c r="B80" s="38">
        <f>[3]Prices!$J263</f>
        <v>5.98</v>
      </c>
      <c r="C80" s="38">
        <f>[3]Prices!$J264</f>
        <v>5.68</v>
      </c>
      <c r="D80" s="38">
        <f>[3]Prices!$J265</f>
        <v>5.71</v>
      </c>
      <c r="E80" s="38">
        <f>[3]Prices!$J266</f>
        <v>5.68</v>
      </c>
      <c r="F80" s="38">
        <f>[3]Prices!$J267</f>
        <v>5.77</v>
      </c>
      <c r="G80" s="38">
        <f>[3]Prices!$J268</f>
        <v>5.81</v>
      </c>
      <c r="H80" s="38">
        <f>[3]Prices!$J269</f>
        <v>5.93</v>
      </c>
      <c r="I80" s="38">
        <f>[3]Prices!$J270</f>
        <v>5.85</v>
      </c>
      <c r="J80" s="38">
        <f>[3]Prices!$J271</f>
        <v>6.09</v>
      </c>
      <c r="K80" s="38">
        <f>[3]Prices!$J272</f>
        <v>6.19</v>
      </c>
      <c r="L80" s="38">
        <f>[3]Prices!$J273</f>
        <v>5.8</v>
      </c>
      <c r="M80" s="38">
        <f>[3]Prices!$J274</f>
        <v>5.64</v>
      </c>
      <c r="N80" s="38">
        <f t="shared" si="2"/>
        <v>5.8441666666666663</v>
      </c>
      <c r="P80" s="38"/>
    </row>
    <row r="81" spans="1:16" x14ac:dyDescent="0.2">
      <c r="A81" s="33" t="str">
        <f t="shared" si="1"/>
        <v xml:space="preserve">92/93 </v>
      </c>
      <c r="B81" s="38">
        <f>[3]Prices!$J275</f>
        <v>5.54</v>
      </c>
      <c r="C81" s="38">
        <f>[3]Prices!$J276</f>
        <v>5.35</v>
      </c>
      <c r="D81" s="38">
        <f>[3]Prices!$J277</f>
        <v>5.6</v>
      </c>
      <c r="E81" s="38">
        <f>[3]Prices!$J278</f>
        <v>5.72</v>
      </c>
      <c r="F81" s="38">
        <f>[3]Prices!$J279</f>
        <v>5.82</v>
      </c>
      <c r="G81" s="38">
        <f>[3]Prices!$J280</f>
        <v>5.75</v>
      </c>
      <c r="H81" s="38">
        <f>[3]Prices!$J281</f>
        <v>5.87</v>
      </c>
      <c r="I81" s="38">
        <f>[3]Prices!$J282</f>
        <v>5.97</v>
      </c>
      <c r="J81" s="38">
        <f>[3]Prices!$J283</f>
        <v>6.07</v>
      </c>
      <c r="K81" s="38">
        <f>[3]Prices!$J284</f>
        <v>6.06</v>
      </c>
      <c r="L81" s="38">
        <f>[3]Prices!$J285</f>
        <v>6.89</v>
      </c>
      <c r="M81" s="38">
        <f>[3]Prices!$J286</f>
        <v>6.79</v>
      </c>
      <c r="N81" s="38">
        <f t="shared" si="2"/>
        <v>5.9525000000000006</v>
      </c>
      <c r="P81" s="38"/>
    </row>
    <row r="82" spans="1:16" x14ac:dyDescent="0.2">
      <c r="A82" s="33" t="str">
        <f t="shared" si="1"/>
        <v xml:space="preserve">93/94 </v>
      </c>
      <c r="B82" s="38">
        <f>[3]Prices!$J287</f>
        <v>6.43</v>
      </c>
      <c r="C82" s="38">
        <f>[3]Prices!$J288</f>
        <v>6.06</v>
      </c>
      <c r="D82" s="38">
        <f>[3]Prices!$J289</f>
        <v>6.64</v>
      </c>
      <c r="E82" s="38">
        <f>[3]Prices!$J290</f>
        <v>6.94</v>
      </c>
      <c r="F82" s="38">
        <f>[3]Prices!$J291</f>
        <v>7.01</v>
      </c>
      <c r="G82" s="38">
        <f>[3]Prices!$J292</f>
        <v>6.86</v>
      </c>
      <c r="H82" s="38">
        <f>[3]Prices!$J293</f>
        <v>6.92</v>
      </c>
      <c r="I82" s="38">
        <f>[3]Prices!$J294</f>
        <v>6.7</v>
      </c>
      <c r="J82" s="38">
        <f>[3]Prices!$J295</f>
        <v>6.89</v>
      </c>
      <c r="K82" s="38">
        <f>[3]Prices!$J296</f>
        <v>6.85</v>
      </c>
      <c r="L82" s="38">
        <f>[3]Prices!$J297</f>
        <v>6.03</v>
      </c>
      <c r="M82" s="38">
        <f>[3]Prices!$J298</f>
        <v>5.76</v>
      </c>
      <c r="N82" s="38">
        <f t="shared" si="2"/>
        <v>6.5908333333333333</v>
      </c>
      <c r="P82" s="38"/>
    </row>
    <row r="83" spans="1:16" x14ac:dyDescent="0.2">
      <c r="A83" s="33" t="str">
        <f t="shared" si="1"/>
        <v xml:space="preserve">94/95 </v>
      </c>
      <c r="B83" s="38">
        <f>[3]Prices!$J299</f>
        <v>5.57</v>
      </c>
      <c r="C83" s="38">
        <f>[3]Prices!$J300</f>
        <v>5.31</v>
      </c>
      <c r="D83" s="38">
        <f>[3]Prices!$J301</f>
        <v>5.66</v>
      </c>
      <c r="E83" s="38">
        <f>[3]Prices!$J302</f>
        <v>5.67</v>
      </c>
      <c r="F83" s="38">
        <f>[3]Prices!$J303</f>
        <v>5.58</v>
      </c>
      <c r="G83" s="38">
        <f>[3]Prices!$J304</f>
        <v>5.6</v>
      </c>
      <c r="H83" s="38">
        <f>[3]Prices!$J305</f>
        <v>5.74</v>
      </c>
      <c r="I83" s="38">
        <f>[3]Prices!$J306</f>
        <v>5.78</v>
      </c>
      <c r="J83" s="38">
        <f>[3]Prices!$J307</f>
        <v>5.8</v>
      </c>
      <c r="K83" s="38">
        <f>[3]Prices!$J308</f>
        <v>5.91</v>
      </c>
      <c r="L83" s="38">
        <f>[3]Prices!$J309</f>
        <v>6.23</v>
      </c>
      <c r="M83" s="38">
        <f>[3]Prices!$J310</f>
        <v>6.02</v>
      </c>
      <c r="N83" s="38">
        <f t="shared" si="2"/>
        <v>5.7391666666666667</v>
      </c>
      <c r="P83" s="38"/>
    </row>
    <row r="84" spans="1:16" x14ac:dyDescent="0.2">
      <c r="A84" s="33" t="str">
        <f t="shared" si="1"/>
        <v xml:space="preserve">95/96 </v>
      </c>
      <c r="B84" s="38">
        <f>[3]Prices!$J311</f>
        <v>6.32</v>
      </c>
      <c r="C84" s="38">
        <f>[3]Prices!$J312</f>
        <v>6.56</v>
      </c>
      <c r="D84" s="38">
        <f>[3]Prices!$J313</f>
        <v>6.86</v>
      </c>
      <c r="E84" s="38">
        <f>[3]Prices!$J314</f>
        <v>7.19</v>
      </c>
      <c r="F84" s="38">
        <f>[3]Prices!$J315</f>
        <v>7.37</v>
      </c>
      <c r="G84" s="38">
        <f>[3]Prices!$J316</f>
        <v>7.3</v>
      </c>
      <c r="H84" s="38">
        <f>[3]Prices!$J317</f>
        <v>7.26</v>
      </c>
      <c r="I84" s="38">
        <f>[3]Prices!$J318</f>
        <v>7.91</v>
      </c>
      <c r="J84" s="38">
        <f>[3]Prices!$J319</f>
        <v>8.08</v>
      </c>
      <c r="K84" s="38">
        <f>[3]Prices!$J320</f>
        <v>7.78</v>
      </c>
      <c r="L84" s="38">
        <f>[3]Prices!$J321</f>
        <v>7.95</v>
      </c>
      <c r="M84" s="38">
        <f>[3]Prices!$J322</f>
        <v>8.16</v>
      </c>
      <c r="N84" s="38">
        <f t="shared" si="2"/>
        <v>7.3949999999999996</v>
      </c>
      <c r="P84" s="38"/>
    </row>
    <row r="85" spans="1:16" x14ac:dyDescent="0.2">
      <c r="A85" s="33" t="str">
        <f t="shared" si="1"/>
        <v xml:space="preserve">96/97 </v>
      </c>
      <c r="B85" s="38">
        <f>[3]Prices!$J323</f>
        <v>8.1999999999999993</v>
      </c>
      <c r="C85" s="38">
        <f>[3]Prices!$J324</f>
        <v>7.11</v>
      </c>
      <c r="D85" s="38">
        <f>[3]Prices!$J325</f>
        <v>7.03</v>
      </c>
      <c r="E85" s="38">
        <f>[3]Prices!$J326</f>
        <v>7.08</v>
      </c>
      <c r="F85" s="38">
        <f>[3]Prices!$J327</f>
        <v>7.37</v>
      </c>
      <c r="G85" s="38">
        <f>[3]Prices!$J328</f>
        <v>7.69</v>
      </c>
      <c r="H85" s="38">
        <f>[3]Prices!$J329</f>
        <v>8.33</v>
      </c>
      <c r="I85" s="38">
        <f>[3]Prices!$J330</f>
        <v>8.5399999999999991</v>
      </c>
      <c r="J85" s="38">
        <f>[3]Prices!$J331</f>
        <v>8.7799999999999994</v>
      </c>
      <c r="K85" s="38">
        <f>[3]Prices!$J332</f>
        <v>8.3699999999999992</v>
      </c>
      <c r="L85" s="38">
        <f>[3]Prices!$J333</f>
        <v>7.69</v>
      </c>
      <c r="M85" s="38">
        <f>[3]Prices!$J334</f>
        <v>7.41</v>
      </c>
      <c r="N85" s="38">
        <f t="shared" si="2"/>
        <v>7.8</v>
      </c>
      <c r="P85" s="38"/>
    </row>
    <row r="86" spans="1:16" x14ac:dyDescent="0.2">
      <c r="A86" s="33" t="str">
        <f t="shared" si="1"/>
        <v xml:space="preserve">97/98 </v>
      </c>
      <c r="B86" s="38">
        <f>[3]Prices!$J335</f>
        <v>7.03</v>
      </c>
      <c r="C86" s="38">
        <f>[3]Prices!$J336</f>
        <v>6.84</v>
      </c>
      <c r="D86" s="38">
        <f>[3]Prices!$J337</f>
        <v>7.27</v>
      </c>
      <c r="E86" s="38">
        <f>[3]Prices!$J338</f>
        <v>6.99</v>
      </c>
      <c r="F86" s="38">
        <f>[3]Prices!$J339</f>
        <v>6.79</v>
      </c>
      <c r="G86" s="38">
        <f>[3]Prices!$J340</f>
        <v>6.8</v>
      </c>
      <c r="H86" s="38">
        <f>[3]Prices!$J341</f>
        <v>6.62</v>
      </c>
      <c r="I86" s="38">
        <f>[3]Prices!$J342</f>
        <v>6.49</v>
      </c>
      <c r="J86" s="38">
        <f>[3]Prices!$J343</f>
        <v>6.49</v>
      </c>
      <c r="K86" s="38">
        <f>[3]Prices!$J344</f>
        <v>6.4</v>
      </c>
      <c r="L86" s="38">
        <f>[3]Prices!$J345</f>
        <v>6.4</v>
      </c>
      <c r="M86" s="38">
        <f>[3]Prices!$J346</f>
        <v>5.57</v>
      </c>
      <c r="N86" s="38">
        <f t="shared" si="2"/>
        <v>6.6408333333333331</v>
      </c>
      <c r="P86" s="38"/>
    </row>
    <row r="87" spans="1:16" x14ac:dyDescent="0.2">
      <c r="A87" s="33" t="str">
        <f t="shared" si="1"/>
        <v xml:space="preserve">98/99 </v>
      </c>
      <c r="B87" s="38">
        <f>[3]Prices!$J347</f>
        <v>5.33</v>
      </c>
      <c r="C87" s="38">
        <f>[3]Prices!$J348</f>
        <v>5.36</v>
      </c>
      <c r="D87" s="38">
        <f>[3]Prices!$J349</f>
        <v>5.72</v>
      </c>
      <c r="E87" s="38">
        <f>[3]Prices!$J350</f>
        <v>5.58</v>
      </c>
      <c r="F87" s="38">
        <f>[3]Prices!$J351</f>
        <v>5.32</v>
      </c>
      <c r="G87" s="38">
        <f>[3]Prices!$J352</f>
        <v>4.9000000000000004</v>
      </c>
      <c r="H87" s="38">
        <f>[3]Prices!$J353</f>
        <v>4.75</v>
      </c>
      <c r="I87" s="38">
        <f>[3]Prices!$J354</f>
        <v>4.8</v>
      </c>
      <c r="J87" s="38">
        <f>[3]Prices!$J355</f>
        <v>4.68</v>
      </c>
      <c r="K87" s="38">
        <f>[3]Prices!$J356</f>
        <v>4.62</v>
      </c>
      <c r="L87" s="38">
        <f>[3]Prices!$J357</f>
        <v>4.25</v>
      </c>
      <c r="M87" s="38">
        <f>[3]Prices!$J358</f>
        <v>4.6500000000000004</v>
      </c>
      <c r="N87" s="38">
        <f t="shared" si="2"/>
        <v>4.9966666666666661</v>
      </c>
      <c r="P87" s="38"/>
    </row>
    <row r="88" spans="1:16" x14ac:dyDescent="0.2">
      <c r="A88" s="33" t="str">
        <f t="shared" si="1"/>
        <v xml:space="preserve">99/00 </v>
      </c>
      <c r="B88" s="38">
        <f>[3]Prices!$J359</f>
        <v>4.8499999999999996</v>
      </c>
      <c r="C88" s="38">
        <f>[3]Prices!$J360</f>
        <v>4.7</v>
      </c>
      <c r="D88" s="38">
        <f>[3]Prices!$J361</f>
        <v>4.6399999999999997</v>
      </c>
      <c r="E88" s="38">
        <f>[3]Prices!$J362</f>
        <v>4.5999999999999996</v>
      </c>
      <c r="F88" s="38">
        <f>[3]Prices!$J363</f>
        <v>4.8600000000000003</v>
      </c>
      <c r="G88" s="38">
        <f>[3]Prices!$J364</f>
        <v>5</v>
      </c>
      <c r="H88" s="38">
        <f>[3]Prices!$J365</f>
        <v>5.13</v>
      </c>
      <c r="I88" s="38">
        <f>[3]Prices!$J366</f>
        <v>5.29</v>
      </c>
      <c r="J88" s="38">
        <f>[3]Prices!$J367</f>
        <v>5.42</v>
      </c>
      <c r="K88" s="38">
        <f>[3]Prices!$J368</f>
        <v>5.0999999999999996</v>
      </c>
      <c r="L88" s="38">
        <f>[3]Prices!$J369</f>
        <v>4.74</v>
      </c>
      <c r="M88" s="38">
        <f>[3]Prices!$J370</f>
        <v>4.63</v>
      </c>
      <c r="N88" s="38">
        <f t="shared" si="2"/>
        <v>4.913333333333334</v>
      </c>
      <c r="P88" s="38"/>
    </row>
    <row r="89" spans="1:16" x14ac:dyDescent="0.2">
      <c r="A89" s="33" t="str">
        <f t="shared" si="1"/>
        <v xml:space="preserve">00/01 </v>
      </c>
      <c r="B89" s="38">
        <f>[3]Prices!$J371</f>
        <v>4.84</v>
      </c>
      <c r="C89" s="38">
        <f>[3]Prices!$J372</f>
        <v>4.68</v>
      </c>
      <c r="D89" s="38">
        <f>[3]Prices!$J373</f>
        <v>4.83</v>
      </c>
      <c r="E89" s="38">
        <f>[3]Prices!$J374</f>
        <v>5.0599999999999996</v>
      </c>
      <c r="F89" s="38">
        <f>[3]Prices!$J375</f>
        <v>4.78</v>
      </c>
      <c r="G89" s="38">
        <f>[3]Prices!$J376</f>
        <v>4.57</v>
      </c>
      <c r="H89" s="38">
        <f>[3]Prices!$J377</f>
        <v>4.51</v>
      </c>
      <c r="I89" s="38">
        <f>[3]Prices!$J378</f>
        <v>4.41</v>
      </c>
      <c r="J89" s="38">
        <f>[3]Prices!$J379</f>
        <v>4.57</v>
      </c>
      <c r="K89" s="38">
        <f>[3]Prices!$J380</f>
        <v>4.74</v>
      </c>
      <c r="L89" s="38">
        <f>[3]Prices!$J381</f>
        <v>5.17</v>
      </c>
      <c r="M89" s="38">
        <f>[3]Prices!$J382</f>
        <v>5.0999999999999996</v>
      </c>
      <c r="N89" s="38">
        <f t="shared" si="2"/>
        <v>4.7716666666666674</v>
      </c>
      <c r="P89" s="38"/>
    </row>
    <row r="90" spans="1:16" x14ac:dyDescent="0.2">
      <c r="A90" s="33" t="str">
        <f t="shared" si="1"/>
        <v xml:space="preserve">01/02 </v>
      </c>
      <c r="B90" s="38">
        <f>[3]Prices!$J383</f>
        <v>4.6900000000000004</v>
      </c>
      <c r="C90" s="38">
        <f>[3]Prices!$J384</f>
        <v>4.3</v>
      </c>
      <c r="D90" s="38">
        <f>[3]Prices!$J385</f>
        <v>4.41</v>
      </c>
      <c r="E90" s="38">
        <f>[3]Prices!$J386</f>
        <v>4.38</v>
      </c>
      <c r="F90" s="38">
        <f>[3]Prices!$J387</f>
        <v>4.37</v>
      </c>
      <c r="G90" s="38">
        <f>[3]Prices!$J388</f>
        <v>4.4000000000000004</v>
      </c>
      <c r="H90" s="38">
        <f>[3]Prices!$J389</f>
        <v>4.6399999999999997</v>
      </c>
      <c r="I90" s="38">
        <f>[3]Prices!$J390</f>
        <v>4.71</v>
      </c>
      <c r="J90" s="38">
        <f>[3]Prices!$J391</f>
        <v>4.92</v>
      </c>
      <c r="K90" s="38">
        <f>[3]Prices!$J392</f>
        <v>5.19</v>
      </c>
      <c r="L90" s="38">
        <f>[3]Prices!$J393</f>
        <v>5.75</v>
      </c>
      <c r="M90" s="38">
        <f>[3]Prices!$J394</f>
        <v>5.8</v>
      </c>
      <c r="N90" s="38">
        <f t="shared" si="2"/>
        <v>4.7966666666666669</v>
      </c>
      <c r="P90" s="38"/>
    </row>
    <row r="91" spans="1:16" x14ac:dyDescent="0.2">
      <c r="A91" s="33" t="str">
        <f t="shared" si="1"/>
        <v xml:space="preserve">02/03 </v>
      </c>
      <c r="B91" s="38">
        <f>[3]Prices!$J395</f>
        <v>5.79</v>
      </c>
      <c r="C91" s="38">
        <f>[3]Prices!$J396</f>
        <v>5.41</v>
      </c>
      <c r="D91" s="38">
        <f>[3]Prices!$J397</f>
        <v>5.75</v>
      </c>
      <c r="E91" s="38">
        <f>[3]Prices!$J398</f>
        <v>5.66</v>
      </c>
      <c r="F91" s="38">
        <f>[3]Prices!$J399</f>
        <v>5.7</v>
      </c>
      <c r="G91" s="38">
        <f>[3]Prices!$J400</f>
        <v>5.78</v>
      </c>
      <c r="H91" s="38">
        <f>[3]Prices!$J401</f>
        <v>5.8</v>
      </c>
      <c r="I91" s="38">
        <f>[3]Prices!$J402</f>
        <v>6.11</v>
      </c>
      <c r="J91" s="38">
        <f>[3]Prices!$J403</f>
        <v>6.4</v>
      </c>
      <c r="K91" s="38">
        <f>[3]Prices!$J404</f>
        <v>6.35</v>
      </c>
      <c r="L91" s="38">
        <f>[3]Prices!$J405</f>
        <v>6.01</v>
      </c>
      <c r="M91" s="38">
        <f>[3]Prices!$J406</f>
        <v>5.89</v>
      </c>
      <c r="N91" s="38">
        <f t="shared" si="2"/>
        <v>5.8874999999999993</v>
      </c>
      <c r="P91" s="38"/>
    </row>
    <row r="92" spans="1:16" x14ac:dyDescent="0.2">
      <c r="A92" s="33" t="str">
        <f t="shared" si="1"/>
        <v xml:space="preserve">03/04 </v>
      </c>
      <c r="B92" s="38">
        <f>[3]Prices!$J407</f>
        <v>6.39</v>
      </c>
      <c r="C92" s="38">
        <f>[3]Prices!$J408</f>
        <v>7.29</v>
      </c>
      <c r="D92" s="38">
        <f>[3]Prices!$J409</f>
        <v>7.63</v>
      </c>
      <c r="E92" s="38">
        <f>[3]Prices!$J410</f>
        <v>7.72</v>
      </c>
      <c r="F92" s="38">
        <f>[3]Prices!$J411</f>
        <v>8.23</v>
      </c>
      <c r="G92" s="38">
        <f>[3]Prices!$J412</f>
        <v>8.73</v>
      </c>
      <c r="H92" s="38">
        <f>[3]Prices!$J413</f>
        <v>9.89</v>
      </c>
      <c r="I92" s="38">
        <f>[3]Prices!$J414</f>
        <v>9.93</v>
      </c>
      <c r="J92" s="38">
        <f>[3]Prices!$J415</f>
        <v>9.58</v>
      </c>
      <c r="K92" s="38">
        <f>[3]Prices!$J416</f>
        <v>8.91</v>
      </c>
      <c r="L92" s="38">
        <f>[3]Prices!$J417</f>
        <v>8.1</v>
      </c>
      <c r="M92" s="38">
        <f>[3]Prices!$J418</f>
        <v>6.42</v>
      </c>
      <c r="N92" s="38">
        <f t="shared" si="2"/>
        <v>8.2349999999999994</v>
      </c>
      <c r="P92" s="38"/>
    </row>
    <row r="93" spans="1:16" x14ac:dyDescent="0.2">
      <c r="A93" s="33" t="str">
        <f t="shared" si="1"/>
        <v xml:space="preserve">04/05 </v>
      </c>
      <c r="B93" s="38">
        <f>[3]Prices!$J419</f>
        <v>5.62</v>
      </c>
      <c r="C93" s="38">
        <f>[3]Prices!$J420</f>
        <v>5.19</v>
      </c>
      <c r="D93" s="38">
        <f>[3]Prices!$J421</f>
        <v>5.34</v>
      </c>
      <c r="E93" s="38">
        <f>[3]Prices!$J422</f>
        <v>5.45</v>
      </c>
      <c r="F93" s="38">
        <f>[3]Prices!$J423</f>
        <v>5.39</v>
      </c>
      <c r="G93" s="38">
        <f>[3]Prices!$J424</f>
        <v>5.45</v>
      </c>
      <c r="H93" s="38">
        <f>[3]Prices!$J425</f>
        <v>6.28</v>
      </c>
      <c r="I93" s="38">
        <f>[3]Prices!$J426</f>
        <v>6.22</v>
      </c>
      <c r="J93" s="38">
        <f>[3]Prices!$J427</f>
        <v>6.44</v>
      </c>
      <c r="K93" s="38">
        <f>[3]Prices!$J428</f>
        <v>7.01</v>
      </c>
      <c r="L93" s="38">
        <f>[3]Prices!$J429</f>
        <v>7.03</v>
      </c>
      <c r="M93" s="38">
        <f>[3]Prices!$J430</f>
        <v>6.39</v>
      </c>
      <c r="N93" s="38">
        <f t="shared" si="2"/>
        <v>5.984166666666666</v>
      </c>
      <c r="P93" s="38"/>
    </row>
    <row r="94" spans="1:16" x14ac:dyDescent="0.2">
      <c r="A94" s="33" t="str">
        <f t="shared" si="1"/>
        <v xml:space="preserve">05/06 </v>
      </c>
      <c r="B94" s="38">
        <f>[3]Prices!$J431</f>
        <v>5.66</v>
      </c>
      <c r="C94" s="38">
        <f>[3]Prices!$J432</f>
        <v>5.53</v>
      </c>
      <c r="D94" s="38">
        <f>[3]Prices!$J433</f>
        <v>5.75</v>
      </c>
      <c r="E94" s="38">
        <f>[3]Prices!$J434</f>
        <v>5.92</v>
      </c>
      <c r="F94" s="38">
        <f>[3]Prices!$J435</f>
        <v>5.79</v>
      </c>
      <c r="G94" s="38">
        <f>[3]Prices!$J436</f>
        <v>5.75</v>
      </c>
      <c r="H94" s="38">
        <f>[3]Prices!$J437</f>
        <v>5.68</v>
      </c>
      <c r="I94" s="38">
        <f>[3]Prices!$J438</f>
        <v>5.62</v>
      </c>
      <c r="J94" s="38">
        <f>[3]Prices!$J439</f>
        <v>5.81</v>
      </c>
      <c r="K94" s="38">
        <f>[3]Prices!$J440</f>
        <v>5.77</v>
      </c>
      <c r="L94" s="38">
        <f>[3]Prices!$J441</f>
        <v>5.77</v>
      </c>
      <c r="M94" s="38">
        <f>[3]Prices!$J442</f>
        <v>5.42</v>
      </c>
      <c r="N94" s="38">
        <f t="shared" si="2"/>
        <v>5.7058333333333335</v>
      </c>
      <c r="P94" s="38"/>
    </row>
    <row r="95" spans="1:16" x14ac:dyDescent="0.2">
      <c r="A95" s="33" t="str">
        <f t="shared" si="1"/>
        <v xml:space="preserve">06/07 </v>
      </c>
      <c r="B95" s="38">
        <f>[3]Prices!$J443</f>
        <v>5.35</v>
      </c>
      <c r="C95" s="38">
        <f>[3]Prices!$J444</f>
        <v>5.83</v>
      </c>
      <c r="D95" s="38">
        <f>[3]Prices!$J445</f>
        <v>6.61</v>
      </c>
      <c r="E95" s="38">
        <f>[3]Prices!$J446</f>
        <v>6.58</v>
      </c>
      <c r="F95" s="38">
        <f>[3]Prices!$J447</f>
        <v>6.83</v>
      </c>
      <c r="G95" s="38">
        <f>[3]Prices!$J448</f>
        <v>7.35</v>
      </c>
      <c r="H95" s="38">
        <f>[3]Prices!$J449</f>
        <v>7.31</v>
      </c>
      <c r="I95" s="38">
        <f>[3]Prices!$J450</f>
        <v>7.19</v>
      </c>
      <c r="J95" s="38">
        <f>[3]Prices!$J451</f>
        <v>7.5</v>
      </c>
      <c r="K95" s="38">
        <f>[3]Prices!$J452</f>
        <v>7.94</v>
      </c>
      <c r="L95" s="38">
        <f>[3]Prices!$J453</f>
        <v>8</v>
      </c>
      <c r="M95" s="38">
        <f>[3]Prices!$J454</f>
        <v>8.06</v>
      </c>
      <c r="N95" s="38">
        <f t="shared" si="2"/>
        <v>7.0458333333333334</v>
      </c>
      <c r="P95" s="38"/>
    </row>
    <row r="96" spans="1:16" x14ac:dyDescent="0.2">
      <c r="A96" s="33" t="str">
        <f t="shared" si="1"/>
        <v xml:space="preserve">07/08 </v>
      </c>
      <c r="B96" s="38">
        <f>[3]Prices!$J455</f>
        <v>9.08</v>
      </c>
      <c r="C96" s="38">
        <f>[3]Prices!$J456</f>
        <v>9.4700000000000006</v>
      </c>
      <c r="D96" s="38">
        <f>[3]Prices!$J457</f>
        <v>10.34</v>
      </c>
      <c r="E96" s="38">
        <f>[3]Prices!$J458</f>
        <v>11.23</v>
      </c>
      <c r="F96" s="38">
        <f>[3]Prices!$J459</f>
        <v>12.18</v>
      </c>
      <c r="G96" s="38">
        <f>[3]Prices!$J460</f>
        <v>13.43</v>
      </c>
      <c r="H96" s="38">
        <f>[3]Prices!$J461</f>
        <v>13.13</v>
      </c>
      <c r="I96" s="38">
        <f>[3]Prices!$J462</f>
        <v>12.93</v>
      </c>
      <c r="J96" s="38">
        <f>[3]Prices!$J463</f>
        <v>13.25</v>
      </c>
      <c r="K96" s="38">
        <f>[3]Prices!$J464</f>
        <v>15</v>
      </c>
      <c r="L96" s="38">
        <f>[3]Prices!$J465</f>
        <v>15.16</v>
      </c>
      <c r="M96" s="38">
        <f>[3]Prices!$J466</f>
        <v>12.89</v>
      </c>
      <c r="N96" s="38">
        <f t="shared" si="2"/>
        <v>12.340833333333331</v>
      </c>
      <c r="P96" s="38"/>
    </row>
    <row r="97" spans="1:16" x14ac:dyDescent="0.2">
      <c r="A97" s="33" t="str">
        <f t="shared" si="1"/>
        <v xml:space="preserve">08/09 </v>
      </c>
      <c r="B97" s="38">
        <f>[3]Prices!$J467</f>
        <v>11.74</v>
      </c>
      <c r="C97" s="38">
        <f>[3]Prices!$J468</f>
        <v>9.0399999999999991</v>
      </c>
      <c r="D97" s="38">
        <f>[3]Prices!$J469</f>
        <v>8.93</v>
      </c>
      <c r="E97" s="38">
        <f>[3]Prices!$J470</f>
        <v>8.68</v>
      </c>
      <c r="F97" s="38">
        <f>[3]Prices!$J471</f>
        <v>9.91</v>
      </c>
      <c r="G97" s="38">
        <f>[3]Prices!$J472</f>
        <v>9.39</v>
      </c>
      <c r="H97" s="38">
        <f>[3]Prices!$J473</f>
        <v>9.17</v>
      </c>
      <c r="I97" s="38">
        <f>[3]Prices!$J474</f>
        <v>10.26</v>
      </c>
      <c r="J97" s="38">
        <f>[3]Prices!$J475</f>
        <v>11.67</v>
      </c>
      <c r="K97" s="38">
        <f>[3]Prices!$J476</f>
        <v>12.37</v>
      </c>
      <c r="L97" s="38">
        <f>[3]Prices!$J477</f>
        <v>10.96</v>
      </c>
      <c r="M97" s="38">
        <f>[3]Prices!$J478</f>
        <v>11.36</v>
      </c>
      <c r="N97" s="38">
        <f t="shared" si="2"/>
        <v>10.290000000000001</v>
      </c>
      <c r="P97" s="38"/>
    </row>
    <row r="98" spans="1:16" x14ac:dyDescent="0.2">
      <c r="A98" s="33" t="str">
        <f t="shared" si="1"/>
        <v xml:space="preserve">09/10 </v>
      </c>
      <c r="B98" s="38">
        <f>[3]Prices!$J479</f>
        <v>10.119999999999999</v>
      </c>
      <c r="C98" s="38">
        <f>[3]Prices!$J480</f>
        <v>9.7899999999999991</v>
      </c>
      <c r="D98" s="38">
        <f>[3]Prices!$J481</f>
        <v>10.09</v>
      </c>
      <c r="E98" s="38">
        <f>[3]Prices!$J482</f>
        <v>10.34</v>
      </c>
      <c r="F98" s="38">
        <f>[3]Prices!$J483</f>
        <v>9.84</v>
      </c>
      <c r="G98" s="38">
        <f>[3]Prices!$J484</f>
        <v>9.44</v>
      </c>
      <c r="H98" s="38">
        <f>[3]Prices!$J485</f>
        <v>9.49</v>
      </c>
      <c r="I98" s="38">
        <f>[3]Prices!$J486</f>
        <v>9.75</v>
      </c>
      <c r="J98" s="38">
        <f>[3]Prices!$J487</f>
        <v>9.5500000000000007</v>
      </c>
      <c r="K98" s="38">
        <f>[3]Prices!$J488</f>
        <v>9.7200000000000006</v>
      </c>
      <c r="L98" s="38">
        <f>[3]Prices!$J489</f>
        <v>10.31</v>
      </c>
      <c r="M98" s="38">
        <f>[3]Prices!$J490</f>
        <v>10.66</v>
      </c>
      <c r="N98" s="38">
        <f t="shared" si="2"/>
        <v>9.9249999999999989</v>
      </c>
      <c r="P98" s="38"/>
    </row>
    <row r="99" spans="1:16" x14ac:dyDescent="0.2">
      <c r="A99" s="33" t="str">
        <f t="shared" si="1"/>
        <v xml:space="preserve">10/11 </v>
      </c>
      <c r="B99" s="38">
        <f>[3]Prices!$J491</f>
        <v>10.65</v>
      </c>
      <c r="C99" s="38">
        <f>[3]Prices!$J492</f>
        <v>11.48</v>
      </c>
      <c r="D99" s="38">
        <f>[3]Prices!$J493</f>
        <v>12.52</v>
      </c>
      <c r="E99" s="38">
        <f>[3]Prices!$J494</f>
        <v>13.11</v>
      </c>
      <c r="F99" s="38">
        <f>[3]Prices!$J495</f>
        <v>13.78</v>
      </c>
      <c r="G99" s="38">
        <f>[3]Prices!$J496</f>
        <v>13.86</v>
      </c>
      <c r="H99" s="38">
        <f>[3]Prices!$J497</f>
        <v>13.5</v>
      </c>
      <c r="I99" s="38">
        <f>[3]Prices!$J498</f>
        <v>13.64</v>
      </c>
      <c r="J99" s="38">
        <f>[3]Prices!$J499</f>
        <v>13.68</v>
      </c>
      <c r="K99" s="38">
        <f>[3]Prices!$J500</f>
        <v>13.82</v>
      </c>
      <c r="L99" s="38">
        <f>[3]Prices!$J501</f>
        <v>13.84</v>
      </c>
      <c r="M99" s="38">
        <f>[3]Prices!$J502</f>
        <v>13.81</v>
      </c>
      <c r="N99" s="38">
        <f t="shared" si="2"/>
        <v>13.140833333333333</v>
      </c>
      <c r="P99" s="38"/>
    </row>
    <row r="100" spans="1:16" x14ac:dyDescent="0.2">
      <c r="A100" s="33" t="str">
        <f>A44</f>
        <v xml:space="preserve">11/12 </v>
      </c>
      <c r="B100" s="38">
        <f>[3]Prices!$J503</f>
        <v>13.33</v>
      </c>
      <c r="C100" s="38">
        <f>[3]Prices!$J504</f>
        <v>12.08</v>
      </c>
      <c r="D100" s="38">
        <f>[3]Prices!$J505</f>
        <v>11.79</v>
      </c>
      <c r="E100" s="38">
        <f>[3]Prices!$J506</f>
        <v>11.43</v>
      </c>
      <c r="F100" s="38">
        <f>[3]Prices!$J507</f>
        <v>12.02</v>
      </c>
      <c r="G100" s="38">
        <f>[3]Prices!$J508</f>
        <v>12.63</v>
      </c>
      <c r="H100" s="38">
        <f>[3]Prices!$J509</f>
        <v>13.58</v>
      </c>
      <c r="I100" s="38">
        <f>[3]Prices!$J510</f>
        <v>14.47</v>
      </c>
      <c r="J100" s="38">
        <f>[3]Prices!$J511</f>
        <v>14.29</v>
      </c>
      <c r="K100" s="38">
        <f>[3]Prices!$J512</f>
        <v>14.45</v>
      </c>
      <c r="L100" s="38">
        <f>[3]Prices!$J513</f>
        <v>16.86</v>
      </c>
      <c r="M100" s="38">
        <f>[3]Prices!$J514</f>
        <v>17.350000000000001</v>
      </c>
      <c r="N100" s="38">
        <f t="shared" si="2"/>
        <v>13.69</v>
      </c>
      <c r="P100" s="38"/>
    </row>
    <row r="101" spans="1:16" x14ac:dyDescent="0.2">
      <c r="A101" s="33" t="str">
        <f t="shared" si="1"/>
        <v xml:space="preserve">12/13 </v>
      </c>
      <c r="B101" s="38">
        <f>[3]Prices!$J515</f>
        <v>16.95</v>
      </c>
      <c r="C101" s="38">
        <f>[3]Prices!$J516</f>
        <v>15.49</v>
      </c>
      <c r="D101" s="38">
        <f>[3]Prices!$J517</f>
        <v>14.64</v>
      </c>
      <c r="E101" s="38">
        <f>[3]Prices!$J518</f>
        <v>14.74</v>
      </c>
      <c r="F101" s="38">
        <f>[3]Prices!$J519</f>
        <v>14.54</v>
      </c>
      <c r="G101" s="38">
        <f>[3]Prices!$J520</f>
        <v>14.91</v>
      </c>
      <c r="H101" s="38">
        <f>[3]Prices!$J521</f>
        <v>14.88</v>
      </c>
      <c r="I101" s="38">
        <f>[3]Prices!$J522</f>
        <v>14.58</v>
      </c>
      <c r="J101" s="38">
        <f>[3]Prices!$J523</f>
        <v>15.38</v>
      </c>
      <c r="K101" s="38">
        <f>[3]Prices!$J524</f>
        <v>15.76</v>
      </c>
      <c r="L101" s="38">
        <f>[3]Prices!$J525</f>
        <v>15.39</v>
      </c>
      <c r="M101" s="38">
        <f>[3]Prices!$J526</f>
        <v>14.25</v>
      </c>
      <c r="N101" s="38">
        <f t="shared" si="2"/>
        <v>15.125833333333333</v>
      </c>
      <c r="P101" s="38"/>
    </row>
    <row r="102" spans="1:16" x14ac:dyDescent="0.2">
      <c r="A102" s="33" t="str">
        <f t="shared" si="1"/>
        <v xml:space="preserve">13/14 </v>
      </c>
      <c r="B102" s="38">
        <f>[3]Prices!$J527</f>
        <v>13.91</v>
      </c>
      <c r="C102" s="38">
        <f>[3]Prices!$J528</f>
        <v>12.94</v>
      </c>
      <c r="D102" s="38">
        <f>[3]Prices!$J529</f>
        <v>13.07</v>
      </c>
      <c r="E102" s="38">
        <f>[3]Prices!$J530</f>
        <v>13.4</v>
      </c>
      <c r="F102" s="38">
        <f>[3]Prices!$J531</f>
        <v>13.03</v>
      </c>
      <c r="G102" s="38">
        <f>[3]Prices!$J532</f>
        <v>13.672599999999999</v>
      </c>
      <c r="H102" s="38">
        <f>[3]Prices!$J533</f>
        <v>14.407400000000001</v>
      </c>
      <c r="I102" s="38">
        <f>[3]Prices!$J534</f>
        <v>15.1296</v>
      </c>
      <c r="J102" s="38">
        <f>[3]Prices!$J535</f>
        <v>15.221399999999999</v>
      </c>
      <c r="K102" s="38">
        <f>[3]Prices!$J536</f>
        <v>14.674799999999999</v>
      </c>
      <c r="L102" s="38">
        <f>[3]Prices!$J537</f>
        <v>13.146699999999999</v>
      </c>
      <c r="M102" s="38">
        <f>[3]Prices!$J538</f>
        <v>12.868</v>
      </c>
      <c r="N102" s="38">
        <f t="shared" si="2"/>
        <v>13.789208333333333</v>
      </c>
      <c r="P102" s="38"/>
    </row>
    <row r="103" spans="1:16" x14ac:dyDescent="0.2">
      <c r="A103" s="33" t="str">
        <f t="shared" si="1"/>
        <v xml:space="preserve">14/15 </v>
      </c>
      <c r="B103" s="38">
        <f>[3]Prices!$J539</f>
        <v>11.0825</v>
      </c>
      <c r="C103" s="38">
        <f>[3]Prices!$J540</f>
        <v>9.6265000000000001</v>
      </c>
      <c r="D103" s="38">
        <f>[3]Prices!$J541</f>
        <v>10.310600000000001</v>
      </c>
      <c r="E103" s="38">
        <f>[3]Prices!$J542</f>
        <v>10.363099999999999</v>
      </c>
      <c r="F103" s="38">
        <f>[3]Prices!$J543</f>
        <v>10.081300000000001</v>
      </c>
      <c r="G103" s="38">
        <f>[3]Prices!$J544</f>
        <v>10.0418</v>
      </c>
      <c r="H103" s="38">
        <f>[3]Prices!$J545</f>
        <v>9.9026999999999994</v>
      </c>
      <c r="I103" s="38">
        <f>[3]Prices!$J546</f>
        <v>9.8794000000000004</v>
      </c>
      <c r="J103" s="38">
        <f>[3]Prices!$J547</f>
        <v>9.7929999999999993</v>
      </c>
      <c r="K103" s="38">
        <f>[3]Prices!$J548</f>
        <v>9.9380000000000006</v>
      </c>
      <c r="L103" s="38">
        <f>[3]Prices!$J549</f>
        <v>10.465199999999999</v>
      </c>
      <c r="M103" s="38">
        <f>[3]Prices!$J550</f>
        <v>9.7520000000000007</v>
      </c>
      <c r="N103" s="38">
        <f t="shared" si="2"/>
        <v>10.103008333333333</v>
      </c>
      <c r="P103" s="38"/>
    </row>
    <row r="104" spans="1:16" x14ac:dyDescent="0.2">
      <c r="A104" s="33" t="str">
        <f t="shared" si="1"/>
        <v xml:space="preserve">15/16 </v>
      </c>
      <c r="B104" s="38">
        <f>[3]Prices!$J551</f>
        <v>8.9094999999999995</v>
      </c>
      <c r="C104" s="38">
        <f>[3]Prices!$J552</f>
        <v>8.9295000000000009</v>
      </c>
      <c r="D104" s="38">
        <f>[3]Prices!$J553</f>
        <v>8.8308</v>
      </c>
      <c r="E104" s="38">
        <f>[3]Prices!$J554</f>
        <v>8.9018999999999995</v>
      </c>
      <c r="F104" s="38">
        <f>[3]Prices!$J555</f>
        <v>8.8101000000000003</v>
      </c>
      <c r="G104" s="38">
        <f>[3]Prices!$J556</f>
        <v>8.8223000000000003</v>
      </c>
      <c r="H104" s="38">
        <f>[3]Prices!$J557</f>
        <v>8.9623000000000008</v>
      </c>
      <c r="I104" s="38">
        <f>[3]Prices!$J558</f>
        <v>9.6096000000000004</v>
      </c>
      <c r="J104" s="38">
        <f>[3]Prices!$J559</f>
        <v>10.490399999999999</v>
      </c>
      <c r="K104" s="38">
        <f>[3]Prices!$J560</f>
        <v>11.396699999999999</v>
      </c>
      <c r="L104" s="38">
        <f>[3]Prices!$J561</f>
        <v>10.5861</v>
      </c>
      <c r="M104" s="38">
        <f>[3]Prices!$J562</f>
        <v>10.236700000000001</v>
      </c>
      <c r="N104" s="38">
        <f t="shared" si="2"/>
        <v>9.5404916666666661</v>
      </c>
      <c r="P104" s="38"/>
    </row>
    <row r="105" spans="1:16" x14ac:dyDescent="0.2">
      <c r="A105" s="33" t="str">
        <f t="shared" si="1"/>
        <v xml:space="preserve">16/17 </v>
      </c>
      <c r="B105" s="38">
        <f>[3]Prices!$J563</f>
        <v>9.7814999999999994</v>
      </c>
      <c r="C105" s="38">
        <f>[3]Prices!$J564</f>
        <v>9.5573999999999995</v>
      </c>
      <c r="D105" s="38">
        <f>[3]Prices!$J565</f>
        <v>9.9392999999999994</v>
      </c>
      <c r="E105" s="38">
        <f>[3]Prices!$J566</f>
        <v>10.157500000000001</v>
      </c>
      <c r="F105" s="38">
        <f>[3]Prices!$J567</f>
        <v>10.2578</v>
      </c>
      <c r="G105" s="38">
        <f>[3]Prices!$J568</f>
        <v>10.225099999999999</v>
      </c>
      <c r="H105" s="38">
        <f>[3]Prices!$J569</f>
        <v>9.8597999999999999</v>
      </c>
      <c r="I105" s="38">
        <f>[3]Prices!$J570</f>
        <v>9.3741000000000003</v>
      </c>
      <c r="J105" s="38">
        <f>[3]Prices!$J571</f>
        <v>9.4849999999999994</v>
      </c>
      <c r="K105" s="38">
        <f>[3]Prices!$J572</f>
        <v>9.2249999999999996</v>
      </c>
      <c r="L105" s="38">
        <f>[3]Prices!$J573</f>
        <v>9.9064999999999994</v>
      </c>
      <c r="M105" s="38">
        <f>[3]Prices!$J574</f>
        <v>9.3912999999999993</v>
      </c>
      <c r="N105" s="38">
        <f t="shared" si="2"/>
        <v>9.7633583333333327</v>
      </c>
      <c r="P105" s="38"/>
    </row>
    <row r="106" spans="1:16" x14ac:dyDescent="0.2">
      <c r="A106" s="33" t="str">
        <f t="shared" si="1"/>
        <v xml:space="preserve">17/18 </v>
      </c>
      <c r="B106" s="38">
        <f>[3]Prices!$J575</f>
        <v>9.5036000000000005</v>
      </c>
      <c r="C106" s="38">
        <f>[3]Prices!$J576</f>
        <v>9.4732000000000003</v>
      </c>
      <c r="D106" s="38">
        <f>[3]Prices!$J577</f>
        <v>9.7018000000000004</v>
      </c>
      <c r="E106" s="38">
        <f>[3]Prices!$J578</f>
        <v>9.5958000000000006</v>
      </c>
      <c r="F106" s="38">
        <f>[3]Prices!$J579</f>
        <v>9.6257000000000001</v>
      </c>
      <c r="G106" s="38">
        <f>[3]Prices!$J580</f>
        <v>9.9928000000000008</v>
      </c>
      <c r="H106" s="38">
        <f>[3]Prices!$J581</f>
        <v>10.1708</v>
      </c>
      <c r="I106" s="38">
        <f>[3]Prices!$J582</f>
        <v>10.230700000000001</v>
      </c>
      <c r="J106" s="38">
        <f>[3]Prices!$J583</f>
        <v>10.0608</v>
      </c>
      <c r="K106" s="38">
        <f>[3]Prices!$J584</f>
        <v>9.1473999999999993</v>
      </c>
      <c r="L106" s="38">
        <f>[3]Prices!$J585</f>
        <v>8.5058000000000007</v>
      </c>
      <c r="M106" s="38">
        <f>[3]Prices!$J586</f>
        <v>8.3978000000000002</v>
      </c>
      <c r="N106" s="38">
        <f t="shared" si="2"/>
        <v>9.5338500000000028</v>
      </c>
      <c r="P106" s="38"/>
    </row>
    <row r="107" spans="1:16" x14ac:dyDescent="0.2">
      <c r="A107" s="33" t="str">
        <f t="shared" si="1"/>
        <v xml:space="preserve">18/19 </v>
      </c>
      <c r="B107" s="38">
        <f>[3]Prices!$J587</f>
        <v>7.8539000000000003</v>
      </c>
      <c r="C107" s="38">
        <f>[3]Prices!$J588</f>
        <v>8.1292000000000009</v>
      </c>
      <c r="D107" s="38">
        <f>[3]Prices!$J589</f>
        <v>8.4626000000000001</v>
      </c>
      <c r="E107" s="38">
        <f>[3]Prices!$J590</f>
        <v>8.7370000000000001</v>
      </c>
      <c r="F107" s="38">
        <f>[3]Prices!$J591</f>
        <v>8.8101000000000003</v>
      </c>
      <c r="G107" s="38">
        <f>[3]Prices!$J592</f>
        <v>8.8405000000000005</v>
      </c>
      <c r="H107" s="38">
        <f>[3]Prices!$J593</f>
        <v>8.6904000000000003</v>
      </c>
      <c r="I107" s="38">
        <f>[3]Prices!$J594</f>
        <v>8.5669000000000004</v>
      </c>
      <c r="J107" s="38">
        <f>[3]Prices!$J595</f>
        <v>8.0755999999999997</v>
      </c>
      <c r="K107" s="38">
        <f>[3]Prices!$J596</f>
        <v>8.7926000000000002</v>
      </c>
      <c r="L107" s="38">
        <f>[3]Prices!$J597</f>
        <v>8.9088999999999992</v>
      </c>
      <c r="M107" s="38">
        <f>[3]Prices!$J598</f>
        <v>8.5381</v>
      </c>
      <c r="N107" s="38">
        <f t="shared" si="2"/>
        <v>8.5338166666666666</v>
      </c>
      <c r="P107" s="38"/>
    </row>
    <row r="108" spans="1:16" x14ac:dyDescent="0.2">
      <c r="A108" s="33" t="str">
        <f t="shared" si="1"/>
        <v xml:space="preserve">19/20 </v>
      </c>
      <c r="B108" s="38">
        <f>[3]Prices!$J599</f>
        <v>8.5745000000000005</v>
      </c>
      <c r="C108" s="38">
        <f>[3]Prices!$J600</f>
        <v>9.0675000000000008</v>
      </c>
      <c r="D108" s="38">
        <f>[3]Prices!$J601</f>
        <v>9.1286000000000005</v>
      </c>
      <c r="E108" s="38">
        <f>[3]Prices!$J602</f>
        <v>9.2477</v>
      </c>
      <c r="F108" s="38">
        <f>[3]Prices!$J603</f>
        <v>9.2695000000000007</v>
      </c>
      <c r="G108" s="38">
        <f>[3]Prices!$J604</f>
        <v>8.9598999999999993</v>
      </c>
      <c r="H108" s="38">
        <f>[3]Prices!$J605</f>
        <v>8.1080000000000005</v>
      </c>
      <c r="I108" s="38">
        <f>[3]Prices!$J606</f>
        <v>8.5437999999999992</v>
      </c>
      <c r="J108" s="38">
        <f>[3]Prices!$J607</f>
        <v>8.4844000000000008</v>
      </c>
      <c r="K108" s="38">
        <f>[3]Prices!$J608</f>
        <v>8.7416</v>
      </c>
      <c r="L108" s="38">
        <f>[3]Prices!$J609</f>
        <v>8.9525000000000006</v>
      </c>
      <c r="M108" s="38">
        <f>[3]Prices!$J610</f>
        <v>8.8757000000000001</v>
      </c>
      <c r="N108" s="38">
        <f t="shared" si="2"/>
        <v>8.8294750000000004</v>
      </c>
      <c r="P108" s="38"/>
    </row>
    <row r="109" spans="1:16" x14ac:dyDescent="0.2">
      <c r="A109" s="33" t="str">
        <f t="shared" si="1"/>
        <v xml:space="preserve">20/21 </v>
      </c>
      <c r="B109" s="38">
        <f>[3]Prices!$J611</f>
        <v>9.9734523809523825</v>
      </c>
      <c r="C109" s="38">
        <f>[3]Prices!$J612</f>
        <v>10.551619047619049</v>
      </c>
      <c r="D109" s="38">
        <f>[3]Prices!$J613</f>
        <v>11.476749999999997</v>
      </c>
      <c r="E109" s="39">
        <f>[3]Prices!$J614</f>
        <v>12.160095238095236</v>
      </c>
      <c r="F109" s="39">
        <f>[3]Prices!$J615</f>
        <v>13.835552631578947</v>
      </c>
      <c r="G109" s="39">
        <f>[3]Prices!$J616</f>
        <v>13.957578947368422</v>
      </c>
      <c r="H109" s="39">
        <f>[3]Prices!$J617</f>
        <v>14.358934782608696</v>
      </c>
      <c r="I109" s="39">
        <f>[3]Prices!$J618</f>
        <v>15.006809523809526</v>
      </c>
      <c r="J109" s="39">
        <f>[3]Prices!$J619</f>
        <v>15.997674999999996</v>
      </c>
      <c r="K109" s="39">
        <f>[3]Prices!$J620</f>
        <v>14.820886363636362</v>
      </c>
      <c r="L109" s="39">
        <f>[3]Prices!$J621</f>
        <v>14.56816666666667</v>
      </c>
      <c r="M109" s="39">
        <f>[3]Prices!$J622</f>
        <v>13.825909090909089</v>
      </c>
      <c r="N109" s="39">
        <f t="shared" si="2"/>
        <v>13.377785806103697</v>
      </c>
      <c r="P109" s="38"/>
    </row>
    <row r="110" spans="1:16" x14ac:dyDescent="0.2">
      <c r="A110" s="33" t="str">
        <f>A54</f>
        <v xml:space="preserve">21/22 </v>
      </c>
      <c r="B110" s="39">
        <f>[3]Prices!$J623</f>
        <v>12.773809523809524</v>
      </c>
      <c r="C110" s="39">
        <f>[3]Prices!$J624</f>
        <v>12.302200000000003</v>
      </c>
      <c r="D110" s="39">
        <f>[3]Prices!$J625</f>
        <v>12.536175</v>
      </c>
      <c r="E110" s="39">
        <f>[3]Prices!$J626</f>
        <v>13.033547619047621</v>
      </c>
      <c r="F110" s="39">
        <f>[3]Prices!$J627</f>
        <v>14.089400000000001</v>
      </c>
      <c r="G110" s="39">
        <f>[3]Prices!$J628</f>
        <v>15.946368421052631</v>
      </c>
      <c r="H110" s="39">
        <f>[3]Prices!$J629</f>
        <v>16.723239130434784</v>
      </c>
      <c r="I110" s="39">
        <f>[3]Prices!$J630</f>
        <v>16.978199999999994</v>
      </c>
      <c r="J110" s="39">
        <f>[3]Prices!$J631</f>
        <v>17.025976190476189</v>
      </c>
      <c r="K110" s="39">
        <f>[3]Prices!$J632</f>
        <v>17.427842857142849</v>
      </c>
      <c r="L110" s="39">
        <f>[3]Prices!$J633</f>
        <v>16.031424999999999</v>
      </c>
      <c r="M110" s="39">
        <f>[3]Prices!$J634</f>
        <v>16.011630434782614</v>
      </c>
      <c r="N110" s="39">
        <f t="shared" si="2"/>
        <v>15.073317848062183</v>
      </c>
      <c r="P110" s="3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E5B00-D8DF-4991-8CC6-49EF4DFF5734}">
  <dimension ref="A2:P1231"/>
  <sheetViews>
    <sheetView topLeftCell="A102" zoomScale="85" zoomScaleNormal="85" workbookViewId="0">
      <selection activeCell="K177" sqref="K177"/>
    </sheetView>
  </sheetViews>
  <sheetFormatPr defaultColWidth="9.33203125" defaultRowHeight="12.75" x14ac:dyDescent="0.2"/>
  <cols>
    <col min="1" max="1" width="11.1640625" customWidth="1"/>
  </cols>
  <sheetData>
    <row r="2" spans="1:13" ht="15.75" x14ac:dyDescent="0.25">
      <c r="A2" s="40" t="s">
        <v>154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ht="13.5" x14ac:dyDescent="0.25">
      <c r="A3" s="42" t="s">
        <v>155</v>
      </c>
      <c r="B3" s="43" t="s">
        <v>90</v>
      </c>
      <c r="C3" s="43" t="s">
        <v>91</v>
      </c>
      <c r="D3" s="43" t="s">
        <v>92</v>
      </c>
      <c r="E3" s="43" t="s">
        <v>93</v>
      </c>
      <c r="F3" s="43" t="s">
        <v>94</v>
      </c>
      <c r="G3" s="43" t="s">
        <v>83</v>
      </c>
      <c r="H3" s="43" t="s">
        <v>84</v>
      </c>
      <c r="I3" s="43" t="s">
        <v>85</v>
      </c>
      <c r="J3" s="43" t="s">
        <v>86</v>
      </c>
      <c r="K3" s="43" t="s">
        <v>87</v>
      </c>
      <c r="L3" s="43" t="s">
        <v>88</v>
      </c>
      <c r="M3" s="43" t="s">
        <v>89</v>
      </c>
    </row>
    <row r="4" spans="1:13" x14ac:dyDescent="0.2">
      <c r="A4" s="44">
        <v>1970</v>
      </c>
      <c r="B4" s="45">
        <v>2.4328571399999999</v>
      </c>
      <c r="C4" s="45">
        <v>2.4685000000000001</v>
      </c>
      <c r="D4" s="45">
        <v>2.49657894</v>
      </c>
      <c r="E4" s="45">
        <v>2.52678571</v>
      </c>
      <c r="F4" s="45">
        <v>2.5775000000000001</v>
      </c>
      <c r="G4" s="45">
        <v>2.5837500000000002</v>
      </c>
      <c r="H4" s="45">
        <v>2.7217045400000002</v>
      </c>
      <c r="I4" s="45">
        <v>2.9275000000000002</v>
      </c>
      <c r="J4" s="45">
        <v>2.8370237999999999</v>
      </c>
      <c r="K4" s="45">
        <v>2.8459523799999999</v>
      </c>
      <c r="L4" s="45">
        <v>2.9810227199999999</v>
      </c>
      <c r="M4" s="45">
        <v>3.0452083299999999</v>
      </c>
    </row>
    <row r="5" spans="1:13" x14ac:dyDescent="0.2">
      <c r="A5" s="44">
        <v>1971</v>
      </c>
      <c r="B5" s="45">
        <v>2.8092045400000001</v>
      </c>
      <c r="C5" s="45">
        <v>2.8769999999999998</v>
      </c>
      <c r="D5" s="45">
        <v>2.87407894</v>
      </c>
      <c r="E5" s="45">
        <v>2.86760869</v>
      </c>
      <c r="F5" s="45">
        <v>2.83678571</v>
      </c>
      <c r="G5" s="45">
        <v>2.9193750000000001</v>
      </c>
      <c r="H5" s="45">
        <v>3.1265909000000001</v>
      </c>
      <c r="I5" s="45">
        <v>3.30285714</v>
      </c>
      <c r="J5" s="45">
        <v>3.20511363</v>
      </c>
      <c r="K5" s="45">
        <v>3.1425000000000001</v>
      </c>
      <c r="L5" s="45">
        <v>3.1842857100000002</v>
      </c>
      <c r="M5" s="45">
        <v>3.1087500000000001</v>
      </c>
    </row>
    <row r="6" spans="1:13" x14ac:dyDescent="0.2">
      <c r="A6" s="44">
        <v>1972</v>
      </c>
      <c r="B6" s="45">
        <v>3.0830952300000001</v>
      </c>
      <c r="C6" s="45">
        <v>3.0092857099999999</v>
      </c>
      <c r="D6" s="45">
        <v>3.0132500000000002</v>
      </c>
      <c r="E6" s="45">
        <v>3.1294318099999998</v>
      </c>
      <c r="F6" s="45">
        <v>3.213625</v>
      </c>
      <c r="G6" s="45">
        <v>3.1953409000000002</v>
      </c>
      <c r="H6" s="45">
        <v>3.2178409000000001</v>
      </c>
      <c r="I6" s="45">
        <v>3.2189999999999999</v>
      </c>
      <c r="J6" s="45">
        <v>3.3138043399999999</v>
      </c>
      <c r="K6" s="45">
        <v>3.3948749999999999</v>
      </c>
      <c r="L6" s="45">
        <v>3.4067045399999998</v>
      </c>
      <c r="M6" s="45">
        <v>3.6551922999999999</v>
      </c>
    </row>
    <row r="7" spans="1:13" x14ac:dyDescent="0.2">
      <c r="A7" s="44">
        <v>1973</v>
      </c>
      <c r="B7" s="45">
        <v>3.5030263100000001</v>
      </c>
      <c r="C7" s="45">
        <v>3.5786904700000002</v>
      </c>
      <c r="D7" s="45">
        <v>3.9457894699999998</v>
      </c>
      <c r="E7" s="45">
        <v>4.07704545</v>
      </c>
      <c r="F7" s="45">
        <v>4.2832499999999998</v>
      </c>
      <c r="G7" s="45">
        <v>5.05454545</v>
      </c>
      <c r="H7" s="45">
        <v>6.3184210500000004</v>
      </c>
      <c r="I7" s="45">
        <v>6.8666666599999999</v>
      </c>
      <c r="J7" s="45">
        <v>7.8011956500000004</v>
      </c>
      <c r="K7" s="45">
        <v>6.4431578900000002</v>
      </c>
      <c r="L7" s="45">
        <v>5.8456818100000003</v>
      </c>
      <c r="M7" s="45">
        <v>5.5053571400000001</v>
      </c>
    </row>
    <row r="8" spans="1:13" x14ac:dyDescent="0.2">
      <c r="A8" s="44">
        <v>1974</v>
      </c>
      <c r="B8" s="45">
        <v>5.9880263100000004</v>
      </c>
      <c r="C8" s="45">
        <v>6.2156818100000004</v>
      </c>
      <c r="D8" s="45">
        <v>6.2973611099999998</v>
      </c>
      <c r="E8" s="45">
        <v>6.1611904700000002</v>
      </c>
      <c r="F8" s="45">
        <v>5.3802380899999998</v>
      </c>
      <c r="G8" s="45">
        <v>5.3565908999999996</v>
      </c>
      <c r="H8" s="45">
        <v>5.4533750000000003</v>
      </c>
      <c r="I8" s="45">
        <v>7.0824999999999996</v>
      </c>
      <c r="J8" s="45">
        <v>7.8106818100000002</v>
      </c>
      <c r="K8" s="45">
        <v>7.6814999999999998</v>
      </c>
      <c r="L8" s="45">
        <v>8.5882608600000001</v>
      </c>
      <c r="M8" s="45">
        <v>8</v>
      </c>
    </row>
    <row r="9" spans="1:13" x14ac:dyDescent="0.2">
      <c r="A9" s="44">
        <v>1975</v>
      </c>
      <c r="B9" s="45">
        <v>7.0635714199999997</v>
      </c>
      <c r="C9" s="45">
        <v>6.3407954499999999</v>
      </c>
      <c r="D9" s="45">
        <v>5.7601315700000004</v>
      </c>
      <c r="E9" s="45">
        <v>5.5718750000000004</v>
      </c>
      <c r="F9" s="45">
        <v>5.5323863600000003</v>
      </c>
      <c r="G9" s="45">
        <v>4.9863095199999998</v>
      </c>
      <c r="H9" s="45">
        <v>4.9407142799999999</v>
      </c>
      <c r="I9" s="45">
        <v>5.5492045399999999</v>
      </c>
      <c r="J9" s="45">
        <v>6.1144047600000002</v>
      </c>
      <c r="K9" s="45">
        <v>5.7344047600000003</v>
      </c>
      <c r="L9" s="45">
        <v>5.2457608599999999</v>
      </c>
      <c r="M9" s="45">
        <v>4.8243749999999999</v>
      </c>
    </row>
    <row r="10" spans="1:13" x14ac:dyDescent="0.2">
      <c r="A10" s="44">
        <v>1976</v>
      </c>
      <c r="B10" s="45">
        <v>5.0336904699999998</v>
      </c>
      <c r="C10" s="45">
        <v>5.0466666599999996</v>
      </c>
      <c r="D10" s="45">
        <v>5.0852631500000003</v>
      </c>
      <c r="E10" s="45">
        <v>5.0226086900000002</v>
      </c>
      <c r="F10" s="45">
        <v>5.0444047599999999</v>
      </c>
      <c r="G10" s="45">
        <v>5.4387499999999998</v>
      </c>
      <c r="H10" s="45">
        <v>6.4846590900000001</v>
      </c>
      <c r="I10" s="45">
        <v>6.96916666</v>
      </c>
      <c r="J10" s="45">
        <v>6.5064772700000004</v>
      </c>
      <c r="K10" s="45">
        <v>6.8102380900000004</v>
      </c>
      <c r="L10" s="45">
        <v>6.4124999999999996</v>
      </c>
      <c r="M10" s="45">
        <v>6.5851923000000001</v>
      </c>
    </row>
    <row r="11" spans="1:13" x14ac:dyDescent="0.2">
      <c r="A11" s="44">
        <v>1977</v>
      </c>
      <c r="B11" s="45">
        <v>6.2532142799999999</v>
      </c>
      <c r="C11" s="45">
        <v>6.67595238</v>
      </c>
      <c r="D11" s="45">
        <v>6.9648684200000002</v>
      </c>
      <c r="E11" s="45">
        <v>7.1589130399999998</v>
      </c>
      <c r="F11" s="45">
        <v>7.2893749999999997</v>
      </c>
      <c r="G11" s="45">
        <v>7.3156249999999998</v>
      </c>
      <c r="H11" s="45">
        <v>7.2038636299999999</v>
      </c>
      <c r="I11" s="45">
        <v>5.9416250000000002</v>
      </c>
      <c r="J11" s="45">
        <v>5.29641304</v>
      </c>
      <c r="K11" s="45">
        <v>5.26392857</v>
      </c>
      <c r="L11" s="45">
        <v>5.3108333300000004</v>
      </c>
      <c r="M11" s="45">
        <v>5.9087500000000004</v>
      </c>
    </row>
    <row r="12" spans="1:13" x14ac:dyDescent="0.2">
      <c r="A12" s="44">
        <v>1978</v>
      </c>
      <c r="B12" s="45">
        <v>5.9163095200000004</v>
      </c>
      <c r="C12" s="45">
        <v>5.76273809</v>
      </c>
      <c r="D12" s="45">
        <v>5.7586842100000002</v>
      </c>
      <c r="E12" s="45">
        <v>6.1177272699999996</v>
      </c>
      <c r="F12" s="45">
        <v>6.1852499999999999</v>
      </c>
      <c r="G12" s="45">
        <v>6.3064772700000002</v>
      </c>
      <c r="H12" s="45">
        <v>6.3368181799999999</v>
      </c>
      <c r="I12" s="45">
        <v>6.0842499999999999</v>
      </c>
      <c r="J12" s="45">
        <v>6.2304347800000004</v>
      </c>
      <c r="K12" s="45">
        <v>6.5096249999999998</v>
      </c>
      <c r="L12" s="45">
        <v>6.83818181</v>
      </c>
      <c r="M12" s="45">
        <v>6.7076922999999997</v>
      </c>
    </row>
    <row r="13" spans="1:13" x14ac:dyDescent="0.2">
      <c r="A13" s="44">
        <v>1979</v>
      </c>
      <c r="B13" s="45">
        <v>6.6522500000000004</v>
      </c>
      <c r="C13" s="45">
        <v>6.7318181800000003</v>
      </c>
      <c r="D13" s="45">
        <v>6.9719736799999996</v>
      </c>
      <c r="E13" s="45">
        <v>7.0898863600000004</v>
      </c>
      <c r="F13" s="45">
        <v>7.0279999999999996</v>
      </c>
      <c r="G13" s="45">
        <v>7.1878409000000003</v>
      </c>
      <c r="H13" s="45">
        <v>7.7755952300000004</v>
      </c>
      <c r="I13" s="45">
        <v>7.5586904700000002</v>
      </c>
      <c r="J13" s="45">
        <v>7.1441304299999997</v>
      </c>
      <c r="K13" s="45">
        <v>7.1318421000000001</v>
      </c>
      <c r="L13" s="45">
        <v>6.7183695600000002</v>
      </c>
      <c r="M13" s="45">
        <v>6.5776785699999998</v>
      </c>
    </row>
    <row r="14" spans="1:13" x14ac:dyDescent="0.2">
      <c r="A14" s="44">
        <v>1980</v>
      </c>
      <c r="B14" s="45">
        <v>7.4284210499999999</v>
      </c>
      <c r="C14" s="45">
        <v>7.288875</v>
      </c>
      <c r="D14" s="45">
        <v>7.2880000000000003</v>
      </c>
      <c r="E14" s="45">
        <v>6.9055952300000003</v>
      </c>
      <c r="F14" s="45">
        <v>6.52488095</v>
      </c>
      <c r="G14" s="45">
        <v>6.5497619</v>
      </c>
      <c r="H14" s="45">
        <v>6.6429761899999997</v>
      </c>
      <c r="I14" s="45">
        <v>7.7086363599999999</v>
      </c>
      <c r="J14" s="45">
        <v>7.8285714200000003</v>
      </c>
      <c r="K14" s="45">
        <v>8.3860714200000004</v>
      </c>
      <c r="L14" s="45">
        <v>8.5722825999999994</v>
      </c>
      <c r="M14" s="45">
        <v>8.9906818099999999</v>
      </c>
    </row>
    <row r="15" spans="1:13" x14ac:dyDescent="0.2">
      <c r="A15" s="44">
        <v>1981</v>
      </c>
      <c r="B15" s="45">
        <v>8.2128571400000006</v>
      </c>
      <c r="C15" s="45">
        <v>8.3467857100000007</v>
      </c>
      <c r="D15" s="45">
        <v>8.2635526299999995</v>
      </c>
      <c r="E15" s="45">
        <v>8.09136363</v>
      </c>
      <c r="F15" s="45">
        <v>8.4008333299999993</v>
      </c>
      <c r="G15" s="45">
        <v>7.9072500000000003</v>
      </c>
      <c r="H15" s="45">
        <v>7.4860227200000002</v>
      </c>
      <c r="I15" s="45">
        <v>7.6260227199999999</v>
      </c>
      <c r="J15" s="45">
        <v>7.0309523799999996</v>
      </c>
      <c r="K15" s="45">
        <v>6.6398809500000002</v>
      </c>
      <c r="L15" s="45">
        <v>6.5647727199999997</v>
      </c>
      <c r="M15" s="45">
        <v>6.4359615300000002</v>
      </c>
    </row>
    <row r="16" spans="1:13" x14ac:dyDescent="0.2">
      <c r="A16" s="44">
        <v>1982</v>
      </c>
      <c r="B16" s="45">
        <v>6.7289772699999997</v>
      </c>
      <c r="C16" s="45">
        <v>6.7638749999999996</v>
      </c>
      <c r="D16" s="45">
        <v>6.7582894700000002</v>
      </c>
      <c r="E16" s="45">
        <v>6.4670652100000003</v>
      </c>
      <c r="F16" s="45">
        <v>6.7492857099999997</v>
      </c>
      <c r="G16" s="45">
        <v>6.7221250000000001</v>
      </c>
      <c r="H16" s="45">
        <v>6.4061363599999996</v>
      </c>
      <c r="I16" s="45">
        <v>6.18154761</v>
      </c>
      <c r="J16" s="45">
        <v>5.7746590900000001</v>
      </c>
      <c r="K16" s="45">
        <v>5.4840476100000002</v>
      </c>
      <c r="L16" s="45">
        <v>5.3245237999999997</v>
      </c>
      <c r="M16" s="45">
        <v>5.6055769199999999</v>
      </c>
    </row>
    <row r="17" spans="1:13" x14ac:dyDescent="0.2">
      <c r="A17" s="44">
        <v>1983</v>
      </c>
      <c r="B17" s="45">
        <v>5.8989285699999998</v>
      </c>
      <c r="C17" s="45">
        <v>6.14630952</v>
      </c>
      <c r="D17" s="45">
        <v>6.3338157800000001</v>
      </c>
      <c r="E17" s="45">
        <v>6.4068478200000003</v>
      </c>
      <c r="F17" s="45">
        <v>6.7750000000000004</v>
      </c>
      <c r="G17" s="45">
        <v>6.5272619000000001</v>
      </c>
      <c r="H17" s="45">
        <v>6.2203409000000001</v>
      </c>
      <c r="I17" s="45">
        <v>6.8778750000000004</v>
      </c>
      <c r="J17" s="45">
        <v>8.6646739099999994</v>
      </c>
      <c r="K17" s="45">
        <v>9.0104761900000003</v>
      </c>
      <c r="L17" s="45">
        <v>8.4288095199999997</v>
      </c>
      <c r="M17" s="45">
        <v>8.3053571399999999</v>
      </c>
    </row>
    <row r="18" spans="1:13" x14ac:dyDescent="0.2">
      <c r="A18" s="44">
        <v>1984</v>
      </c>
      <c r="B18" s="45">
        <v>6.9044047600000003</v>
      </c>
      <c r="C18" s="45">
        <v>7.1689285700000003</v>
      </c>
      <c r="D18" s="45">
        <v>7.1057499999999996</v>
      </c>
      <c r="E18" s="45">
        <v>7.3276136300000001</v>
      </c>
      <c r="F18" s="45">
        <v>7.2335000000000003</v>
      </c>
      <c r="G18" s="45">
        <v>7.3297727200000002</v>
      </c>
      <c r="H18" s="45">
        <v>7.2642857100000002</v>
      </c>
      <c r="I18" s="45">
        <v>6.3855952299999998</v>
      </c>
      <c r="J18" s="45">
        <v>6.3595652100000004</v>
      </c>
      <c r="K18" s="45">
        <v>6.1057894700000004</v>
      </c>
      <c r="L18" s="45">
        <v>6.1383695600000001</v>
      </c>
      <c r="M18" s="45">
        <v>6.1828571400000003</v>
      </c>
    </row>
    <row r="19" spans="1:13" x14ac:dyDescent="0.2">
      <c r="A19" s="44">
        <v>1985</v>
      </c>
      <c r="B19" s="45">
        <v>6.2218749999999998</v>
      </c>
      <c r="C19" s="45">
        <v>6.1147727200000004</v>
      </c>
      <c r="D19" s="45">
        <v>6.0610526299999998</v>
      </c>
      <c r="E19" s="45">
        <v>6.0123809499999998</v>
      </c>
      <c r="F19" s="45">
        <v>6.1039285699999999</v>
      </c>
      <c r="G19" s="45">
        <v>5.83</v>
      </c>
      <c r="H19" s="45">
        <v>5.6728750000000003</v>
      </c>
      <c r="I19" s="45">
        <v>5.54102272</v>
      </c>
      <c r="J19" s="45">
        <v>5.1614772699999998</v>
      </c>
      <c r="K19" s="45">
        <v>5.1236249999999997</v>
      </c>
      <c r="L19" s="45">
        <v>5.0489130400000004</v>
      </c>
      <c r="M19" s="45">
        <v>5.1248076899999999</v>
      </c>
    </row>
    <row r="20" spans="1:13" x14ac:dyDescent="0.2">
      <c r="A20" s="44">
        <v>1986</v>
      </c>
      <c r="B20" s="45">
        <v>5.2953571400000001</v>
      </c>
      <c r="C20" s="45">
        <v>5.3495454499999999</v>
      </c>
      <c r="D20" s="45">
        <v>5.1543421</v>
      </c>
      <c r="E20" s="45">
        <v>5.1768749999999999</v>
      </c>
      <c r="F20" s="45">
        <v>5.1151136299999997</v>
      </c>
      <c r="G20" s="45">
        <v>5.20821428</v>
      </c>
      <c r="H20" s="45">
        <v>5.0283333299999997</v>
      </c>
      <c r="I20" s="45">
        <v>4.9879545399999996</v>
      </c>
      <c r="J20" s="45">
        <v>4.7565476100000001</v>
      </c>
      <c r="K20" s="45">
        <v>4.7952380899999998</v>
      </c>
      <c r="L20" s="45">
        <v>4.8168478199999996</v>
      </c>
      <c r="M20" s="45">
        <v>4.9966666599999998</v>
      </c>
    </row>
    <row r="21" spans="1:13" x14ac:dyDescent="0.2">
      <c r="A21" s="44">
        <v>1987</v>
      </c>
      <c r="B21" s="45">
        <v>4.9352272700000004</v>
      </c>
      <c r="C21" s="45">
        <v>4.8509523799999998</v>
      </c>
      <c r="D21" s="45">
        <v>4.7146052599999999</v>
      </c>
      <c r="E21" s="45">
        <v>4.77727272</v>
      </c>
      <c r="F21" s="45">
        <v>5.1058333300000003</v>
      </c>
      <c r="G21" s="45">
        <v>5.6352500000000001</v>
      </c>
      <c r="H21" s="45">
        <v>5.7414772699999999</v>
      </c>
      <c r="I21" s="45">
        <v>5.29261363</v>
      </c>
      <c r="J21" s="45">
        <v>5.0486904700000004</v>
      </c>
      <c r="K21" s="45">
        <v>5.2472618999999998</v>
      </c>
      <c r="L21" s="45">
        <v>5.38375</v>
      </c>
      <c r="M21" s="45">
        <v>5.47576923</v>
      </c>
    </row>
    <row r="22" spans="1:13" x14ac:dyDescent="0.2">
      <c r="A22" s="44">
        <v>1988</v>
      </c>
      <c r="B22" s="45">
        <v>5.8810227199999998</v>
      </c>
      <c r="C22" s="45">
        <v>6.3268750000000002</v>
      </c>
      <c r="D22" s="45">
        <v>6.4301250000000003</v>
      </c>
      <c r="E22" s="45">
        <v>6.5347825999999998</v>
      </c>
      <c r="F22" s="45">
        <v>6.9545000000000003</v>
      </c>
      <c r="G22" s="45">
        <v>7.5602380900000004</v>
      </c>
      <c r="H22" s="45">
        <v>9.2874999999999996</v>
      </c>
      <c r="I22" s="45">
        <v>8.7717500000000008</v>
      </c>
      <c r="J22" s="45">
        <v>8.6226086899999999</v>
      </c>
      <c r="K22" s="45">
        <v>8.5691666600000005</v>
      </c>
      <c r="L22" s="45">
        <v>7.9255952299999999</v>
      </c>
      <c r="M22" s="45">
        <v>7.6914285700000002</v>
      </c>
    </row>
    <row r="23" spans="1:13" x14ac:dyDescent="0.2">
      <c r="A23" s="44">
        <v>1989</v>
      </c>
      <c r="B23" s="45">
        <v>7.07107142</v>
      </c>
      <c r="C23" s="45">
        <v>7.3517857099999997</v>
      </c>
      <c r="D23" s="45">
        <v>7.2409210499999999</v>
      </c>
      <c r="E23" s="45">
        <v>7.4140908999999997</v>
      </c>
      <c r="F23" s="45">
        <v>7.1927500000000002</v>
      </c>
      <c r="G23" s="45">
        <v>6.8834090899999998</v>
      </c>
      <c r="H23" s="45">
        <v>6.4092045400000002</v>
      </c>
      <c r="I23" s="45">
        <v>6.3544999999999998</v>
      </c>
      <c r="J23" s="45">
        <v>5.7905434700000002</v>
      </c>
      <c r="K23" s="45">
        <v>5.7685000000000004</v>
      </c>
      <c r="L23" s="45">
        <v>5.6169318099999996</v>
      </c>
      <c r="M23" s="45">
        <v>5.7230357100000004</v>
      </c>
    </row>
    <row r="24" spans="1:13" x14ac:dyDescent="0.2">
      <c r="A24" s="44">
        <v>1990</v>
      </c>
      <c r="B24" s="45">
        <v>6.147125</v>
      </c>
      <c r="C24" s="45">
        <v>6.0565908999999998</v>
      </c>
      <c r="D24" s="45">
        <v>5.9540789399999996</v>
      </c>
      <c r="E24" s="45">
        <v>6.1669318100000003</v>
      </c>
      <c r="F24" s="45">
        <v>6.2598750000000001</v>
      </c>
      <c r="G24" s="45">
        <v>6.4392045400000004</v>
      </c>
      <c r="H24" s="45">
        <v>6.2035714200000003</v>
      </c>
      <c r="I24" s="45">
        <v>6.2522618999999997</v>
      </c>
      <c r="J24" s="45">
        <v>6.20217391</v>
      </c>
      <c r="K24" s="45">
        <v>6.2523684199999998</v>
      </c>
      <c r="L24" s="45">
        <v>6.1172826000000002</v>
      </c>
      <c r="M24" s="45">
        <v>5.7271428499999999</v>
      </c>
    </row>
    <row r="25" spans="1:13" x14ac:dyDescent="0.2">
      <c r="A25" s="44">
        <v>1991</v>
      </c>
      <c r="B25" s="45">
        <v>6.1976250000000004</v>
      </c>
      <c r="C25" s="45">
        <v>6.0647727199999997</v>
      </c>
      <c r="D25" s="45">
        <v>6.1490789399999999</v>
      </c>
      <c r="E25" s="45">
        <v>6.1775000000000002</v>
      </c>
      <c r="F25" s="45">
        <v>6.1810227199999996</v>
      </c>
      <c r="G25" s="45">
        <v>5.9265908999999999</v>
      </c>
      <c r="H25" s="45">
        <v>5.7876250000000002</v>
      </c>
      <c r="I25" s="45">
        <v>5.4734090899999996</v>
      </c>
      <c r="J25" s="45">
        <v>5.7935227200000003</v>
      </c>
      <c r="K25" s="45">
        <v>5.9398749999999998</v>
      </c>
      <c r="L25" s="45">
        <v>5.5985869499999996</v>
      </c>
      <c r="M25" s="45">
        <v>5.5848076899999999</v>
      </c>
    </row>
    <row r="26" spans="1:13" x14ac:dyDescent="0.2">
      <c r="A26" s="44">
        <v>1992</v>
      </c>
      <c r="B26" s="45">
        <v>5.8271428500000004</v>
      </c>
      <c r="C26" s="45">
        <v>5.9669318100000002</v>
      </c>
      <c r="D26" s="45">
        <v>6.0618420999999998</v>
      </c>
      <c r="E26" s="45">
        <v>6.1789772699999999</v>
      </c>
      <c r="F26" s="45">
        <v>5.96763157</v>
      </c>
      <c r="G26" s="45">
        <v>6.1807499999999997</v>
      </c>
      <c r="H26" s="45">
        <v>6.2598863600000003</v>
      </c>
      <c r="I26" s="45">
        <v>5.7353408999999997</v>
      </c>
      <c r="J26" s="45">
        <v>5.4417857100000004</v>
      </c>
      <c r="K26" s="45">
        <v>5.4748809500000002</v>
      </c>
      <c r="L26" s="45">
        <v>5.3793181800000003</v>
      </c>
      <c r="M26" s="45">
        <v>5.5496153799999997</v>
      </c>
    </row>
    <row r="27" spans="1:13" x14ac:dyDescent="0.2">
      <c r="A27" s="44">
        <v>1993</v>
      </c>
      <c r="B27" s="45">
        <v>5.9045454499999996</v>
      </c>
      <c r="C27" s="45">
        <v>5.9293750000000003</v>
      </c>
      <c r="D27" s="45">
        <v>5.8631578900000001</v>
      </c>
      <c r="E27" s="45">
        <v>5.9824999999999999</v>
      </c>
      <c r="F27" s="45">
        <v>6.0321428499999996</v>
      </c>
      <c r="G27" s="45">
        <v>6.0335000000000001</v>
      </c>
      <c r="H27" s="45">
        <v>6.03045454</v>
      </c>
      <c r="I27" s="45">
        <v>7.0738095200000002</v>
      </c>
      <c r="J27" s="45">
        <v>6.7229545399999999</v>
      </c>
      <c r="K27" s="45">
        <v>6.3884523800000004</v>
      </c>
      <c r="L27" s="45">
        <v>6.1526190400000003</v>
      </c>
      <c r="M27" s="45">
        <v>6.5480357099999997</v>
      </c>
    </row>
    <row r="28" spans="1:13" x14ac:dyDescent="0.2">
      <c r="A28" s="44">
        <v>1994</v>
      </c>
      <c r="B28" s="45">
        <v>6.4044047600000003</v>
      </c>
      <c r="C28" s="45">
        <v>6.5295237999999998</v>
      </c>
      <c r="D28" s="45">
        <v>6.4776315699999998</v>
      </c>
      <c r="E28" s="45">
        <v>6.4954347800000001</v>
      </c>
      <c r="F28" s="45">
        <v>6.1848684199999999</v>
      </c>
      <c r="G28" s="45">
        <v>6.3729761900000002</v>
      </c>
      <c r="H28" s="45">
        <v>6.53840909</v>
      </c>
      <c r="I28" s="45">
        <v>5.7386249999999999</v>
      </c>
      <c r="J28" s="45">
        <v>5.6529347799999998</v>
      </c>
      <c r="K28" s="45">
        <v>5.6220238</v>
      </c>
      <c r="L28" s="45">
        <v>5.4071428499999996</v>
      </c>
      <c r="M28" s="45">
        <v>5.5483928499999999</v>
      </c>
    </row>
    <row r="29" spans="1:13" x14ac:dyDescent="0.2">
      <c r="A29" s="44">
        <v>1995</v>
      </c>
      <c r="B29" s="45">
        <v>5.95761904</v>
      </c>
      <c r="C29" s="45">
        <v>5.83380952</v>
      </c>
      <c r="D29" s="45">
        <v>5.8463157800000003</v>
      </c>
      <c r="E29" s="45">
        <v>6.0081521699999998</v>
      </c>
      <c r="F29" s="45">
        <v>6.0219736800000003</v>
      </c>
      <c r="G29" s="45">
        <v>6.0010227199999999</v>
      </c>
      <c r="H29" s="45">
        <v>6.0793181799999996</v>
      </c>
      <c r="I29" s="45">
        <v>6.2983750000000001</v>
      </c>
      <c r="J29" s="45">
        <v>6.0653260800000002</v>
      </c>
      <c r="K29" s="45">
        <v>6.383</v>
      </c>
      <c r="L29" s="45">
        <v>6.5580681800000002</v>
      </c>
      <c r="M29" s="45">
        <v>6.7901785700000001</v>
      </c>
    </row>
    <row r="30" spans="1:13" x14ac:dyDescent="0.2">
      <c r="A30" s="44">
        <v>1996</v>
      </c>
      <c r="B30" s="45">
        <v>6.9208749999999997</v>
      </c>
      <c r="C30" s="45">
        <v>7.0270454500000001</v>
      </c>
      <c r="D30" s="45">
        <v>7.225625</v>
      </c>
      <c r="E30" s="45">
        <v>7.2536904699999996</v>
      </c>
      <c r="F30" s="45">
        <v>7.7577380900000001</v>
      </c>
      <c r="G30" s="45">
        <v>7.7670454500000004</v>
      </c>
      <c r="H30" s="45">
        <v>7.4191250000000002</v>
      </c>
      <c r="I30" s="45">
        <v>7.53125</v>
      </c>
      <c r="J30" s="45">
        <v>7.7245454499999999</v>
      </c>
      <c r="K30" s="45">
        <v>7.9394999999999998</v>
      </c>
      <c r="L30" s="45">
        <v>7.07</v>
      </c>
      <c r="M30" s="45">
        <v>6.8636538399999996</v>
      </c>
    </row>
    <row r="31" spans="1:13" x14ac:dyDescent="0.2">
      <c r="A31" s="44">
        <v>1997</v>
      </c>
      <c r="B31" s="45">
        <v>6.6210714199999998</v>
      </c>
      <c r="C31" s="45">
        <v>6.82227272</v>
      </c>
      <c r="D31" s="45">
        <v>6.97</v>
      </c>
      <c r="E31" s="45">
        <v>7.1636249999999997</v>
      </c>
      <c r="F31" s="45">
        <v>6.9669318100000002</v>
      </c>
      <c r="G31" s="45">
        <v>6.9558333299999999</v>
      </c>
      <c r="H31" s="45">
        <v>6.6702380899999998</v>
      </c>
      <c r="I31" s="45">
        <v>6.0721590900000004</v>
      </c>
      <c r="J31" s="45">
        <v>6.2385714200000004</v>
      </c>
      <c r="K31" s="45">
        <v>6.3688095200000001</v>
      </c>
      <c r="L31" s="45">
        <v>6.8239130399999999</v>
      </c>
      <c r="M31" s="45">
        <v>7.2720833300000001</v>
      </c>
    </row>
    <row r="32" spans="1:13" x14ac:dyDescent="0.2">
      <c r="A32" s="44">
        <v>1998</v>
      </c>
      <c r="B32" s="45">
        <v>6.7443181799999996</v>
      </c>
      <c r="C32" s="45">
        <v>6.5925000000000002</v>
      </c>
      <c r="D32" s="45">
        <v>6.6401315700000003</v>
      </c>
      <c r="E32" s="45">
        <v>6.4042045400000003</v>
      </c>
      <c r="F32" s="45">
        <v>6.1801190400000001</v>
      </c>
      <c r="G32" s="45">
        <v>6.1596250000000001</v>
      </c>
      <c r="H32" s="45">
        <v>6.0151136300000001</v>
      </c>
      <c r="I32" s="45">
        <v>5.8546590900000002</v>
      </c>
      <c r="J32" s="45">
        <v>5.3357142800000004</v>
      </c>
      <c r="K32" s="45">
        <v>5.2504761899999997</v>
      </c>
      <c r="L32" s="45">
        <v>5.4632954500000004</v>
      </c>
      <c r="M32" s="45">
        <v>5.6736538400000001</v>
      </c>
    </row>
    <row r="33" spans="1:13" x14ac:dyDescent="0.2">
      <c r="A33" s="44">
        <v>1999</v>
      </c>
      <c r="B33" s="45">
        <v>5.8456818100000003</v>
      </c>
      <c r="C33" s="45">
        <v>5.4814473599999998</v>
      </c>
      <c r="D33" s="45">
        <v>5.1107894700000003</v>
      </c>
      <c r="E33" s="45">
        <v>5.0231521700000004</v>
      </c>
      <c r="F33" s="45">
        <v>5.0689285699999997</v>
      </c>
      <c r="G33" s="45">
        <v>4.8413750000000002</v>
      </c>
      <c r="H33" s="45">
        <v>4.7162499999999996</v>
      </c>
      <c r="I33" s="45">
        <v>4.3408333299999997</v>
      </c>
      <c r="J33" s="45">
        <v>4.74443181</v>
      </c>
      <c r="K33" s="45">
        <v>4.9471428499999996</v>
      </c>
      <c r="L33" s="45">
        <v>4.8485714199999999</v>
      </c>
      <c r="M33" s="45">
        <v>4.6494642800000001</v>
      </c>
    </row>
    <row r="34" spans="1:13" x14ac:dyDescent="0.2">
      <c r="A34" s="44">
        <v>2000</v>
      </c>
      <c r="B34" s="45">
        <v>4.8884523800000004</v>
      </c>
      <c r="C34" s="45">
        <v>5.2</v>
      </c>
      <c r="D34" s="45">
        <v>5.3205</v>
      </c>
      <c r="E34" s="45">
        <v>5.4395652099999996</v>
      </c>
      <c r="F34" s="45">
        <v>5.61473684</v>
      </c>
      <c r="G34" s="45">
        <v>5.6286363599999998</v>
      </c>
      <c r="H34" s="45">
        <v>5.0467045400000003</v>
      </c>
      <c r="I34" s="45">
        <v>4.6070000000000002</v>
      </c>
      <c r="J34" s="45">
        <v>4.67141304</v>
      </c>
      <c r="K34" s="45">
        <v>4.9558749999999998</v>
      </c>
      <c r="L34" s="45">
        <v>4.7246590900000003</v>
      </c>
      <c r="M34" s="45">
        <v>4.7037500000000003</v>
      </c>
    </row>
    <row r="35" spans="1:13" x14ac:dyDescent="0.2">
      <c r="A35" s="44">
        <v>2001</v>
      </c>
      <c r="B35" s="45">
        <v>5.2387499999999996</v>
      </c>
      <c r="C35" s="45">
        <v>4.91023809</v>
      </c>
      <c r="D35" s="45">
        <v>4.6655263099999997</v>
      </c>
      <c r="E35" s="45">
        <v>4.5613636299999998</v>
      </c>
      <c r="F35" s="45">
        <v>4.3176249999999996</v>
      </c>
      <c r="G35" s="45">
        <v>4.3071590899999999</v>
      </c>
      <c r="H35" s="45">
        <v>4.4476190400000002</v>
      </c>
      <c r="I35" s="45">
        <v>5.0042857100000004</v>
      </c>
      <c r="J35" s="45">
        <v>4.9467391300000001</v>
      </c>
      <c r="K35" s="45">
        <v>4.7087500000000002</v>
      </c>
      <c r="L35" s="45">
        <v>4.3714130400000002</v>
      </c>
      <c r="M35" s="45">
        <v>4.3867500000000001</v>
      </c>
    </row>
    <row r="36" spans="1:13" x14ac:dyDescent="0.2">
      <c r="A36" s="44">
        <v>2002</v>
      </c>
      <c r="B36" s="45">
        <v>4.5065789399999998</v>
      </c>
      <c r="C36" s="45">
        <v>4.4797618999999997</v>
      </c>
      <c r="D36" s="45">
        <v>4.4952631500000004</v>
      </c>
      <c r="E36" s="45">
        <v>4.6996250000000002</v>
      </c>
      <c r="F36" s="45">
        <v>4.63</v>
      </c>
      <c r="G36" s="45">
        <v>4.6693181800000003</v>
      </c>
      <c r="H36" s="45">
        <v>4.7867499999999996</v>
      </c>
      <c r="I36" s="45">
        <v>5.2450000000000001</v>
      </c>
      <c r="J36" s="45">
        <v>5.4384090900000004</v>
      </c>
      <c r="K36" s="45">
        <v>5.6456249999999999</v>
      </c>
      <c r="L36" s="45">
        <v>5.4452173899999998</v>
      </c>
      <c r="M36" s="45">
        <v>5.72</v>
      </c>
    </row>
    <row r="37" spans="1:13" x14ac:dyDescent="0.2">
      <c r="A37" s="44">
        <v>2003</v>
      </c>
      <c r="B37" s="45">
        <v>5.0928750000000003</v>
      </c>
      <c r="C37" s="45">
        <v>5.2020238000000001</v>
      </c>
      <c r="D37" s="45">
        <v>5.2582894700000002</v>
      </c>
      <c r="E37" s="45">
        <v>5.1669047600000004</v>
      </c>
      <c r="F37" s="45">
        <v>5.3111904699999997</v>
      </c>
      <c r="G37" s="45">
        <v>5.61904761</v>
      </c>
      <c r="H37" s="45">
        <v>5.6546428500000001</v>
      </c>
      <c r="I37" s="45">
        <v>5.2605681799999999</v>
      </c>
      <c r="J37" s="45">
        <v>5.5383333300000004</v>
      </c>
      <c r="K37" s="45">
        <v>6.2353571399999996</v>
      </c>
      <c r="L37" s="45">
        <v>7.3206521699999998</v>
      </c>
      <c r="M37" s="45">
        <v>7.6604999999999999</v>
      </c>
    </row>
    <row r="38" spans="1:13" x14ac:dyDescent="0.2">
      <c r="A38" s="44">
        <v>2004</v>
      </c>
      <c r="B38" s="45">
        <v>6.1544318100000002</v>
      </c>
      <c r="C38" s="45">
        <v>6.5934999999999997</v>
      </c>
      <c r="D38" s="45">
        <v>6.71763157</v>
      </c>
      <c r="E38" s="45">
        <v>7.5485869499999998</v>
      </c>
      <c r="F38" s="45">
        <v>7.4977380900000004</v>
      </c>
      <c r="G38" s="45">
        <v>7.2543749999999996</v>
      </c>
      <c r="H38" s="45">
        <v>6.8576190400000003</v>
      </c>
      <c r="I38" s="45">
        <v>6.2877380900000004</v>
      </c>
      <c r="J38" s="45">
        <v>5.85193181</v>
      </c>
      <c r="K38" s="45">
        <v>5.6290476099999998</v>
      </c>
      <c r="L38" s="45">
        <v>5.2644047599999997</v>
      </c>
      <c r="M38" s="45">
        <v>5.16425</v>
      </c>
    </row>
    <row r="39" spans="1:13" x14ac:dyDescent="0.2">
      <c r="A39" s="44">
        <v>2005</v>
      </c>
      <c r="B39" s="45">
        <v>5.6322618999999996</v>
      </c>
      <c r="C39" s="45">
        <v>5.4503750000000002</v>
      </c>
      <c r="D39" s="45">
        <v>5.5322368400000004</v>
      </c>
      <c r="E39" s="45">
        <v>6.1753409000000001</v>
      </c>
      <c r="F39" s="45">
        <v>6.1535714199999996</v>
      </c>
      <c r="G39" s="45">
        <v>6.3377380900000002</v>
      </c>
      <c r="H39" s="45">
        <v>7.0767045399999997</v>
      </c>
      <c r="I39" s="45">
        <v>7.0178750000000001</v>
      </c>
      <c r="J39" s="45">
        <v>6.3751086900000002</v>
      </c>
      <c r="K39" s="45">
        <v>5.8142857100000001</v>
      </c>
      <c r="L39" s="45">
        <v>5.7470238</v>
      </c>
      <c r="M39" s="45">
        <v>5.8045</v>
      </c>
    </row>
    <row r="40" spans="1:13" x14ac:dyDescent="0.2">
      <c r="A40" s="44">
        <v>2006</v>
      </c>
      <c r="B40" s="45">
        <v>6.16321428</v>
      </c>
      <c r="C40" s="45">
        <v>6.1494999999999997</v>
      </c>
      <c r="D40" s="45">
        <v>6.1848684199999999</v>
      </c>
      <c r="E40" s="45">
        <v>6.1091304299999996</v>
      </c>
      <c r="F40" s="45">
        <v>6.0142105199999998</v>
      </c>
      <c r="G40" s="45">
        <v>6.1876136300000004</v>
      </c>
      <c r="H40" s="45">
        <v>6.16181818</v>
      </c>
      <c r="I40" s="45">
        <v>6.1463749999999999</v>
      </c>
      <c r="J40" s="45">
        <v>5.7057608599999998</v>
      </c>
      <c r="K40" s="45">
        <v>5.4786250000000001</v>
      </c>
      <c r="L40" s="45">
        <v>5.9298863600000002</v>
      </c>
      <c r="M40" s="45">
        <v>6.5237499999999997</v>
      </c>
    </row>
    <row r="41" spans="1:13" x14ac:dyDescent="0.2">
      <c r="A41" s="44">
        <v>2007</v>
      </c>
      <c r="B41" s="45">
        <v>7.171875</v>
      </c>
      <c r="C41" s="45">
        <v>7.5140000000000002</v>
      </c>
      <c r="D41" s="45">
        <v>8.0871052599999995</v>
      </c>
      <c r="E41" s="45">
        <v>8.0094318100000006</v>
      </c>
      <c r="F41" s="45">
        <v>7.8021250000000002</v>
      </c>
      <c r="G41" s="45">
        <v>8.0572727200000003</v>
      </c>
      <c r="H41" s="45">
        <v>8.5726190399999993</v>
      </c>
      <c r="I41" s="45">
        <v>8.8138095199999995</v>
      </c>
      <c r="J41" s="45">
        <v>8.5931521699999998</v>
      </c>
      <c r="K41" s="45">
        <v>9.5265789400000003</v>
      </c>
      <c r="L41" s="45">
        <v>9.75413043</v>
      </c>
      <c r="M41" s="45">
        <v>10.265499999999999</v>
      </c>
    </row>
    <row r="42" spans="1:13" x14ac:dyDescent="0.2">
      <c r="A42" s="44">
        <v>2008</v>
      </c>
      <c r="B42" s="45">
        <v>10.695874999999999</v>
      </c>
      <c r="C42" s="45">
        <v>12.16583333</v>
      </c>
      <c r="D42" s="45">
        <v>13.36375</v>
      </c>
      <c r="E42" s="45">
        <v>12.685874999999999</v>
      </c>
      <c r="F42" s="45">
        <v>12.367840899999999</v>
      </c>
      <c r="G42" s="45">
        <v>13.005357139999999</v>
      </c>
      <c r="H42" s="45">
        <v>14.88904761</v>
      </c>
      <c r="I42" s="45">
        <v>14.9190909</v>
      </c>
      <c r="J42" s="45">
        <v>12.85</v>
      </c>
      <c r="K42" s="45">
        <v>11.751190469999999</v>
      </c>
      <c r="L42" s="45">
        <v>9.2202173900000002</v>
      </c>
      <c r="M42" s="45">
        <v>9.0820000000000007</v>
      </c>
    </row>
    <row r="43" spans="1:13" x14ac:dyDescent="0.2">
      <c r="A43" s="44">
        <v>2009</v>
      </c>
      <c r="B43" s="45">
        <v>8.9494318100000001</v>
      </c>
      <c r="C43" s="45">
        <v>9.7100000000000009</v>
      </c>
      <c r="D43" s="45">
        <v>8.7951315700000006</v>
      </c>
      <c r="E43" s="45">
        <v>8.4747727200000007</v>
      </c>
      <c r="F43" s="45">
        <v>9.2233333300000009</v>
      </c>
      <c r="G43" s="45">
        <v>10.001875</v>
      </c>
      <c r="H43" s="45">
        <v>10.37829545</v>
      </c>
      <c r="I43" s="45">
        <v>9.2897727200000002</v>
      </c>
      <c r="J43" s="45">
        <v>10.02821428</v>
      </c>
      <c r="K43" s="45">
        <v>9.3061904700000007</v>
      </c>
      <c r="L43" s="45">
        <v>9.6578409000000001</v>
      </c>
      <c r="M43" s="45">
        <v>9.7705000000000002</v>
      </c>
    </row>
    <row r="44" spans="1:13" x14ac:dyDescent="0.2">
      <c r="A44" s="44">
        <v>2010</v>
      </c>
      <c r="B44" s="45">
        <v>10.16829545</v>
      </c>
      <c r="C44" s="45">
        <v>9.5981578899999995</v>
      </c>
      <c r="D44" s="45">
        <v>9.2294736799999999</v>
      </c>
      <c r="E44" s="45">
        <v>9.2915217299999995</v>
      </c>
      <c r="F44" s="45">
        <v>9.5519047599999993</v>
      </c>
      <c r="G44" s="45">
        <v>9.2627500000000005</v>
      </c>
      <c r="H44" s="45">
        <v>9.1309090899999994</v>
      </c>
      <c r="I44" s="45">
        <v>9.6050000000000004</v>
      </c>
      <c r="J44" s="45">
        <v>10.207613630000001</v>
      </c>
      <c r="K44" s="45">
        <v>10.64845238</v>
      </c>
      <c r="L44" s="45">
        <v>11.625833330000001</v>
      </c>
      <c r="M44" s="45">
        <v>12.70125</v>
      </c>
    </row>
    <row r="45" spans="1:13" x14ac:dyDescent="0.2">
      <c r="A45" s="44">
        <v>2011</v>
      </c>
      <c r="B45" s="45">
        <v>12.33727272</v>
      </c>
      <c r="C45" s="45">
        <v>13.127124999999999</v>
      </c>
      <c r="D45" s="45">
        <v>13.49263157</v>
      </c>
      <c r="E45" s="45">
        <v>13.32304347</v>
      </c>
      <c r="F45" s="45">
        <v>13.672625</v>
      </c>
      <c r="G45" s="45">
        <v>13.396309520000001</v>
      </c>
      <c r="H45" s="45">
        <v>13.531590899999999</v>
      </c>
      <c r="I45" s="45">
        <v>13.643875</v>
      </c>
      <c r="J45" s="45">
        <v>13.70695652</v>
      </c>
      <c r="K45" s="45">
        <v>13.401904760000001</v>
      </c>
      <c r="L45" s="45">
        <v>12.13857142</v>
      </c>
      <c r="M45" s="45">
        <v>11.876749999999999</v>
      </c>
    </row>
    <row r="46" spans="1:13" x14ac:dyDescent="0.2">
      <c r="A46" s="44">
        <v>2012</v>
      </c>
      <c r="B46" s="45">
        <v>11.62416666</v>
      </c>
      <c r="C46" s="45">
        <v>12.034000000000001</v>
      </c>
      <c r="D46" s="45">
        <v>12.547625</v>
      </c>
      <c r="E46" s="45">
        <v>13.123863630000001</v>
      </c>
      <c r="F46" s="45">
        <v>13.634375</v>
      </c>
      <c r="G46" s="45">
        <v>13.16727272</v>
      </c>
      <c r="H46" s="45">
        <v>13.49285714</v>
      </c>
      <c r="I46" s="45">
        <v>15.73130952</v>
      </c>
      <c r="J46" s="45">
        <v>16.647391299999999</v>
      </c>
      <c r="K46" s="45">
        <v>16.756184210000001</v>
      </c>
      <c r="L46" s="45">
        <v>15.39108695</v>
      </c>
      <c r="M46" s="45">
        <v>14.837249999999999</v>
      </c>
    </row>
    <row r="47" spans="1:13" x14ac:dyDescent="0.2">
      <c r="A47" s="44">
        <v>2013</v>
      </c>
      <c r="B47" s="45">
        <v>13.136374999999999</v>
      </c>
      <c r="C47" s="45">
        <v>12.963571419999999</v>
      </c>
      <c r="D47" s="45">
        <v>12.871447359999999</v>
      </c>
      <c r="E47" s="45">
        <v>12.671625000000001</v>
      </c>
      <c r="F47" s="45">
        <v>12.2303409</v>
      </c>
      <c r="G47" s="45">
        <v>12.32704545</v>
      </c>
      <c r="H47" s="45">
        <v>12.968125000000001</v>
      </c>
      <c r="I47" s="45">
        <v>12.53931818</v>
      </c>
      <c r="J47" s="45">
        <v>12.65670454</v>
      </c>
      <c r="K47" s="45">
        <v>13.438124999999999</v>
      </c>
      <c r="L47" s="45">
        <v>12.868260859999999</v>
      </c>
      <c r="M47" s="45">
        <v>12.901249999999999</v>
      </c>
    </row>
    <row r="48" spans="1:13" x14ac:dyDescent="0.2">
      <c r="A48" s="44">
        <v>2014</v>
      </c>
      <c r="B48" s="45">
        <v>11.59916666</v>
      </c>
      <c r="C48" s="45">
        <v>11.1195238</v>
      </c>
      <c r="D48" s="45">
        <v>11.36328947</v>
      </c>
      <c r="E48" s="45">
        <v>11.83654761</v>
      </c>
      <c r="F48" s="45">
        <v>12.24178571</v>
      </c>
      <c r="G48" s="45">
        <v>12.3247619</v>
      </c>
      <c r="H48" s="45">
        <v>12.201666660000001</v>
      </c>
      <c r="I48" s="45">
        <v>10.96806818</v>
      </c>
      <c r="J48" s="45">
        <v>10.5222619</v>
      </c>
      <c r="K48" s="45">
        <v>9.7146428500000006</v>
      </c>
      <c r="L48" s="45">
        <v>9.6463043400000004</v>
      </c>
      <c r="M48" s="45">
        <v>10.344250000000001</v>
      </c>
    </row>
    <row r="49" spans="1:16" x14ac:dyDescent="0.2">
      <c r="A49" s="44">
        <v>2015</v>
      </c>
      <c r="B49" s="45">
        <v>10.113863630000001</v>
      </c>
      <c r="C49" s="45">
        <v>9.8375000000000004</v>
      </c>
      <c r="D49" s="45">
        <v>9.7306578899999998</v>
      </c>
      <c r="E49" s="45">
        <v>9.6111363599999997</v>
      </c>
      <c r="F49" s="45">
        <v>9.5590476100000004</v>
      </c>
      <c r="G49" s="45">
        <v>9.3061249999999998</v>
      </c>
      <c r="H49" s="45">
        <v>9.3918181799999996</v>
      </c>
      <c r="I49" s="45">
        <v>9.9229545399999992</v>
      </c>
      <c r="J49" s="45">
        <v>9.1605952300000002</v>
      </c>
      <c r="K49" s="45">
        <v>8.7647618999999999</v>
      </c>
      <c r="L49" s="45">
        <v>8.9109090900000005</v>
      </c>
      <c r="M49" s="45">
        <v>8.7119999999999997</v>
      </c>
    </row>
    <row r="50" spans="1:16" x14ac:dyDescent="0.2">
      <c r="A50" s="44">
        <v>2016</v>
      </c>
      <c r="B50" s="45">
        <v>8.9651136299999994</v>
      </c>
      <c r="C50" s="45">
        <v>8.8388157799999991</v>
      </c>
      <c r="D50" s="45">
        <v>8.85</v>
      </c>
      <c r="E50" s="45">
        <v>9.05215909</v>
      </c>
      <c r="F50" s="45">
        <v>9.6685714199999993</v>
      </c>
      <c r="G50" s="45">
        <v>10.427142849999999</v>
      </c>
      <c r="H50" s="45">
        <v>11.21318181</v>
      </c>
      <c r="I50" s="45">
        <v>10.374000000000001</v>
      </c>
      <c r="J50" s="45">
        <v>9.83</v>
      </c>
      <c r="K50" s="45">
        <v>9.6060714199999993</v>
      </c>
      <c r="L50" s="45">
        <v>9.7536904700000004</v>
      </c>
      <c r="M50" s="45">
        <v>9.8337500000000002</v>
      </c>
    </row>
    <row r="51" spans="1:16" x14ac:dyDescent="0.2">
      <c r="A51" s="44">
        <v>2017</v>
      </c>
      <c r="B51" s="45">
        <v>10.095595230000001</v>
      </c>
      <c r="C51" s="45">
        <v>10.11225</v>
      </c>
      <c r="D51" s="45">
        <v>10.185131578947368</v>
      </c>
      <c r="E51" s="45">
        <v>9.9529347826086969</v>
      </c>
      <c r="F51" s="45">
        <v>9.5528947368421058</v>
      </c>
      <c r="G51" s="45">
        <v>9.5462500000000006</v>
      </c>
      <c r="H51" s="45">
        <v>9.3239772727272729</v>
      </c>
      <c r="I51" s="45">
        <v>10.093500000000001</v>
      </c>
      <c r="J51" s="45">
        <v>9.472282608695652</v>
      </c>
      <c r="K51" s="45">
        <v>9.660874999999999</v>
      </c>
      <c r="L51" s="45">
        <v>9.7506818181818193</v>
      </c>
      <c r="M51" s="45">
        <v>9.9982142857142851</v>
      </c>
    </row>
    <row r="52" spans="1:16" x14ac:dyDescent="0.2">
      <c r="A52" s="44">
        <v>2018</v>
      </c>
      <c r="B52" s="13">
        <v>9.9101250000000007</v>
      </c>
      <c r="C52" s="13">
        <v>9.9297619047619055</v>
      </c>
      <c r="D52" s="13">
        <v>10.162236842105264</v>
      </c>
      <c r="E52" s="13">
        <v>10.334880952380951</v>
      </c>
      <c r="F52" s="13">
        <v>10.397500000000001</v>
      </c>
      <c r="G52" s="13">
        <v>10.316363636363638</v>
      </c>
      <c r="H52" s="13">
        <v>9.461666666666666</v>
      </c>
      <c r="I52" s="13">
        <v>8.6796428571428574</v>
      </c>
      <c r="J52" s="13">
        <v>8.7545652173913044</v>
      </c>
      <c r="K52" s="13">
        <v>8.3939473684210526</v>
      </c>
      <c r="L52" s="13">
        <v>8.5960869565217379</v>
      </c>
      <c r="M52" s="13">
        <v>9.3182142857142853</v>
      </c>
    </row>
    <row r="53" spans="1:16" x14ac:dyDescent="0.2">
      <c r="A53" s="44">
        <v>2019</v>
      </c>
      <c r="B53" s="13">
        <v>9.483625</v>
      </c>
      <c r="C53" s="13">
        <v>9.5326190476190487</v>
      </c>
      <c r="D53" s="13">
        <v>9.5365789473684206</v>
      </c>
      <c r="E53" s="13">
        <v>9.3605952380952377</v>
      </c>
      <c r="F53" s="13">
        <v>9.1569047619047623</v>
      </c>
      <c r="G53" s="13">
        <v>8.6139772727272721</v>
      </c>
      <c r="H53" s="13">
        <v>9.1488750000000003</v>
      </c>
      <c r="I53" s="13">
        <v>9.0544318181818184</v>
      </c>
      <c r="J53" s="13">
        <v>8.7132954545454542</v>
      </c>
      <c r="K53" s="13">
        <v>8.832749999999999</v>
      </c>
      <c r="L53" s="13">
        <v>9.2497826086956518</v>
      </c>
      <c r="M53" s="13">
        <v>9.5328750000000007</v>
      </c>
    </row>
    <row r="54" spans="1:16" x14ac:dyDescent="0.2">
      <c r="A54" s="44">
        <v>2020</v>
      </c>
      <c r="B54" s="13">
        <v>9.5442857142857136</v>
      </c>
      <c r="C54" s="13">
        <v>9.5454761904761902</v>
      </c>
      <c r="D54" s="13">
        <v>9.1731578947368408</v>
      </c>
      <c r="E54" s="13">
        <v>8.7918181818181811</v>
      </c>
      <c r="F54" s="13">
        <v>8.56</v>
      </c>
      <c r="G54" s="13">
        <v>8.5028749999999995</v>
      </c>
      <c r="H54" s="13">
        <v>8.7281818181818185</v>
      </c>
      <c r="I54" s="13">
        <v>8.934772727272728</v>
      </c>
      <c r="J54" s="13">
        <v>9.0378571428571437</v>
      </c>
      <c r="K54" s="13">
        <v>9.9629761904761907</v>
      </c>
      <c r="L54" s="13">
        <v>10.548068181818183</v>
      </c>
      <c r="M54" s="56"/>
    </row>
    <row r="55" spans="1:16" x14ac:dyDescent="0.2">
      <c r="A55" s="44">
        <v>2021</v>
      </c>
      <c r="B55" s="45">
        <v>10.665454545454544</v>
      </c>
      <c r="C55" s="45">
        <v>11.565789473684211</v>
      </c>
      <c r="D55" s="45">
        <v>11.866578947368421</v>
      </c>
      <c r="E55" s="45">
        <v>12.295978260869566</v>
      </c>
      <c r="F55" s="45">
        <v>12.944880952380952</v>
      </c>
      <c r="G55" s="45">
        <v>13.860750000000001</v>
      </c>
      <c r="H55" s="45">
        <v>13.671931818181818</v>
      </c>
      <c r="I55" s="45">
        <v>13.620357142857141</v>
      </c>
      <c r="J55" s="45">
        <v>13.30590909090909</v>
      </c>
      <c r="K55" s="45">
        <v>12.81</v>
      </c>
      <c r="L55" s="45">
        <v>12.30202380952381</v>
      </c>
      <c r="M55" s="13">
        <v>12.364761904761904</v>
      </c>
    </row>
    <row r="56" spans="1:16" x14ac:dyDescent="0.2">
      <c r="A56" s="44">
        <v>2022</v>
      </c>
      <c r="B56" s="45">
        <v>12.48909090909091</v>
      </c>
      <c r="C56" s="45">
        <v>13.133749999999999</v>
      </c>
      <c r="D56" s="45">
        <v>14.326447368421052</v>
      </c>
      <c r="E56" s="45"/>
      <c r="F56" s="45"/>
      <c r="G56" s="46">
        <f>MROUND(FORECAST(K56,G5:G55,K5:K55),0.1)</f>
        <v>13.600000000000001</v>
      </c>
      <c r="H56" s="46">
        <f>MROUND(FORECAST(L56,H5:H55,L5:L55),0.1)</f>
        <v>13.5</v>
      </c>
      <c r="I56" s="45"/>
      <c r="J56" s="45"/>
      <c r="K56" s="39">
        <f>[3]Prices!$B$635</f>
        <v>14.607142857142858</v>
      </c>
      <c r="L56" s="39">
        <f>[3]Prices!$B$636</f>
        <v>13.813095238095238</v>
      </c>
    </row>
    <row r="57" spans="1:16" x14ac:dyDescent="0.2">
      <c r="A57" s="44">
        <v>2023</v>
      </c>
      <c r="K57" s="39">
        <f>[3]Prices!$B$647</f>
        <v>13.242875</v>
      </c>
      <c r="L57" s="39">
        <f>[3]Prices!$B$648</f>
        <v>12.843863636363638</v>
      </c>
    </row>
    <row r="58" spans="1:16" x14ac:dyDescent="0.2">
      <c r="A58" s="44">
        <v>2024</v>
      </c>
      <c r="K58" s="39">
        <f>[3]Prices!$B$659</f>
        <v>10.142125</v>
      </c>
      <c r="L58" s="39">
        <f>[3]Prices!$B$660</f>
        <v>10.028695652173912</v>
      </c>
    </row>
    <row r="59" spans="1:16" x14ac:dyDescent="0.2">
      <c r="A59" s="44">
        <v>2025</v>
      </c>
      <c r="K59" s="39">
        <f>[3]Prices!$B$671</f>
        <v>10.25</v>
      </c>
      <c r="L59" s="39">
        <f>[3]Prices!$B$672</f>
        <v>10</v>
      </c>
    </row>
    <row r="60" spans="1:16" x14ac:dyDescent="0.2">
      <c r="K60" s="39"/>
      <c r="L60" s="39"/>
    </row>
    <row r="61" spans="1:16" ht="15.75" x14ac:dyDescent="0.25">
      <c r="A61" s="47" t="s">
        <v>156</v>
      </c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</row>
    <row r="62" spans="1:16" ht="13.5" x14ac:dyDescent="0.25">
      <c r="A62" s="42" t="s">
        <v>155</v>
      </c>
      <c r="B62" s="43" t="s">
        <v>90</v>
      </c>
      <c r="C62" s="43" t="s">
        <v>91</v>
      </c>
      <c r="D62" s="43" t="s">
        <v>92</v>
      </c>
      <c r="E62" s="43" t="s">
        <v>93</v>
      </c>
      <c r="F62" s="43" t="s">
        <v>94</v>
      </c>
      <c r="G62" s="43" t="s">
        <v>83</v>
      </c>
      <c r="H62" s="43" t="s">
        <v>84</v>
      </c>
      <c r="I62" s="43" t="s">
        <v>85</v>
      </c>
      <c r="J62" s="43" t="s">
        <v>86</v>
      </c>
      <c r="K62" s="43" t="s">
        <v>87</v>
      </c>
      <c r="L62" s="43" t="s">
        <v>88</v>
      </c>
      <c r="M62" s="43" t="s">
        <v>89</v>
      </c>
      <c r="O62" t="str">
        <f>_xlfn.CONCAT(K62," ","Error")</f>
        <v>Sep Error</v>
      </c>
      <c r="P62" t="str">
        <f>_xlfn.CONCAT(L62," ","Error")</f>
        <v>Oct Error</v>
      </c>
    </row>
    <row r="63" spans="1:16" x14ac:dyDescent="0.2">
      <c r="A63" s="44">
        <v>1970</v>
      </c>
      <c r="B63" s="45">
        <v>2.4575</v>
      </c>
      <c r="C63" s="45">
        <v>2.5074999999999998</v>
      </c>
      <c r="D63" s="45">
        <v>2.5274999999999999</v>
      </c>
      <c r="E63" s="45">
        <v>2.54</v>
      </c>
      <c r="F63" s="45">
        <v>2.6349999999999998</v>
      </c>
      <c r="G63" s="45">
        <v>2.6274999999999999</v>
      </c>
      <c r="H63" s="45">
        <v>2.96</v>
      </c>
      <c r="I63" s="45">
        <v>3.02</v>
      </c>
      <c r="J63" s="45">
        <v>2.9750000000000001</v>
      </c>
      <c r="K63" s="45">
        <v>2.92</v>
      </c>
      <c r="L63" s="45">
        <v>3.1025</v>
      </c>
      <c r="M63" s="45">
        <v>3.085</v>
      </c>
      <c r="O63" s="13">
        <f>K63-K4</f>
        <v>7.4047619999999981E-2</v>
      </c>
      <c r="P63" s="13">
        <f>L63-L4</f>
        <v>0.12147728000000013</v>
      </c>
    </row>
    <row r="64" spans="1:16" x14ac:dyDescent="0.2">
      <c r="A64" s="44">
        <v>1971</v>
      </c>
      <c r="B64" s="45">
        <v>2.87</v>
      </c>
      <c r="C64" s="45">
        <v>2.9575</v>
      </c>
      <c r="D64" s="45">
        <v>2.93</v>
      </c>
      <c r="E64" s="45">
        <v>2.915</v>
      </c>
      <c r="F64" s="45">
        <v>2.8824999999999998</v>
      </c>
      <c r="G64" s="45">
        <v>3.06</v>
      </c>
      <c r="H64" s="45">
        <v>3.2374999999999998</v>
      </c>
      <c r="I64" s="45">
        <v>3.4224999999999999</v>
      </c>
      <c r="J64" s="45">
        <v>3.3774999999999999</v>
      </c>
      <c r="K64" s="45">
        <v>3.2749999999999999</v>
      </c>
      <c r="L64" s="45">
        <v>3.2974999999999999</v>
      </c>
      <c r="M64" s="45">
        <v>3.2124999999999999</v>
      </c>
      <c r="O64" s="13">
        <f t="shared" ref="O64:P79" si="0">K64-K5</f>
        <v>0.13249999999999984</v>
      </c>
      <c r="P64" s="13">
        <f t="shared" si="0"/>
        <v>0.11321428999999972</v>
      </c>
    </row>
    <row r="65" spans="1:16" x14ac:dyDescent="0.2">
      <c r="A65" s="44">
        <v>1972</v>
      </c>
      <c r="B65" s="45">
        <v>3.1324999999999998</v>
      </c>
      <c r="C65" s="45">
        <v>3.0724999999999998</v>
      </c>
      <c r="D65" s="45">
        <v>3.0975000000000001</v>
      </c>
      <c r="E65" s="45">
        <v>3.19</v>
      </c>
      <c r="F65" s="45">
        <v>3.2850000000000001</v>
      </c>
      <c r="G65" s="45">
        <v>3.2524999999999999</v>
      </c>
      <c r="H65" s="45">
        <v>3.2850000000000001</v>
      </c>
      <c r="I65" s="45">
        <v>3.31</v>
      </c>
      <c r="J65" s="45">
        <v>3.3925000000000001</v>
      </c>
      <c r="K65" s="45">
        <v>3.49</v>
      </c>
      <c r="L65" s="45">
        <v>3.585</v>
      </c>
      <c r="M65" s="45">
        <v>3.8675000000000002</v>
      </c>
      <c r="O65" s="13">
        <f t="shared" si="0"/>
        <v>9.5125000000000348E-2</v>
      </c>
      <c r="P65" s="13">
        <f t="shared" si="0"/>
        <v>0.17829546000000018</v>
      </c>
    </row>
    <row r="66" spans="1:16" x14ac:dyDescent="0.2">
      <c r="A66" s="44">
        <v>1973</v>
      </c>
      <c r="B66" s="45">
        <v>3.73</v>
      </c>
      <c r="C66" s="45">
        <v>3.7774999999999999</v>
      </c>
      <c r="D66" s="45">
        <v>4.2850000000000001</v>
      </c>
      <c r="E66" s="45">
        <v>4.3574999999999999</v>
      </c>
      <c r="F66" s="45">
        <v>4.62</v>
      </c>
      <c r="G66" s="45">
        <v>6.56</v>
      </c>
      <c r="H66" s="45">
        <v>7.18</v>
      </c>
      <c r="I66" s="45">
        <v>8.26</v>
      </c>
      <c r="J66" s="45">
        <v>9.2899999999999991</v>
      </c>
      <c r="K66" s="45">
        <v>6.95</v>
      </c>
      <c r="L66" s="45">
        <v>6.5650000000000004</v>
      </c>
      <c r="M66" s="45">
        <v>5.78</v>
      </c>
      <c r="O66" s="13">
        <f t="shared" si="0"/>
        <v>0.50684211000000001</v>
      </c>
      <c r="P66" s="13">
        <f t="shared" si="0"/>
        <v>0.71931819000000008</v>
      </c>
    </row>
    <row r="67" spans="1:16" x14ac:dyDescent="0.2">
      <c r="A67" s="44">
        <v>1974</v>
      </c>
      <c r="B67" s="45">
        <v>6.33</v>
      </c>
      <c r="C67" s="45">
        <v>6.45</v>
      </c>
      <c r="D67" s="45">
        <v>6.66</v>
      </c>
      <c r="E67" s="45">
        <v>6.46</v>
      </c>
      <c r="F67" s="45">
        <v>5.79</v>
      </c>
      <c r="G67" s="45">
        <v>5.56</v>
      </c>
      <c r="H67" s="45">
        <v>5.8825000000000003</v>
      </c>
      <c r="I67" s="45">
        <v>8.8650000000000002</v>
      </c>
      <c r="J67" s="45">
        <v>8.9</v>
      </c>
      <c r="K67" s="45">
        <v>8.7799999999999994</v>
      </c>
      <c r="L67" s="45">
        <v>9.56</v>
      </c>
      <c r="M67" s="45">
        <v>8.61</v>
      </c>
      <c r="O67" s="13">
        <f t="shared" si="0"/>
        <v>1.0984999999999996</v>
      </c>
      <c r="P67" s="13">
        <f t="shared" si="0"/>
        <v>0.97173914000000039</v>
      </c>
    </row>
    <row r="68" spans="1:16" x14ac:dyDescent="0.2">
      <c r="A68" s="44">
        <v>1975</v>
      </c>
      <c r="B68" s="45">
        <v>7.42</v>
      </c>
      <c r="C68" s="45">
        <v>6.99</v>
      </c>
      <c r="D68" s="45">
        <v>6.13</v>
      </c>
      <c r="E68" s="45">
        <v>6.0350000000000001</v>
      </c>
      <c r="F68" s="45">
        <v>5.99</v>
      </c>
      <c r="G68" s="45">
        <v>5.21</v>
      </c>
      <c r="H68" s="45">
        <v>5.19</v>
      </c>
      <c r="I68" s="45">
        <v>6.38</v>
      </c>
      <c r="J68" s="45">
        <v>6.5250000000000004</v>
      </c>
      <c r="K68" s="45">
        <v>6.17</v>
      </c>
      <c r="L68" s="45">
        <v>5.7750000000000004</v>
      </c>
      <c r="M68" s="45">
        <v>5.03</v>
      </c>
      <c r="O68" s="13">
        <f t="shared" si="0"/>
        <v>0.43559523999999961</v>
      </c>
      <c r="P68" s="13">
        <f t="shared" si="0"/>
        <v>0.5292391400000005</v>
      </c>
    </row>
    <row r="69" spans="1:16" x14ac:dyDescent="0.2">
      <c r="A69" s="44">
        <v>1976</v>
      </c>
      <c r="B69" s="45">
        <v>5.39</v>
      </c>
      <c r="C69" s="45">
        <v>5.2549999999999999</v>
      </c>
      <c r="D69" s="45">
        <v>5.18</v>
      </c>
      <c r="E69" s="45">
        <v>5.1425000000000001</v>
      </c>
      <c r="F69" s="45">
        <v>5.18</v>
      </c>
      <c r="G69" s="45">
        <v>5.9749999999999996</v>
      </c>
      <c r="H69" s="45">
        <v>6.97</v>
      </c>
      <c r="I69" s="45">
        <v>7.7725</v>
      </c>
      <c r="J69" s="45">
        <v>6.99</v>
      </c>
      <c r="K69" s="45">
        <v>7.585</v>
      </c>
      <c r="L69" s="45">
        <v>6.79</v>
      </c>
      <c r="M69" s="45">
        <v>6.8</v>
      </c>
      <c r="O69" s="13">
        <f t="shared" si="0"/>
        <v>0.77476190999999961</v>
      </c>
      <c r="P69" s="13">
        <f t="shared" si="0"/>
        <v>0.37750000000000039</v>
      </c>
    </row>
    <row r="70" spans="1:16" x14ac:dyDescent="0.2">
      <c r="A70" s="44">
        <v>1977</v>
      </c>
      <c r="B70" s="45">
        <v>6.41</v>
      </c>
      <c r="C70" s="45">
        <v>6.97</v>
      </c>
      <c r="D70" s="45">
        <v>7.2</v>
      </c>
      <c r="E70" s="45">
        <v>7.45</v>
      </c>
      <c r="F70" s="45">
        <v>7.76</v>
      </c>
      <c r="G70" s="45">
        <v>7.71</v>
      </c>
      <c r="H70" s="45">
        <v>7.9749999999999996</v>
      </c>
      <c r="I70" s="45">
        <v>6.56</v>
      </c>
      <c r="J70" s="45">
        <v>5.75</v>
      </c>
      <c r="K70" s="45">
        <v>5.69</v>
      </c>
      <c r="L70" s="45">
        <v>5.58</v>
      </c>
      <c r="M70" s="45">
        <v>6.22</v>
      </c>
      <c r="O70" s="13">
        <f t="shared" si="0"/>
        <v>0.42607143000000036</v>
      </c>
      <c r="P70" s="13">
        <f t="shared" si="0"/>
        <v>0.26916666999999972</v>
      </c>
    </row>
    <row r="71" spans="1:16" x14ac:dyDescent="0.2">
      <c r="A71" s="44">
        <v>1978</v>
      </c>
      <c r="B71" s="45">
        <v>6.04</v>
      </c>
      <c r="C71" s="45">
        <v>5.96</v>
      </c>
      <c r="D71" s="45">
        <v>5.8849999999999998</v>
      </c>
      <c r="E71" s="45">
        <v>6.3624999999999998</v>
      </c>
      <c r="F71" s="45">
        <v>6.4550000000000001</v>
      </c>
      <c r="G71" s="45">
        <v>6.86</v>
      </c>
      <c r="H71" s="45">
        <v>6.79</v>
      </c>
      <c r="I71" s="45">
        <v>6.25</v>
      </c>
      <c r="J71" s="45">
        <v>6.58</v>
      </c>
      <c r="K71" s="45">
        <v>6.8</v>
      </c>
      <c r="L71" s="45">
        <v>7.31</v>
      </c>
      <c r="M71" s="45">
        <v>7.07</v>
      </c>
      <c r="O71" s="13">
        <f t="shared" si="0"/>
        <v>0.29037500000000005</v>
      </c>
      <c r="P71" s="13">
        <f t="shared" si="0"/>
        <v>0.47181818999999958</v>
      </c>
    </row>
    <row r="72" spans="1:16" x14ac:dyDescent="0.2">
      <c r="A72" s="44">
        <v>1979</v>
      </c>
      <c r="B72" s="45">
        <v>6.8</v>
      </c>
      <c r="C72" s="45">
        <v>6.9050000000000002</v>
      </c>
      <c r="D72" s="45">
        <v>7.2</v>
      </c>
      <c r="E72" s="45">
        <v>7.1974999999999998</v>
      </c>
      <c r="F72" s="45">
        <v>7.1875</v>
      </c>
      <c r="G72" s="45">
        <v>7.2949999999999999</v>
      </c>
      <c r="H72" s="45">
        <v>8.33</v>
      </c>
      <c r="I72" s="45">
        <v>8.02</v>
      </c>
      <c r="J72" s="45">
        <v>7.37</v>
      </c>
      <c r="K72" s="45">
        <v>7.48</v>
      </c>
      <c r="L72" s="45">
        <v>7.37</v>
      </c>
      <c r="M72" s="45">
        <v>6.79</v>
      </c>
      <c r="O72" s="13">
        <f t="shared" si="0"/>
        <v>0.34815790000000035</v>
      </c>
      <c r="P72" s="13">
        <f t="shared" si="0"/>
        <v>0.65163043999999992</v>
      </c>
    </row>
    <row r="73" spans="1:16" x14ac:dyDescent="0.2">
      <c r="A73" s="44">
        <v>1980</v>
      </c>
      <c r="B73" s="45">
        <v>7.55</v>
      </c>
      <c r="C73" s="45">
        <v>7.49</v>
      </c>
      <c r="D73" s="45">
        <v>7.5549999999999997</v>
      </c>
      <c r="E73" s="45">
        <v>7.2450000000000001</v>
      </c>
      <c r="F73" s="45">
        <v>6.6950000000000003</v>
      </c>
      <c r="G73" s="45">
        <v>6.7149999999999999</v>
      </c>
      <c r="H73" s="45">
        <v>7.05</v>
      </c>
      <c r="I73" s="45">
        <v>8.4</v>
      </c>
      <c r="J73" s="45">
        <v>8.23</v>
      </c>
      <c r="K73" s="45">
        <v>8.8000000000000007</v>
      </c>
      <c r="L73" s="45">
        <v>9.23</v>
      </c>
      <c r="M73" s="45">
        <v>9.3049999999999997</v>
      </c>
      <c r="O73" s="13">
        <f t="shared" si="0"/>
        <v>0.41392858000000032</v>
      </c>
      <c r="P73" s="13">
        <f t="shared" si="0"/>
        <v>0.65771740000000101</v>
      </c>
    </row>
    <row r="74" spans="1:16" x14ac:dyDescent="0.2">
      <c r="A74" s="44">
        <v>1981</v>
      </c>
      <c r="B74" s="45">
        <v>8.9700000000000006</v>
      </c>
      <c r="C74" s="45">
        <v>8.69</v>
      </c>
      <c r="D74" s="45">
        <v>8.48</v>
      </c>
      <c r="E74" s="45">
        <v>8.41</v>
      </c>
      <c r="F74" s="45">
        <v>8.7100000000000009</v>
      </c>
      <c r="G74" s="45">
        <v>8.34</v>
      </c>
      <c r="H74" s="45">
        <v>7.8</v>
      </c>
      <c r="I74" s="45">
        <v>7.98</v>
      </c>
      <c r="J74" s="45">
        <v>7.45</v>
      </c>
      <c r="K74" s="45">
        <v>6.87</v>
      </c>
      <c r="L74" s="45">
        <v>6.76</v>
      </c>
      <c r="M74" s="45">
        <v>6.61</v>
      </c>
      <c r="O74" s="13">
        <f t="shared" si="0"/>
        <v>0.23011904999999988</v>
      </c>
      <c r="P74" s="13">
        <f t="shared" si="0"/>
        <v>0.19522728000000011</v>
      </c>
    </row>
    <row r="75" spans="1:16" x14ac:dyDescent="0.2">
      <c r="A75" s="44">
        <v>1982</v>
      </c>
      <c r="B75" s="45">
        <v>7.13</v>
      </c>
      <c r="C75" s="45">
        <v>7.05</v>
      </c>
      <c r="D75" s="45">
        <v>7.08</v>
      </c>
      <c r="E75" s="45">
        <v>6.74</v>
      </c>
      <c r="F75" s="45">
        <v>6.95</v>
      </c>
      <c r="G75" s="45">
        <v>6.85</v>
      </c>
      <c r="H75" s="45">
        <v>6.6</v>
      </c>
      <c r="I75" s="45">
        <v>6.3250000000000002</v>
      </c>
      <c r="J75" s="45">
        <v>6.1449999999999996</v>
      </c>
      <c r="K75" s="45">
        <v>5.6849999999999996</v>
      </c>
      <c r="L75" s="45">
        <v>5.4974999999999996</v>
      </c>
      <c r="M75" s="45">
        <v>5.7450000000000001</v>
      </c>
      <c r="O75" s="13">
        <f t="shared" si="0"/>
        <v>0.20095238999999943</v>
      </c>
      <c r="P75" s="13">
        <f t="shared" si="0"/>
        <v>0.17297619999999991</v>
      </c>
    </row>
    <row r="76" spans="1:16" x14ac:dyDescent="0.2">
      <c r="A76" s="44">
        <v>1983</v>
      </c>
      <c r="B76" s="45">
        <v>6.0049999999999999</v>
      </c>
      <c r="C76" s="45">
        <v>6.44</v>
      </c>
      <c r="D76" s="45">
        <v>6.48</v>
      </c>
      <c r="E76" s="45">
        <v>6.8250000000000002</v>
      </c>
      <c r="F76" s="45">
        <v>6.9649999999999999</v>
      </c>
      <c r="G76" s="45">
        <v>6.85</v>
      </c>
      <c r="H76" s="45">
        <v>6.43</v>
      </c>
      <c r="I76" s="45">
        <v>7.54</v>
      </c>
      <c r="J76" s="45">
        <v>9.67</v>
      </c>
      <c r="K76" s="45">
        <v>9.6850000000000005</v>
      </c>
      <c r="L76" s="45">
        <v>8.9600000000000009</v>
      </c>
      <c r="M76" s="45">
        <v>8.6050000000000004</v>
      </c>
      <c r="O76" s="13">
        <f t="shared" si="0"/>
        <v>0.67452381000000017</v>
      </c>
      <c r="P76" s="13">
        <f t="shared" si="0"/>
        <v>0.53119048000000113</v>
      </c>
    </row>
    <row r="77" spans="1:16" x14ac:dyDescent="0.2">
      <c r="A77" s="44">
        <v>1984</v>
      </c>
      <c r="B77" s="45">
        <v>7.2649999999999997</v>
      </c>
      <c r="C77" s="45">
        <v>7.335</v>
      </c>
      <c r="D77" s="45">
        <v>7.2474999999999996</v>
      </c>
      <c r="E77" s="45">
        <v>7.44</v>
      </c>
      <c r="F77" s="45">
        <v>7.48</v>
      </c>
      <c r="G77" s="45">
        <v>7.55</v>
      </c>
      <c r="H77" s="45">
        <v>7.71</v>
      </c>
      <c r="I77" s="45">
        <v>7.32</v>
      </c>
      <c r="J77" s="45">
        <v>6.64</v>
      </c>
      <c r="K77" s="45">
        <v>6.39</v>
      </c>
      <c r="L77" s="45">
        <v>6.42</v>
      </c>
      <c r="M77" s="45">
        <v>6.375</v>
      </c>
      <c r="O77" s="13">
        <f t="shared" si="0"/>
        <v>0.2842105299999993</v>
      </c>
      <c r="P77" s="13">
        <f t="shared" si="0"/>
        <v>0.28163043999999982</v>
      </c>
    </row>
    <row r="78" spans="1:16" x14ac:dyDescent="0.2">
      <c r="A78" s="44">
        <v>1985</v>
      </c>
      <c r="B78" s="45">
        <v>6.3449999999999998</v>
      </c>
      <c r="C78" s="45">
        <v>6.24</v>
      </c>
      <c r="D78" s="45">
        <v>6.2249999999999996</v>
      </c>
      <c r="E78" s="45">
        <v>6.2050000000000001</v>
      </c>
      <c r="F78" s="45">
        <v>6.23</v>
      </c>
      <c r="G78" s="45">
        <v>6.09</v>
      </c>
      <c r="H78" s="45">
        <v>5.8975</v>
      </c>
      <c r="I78" s="45">
        <v>5.91</v>
      </c>
      <c r="J78" s="45">
        <v>5.335</v>
      </c>
      <c r="K78" s="45">
        <v>5.27</v>
      </c>
      <c r="L78" s="45">
        <v>5.17</v>
      </c>
      <c r="M78" s="45">
        <v>5.25</v>
      </c>
      <c r="O78" s="13">
        <f t="shared" si="0"/>
        <v>0.14637499999999992</v>
      </c>
      <c r="P78" s="13">
        <f t="shared" si="0"/>
        <v>0.12108695999999952</v>
      </c>
    </row>
    <row r="79" spans="1:16" x14ac:dyDescent="0.2">
      <c r="A79" s="44">
        <v>1986</v>
      </c>
      <c r="B79" s="45">
        <v>5.55</v>
      </c>
      <c r="C79" s="45">
        <v>5.5</v>
      </c>
      <c r="D79" s="45">
        <v>5.29</v>
      </c>
      <c r="E79" s="45">
        <v>5.28</v>
      </c>
      <c r="F79" s="45">
        <v>5.5225</v>
      </c>
      <c r="G79" s="45">
        <v>5.52</v>
      </c>
      <c r="H79" s="45">
        <v>5.12</v>
      </c>
      <c r="I79" s="45">
        <v>5.19</v>
      </c>
      <c r="J79" s="45">
        <v>5.0549999999999997</v>
      </c>
      <c r="K79" s="45">
        <v>4.95</v>
      </c>
      <c r="L79" s="45">
        <v>5.0199999999999996</v>
      </c>
      <c r="M79" s="45">
        <v>5.08</v>
      </c>
      <c r="O79" s="13">
        <f t="shared" si="0"/>
        <v>0.15476191000000039</v>
      </c>
      <c r="P79" s="13">
        <f t="shared" si="0"/>
        <v>0.20315218000000002</v>
      </c>
    </row>
    <row r="80" spans="1:16" x14ac:dyDescent="0.2">
      <c r="A80" s="44">
        <v>1987</v>
      </c>
      <c r="B80" s="45">
        <v>5.0274999999999999</v>
      </c>
      <c r="C80" s="45">
        <v>4.9474999999999998</v>
      </c>
      <c r="D80" s="45">
        <v>4.8475000000000001</v>
      </c>
      <c r="E80" s="45">
        <v>4.8849999999999998</v>
      </c>
      <c r="F80" s="45">
        <v>5.35</v>
      </c>
      <c r="G80" s="45">
        <v>6.12</v>
      </c>
      <c r="H80" s="45">
        <v>6.2450000000000001</v>
      </c>
      <c r="I80" s="45">
        <v>5.53</v>
      </c>
      <c r="J80" s="45">
        <v>5.3</v>
      </c>
      <c r="K80" s="45">
        <v>5.38</v>
      </c>
      <c r="L80" s="45">
        <v>5.5</v>
      </c>
      <c r="M80" s="45">
        <v>5.72</v>
      </c>
      <c r="O80" s="13">
        <f t="shared" ref="O80:P95" si="1">K80-K21</f>
        <v>0.13273810000000008</v>
      </c>
      <c r="P80" s="13">
        <f t="shared" si="1"/>
        <v>0.11624999999999996</v>
      </c>
    </row>
    <row r="81" spans="1:16" x14ac:dyDescent="0.2">
      <c r="A81" s="44">
        <v>1988</v>
      </c>
      <c r="B81" s="45">
        <v>6.11</v>
      </c>
      <c r="C81" s="45">
        <v>6.56</v>
      </c>
      <c r="D81" s="45">
        <v>6.66</v>
      </c>
      <c r="E81" s="45">
        <v>6.73</v>
      </c>
      <c r="F81" s="45">
        <v>7.14</v>
      </c>
      <c r="G81" s="45">
        <v>8.16</v>
      </c>
      <c r="H81" s="45">
        <v>10.46</v>
      </c>
      <c r="I81" s="45">
        <v>9.9700000000000006</v>
      </c>
      <c r="J81" s="45">
        <v>9.0299999999999994</v>
      </c>
      <c r="K81" s="45">
        <v>9.06</v>
      </c>
      <c r="L81" s="45">
        <v>8.3049999999999997</v>
      </c>
      <c r="M81" s="45">
        <v>8.11</v>
      </c>
      <c r="O81" s="13">
        <f t="shared" si="1"/>
        <v>0.49083334000000001</v>
      </c>
      <c r="P81" s="13">
        <f t="shared" si="1"/>
        <v>0.37940476999999984</v>
      </c>
    </row>
    <row r="82" spans="1:16" x14ac:dyDescent="0.2">
      <c r="A82" s="44">
        <v>1989</v>
      </c>
      <c r="B82" s="45">
        <v>7.4</v>
      </c>
      <c r="C82" s="45">
        <v>7.5449999999999999</v>
      </c>
      <c r="D82" s="45">
        <v>7.47</v>
      </c>
      <c r="E82" s="45">
        <v>7.6050000000000004</v>
      </c>
      <c r="F82" s="45">
        <v>7.47</v>
      </c>
      <c r="G82" s="45">
        <v>7.29</v>
      </c>
      <c r="H82" s="45">
        <v>6.81</v>
      </c>
      <c r="I82" s="45">
        <v>7.12</v>
      </c>
      <c r="J82" s="45">
        <v>6.02</v>
      </c>
      <c r="K82" s="45">
        <v>5.98</v>
      </c>
      <c r="L82" s="45">
        <v>5.8849999999999998</v>
      </c>
      <c r="M82" s="45">
        <v>5.8550000000000004</v>
      </c>
      <c r="O82" s="13">
        <f t="shared" si="1"/>
        <v>0.21150000000000002</v>
      </c>
      <c r="P82" s="13">
        <f t="shared" si="1"/>
        <v>0.26806819000000015</v>
      </c>
    </row>
    <row r="83" spans="1:16" x14ac:dyDescent="0.2">
      <c r="A83" s="44">
        <v>1990</v>
      </c>
      <c r="B83" s="45">
        <v>6.26</v>
      </c>
      <c r="C83" s="45">
        <v>6.2</v>
      </c>
      <c r="D83" s="45">
        <v>6.0250000000000004</v>
      </c>
      <c r="E83" s="45">
        <v>6.2850000000000001</v>
      </c>
      <c r="F83" s="45">
        <v>6.67</v>
      </c>
      <c r="G83" s="45">
        <v>6.82</v>
      </c>
      <c r="H83" s="45">
        <v>6.51</v>
      </c>
      <c r="I83" s="45">
        <v>6.8049999999999997</v>
      </c>
      <c r="J83" s="45">
        <v>6.4574999999999996</v>
      </c>
      <c r="K83" s="45">
        <v>6.42</v>
      </c>
      <c r="L83" s="45">
        <v>6.3650000000000002</v>
      </c>
      <c r="M83" s="45">
        <v>6</v>
      </c>
      <c r="O83" s="13">
        <f t="shared" si="1"/>
        <v>0.16763158000000011</v>
      </c>
      <c r="P83" s="13">
        <f t="shared" si="1"/>
        <v>0.24771739999999998</v>
      </c>
    </row>
    <row r="84" spans="1:16" x14ac:dyDescent="0.2">
      <c r="A84" s="44">
        <v>1991</v>
      </c>
      <c r="B84" s="45">
        <v>6.31</v>
      </c>
      <c r="C84" s="45">
        <v>6.1875</v>
      </c>
      <c r="D84" s="45">
        <v>6.25</v>
      </c>
      <c r="E84" s="45">
        <v>6.3849999999999998</v>
      </c>
      <c r="F84" s="45">
        <v>6.33</v>
      </c>
      <c r="G84" s="45">
        <v>6.1150000000000002</v>
      </c>
      <c r="H84" s="45">
        <v>5.9950000000000001</v>
      </c>
      <c r="I84" s="45">
        <v>6.18</v>
      </c>
      <c r="J84" s="45">
        <v>6.5</v>
      </c>
      <c r="K84" s="45">
        <v>6.18</v>
      </c>
      <c r="L84" s="45">
        <v>5.9175000000000004</v>
      </c>
      <c r="M84" s="45">
        <v>5.68</v>
      </c>
      <c r="O84" s="13">
        <f t="shared" si="1"/>
        <v>0.24012499999999992</v>
      </c>
      <c r="P84" s="13">
        <f t="shared" si="1"/>
        <v>0.31891305000000081</v>
      </c>
    </row>
    <row r="85" spans="1:16" x14ac:dyDescent="0.2">
      <c r="A85" s="44">
        <v>1992</v>
      </c>
      <c r="B85" s="45">
        <v>5.9450000000000003</v>
      </c>
      <c r="C85" s="45">
        <v>6.1475</v>
      </c>
      <c r="D85" s="45">
        <v>6.1974999999999998</v>
      </c>
      <c r="E85" s="45">
        <v>6.3049999999999997</v>
      </c>
      <c r="F85" s="45">
        <v>6.14</v>
      </c>
      <c r="G85" s="45">
        <v>6.41</v>
      </c>
      <c r="H85" s="45">
        <v>6.51</v>
      </c>
      <c r="I85" s="45">
        <v>6.17</v>
      </c>
      <c r="J85" s="45">
        <v>5.5724999999999998</v>
      </c>
      <c r="K85" s="45">
        <v>5.62</v>
      </c>
      <c r="L85" s="45">
        <v>5.52</v>
      </c>
      <c r="M85" s="45">
        <v>5.65</v>
      </c>
      <c r="O85" s="13">
        <f t="shared" si="1"/>
        <v>0.14511904999999992</v>
      </c>
      <c r="P85" s="13">
        <f t="shared" si="1"/>
        <v>0.14068181999999929</v>
      </c>
    </row>
    <row r="86" spans="1:16" x14ac:dyDescent="0.2">
      <c r="A86" s="44">
        <v>1993</v>
      </c>
      <c r="B86" s="45">
        <v>6.01</v>
      </c>
      <c r="C86" s="45">
        <v>6.0049999999999999</v>
      </c>
      <c r="D86" s="45">
        <v>5.9225000000000003</v>
      </c>
      <c r="E86" s="45">
        <v>6.0949999999999998</v>
      </c>
      <c r="F86" s="45">
        <v>6.1375000000000002</v>
      </c>
      <c r="G86" s="45">
        <v>6.1150000000000002</v>
      </c>
      <c r="H86" s="45">
        <v>6.6050000000000004</v>
      </c>
      <c r="I86" s="45">
        <v>7.5750000000000002</v>
      </c>
      <c r="J86" s="45">
        <v>7.09</v>
      </c>
      <c r="K86" s="45">
        <v>6.6524999999999999</v>
      </c>
      <c r="L86" s="45">
        <v>6.27</v>
      </c>
      <c r="M86" s="45">
        <v>6.8550000000000004</v>
      </c>
      <c r="O86" s="13">
        <f t="shared" si="1"/>
        <v>0.26404761999999948</v>
      </c>
      <c r="P86" s="13">
        <f t="shared" si="1"/>
        <v>0.11738095999999931</v>
      </c>
    </row>
    <row r="87" spans="1:16" x14ac:dyDescent="0.2">
      <c r="A87" s="44">
        <v>1994</v>
      </c>
      <c r="B87" s="45">
        <v>6.51</v>
      </c>
      <c r="C87" s="45">
        <v>6.6574999999999998</v>
      </c>
      <c r="D87" s="45">
        <v>6.59</v>
      </c>
      <c r="E87" s="45">
        <v>6.65</v>
      </c>
      <c r="F87" s="45">
        <v>6.37</v>
      </c>
      <c r="G87" s="45">
        <v>6.9325000000000001</v>
      </c>
      <c r="H87" s="45">
        <v>6.99</v>
      </c>
      <c r="I87" s="45">
        <v>6.2350000000000003</v>
      </c>
      <c r="J87" s="45">
        <v>5.7824999999999998</v>
      </c>
      <c r="K87" s="45">
        <v>5.87</v>
      </c>
      <c r="L87" s="45">
        <v>5.5475000000000003</v>
      </c>
      <c r="M87" s="45">
        <v>5.64</v>
      </c>
      <c r="O87" s="13">
        <f t="shared" si="1"/>
        <v>0.24797620000000009</v>
      </c>
      <c r="P87" s="13">
        <f t="shared" si="1"/>
        <v>0.14035715000000071</v>
      </c>
    </row>
    <row r="88" spans="1:16" x14ac:dyDescent="0.2">
      <c r="A88" s="44">
        <v>1995</v>
      </c>
      <c r="B88" s="45">
        <v>6.02</v>
      </c>
      <c r="C88" s="45">
        <v>5.93</v>
      </c>
      <c r="D88" s="45">
        <v>5.94</v>
      </c>
      <c r="E88" s="45">
        <v>6.1475</v>
      </c>
      <c r="F88" s="45">
        <v>6.19</v>
      </c>
      <c r="G88" s="45">
        <v>6.34</v>
      </c>
      <c r="H88" s="45">
        <v>6.3550000000000004</v>
      </c>
      <c r="I88" s="45">
        <v>6.61</v>
      </c>
      <c r="J88" s="45">
        <v>6.2450000000000001</v>
      </c>
      <c r="K88" s="45">
        <v>6.7249999999999996</v>
      </c>
      <c r="L88" s="45">
        <v>6.79</v>
      </c>
      <c r="M88" s="45">
        <v>6.9</v>
      </c>
      <c r="O88" s="13">
        <f t="shared" si="1"/>
        <v>0.34199999999999964</v>
      </c>
      <c r="P88" s="13">
        <f t="shared" si="1"/>
        <v>0.23193181999999979</v>
      </c>
    </row>
    <row r="89" spans="1:16" x14ac:dyDescent="0.2">
      <c r="A89" s="44">
        <v>1996</v>
      </c>
      <c r="B89" s="45">
        <v>7.04</v>
      </c>
      <c r="C89" s="45">
        <v>7.1675000000000004</v>
      </c>
      <c r="D89" s="45">
        <v>7.46</v>
      </c>
      <c r="E89" s="45">
        <v>7.39</v>
      </c>
      <c r="F89" s="45">
        <v>8.1</v>
      </c>
      <c r="G89" s="45">
        <v>7.99</v>
      </c>
      <c r="H89" s="45">
        <v>7.64</v>
      </c>
      <c r="I89" s="45">
        <v>8.25</v>
      </c>
      <c r="J89" s="45">
        <v>8.02</v>
      </c>
      <c r="K89" s="45">
        <v>8.15</v>
      </c>
      <c r="L89" s="45">
        <v>7.59</v>
      </c>
      <c r="M89" s="45">
        <v>7.1475</v>
      </c>
      <c r="O89" s="13">
        <f t="shared" si="1"/>
        <v>0.21050000000000058</v>
      </c>
      <c r="P89" s="13">
        <f t="shared" si="1"/>
        <v>0.51999999999999957</v>
      </c>
    </row>
    <row r="90" spans="1:16" x14ac:dyDescent="0.2">
      <c r="A90" s="44">
        <v>1997</v>
      </c>
      <c r="B90" s="45">
        <v>6.7549999999999999</v>
      </c>
      <c r="C90" s="45">
        <v>6.97</v>
      </c>
      <c r="D90" s="45">
        <v>7.1050000000000004</v>
      </c>
      <c r="E90" s="45">
        <v>7.5</v>
      </c>
      <c r="F90" s="45">
        <v>7.13</v>
      </c>
      <c r="G90" s="45">
        <v>7.14</v>
      </c>
      <c r="H90" s="45">
        <v>6.9675000000000002</v>
      </c>
      <c r="I90" s="45">
        <v>6.6</v>
      </c>
      <c r="J90" s="45">
        <v>6.75</v>
      </c>
      <c r="K90" s="45">
        <v>6.53</v>
      </c>
      <c r="L90" s="45">
        <v>7.29</v>
      </c>
      <c r="M90" s="45">
        <v>7.48</v>
      </c>
      <c r="O90" s="13">
        <f t="shared" si="1"/>
        <v>0.16119048000000014</v>
      </c>
      <c r="P90" s="13">
        <f t="shared" si="1"/>
        <v>0.46608696000000016</v>
      </c>
    </row>
    <row r="91" spans="1:16" x14ac:dyDescent="0.2">
      <c r="A91" s="44">
        <v>1998</v>
      </c>
      <c r="B91" s="45">
        <v>6.91</v>
      </c>
      <c r="C91" s="45">
        <v>6.7450000000000001</v>
      </c>
      <c r="D91" s="45">
        <v>6.8449999999999998</v>
      </c>
      <c r="E91" s="45">
        <v>6.62</v>
      </c>
      <c r="F91" s="45">
        <v>6.33</v>
      </c>
      <c r="G91" s="45">
        <v>6.39</v>
      </c>
      <c r="H91" s="45">
        <v>6.57</v>
      </c>
      <c r="I91" s="45">
        <v>6.37</v>
      </c>
      <c r="J91" s="45">
        <v>5.5949999999999998</v>
      </c>
      <c r="K91" s="45">
        <v>5.3650000000000002</v>
      </c>
      <c r="L91" s="45">
        <v>5.7050000000000001</v>
      </c>
      <c r="M91" s="45">
        <v>5.85</v>
      </c>
      <c r="O91" s="13">
        <f t="shared" si="1"/>
        <v>0.11452381000000056</v>
      </c>
      <c r="P91" s="13">
        <f t="shared" si="1"/>
        <v>0.24170454999999968</v>
      </c>
    </row>
    <row r="92" spans="1:16" x14ac:dyDescent="0.2">
      <c r="A92" s="44">
        <v>1999</v>
      </c>
      <c r="B92" s="45">
        <v>6.2350000000000003</v>
      </c>
      <c r="C92" s="45">
        <v>5.75</v>
      </c>
      <c r="D92" s="45">
        <v>5.375</v>
      </c>
      <c r="E92" s="45">
        <v>5.28</v>
      </c>
      <c r="F92" s="45">
        <v>5.2249999999999996</v>
      </c>
      <c r="G92" s="45">
        <v>5.05</v>
      </c>
      <c r="H92" s="45">
        <v>4.8724999999999996</v>
      </c>
      <c r="I92" s="45">
        <v>4.84</v>
      </c>
      <c r="J92" s="45">
        <v>5.03</v>
      </c>
      <c r="K92" s="45">
        <v>5.2149999999999999</v>
      </c>
      <c r="L92" s="45">
        <v>5.08</v>
      </c>
      <c r="M92" s="45">
        <v>4.7850000000000001</v>
      </c>
      <c r="O92" s="13">
        <f t="shared" si="1"/>
        <v>0.26785715000000021</v>
      </c>
      <c r="P92" s="13">
        <f t="shared" si="1"/>
        <v>0.23142858000000022</v>
      </c>
    </row>
    <row r="93" spans="1:16" x14ac:dyDescent="0.2">
      <c r="A93" s="44">
        <v>2000</v>
      </c>
      <c r="B93" s="45">
        <v>5.0549999999999997</v>
      </c>
      <c r="C93" s="45">
        <v>5.55</v>
      </c>
      <c r="D93" s="45">
        <v>5.4649999999999999</v>
      </c>
      <c r="E93" s="45">
        <v>5.7050000000000001</v>
      </c>
      <c r="F93" s="45">
        <v>5.79</v>
      </c>
      <c r="G93" s="45">
        <v>5.9450000000000003</v>
      </c>
      <c r="H93" s="45">
        <v>5.52</v>
      </c>
      <c r="I93" s="45">
        <v>4.7949999999999999</v>
      </c>
      <c r="J93" s="45">
        <v>5.0549999999999997</v>
      </c>
      <c r="K93" s="45">
        <v>5.1550000000000002</v>
      </c>
      <c r="L93" s="45">
        <v>4.9349999999999996</v>
      </c>
      <c r="M93" s="45">
        <v>4.8</v>
      </c>
      <c r="O93" s="13">
        <f t="shared" si="1"/>
        <v>0.19912500000000044</v>
      </c>
      <c r="P93" s="13">
        <f t="shared" si="1"/>
        <v>0.21034090999999933</v>
      </c>
    </row>
    <row r="94" spans="1:16" x14ac:dyDescent="0.2">
      <c r="A94" s="44">
        <v>2001</v>
      </c>
      <c r="B94" s="45">
        <v>5.32</v>
      </c>
      <c r="C94" s="45">
        <v>5.165</v>
      </c>
      <c r="D94" s="45">
        <v>4.8499999999999996</v>
      </c>
      <c r="E94" s="45">
        <v>4.78</v>
      </c>
      <c r="F94" s="45">
        <v>4.4400000000000004</v>
      </c>
      <c r="G94" s="45">
        <v>4.415</v>
      </c>
      <c r="H94" s="45">
        <v>4.7</v>
      </c>
      <c r="I94" s="45">
        <v>5.38</v>
      </c>
      <c r="J94" s="45">
        <v>5.2</v>
      </c>
      <c r="K94" s="45">
        <v>4.87</v>
      </c>
      <c r="L94" s="45">
        <v>4.58</v>
      </c>
      <c r="M94" s="45">
        <v>4.49</v>
      </c>
      <c r="O94" s="13">
        <f t="shared" si="1"/>
        <v>0.16124999999999989</v>
      </c>
      <c r="P94" s="13">
        <f t="shared" si="1"/>
        <v>0.20858695999999988</v>
      </c>
    </row>
    <row r="95" spans="1:16" x14ac:dyDescent="0.2">
      <c r="A95" s="44">
        <v>2002</v>
      </c>
      <c r="B95" s="45">
        <v>4.6550000000000002</v>
      </c>
      <c r="C95" s="45">
        <v>4.66</v>
      </c>
      <c r="D95" s="45">
        <v>4.5999999999999996</v>
      </c>
      <c r="E95" s="45">
        <v>4.8499999999999996</v>
      </c>
      <c r="F95" s="45">
        <v>4.8150000000000004</v>
      </c>
      <c r="G95" s="45">
        <v>4.88</v>
      </c>
      <c r="H95" s="45">
        <v>5.12</v>
      </c>
      <c r="I95" s="45">
        <v>5.65</v>
      </c>
      <c r="J95" s="45">
        <v>5.7949999999999999</v>
      </c>
      <c r="K95" s="45">
        <v>5.91</v>
      </c>
      <c r="L95" s="45">
        <v>5.6725000000000003</v>
      </c>
      <c r="M95" s="45">
        <v>5.85</v>
      </c>
      <c r="O95" s="13">
        <f t="shared" si="1"/>
        <v>0.26437500000000025</v>
      </c>
      <c r="P95" s="13">
        <f t="shared" si="1"/>
        <v>0.2272826100000005</v>
      </c>
    </row>
    <row r="96" spans="1:16" x14ac:dyDescent="0.2">
      <c r="A96" s="44">
        <v>2003</v>
      </c>
      <c r="B96" s="45">
        <v>5.165</v>
      </c>
      <c r="C96" s="45">
        <v>5.33</v>
      </c>
      <c r="D96" s="45">
        <v>5.3550000000000004</v>
      </c>
      <c r="E96" s="45">
        <v>5.3150000000000004</v>
      </c>
      <c r="F96" s="45">
        <v>5.51</v>
      </c>
      <c r="G96" s="45">
        <v>5.85</v>
      </c>
      <c r="H96" s="45">
        <v>5.88</v>
      </c>
      <c r="I96" s="45">
        <v>5.6150000000000002</v>
      </c>
      <c r="J96" s="45">
        <v>5.9749999999999996</v>
      </c>
      <c r="K96" s="45">
        <v>6.91</v>
      </c>
      <c r="L96" s="45">
        <v>8.0350000000000001</v>
      </c>
      <c r="M96" s="45">
        <v>8.0350000000000001</v>
      </c>
      <c r="O96" s="13">
        <f t="shared" ref="O96:P111" si="2">K96-K37</f>
        <v>0.67464286000000051</v>
      </c>
      <c r="P96" s="13">
        <f t="shared" si="2"/>
        <v>0.71434783000000035</v>
      </c>
    </row>
    <row r="97" spans="1:16" x14ac:dyDescent="0.2">
      <c r="A97" s="44">
        <v>2004</v>
      </c>
      <c r="B97" s="45">
        <v>6.42</v>
      </c>
      <c r="C97" s="45">
        <v>6.78</v>
      </c>
      <c r="D97" s="45">
        <v>7.44</v>
      </c>
      <c r="E97" s="45">
        <v>8.02</v>
      </c>
      <c r="F97" s="45">
        <v>7.99</v>
      </c>
      <c r="G97" s="45">
        <v>7.89</v>
      </c>
      <c r="H97" s="45">
        <v>7.43</v>
      </c>
      <c r="I97" s="45">
        <v>6.85</v>
      </c>
      <c r="J97" s="45">
        <v>6.29</v>
      </c>
      <c r="K97" s="45">
        <v>6.52</v>
      </c>
      <c r="L97" s="45">
        <v>5.45</v>
      </c>
      <c r="M97" s="45">
        <v>5.38</v>
      </c>
      <c r="O97" s="13">
        <f t="shared" si="2"/>
        <v>0.89095238999999982</v>
      </c>
      <c r="P97" s="13">
        <f t="shared" si="2"/>
        <v>0.18559524000000049</v>
      </c>
    </row>
    <row r="98" spans="1:16" x14ac:dyDescent="0.2">
      <c r="A98" s="44">
        <v>2005</v>
      </c>
      <c r="B98" s="45">
        <v>5.75</v>
      </c>
      <c r="C98" s="45">
        <v>5.6849999999999996</v>
      </c>
      <c r="D98" s="45">
        <v>6.22</v>
      </c>
      <c r="E98" s="45">
        <v>6.5</v>
      </c>
      <c r="F98" s="45">
        <v>6.42</v>
      </c>
      <c r="G98" s="45">
        <v>6.88</v>
      </c>
      <c r="H98" s="45">
        <v>7.75</v>
      </c>
      <c r="I98" s="45">
        <v>7.51</v>
      </c>
      <c r="J98" s="45">
        <v>7.09</v>
      </c>
      <c r="K98" s="45">
        <v>6.18</v>
      </c>
      <c r="L98" s="45">
        <v>5.9950000000000001</v>
      </c>
      <c r="M98" s="45">
        <v>6.0274999999999999</v>
      </c>
      <c r="O98" s="13">
        <f t="shared" si="2"/>
        <v>0.36571428999999966</v>
      </c>
      <c r="P98" s="13">
        <f t="shared" si="2"/>
        <v>0.24797620000000009</v>
      </c>
    </row>
    <row r="99" spans="1:16" x14ac:dyDescent="0.2">
      <c r="A99" s="44">
        <v>2006</v>
      </c>
      <c r="B99" s="45">
        <v>6.41</v>
      </c>
      <c r="C99" s="45">
        <v>6.4850000000000003</v>
      </c>
      <c r="D99" s="45">
        <v>6.37</v>
      </c>
      <c r="E99" s="45">
        <v>6.3</v>
      </c>
      <c r="F99" s="45">
        <v>6.29</v>
      </c>
      <c r="G99" s="45">
        <v>6.39</v>
      </c>
      <c r="H99" s="45">
        <v>6.35</v>
      </c>
      <c r="I99" s="45">
        <v>6.41</v>
      </c>
      <c r="J99" s="45">
        <v>6.08</v>
      </c>
      <c r="K99" s="45">
        <v>5.64</v>
      </c>
      <c r="L99" s="45">
        <v>6.43</v>
      </c>
      <c r="M99" s="45">
        <v>6.7050000000000001</v>
      </c>
      <c r="O99" s="13">
        <f t="shared" si="2"/>
        <v>0.1613749999999996</v>
      </c>
      <c r="P99" s="13">
        <f t="shared" si="2"/>
        <v>0.50011363999999947</v>
      </c>
    </row>
    <row r="100" spans="1:16" x14ac:dyDescent="0.2">
      <c r="A100" s="44">
        <v>2007</v>
      </c>
      <c r="B100" s="45">
        <v>7.42</v>
      </c>
      <c r="C100" s="45">
        <v>7.8150000000000004</v>
      </c>
      <c r="D100" s="45">
        <v>8.43</v>
      </c>
      <c r="E100" s="45">
        <v>8.3000000000000007</v>
      </c>
      <c r="F100" s="45">
        <v>8.2799999999999994</v>
      </c>
      <c r="G100" s="45">
        <v>8.4499999999999993</v>
      </c>
      <c r="H100" s="45">
        <v>8.9625000000000004</v>
      </c>
      <c r="I100" s="45">
        <v>9.5</v>
      </c>
      <c r="J100" s="45">
        <v>8.9600000000000009</v>
      </c>
      <c r="K100" s="45">
        <v>10.1775</v>
      </c>
      <c r="L100" s="45">
        <v>10.164999999999999</v>
      </c>
      <c r="M100" s="45">
        <v>10.682499999999999</v>
      </c>
      <c r="O100" s="13">
        <f t="shared" si="2"/>
        <v>0.65092105999999994</v>
      </c>
      <c r="P100" s="13">
        <f t="shared" si="2"/>
        <v>0.41086956999999913</v>
      </c>
    </row>
    <row r="101" spans="1:16" x14ac:dyDescent="0.2">
      <c r="A101" s="44">
        <v>2008</v>
      </c>
      <c r="B101" s="45">
        <v>11.324999999999999</v>
      </c>
      <c r="C101" s="45">
        <v>13.045</v>
      </c>
      <c r="D101" s="45">
        <v>14.4</v>
      </c>
      <c r="E101" s="45">
        <v>14.7325</v>
      </c>
      <c r="F101" s="45">
        <v>13.1675</v>
      </c>
      <c r="G101" s="45">
        <v>13.7475</v>
      </c>
      <c r="H101" s="45">
        <v>15.79</v>
      </c>
      <c r="I101" s="45">
        <v>16.3675</v>
      </c>
      <c r="J101" s="45">
        <v>14.092499999999999</v>
      </c>
      <c r="K101" s="45">
        <v>13.14</v>
      </c>
      <c r="L101" s="45">
        <v>10.66</v>
      </c>
      <c r="M101" s="45">
        <v>9.7200000000000006</v>
      </c>
      <c r="O101" s="13">
        <f t="shared" si="2"/>
        <v>1.3888095300000014</v>
      </c>
      <c r="P101" s="13">
        <f t="shared" si="2"/>
        <v>1.43978261</v>
      </c>
    </row>
    <row r="102" spans="1:16" x14ac:dyDescent="0.2">
      <c r="A102" s="44">
        <v>2009</v>
      </c>
      <c r="B102" s="45">
        <v>10.092499999999999</v>
      </c>
      <c r="C102" s="45">
        <v>10.4</v>
      </c>
      <c r="D102" s="45">
        <v>9.6</v>
      </c>
      <c r="E102" s="45">
        <v>9.1475000000000009</v>
      </c>
      <c r="F102" s="45">
        <v>9.5250000000000004</v>
      </c>
      <c r="G102" s="45">
        <v>10.65</v>
      </c>
      <c r="H102" s="45">
        <v>10.994999999999999</v>
      </c>
      <c r="I102" s="45">
        <v>10.2925</v>
      </c>
      <c r="J102" s="45">
        <v>10.66</v>
      </c>
      <c r="K102" s="45">
        <v>9.89</v>
      </c>
      <c r="L102" s="45">
        <v>10.28</v>
      </c>
      <c r="M102" s="45">
        <v>10.182499999999999</v>
      </c>
      <c r="O102" s="13">
        <f t="shared" si="2"/>
        <v>0.58380952999999991</v>
      </c>
      <c r="P102" s="13">
        <f t="shared" si="2"/>
        <v>0.6221590999999993</v>
      </c>
    </row>
    <row r="103" spans="1:16" x14ac:dyDescent="0.2">
      <c r="A103" s="44">
        <v>2010</v>
      </c>
      <c r="B103" s="45">
        <v>10.602499999999999</v>
      </c>
      <c r="C103" s="45">
        <v>10.355</v>
      </c>
      <c r="D103" s="45">
        <v>9.4574999999999996</v>
      </c>
      <c r="E103" s="45">
        <v>9.4924999999999997</v>
      </c>
      <c r="F103" s="45">
        <v>9.8699999999999992</v>
      </c>
      <c r="G103" s="45">
        <v>9.7899999999999991</v>
      </c>
      <c r="H103" s="45">
        <v>9.4725000000000001</v>
      </c>
      <c r="I103" s="45">
        <v>10.07</v>
      </c>
      <c r="J103" s="45">
        <v>10.49</v>
      </c>
      <c r="K103" s="45">
        <v>11.44</v>
      </c>
      <c r="L103" s="45">
        <v>12.3675</v>
      </c>
      <c r="M103" s="45">
        <v>13.3775</v>
      </c>
      <c r="O103" s="13">
        <f t="shared" si="2"/>
        <v>0.79154761999999934</v>
      </c>
      <c r="P103" s="13">
        <f t="shared" si="2"/>
        <v>0.74166666999999897</v>
      </c>
    </row>
    <row r="104" spans="1:16" x14ac:dyDescent="0.2">
      <c r="A104" s="44">
        <v>2011</v>
      </c>
      <c r="B104" s="45">
        <v>13.0975</v>
      </c>
      <c r="C104" s="45">
        <v>13.64</v>
      </c>
      <c r="D104" s="45">
        <v>14.0275</v>
      </c>
      <c r="E104" s="45">
        <v>14.0875</v>
      </c>
      <c r="F104" s="45">
        <v>14.112500000000001</v>
      </c>
      <c r="G104" s="45">
        <v>13.827500000000001</v>
      </c>
      <c r="H104" s="45">
        <v>14.0525</v>
      </c>
      <c r="I104" s="45">
        <v>14.095000000000001</v>
      </c>
      <c r="J104" s="45">
        <v>14.65</v>
      </c>
      <c r="K104" s="45">
        <v>14.57</v>
      </c>
      <c r="L104" s="45">
        <v>12.7575</v>
      </c>
      <c r="M104" s="45">
        <v>12.23</v>
      </c>
      <c r="O104" s="13">
        <f t="shared" si="2"/>
        <v>1.1680952399999995</v>
      </c>
      <c r="P104" s="13">
        <f t="shared" si="2"/>
        <v>0.61892858000000039</v>
      </c>
    </row>
    <row r="105" spans="1:16" x14ac:dyDescent="0.2">
      <c r="A105" s="44">
        <v>2012</v>
      </c>
      <c r="B105" s="45">
        <v>12.14</v>
      </c>
      <c r="C105" s="45">
        <v>12.31</v>
      </c>
      <c r="D105" s="45">
        <v>12.9375</v>
      </c>
      <c r="E105" s="45">
        <v>13.7</v>
      </c>
      <c r="F105" s="45">
        <v>13.97</v>
      </c>
      <c r="G105" s="45">
        <v>13.945</v>
      </c>
      <c r="H105" s="45">
        <v>14.397500000000001</v>
      </c>
      <c r="I105" s="45">
        <v>16.914999999999999</v>
      </c>
      <c r="J105" s="45">
        <v>17.712499999999999</v>
      </c>
      <c r="K105" s="45">
        <v>17.89</v>
      </c>
      <c r="L105" s="45">
        <v>16</v>
      </c>
      <c r="M105" s="45">
        <v>15.702500000000001</v>
      </c>
      <c r="O105" s="13">
        <f t="shared" si="2"/>
        <v>1.1338157899999999</v>
      </c>
      <c r="P105" s="13">
        <f t="shared" si="2"/>
        <v>0.60891304999999996</v>
      </c>
    </row>
    <row r="106" spans="1:16" x14ac:dyDescent="0.2">
      <c r="A106" s="44">
        <v>2013</v>
      </c>
      <c r="B106" s="45">
        <v>13.4</v>
      </c>
      <c r="C106" s="45">
        <v>13.385</v>
      </c>
      <c r="D106" s="45">
        <v>13.5075</v>
      </c>
      <c r="E106" s="45">
        <v>12.8225</v>
      </c>
      <c r="F106" s="45">
        <v>12.6275</v>
      </c>
      <c r="G106" s="45">
        <v>13.147500000000001</v>
      </c>
      <c r="H106" s="45">
        <v>13.33</v>
      </c>
      <c r="I106" s="45">
        <v>12.97</v>
      </c>
      <c r="J106" s="45">
        <v>14.095000000000001</v>
      </c>
      <c r="K106" s="45">
        <v>14.085000000000001</v>
      </c>
      <c r="L106" s="45">
        <v>13.1875</v>
      </c>
      <c r="M106" s="45">
        <v>13.25</v>
      </c>
      <c r="O106" s="13">
        <f t="shared" si="2"/>
        <v>0.64687500000000142</v>
      </c>
      <c r="P106" s="13">
        <f t="shared" si="2"/>
        <v>0.31923914000000053</v>
      </c>
    </row>
    <row r="107" spans="1:16" x14ac:dyDescent="0.2">
      <c r="A107" s="44">
        <v>2014</v>
      </c>
      <c r="B107" s="45">
        <v>11.74</v>
      </c>
      <c r="C107" s="45">
        <v>11.35</v>
      </c>
      <c r="D107" s="45">
        <v>11.82</v>
      </c>
      <c r="E107" s="45">
        <v>11.98</v>
      </c>
      <c r="F107" s="45">
        <v>12.4925</v>
      </c>
      <c r="G107" s="45">
        <v>12.79</v>
      </c>
      <c r="H107" s="45">
        <v>12.4625</v>
      </c>
      <c r="I107" s="45">
        <v>11.5875</v>
      </c>
      <c r="J107" s="45">
        <v>10.8925</v>
      </c>
      <c r="K107" s="45">
        <v>10.38</v>
      </c>
      <c r="L107" s="45">
        <v>10.5375</v>
      </c>
      <c r="M107" s="45">
        <v>10.8675</v>
      </c>
      <c r="O107" s="13">
        <f t="shared" si="2"/>
        <v>0.66535715000000017</v>
      </c>
      <c r="P107" s="13">
        <f t="shared" si="2"/>
        <v>0.89119565999999928</v>
      </c>
    </row>
    <row r="108" spans="1:16" x14ac:dyDescent="0.2">
      <c r="A108" s="44">
        <v>2015</v>
      </c>
      <c r="B108" s="45">
        <v>10.397500000000001</v>
      </c>
      <c r="C108" s="45">
        <v>10.315</v>
      </c>
      <c r="D108" s="45">
        <v>10.039999999999999</v>
      </c>
      <c r="E108" s="45">
        <v>10.047499999999999</v>
      </c>
      <c r="F108" s="45">
        <v>9.7874999999999996</v>
      </c>
      <c r="G108" s="45">
        <v>9.6174999999999997</v>
      </c>
      <c r="H108" s="45">
        <v>10.38</v>
      </c>
      <c r="I108" s="45">
        <v>10.45</v>
      </c>
      <c r="J108" s="45">
        <v>9.9649999999999999</v>
      </c>
      <c r="K108" s="45">
        <v>9.0225000000000009</v>
      </c>
      <c r="L108" s="45">
        <v>9.1974999999999998</v>
      </c>
      <c r="M108" s="45">
        <v>8.8925000000000001</v>
      </c>
      <c r="O108" s="13">
        <f t="shared" si="2"/>
        <v>0.25773810000000097</v>
      </c>
      <c r="P108" s="13">
        <f t="shared" si="2"/>
        <v>0.28659090999999925</v>
      </c>
    </row>
    <row r="109" spans="1:16" x14ac:dyDescent="0.2">
      <c r="A109" s="48">
        <v>2016</v>
      </c>
      <c r="B109" s="45">
        <v>9.2650000000000006</v>
      </c>
      <c r="C109" s="45">
        <v>8.9625000000000004</v>
      </c>
      <c r="D109" s="45">
        <v>8.98</v>
      </c>
      <c r="E109" s="45">
        <v>9.2949999999999999</v>
      </c>
      <c r="F109" s="45">
        <v>10.234999999999999</v>
      </c>
      <c r="G109" s="45">
        <v>10.797499999999999</v>
      </c>
      <c r="H109" s="45">
        <v>11.862500000000001</v>
      </c>
      <c r="I109" s="45">
        <v>11.574999999999999</v>
      </c>
      <c r="J109" s="45">
        <v>10.199999999999999</v>
      </c>
      <c r="K109" s="45">
        <v>9.94</v>
      </c>
      <c r="L109" s="45">
        <v>10.199999999999999</v>
      </c>
      <c r="M109" s="45">
        <v>10.112500000000001</v>
      </c>
      <c r="O109" s="13">
        <f t="shared" si="2"/>
        <v>0.33392858000000025</v>
      </c>
      <c r="P109" s="13">
        <f t="shared" si="2"/>
        <v>0.44630952999999884</v>
      </c>
    </row>
    <row r="110" spans="1:16" x14ac:dyDescent="0.2">
      <c r="A110" s="48">
        <v>2017</v>
      </c>
      <c r="B110" s="45">
        <v>10.3825</v>
      </c>
      <c r="C110" s="45">
        <v>10.3375</v>
      </c>
      <c r="D110" s="45">
        <v>10.345000000000001</v>
      </c>
      <c r="E110" s="45">
        <v>10.33</v>
      </c>
      <c r="F110" s="45">
        <v>9.6850000000000005</v>
      </c>
      <c r="G110" s="45">
        <v>9.8000000000000007</v>
      </c>
      <c r="H110" s="45">
        <v>9.5824999999999996</v>
      </c>
      <c r="I110" s="45">
        <v>10.47</v>
      </c>
      <c r="J110" s="45">
        <v>10.0025</v>
      </c>
      <c r="K110" s="45">
        <v>9.8699999999999992</v>
      </c>
      <c r="L110" s="45">
        <v>10.032500000000001</v>
      </c>
      <c r="M110" s="45">
        <v>10.15</v>
      </c>
      <c r="O110" s="13">
        <f t="shared" si="2"/>
        <v>0.20912500000000023</v>
      </c>
      <c r="P110" s="13">
        <f t="shared" si="2"/>
        <v>0.2818181818181813</v>
      </c>
    </row>
    <row r="111" spans="1:16" x14ac:dyDescent="0.2">
      <c r="A111" s="44">
        <v>2018</v>
      </c>
      <c r="B111" s="13">
        <v>10.24</v>
      </c>
      <c r="C111" s="13">
        <v>10.17</v>
      </c>
      <c r="D111" s="13">
        <v>10.362500000000001</v>
      </c>
      <c r="E111" s="13">
        <v>10.4925</v>
      </c>
      <c r="F111" s="13">
        <v>10.6</v>
      </c>
      <c r="G111" s="13">
        <v>10.605</v>
      </c>
      <c r="H111" s="13">
        <v>10.42</v>
      </c>
      <c r="I111" s="13">
        <v>9.2225000000000001</v>
      </c>
      <c r="J111" s="13">
        <v>9.15</v>
      </c>
      <c r="K111" s="13">
        <v>8.5924999999999994</v>
      </c>
      <c r="L111" s="13">
        <v>8.92</v>
      </c>
      <c r="M111" s="13">
        <v>9.48</v>
      </c>
      <c r="O111" s="13">
        <f t="shared" si="2"/>
        <v>0.19855263157894676</v>
      </c>
      <c r="P111" s="13">
        <f t="shared" si="2"/>
        <v>0.323913043478262</v>
      </c>
    </row>
    <row r="112" spans="1:16" x14ac:dyDescent="0.2">
      <c r="A112" s="48">
        <v>2019</v>
      </c>
      <c r="B112" s="13">
        <v>9.7100000000000009</v>
      </c>
      <c r="C112" s="13">
        <v>9.65</v>
      </c>
      <c r="D112" s="13">
        <v>9.6925000000000008</v>
      </c>
      <c r="E112" s="13">
        <v>9.5749999999999993</v>
      </c>
      <c r="F112" s="13">
        <v>9.4024999999999999</v>
      </c>
      <c r="G112" s="13">
        <v>9.1850000000000005</v>
      </c>
      <c r="H112" s="13">
        <v>9.48</v>
      </c>
      <c r="I112" s="13">
        <v>9.3650000000000002</v>
      </c>
      <c r="J112" s="13">
        <v>8.9674999999999994</v>
      </c>
      <c r="K112" s="13">
        <v>9.0675000000000008</v>
      </c>
      <c r="L112" s="13">
        <v>9.4550000000000001</v>
      </c>
      <c r="M112" s="13">
        <v>9.7550000000000008</v>
      </c>
      <c r="O112" s="13">
        <f t="shared" ref="O112:P117" si="3">K112-K53</f>
        <v>0.23475000000000179</v>
      </c>
      <c r="P112" s="13">
        <f t="shared" si="3"/>
        <v>0.20521739130434824</v>
      </c>
    </row>
    <row r="113" spans="1:16" x14ac:dyDescent="0.2">
      <c r="A113" s="48">
        <v>2020</v>
      </c>
      <c r="B113" s="13">
        <v>9.7899999999999991</v>
      </c>
      <c r="C113" s="13">
        <v>9.8275000000000006</v>
      </c>
      <c r="D113" s="13">
        <v>9.2725000000000009</v>
      </c>
      <c r="E113" s="13">
        <v>9.2375000000000007</v>
      </c>
      <c r="F113" s="13">
        <v>8.8224999999999998</v>
      </c>
      <c r="G113" s="13">
        <v>8.65</v>
      </c>
      <c r="H113" s="13">
        <v>8.8699999999999992</v>
      </c>
      <c r="I113" s="13">
        <v>9.125</v>
      </c>
      <c r="J113" s="13">
        <v>9.6675000000000004</v>
      </c>
      <c r="K113" s="13">
        <v>10.467499999999999</v>
      </c>
      <c r="L113" s="13">
        <v>10.94</v>
      </c>
      <c r="M113" s="13">
        <v>10.6</v>
      </c>
      <c r="O113" s="13">
        <f t="shared" si="3"/>
        <v>0.50452380952380871</v>
      </c>
      <c r="P113" s="13">
        <f t="shared" si="3"/>
        <v>0.39193181818181699</v>
      </c>
    </row>
    <row r="114" spans="1:16" x14ac:dyDescent="0.2">
      <c r="A114" s="48">
        <v>2021</v>
      </c>
      <c r="B114" s="49">
        <v>11.18</v>
      </c>
      <c r="C114" s="49">
        <v>12.03</v>
      </c>
      <c r="D114" s="49">
        <v>12.5275</v>
      </c>
      <c r="E114" s="49">
        <v>12.6525</v>
      </c>
      <c r="F114" s="49">
        <v>13.8475</v>
      </c>
      <c r="G114" s="49">
        <v>14.61</v>
      </c>
      <c r="H114" s="49">
        <v>14.8</v>
      </c>
      <c r="I114" s="49">
        <v>14.23</v>
      </c>
      <c r="J114" s="49">
        <v>13.797499999999999</v>
      </c>
      <c r="K114" s="49">
        <v>13.08</v>
      </c>
      <c r="L114" s="49">
        <v>12.625</v>
      </c>
      <c r="M114">
        <v>12.685</v>
      </c>
      <c r="O114" s="13">
        <f t="shared" si="3"/>
        <v>0.26999999999999957</v>
      </c>
      <c r="P114" s="13">
        <f t="shared" si="3"/>
        <v>0.32297619047619008</v>
      </c>
    </row>
    <row r="115" spans="1:16" x14ac:dyDescent="0.2">
      <c r="A115" s="48">
        <v>2022</v>
      </c>
      <c r="B115" s="13">
        <v>12.83</v>
      </c>
      <c r="C115" s="13">
        <v>13.692500000000001</v>
      </c>
      <c r="D115" s="13">
        <v>15.55</v>
      </c>
      <c r="E115" s="13"/>
      <c r="F115" s="13"/>
      <c r="G115" s="50">
        <f>(SUM(G110:G114)-SUM(G51:G55))/5+G56</f>
        <v>14.001956818181819</v>
      </c>
      <c r="H115" s="50">
        <f>(SUM(H110:H114)-SUM(H51:H55))/5+H56</f>
        <v>14.063573484848487</v>
      </c>
      <c r="I115" s="13"/>
      <c r="J115" s="13"/>
      <c r="K115" s="35">
        <f t="shared" ref="K115:L118" si="4">(SUM(K110:K114)-SUM(K51:K55))/5+K56+0.5</f>
        <v>15.39053314536341</v>
      </c>
      <c r="L115" s="35">
        <f t="shared" si="4"/>
        <v>14.618266563146998</v>
      </c>
      <c r="O115" s="13">
        <f t="shared" si="3"/>
        <v>0.78339028822055212</v>
      </c>
      <c r="P115" s="13">
        <f t="shared" si="3"/>
        <v>0.80517132505175937</v>
      </c>
    </row>
    <row r="116" spans="1:16" x14ac:dyDescent="0.2">
      <c r="A116" s="48">
        <v>2023</v>
      </c>
      <c r="K116" s="35">
        <f t="shared" si="4"/>
        <v>14.14111834586466</v>
      </c>
      <c r="L116" s="35">
        <f t="shared" si="4"/>
        <v>13.753705590062113</v>
      </c>
      <c r="O116" s="13">
        <f t="shared" si="3"/>
        <v>0.89824334586466037</v>
      </c>
      <c r="P116" s="13">
        <f t="shared" si="3"/>
        <v>0.90984195369847498</v>
      </c>
    </row>
    <row r="117" spans="1:16" x14ac:dyDescent="0.2">
      <c r="A117" s="48">
        <v>2024</v>
      </c>
      <c r="K117" s="35">
        <f t="shared" si="4"/>
        <v>11.180306488721806</v>
      </c>
      <c r="L117" s="35">
        <f t="shared" si="4"/>
        <v>11.05572338791643</v>
      </c>
      <c r="O117" s="13">
        <f t="shared" si="3"/>
        <v>1.0381814887218059</v>
      </c>
      <c r="P117" s="13">
        <f t="shared" si="3"/>
        <v>1.0270277357425179</v>
      </c>
    </row>
    <row r="118" spans="1:16" x14ac:dyDescent="0.2">
      <c r="A118" s="48">
        <v>2025</v>
      </c>
      <c r="K118" s="35">
        <f t="shared" si="4"/>
        <v>11.448867786466165</v>
      </c>
      <c r="L118" s="35">
        <f t="shared" si="4"/>
        <v>11.191389804630152</v>
      </c>
      <c r="O118" s="13"/>
      <c r="P118" s="13"/>
    </row>
    <row r="119" spans="1:16" x14ac:dyDescent="0.2">
      <c r="K119" s="35"/>
      <c r="L119" s="35"/>
      <c r="O119" s="13"/>
      <c r="P119" s="13"/>
    </row>
    <row r="120" spans="1:16" ht="15.75" x14ac:dyDescent="0.25">
      <c r="A120" s="47" t="s">
        <v>157</v>
      </c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</row>
    <row r="121" spans="1:16" ht="13.5" x14ac:dyDescent="0.25">
      <c r="A121" s="42" t="s">
        <v>155</v>
      </c>
      <c r="B121" s="43" t="s">
        <v>90</v>
      </c>
      <c r="C121" s="43" t="s">
        <v>91</v>
      </c>
      <c r="D121" s="43" t="s">
        <v>92</v>
      </c>
      <c r="E121" s="43" t="s">
        <v>93</v>
      </c>
      <c r="F121" s="43" t="s">
        <v>94</v>
      </c>
      <c r="G121" s="43" t="s">
        <v>83</v>
      </c>
      <c r="H121" s="43" t="s">
        <v>84</v>
      </c>
      <c r="I121" s="43" t="s">
        <v>85</v>
      </c>
      <c r="J121" s="43" t="s">
        <v>86</v>
      </c>
      <c r="K121" s="43" t="s">
        <v>87</v>
      </c>
      <c r="L121" s="43" t="s">
        <v>88</v>
      </c>
      <c r="M121" s="43" t="s">
        <v>89</v>
      </c>
      <c r="O121" t="str">
        <f>_xlfn.CONCAT(K121," ","Error")</f>
        <v>Sep Error</v>
      </c>
      <c r="P121" t="str">
        <f>_xlfn.CONCAT(L121," ","Error")</f>
        <v>Oct Error</v>
      </c>
    </row>
    <row r="122" spans="1:16" x14ac:dyDescent="0.2">
      <c r="A122" s="44">
        <v>1970</v>
      </c>
      <c r="B122" s="45">
        <v>2.4075000000000002</v>
      </c>
      <c r="C122" s="45">
        <v>2.4249999999999998</v>
      </c>
      <c r="D122" s="45">
        <v>2.4700000000000002</v>
      </c>
      <c r="E122" s="45">
        <v>2.5125000000000002</v>
      </c>
      <c r="F122" s="45">
        <v>2.5274999999999999</v>
      </c>
      <c r="G122" s="45">
        <v>2.5575000000000001</v>
      </c>
      <c r="H122" s="45">
        <v>2.5775000000000001</v>
      </c>
      <c r="I122" s="45">
        <v>2.8174999999999999</v>
      </c>
      <c r="J122" s="45">
        <v>2.76</v>
      </c>
      <c r="K122" s="45">
        <v>2.75</v>
      </c>
      <c r="L122" s="45">
        <v>2.8475000000000001</v>
      </c>
      <c r="M122" s="45">
        <v>3.01</v>
      </c>
      <c r="O122" s="13">
        <f>K4-K122</f>
        <v>9.5952379999999948E-2</v>
      </c>
      <c r="P122" s="13">
        <f>L4-L122</f>
        <v>0.13352271999999976</v>
      </c>
    </row>
    <row r="123" spans="1:16" x14ac:dyDescent="0.2">
      <c r="A123" s="44">
        <v>1971</v>
      </c>
      <c r="B123" s="45">
        <v>2.7574999999999998</v>
      </c>
      <c r="C123" s="45">
        <v>2.78</v>
      </c>
      <c r="D123" s="45">
        <v>2.8325</v>
      </c>
      <c r="E123" s="45">
        <v>2.82</v>
      </c>
      <c r="F123" s="45">
        <v>2.8075000000000001</v>
      </c>
      <c r="G123" s="45">
        <v>2.8250000000000002</v>
      </c>
      <c r="H123" s="45">
        <v>2.9950000000000001</v>
      </c>
      <c r="I123" s="45">
        <v>3.2</v>
      </c>
      <c r="J123" s="45">
        <v>3.125</v>
      </c>
      <c r="K123" s="45">
        <v>3.0525000000000002</v>
      </c>
      <c r="L123" s="45">
        <v>3.07</v>
      </c>
      <c r="M123" s="45">
        <v>2.9775</v>
      </c>
      <c r="O123" s="13">
        <f t="shared" ref="O123:P138" si="5">K5-K123</f>
        <v>8.9999999999999858E-2</v>
      </c>
      <c r="P123" s="13">
        <f t="shared" si="5"/>
        <v>0.11428571000000032</v>
      </c>
    </row>
    <row r="124" spans="1:16" x14ac:dyDescent="0.2">
      <c r="A124" s="44">
        <v>1972</v>
      </c>
      <c r="B124" s="45">
        <v>3.0449999999999999</v>
      </c>
      <c r="C124" s="45">
        <v>2.9575</v>
      </c>
      <c r="D124" s="45">
        <v>2.96</v>
      </c>
      <c r="E124" s="45">
        <v>3.06</v>
      </c>
      <c r="F124" s="45">
        <v>3.14</v>
      </c>
      <c r="G124" s="45">
        <v>3.1375000000000002</v>
      </c>
      <c r="H124" s="45">
        <v>3.1575000000000002</v>
      </c>
      <c r="I124" s="45">
        <v>3.1625000000000001</v>
      </c>
      <c r="J124" s="45">
        <v>3.17</v>
      </c>
      <c r="K124" s="45">
        <v>3.3125</v>
      </c>
      <c r="L124" s="45">
        <v>3.3125</v>
      </c>
      <c r="M124" s="45">
        <v>3.5125000000000002</v>
      </c>
      <c r="O124" s="13">
        <f t="shared" si="5"/>
        <v>8.2374999999999865E-2</v>
      </c>
      <c r="P124" s="13">
        <f t="shared" si="5"/>
        <v>9.4204539999999781E-2</v>
      </c>
    </row>
    <row r="125" spans="1:16" x14ac:dyDescent="0.2">
      <c r="A125" s="44">
        <v>1973</v>
      </c>
      <c r="B125" s="45">
        <v>3.3050000000000002</v>
      </c>
      <c r="C125" s="45">
        <v>3.4525000000000001</v>
      </c>
      <c r="D125" s="45">
        <v>3.55</v>
      </c>
      <c r="E125" s="45">
        <v>3.7749999999999999</v>
      </c>
      <c r="F125" s="45">
        <v>3.9849999999999999</v>
      </c>
      <c r="G125" s="45">
        <v>4.4400000000000004</v>
      </c>
      <c r="H125" s="45">
        <v>5.62</v>
      </c>
      <c r="I125" s="45">
        <v>5.55</v>
      </c>
      <c r="J125" s="45">
        <v>6.81</v>
      </c>
      <c r="K125" s="45">
        <v>5.99</v>
      </c>
      <c r="L125" s="45">
        <v>5.18</v>
      </c>
      <c r="M125" s="45">
        <v>5.22</v>
      </c>
      <c r="O125" s="13">
        <f t="shared" si="5"/>
        <v>0.45315788999999995</v>
      </c>
      <c r="P125" s="13">
        <f t="shared" si="5"/>
        <v>0.6656818100000006</v>
      </c>
    </row>
    <row r="126" spans="1:16" x14ac:dyDescent="0.2">
      <c r="A126" s="44">
        <v>1974</v>
      </c>
      <c r="B126" s="45">
        <v>5.77</v>
      </c>
      <c r="C126" s="45">
        <v>5.7850000000000001</v>
      </c>
      <c r="D126" s="45">
        <v>6.13</v>
      </c>
      <c r="E126" s="45">
        <v>5.68</v>
      </c>
      <c r="F126" s="45">
        <v>5.0599999999999996</v>
      </c>
      <c r="G126" s="45">
        <v>5.08</v>
      </c>
      <c r="H126" s="45">
        <v>5.16</v>
      </c>
      <c r="I126" s="45">
        <v>5.75</v>
      </c>
      <c r="J126" s="45">
        <v>7.14</v>
      </c>
      <c r="K126" s="45">
        <v>6.9249999999999998</v>
      </c>
      <c r="L126" s="45">
        <v>7.6</v>
      </c>
      <c r="M126" s="45">
        <v>7.25</v>
      </c>
      <c r="O126" s="13">
        <f t="shared" si="5"/>
        <v>0.75649999999999995</v>
      </c>
      <c r="P126" s="13">
        <f t="shared" si="5"/>
        <v>0.98826086000000046</v>
      </c>
    </row>
    <row r="127" spans="1:16" x14ac:dyDescent="0.2">
      <c r="A127" s="44">
        <v>1975</v>
      </c>
      <c r="B127" s="45">
        <v>6.61</v>
      </c>
      <c r="C127" s="45">
        <v>5.67</v>
      </c>
      <c r="D127" s="45">
        <v>5.125</v>
      </c>
      <c r="E127" s="45">
        <v>4.96</v>
      </c>
      <c r="F127" s="45">
        <v>5.12</v>
      </c>
      <c r="G127" s="45">
        <v>4.82</v>
      </c>
      <c r="H127" s="45">
        <v>4.76</v>
      </c>
      <c r="I127" s="45">
        <v>4.88</v>
      </c>
      <c r="J127" s="45">
        <v>5.66</v>
      </c>
      <c r="K127" s="45">
        <v>5.4450000000000003</v>
      </c>
      <c r="L127" s="45">
        <v>4.75</v>
      </c>
      <c r="M127" s="45">
        <v>4.6399999999999997</v>
      </c>
      <c r="O127" s="13">
        <f t="shared" si="5"/>
        <v>0.28940476000000004</v>
      </c>
      <c r="P127" s="13">
        <f t="shared" si="5"/>
        <v>0.49576085999999986</v>
      </c>
    </row>
    <row r="128" spans="1:16" x14ac:dyDescent="0.2">
      <c r="A128" s="44">
        <v>1976</v>
      </c>
      <c r="B128" s="45">
        <v>4.84</v>
      </c>
      <c r="C128" s="45">
        <v>4.83</v>
      </c>
      <c r="D128" s="45">
        <v>4.9649999999999999</v>
      </c>
      <c r="E128" s="45">
        <v>4.9024999999999999</v>
      </c>
      <c r="F128" s="45">
        <v>4.8899999999999997</v>
      </c>
      <c r="G128" s="45">
        <v>5.0425000000000004</v>
      </c>
      <c r="H128" s="45">
        <v>5.8550000000000004</v>
      </c>
      <c r="I128" s="45">
        <v>6.18</v>
      </c>
      <c r="J128" s="45">
        <v>5.9</v>
      </c>
      <c r="K128" s="45">
        <v>6.14</v>
      </c>
      <c r="L128" s="45">
        <v>6.04</v>
      </c>
      <c r="M128" s="45">
        <v>6.2450000000000001</v>
      </c>
      <c r="O128" s="13">
        <f t="shared" si="5"/>
        <v>0.67023809000000067</v>
      </c>
      <c r="P128" s="13">
        <f t="shared" si="5"/>
        <v>0.37249999999999961</v>
      </c>
    </row>
    <row r="129" spans="1:16" x14ac:dyDescent="0.2">
      <c r="A129" s="44">
        <v>1977</v>
      </c>
      <c r="B129" s="45">
        <v>6.05</v>
      </c>
      <c r="C129" s="45">
        <v>6.3</v>
      </c>
      <c r="D129" s="45">
        <v>6.7949999999999999</v>
      </c>
      <c r="E129" s="45">
        <v>6.9450000000000003</v>
      </c>
      <c r="F129" s="45">
        <v>6.86</v>
      </c>
      <c r="G129" s="45">
        <v>6.99</v>
      </c>
      <c r="H129" s="45">
        <v>6.53</v>
      </c>
      <c r="I129" s="45">
        <v>5.56</v>
      </c>
      <c r="J129" s="45">
        <v>4.97</v>
      </c>
      <c r="K129" s="45">
        <v>5.0049999999999999</v>
      </c>
      <c r="L129" s="45">
        <v>5.08</v>
      </c>
      <c r="M129" s="45">
        <v>5.4850000000000003</v>
      </c>
      <c r="O129" s="13">
        <f t="shared" si="5"/>
        <v>0.25892857000000014</v>
      </c>
      <c r="P129" s="13">
        <f t="shared" si="5"/>
        <v>0.23083333000000028</v>
      </c>
    </row>
    <row r="130" spans="1:16" x14ac:dyDescent="0.2">
      <c r="A130" s="44">
        <v>1978</v>
      </c>
      <c r="B130" s="45">
        <v>5.7850000000000001</v>
      </c>
      <c r="C130" s="45">
        <v>5.54</v>
      </c>
      <c r="D130" s="45">
        <v>5.6349999999999998</v>
      </c>
      <c r="E130" s="45">
        <v>5.85</v>
      </c>
      <c r="F130" s="45">
        <v>5.91</v>
      </c>
      <c r="G130" s="45">
        <v>6.01</v>
      </c>
      <c r="H130" s="45">
        <v>6.0549999999999997</v>
      </c>
      <c r="I130" s="45">
        <v>5.88</v>
      </c>
      <c r="J130" s="45">
        <v>5.8550000000000004</v>
      </c>
      <c r="K130" s="45">
        <v>6.28</v>
      </c>
      <c r="L130" s="45">
        <v>6.5250000000000004</v>
      </c>
      <c r="M130" s="45">
        <v>6.3724999999999996</v>
      </c>
      <c r="O130" s="13">
        <f t="shared" si="5"/>
        <v>0.22962499999999952</v>
      </c>
      <c r="P130" s="13">
        <f t="shared" si="5"/>
        <v>0.31318180999999967</v>
      </c>
    </row>
    <row r="131" spans="1:16" x14ac:dyDescent="0.2">
      <c r="A131" s="44">
        <v>1979</v>
      </c>
      <c r="B131" s="45">
        <v>6.47</v>
      </c>
      <c r="C131" s="45">
        <v>6.56</v>
      </c>
      <c r="D131" s="45">
        <v>6.7949999999999999</v>
      </c>
      <c r="E131" s="45">
        <v>6.9450000000000003</v>
      </c>
      <c r="F131" s="45">
        <v>6.92</v>
      </c>
      <c r="G131" s="45">
        <v>7.03</v>
      </c>
      <c r="H131" s="45">
        <v>7.19</v>
      </c>
      <c r="I131" s="45">
        <v>7.0149999999999997</v>
      </c>
      <c r="J131" s="45">
        <v>6.84</v>
      </c>
      <c r="K131" s="45">
        <v>6.9050000000000002</v>
      </c>
      <c r="L131" s="45">
        <v>6.25</v>
      </c>
      <c r="M131" s="45">
        <v>6.3550000000000004</v>
      </c>
      <c r="O131" s="13">
        <f t="shared" si="5"/>
        <v>0.22684209999999982</v>
      </c>
      <c r="P131" s="13">
        <f t="shared" si="5"/>
        <v>0.46836956000000018</v>
      </c>
    </row>
    <row r="132" spans="1:16" x14ac:dyDescent="0.2">
      <c r="A132" s="44">
        <v>1980</v>
      </c>
      <c r="B132" s="45">
        <v>7.29</v>
      </c>
      <c r="C132" s="45">
        <v>7</v>
      </c>
      <c r="D132" s="45">
        <v>7.09</v>
      </c>
      <c r="E132" s="45">
        <v>6.46</v>
      </c>
      <c r="F132" s="45">
        <v>6.31</v>
      </c>
      <c r="G132" s="45">
        <v>6.43</v>
      </c>
      <c r="H132" s="45">
        <v>6.3849999999999998</v>
      </c>
      <c r="I132" s="45">
        <v>6.9850000000000003</v>
      </c>
      <c r="J132" s="45">
        <v>7.48</v>
      </c>
      <c r="K132" s="45">
        <v>7.84</v>
      </c>
      <c r="L132" s="45">
        <v>7.8624999999999998</v>
      </c>
      <c r="M132" s="45">
        <v>8.6199999999999992</v>
      </c>
      <c r="O132" s="13">
        <f t="shared" si="5"/>
        <v>0.54607142000000053</v>
      </c>
      <c r="P132" s="13">
        <f t="shared" si="5"/>
        <v>0.7097825999999996</v>
      </c>
    </row>
    <row r="133" spans="1:16" x14ac:dyDescent="0.2">
      <c r="A133" s="44">
        <v>1981</v>
      </c>
      <c r="B133" s="45">
        <v>7.49</v>
      </c>
      <c r="C133" s="45">
        <v>7.8624999999999998</v>
      </c>
      <c r="D133" s="45">
        <v>8</v>
      </c>
      <c r="E133" s="45">
        <v>7.73</v>
      </c>
      <c r="F133" s="45">
        <v>8.1649999999999991</v>
      </c>
      <c r="G133" s="45">
        <v>7.62</v>
      </c>
      <c r="H133" s="45">
        <v>7.14</v>
      </c>
      <c r="I133" s="45">
        <v>7.28</v>
      </c>
      <c r="J133" s="45">
        <v>6.62</v>
      </c>
      <c r="K133" s="45">
        <v>6.3650000000000002</v>
      </c>
      <c r="L133" s="45">
        <v>6.415</v>
      </c>
      <c r="M133" s="45">
        <v>6.25</v>
      </c>
      <c r="O133" s="13">
        <f t="shared" si="5"/>
        <v>0.27488095000000001</v>
      </c>
      <c r="P133" s="13">
        <f t="shared" si="5"/>
        <v>0.14977271999999964</v>
      </c>
    </row>
    <row r="134" spans="1:16" x14ac:dyDescent="0.2">
      <c r="A134" s="44">
        <v>1982</v>
      </c>
      <c r="B134" s="45">
        <v>6.39</v>
      </c>
      <c r="C134" s="45">
        <v>6.5575000000000001</v>
      </c>
      <c r="D134" s="45">
        <v>6.48</v>
      </c>
      <c r="E134" s="45">
        <v>6.2350000000000003</v>
      </c>
      <c r="F134" s="45">
        <v>6.5625</v>
      </c>
      <c r="G134" s="45">
        <v>6.45</v>
      </c>
      <c r="H134" s="45">
        <v>6.2149999999999999</v>
      </c>
      <c r="I134" s="45">
        <v>5.9950000000000001</v>
      </c>
      <c r="J134" s="45">
        <v>5.5049999999999999</v>
      </c>
      <c r="K134" s="45">
        <v>5.34</v>
      </c>
      <c r="L134" s="45">
        <v>5.18</v>
      </c>
      <c r="M134" s="45">
        <v>5.36</v>
      </c>
      <c r="O134" s="13">
        <f t="shared" si="5"/>
        <v>0.14404761000000033</v>
      </c>
      <c r="P134" s="13">
        <f t="shared" si="5"/>
        <v>0.14452379999999998</v>
      </c>
    </row>
    <row r="135" spans="1:16" x14ac:dyDescent="0.2">
      <c r="A135" s="44">
        <v>1983</v>
      </c>
      <c r="B135" s="45">
        <v>5.8</v>
      </c>
      <c r="C135" s="45">
        <v>5.8525</v>
      </c>
      <c r="D135" s="45">
        <v>6.04</v>
      </c>
      <c r="E135" s="45">
        <v>6.09</v>
      </c>
      <c r="F135" s="45">
        <v>6.6</v>
      </c>
      <c r="G135" s="45">
        <v>6.23</v>
      </c>
      <c r="H135" s="45">
        <v>5.98</v>
      </c>
      <c r="I135" s="45">
        <v>6.24</v>
      </c>
      <c r="J135" s="45">
        <v>7.22</v>
      </c>
      <c r="K135" s="45">
        <v>8.41</v>
      </c>
      <c r="L135" s="45">
        <v>7.96</v>
      </c>
      <c r="M135" s="45">
        <v>7.69</v>
      </c>
      <c r="O135" s="13">
        <f t="shared" si="5"/>
        <v>0.60047619000000019</v>
      </c>
      <c r="P135" s="13">
        <f t="shared" si="5"/>
        <v>0.46880951999999976</v>
      </c>
    </row>
    <row r="136" spans="1:16" x14ac:dyDescent="0.2">
      <c r="A136" s="44">
        <v>1984</v>
      </c>
      <c r="B136" s="45">
        <v>6.6150000000000002</v>
      </c>
      <c r="C136" s="45">
        <v>6.9649999999999999</v>
      </c>
      <c r="D136" s="45">
        <v>6.97</v>
      </c>
      <c r="E136" s="45">
        <v>7.2074999999999996</v>
      </c>
      <c r="F136" s="45">
        <v>7.01</v>
      </c>
      <c r="G136" s="45">
        <v>7.04</v>
      </c>
      <c r="H136" s="45">
        <v>7</v>
      </c>
      <c r="I136" s="45">
        <v>6.01</v>
      </c>
      <c r="J136" s="45">
        <v>6.04</v>
      </c>
      <c r="K136" s="45">
        <v>5.6849999999999996</v>
      </c>
      <c r="L136" s="45">
        <v>5.86</v>
      </c>
      <c r="M136" s="45">
        <v>6.02</v>
      </c>
      <c r="O136" s="13">
        <f t="shared" si="5"/>
        <v>0.42078947000000078</v>
      </c>
      <c r="P136" s="13">
        <f t="shared" si="5"/>
        <v>0.27836955999999979</v>
      </c>
    </row>
    <row r="137" spans="1:16" x14ac:dyDescent="0.2">
      <c r="A137" s="44">
        <v>1985</v>
      </c>
      <c r="B137" s="45">
        <v>6.1</v>
      </c>
      <c r="C137" s="45">
        <v>5.97</v>
      </c>
      <c r="D137" s="45">
        <v>5.86</v>
      </c>
      <c r="E137" s="45">
        <v>5.835</v>
      </c>
      <c r="F137" s="45">
        <v>6.02</v>
      </c>
      <c r="G137" s="45">
        <v>5.54</v>
      </c>
      <c r="H137" s="45">
        <v>5.4950000000000001</v>
      </c>
      <c r="I137" s="45">
        <v>5.21</v>
      </c>
      <c r="J137" s="45">
        <v>5.03</v>
      </c>
      <c r="K137" s="45">
        <v>5.0149999999999997</v>
      </c>
      <c r="L137" s="45">
        <v>4.9749999999999996</v>
      </c>
      <c r="M137" s="45">
        <v>4.88</v>
      </c>
      <c r="O137" s="13">
        <f t="shared" si="5"/>
        <v>0.10862499999999997</v>
      </c>
      <c r="P137" s="13">
        <f t="shared" si="5"/>
        <v>7.3913040000000763E-2</v>
      </c>
    </row>
    <row r="138" spans="1:16" x14ac:dyDescent="0.2">
      <c r="A138" s="44">
        <v>1986</v>
      </c>
      <c r="B138" s="45">
        <v>5.0549999999999997</v>
      </c>
      <c r="C138" s="45">
        <v>5.2</v>
      </c>
      <c r="D138" s="45">
        <v>5.0525000000000002</v>
      </c>
      <c r="E138" s="45">
        <v>5.0724999999999998</v>
      </c>
      <c r="F138" s="45">
        <v>4.9725000000000001</v>
      </c>
      <c r="G138" s="45">
        <v>5.0650000000000004</v>
      </c>
      <c r="H138" s="45">
        <v>4.8449999999999998</v>
      </c>
      <c r="I138" s="45">
        <v>4.7949999999999999</v>
      </c>
      <c r="J138" s="45">
        <v>4.6524999999999999</v>
      </c>
      <c r="K138" s="45">
        <v>4.6725000000000003</v>
      </c>
      <c r="L138" s="45">
        <v>4.6900000000000004</v>
      </c>
      <c r="M138" s="45">
        <v>4.92</v>
      </c>
      <c r="O138" s="13">
        <f t="shared" si="5"/>
        <v>0.12273808999999947</v>
      </c>
      <c r="P138" s="13">
        <f t="shared" si="5"/>
        <v>0.12684781999999917</v>
      </c>
    </row>
    <row r="139" spans="1:16" x14ac:dyDescent="0.2">
      <c r="A139" s="44">
        <v>1987</v>
      </c>
      <c r="B139" s="45">
        <v>4.84</v>
      </c>
      <c r="C139" s="45">
        <v>4.7949999999999999</v>
      </c>
      <c r="D139" s="45">
        <v>4.6025</v>
      </c>
      <c r="E139" s="45">
        <v>4.6950000000000003</v>
      </c>
      <c r="F139" s="45">
        <v>4.91</v>
      </c>
      <c r="G139" s="45">
        <v>5.2850000000000001</v>
      </c>
      <c r="H139" s="45">
        <v>5.4</v>
      </c>
      <c r="I139" s="45">
        <v>5.0750000000000002</v>
      </c>
      <c r="J139" s="45">
        <v>4.9175000000000004</v>
      </c>
      <c r="K139" s="45">
        <v>5.03</v>
      </c>
      <c r="L139" s="45">
        <v>5.1375000000000002</v>
      </c>
      <c r="M139" s="45">
        <v>5.2374999999999998</v>
      </c>
      <c r="O139" s="13">
        <f t="shared" ref="O139:P154" si="6">K21-K139</f>
        <v>0.21726189999999956</v>
      </c>
      <c r="P139" s="13">
        <f t="shared" si="6"/>
        <v>0.24624999999999986</v>
      </c>
    </row>
    <row r="140" spans="1:16" x14ac:dyDescent="0.2">
      <c r="A140" s="44">
        <v>1988</v>
      </c>
      <c r="B140" s="45">
        <v>5.62</v>
      </c>
      <c r="C140" s="45">
        <v>6.085</v>
      </c>
      <c r="D140" s="45">
        <v>6.2050000000000001</v>
      </c>
      <c r="E140" s="45">
        <v>6.2549999999999999</v>
      </c>
      <c r="F140" s="45">
        <v>6.79</v>
      </c>
      <c r="G140" s="45">
        <v>7.0650000000000004</v>
      </c>
      <c r="H140" s="45">
        <v>8.0500000000000007</v>
      </c>
      <c r="I140" s="45">
        <v>7.54</v>
      </c>
      <c r="J140" s="45">
        <v>8.1199999999999992</v>
      </c>
      <c r="K140" s="45">
        <v>7.99</v>
      </c>
      <c r="L140" s="45">
        <v>7.51</v>
      </c>
      <c r="M140" s="45">
        <v>7.19</v>
      </c>
      <c r="O140" s="13">
        <f t="shared" si="6"/>
        <v>0.57916666000000028</v>
      </c>
      <c r="P140" s="13">
        <f t="shared" si="6"/>
        <v>0.41559523000000009</v>
      </c>
    </row>
    <row r="141" spans="1:16" x14ac:dyDescent="0.2">
      <c r="A141" s="44">
        <v>1989</v>
      </c>
      <c r="B141" s="45">
        <v>6.7</v>
      </c>
      <c r="C141" s="45">
        <v>7.15</v>
      </c>
      <c r="D141" s="45">
        <v>7.04</v>
      </c>
      <c r="E141" s="45">
        <v>7.1</v>
      </c>
      <c r="F141" s="45">
        <v>6.9</v>
      </c>
      <c r="G141" s="45">
        <v>6.28</v>
      </c>
      <c r="H141" s="45">
        <v>6.14</v>
      </c>
      <c r="I141" s="45">
        <v>5.77</v>
      </c>
      <c r="J141" s="45">
        <v>5.62</v>
      </c>
      <c r="K141" s="45">
        <v>5.64</v>
      </c>
      <c r="L141" s="45">
        <v>5.4</v>
      </c>
      <c r="M141" s="45">
        <v>5.5650000000000004</v>
      </c>
      <c r="O141" s="13">
        <f t="shared" si="6"/>
        <v>0.12850000000000072</v>
      </c>
      <c r="P141" s="13">
        <f t="shared" si="6"/>
        <v>0.21693180999999928</v>
      </c>
    </row>
    <row r="142" spans="1:16" x14ac:dyDescent="0.2">
      <c r="A142" s="44">
        <v>1990</v>
      </c>
      <c r="B142" s="45">
        <v>6.0324999999999998</v>
      </c>
      <c r="C142" s="45">
        <v>5.8849999999999998</v>
      </c>
      <c r="D142" s="45">
        <v>5.8849999999999998</v>
      </c>
      <c r="E142" s="45">
        <v>5.99</v>
      </c>
      <c r="F142" s="45">
        <v>6.0650000000000004</v>
      </c>
      <c r="G142" s="45">
        <v>6.165</v>
      </c>
      <c r="H142" s="45">
        <v>5.9950000000000001</v>
      </c>
      <c r="I142" s="45">
        <v>5.91</v>
      </c>
      <c r="J142" s="45">
        <v>5.8849999999999998</v>
      </c>
      <c r="K142" s="45">
        <v>6.0650000000000004</v>
      </c>
      <c r="L142" s="45">
        <v>5.89</v>
      </c>
      <c r="M142" s="45">
        <v>5.52</v>
      </c>
      <c r="O142" s="13">
        <f t="shared" si="6"/>
        <v>0.18736841999999942</v>
      </c>
      <c r="P142" s="13">
        <f t="shared" si="6"/>
        <v>0.22728260000000056</v>
      </c>
    </row>
    <row r="143" spans="1:16" x14ac:dyDescent="0.2">
      <c r="A143" s="44">
        <v>1991</v>
      </c>
      <c r="B143" s="45">
        <v>6.0549999999999997</v>
      </c>
      <c r="C143" s="45">
        <v>5.9050000000000002</v>
      </c>
      <c r="D143" s="45">
        <v>6.03</v>
      </c>
      <c r="E143" s="45">
        <v>5.9850000000000003</v>
      </c>
      <c r="F143" s="45">
        <v>6.05</v>
      </c>
      <c r="G143" s="45">
        <v>5.79</v>
      </c>
      <c r="H143" s="45">
        <v>5.31</v>
      </c>
      <c r="I143" s="45">
        <v>5.17</v>
      </c>
      <c r="J143" s="45">
        <v>5.29</v>
      </c>
      <c r="K143" s="45">
        <v>5.77</v>
      </c>
      <c r="L143" s="45">
        <v>5.39</v>
      </c>
      <c r="M143" s="45">
        <v>5.4375</v>
      </c>
      <c r="O143" s="13">
        <f t="shared" si="6"/>
        <v>0.16987500000000022</v>
      </c>
      <c r="P143" s="13">
        <f t="shared" si="6"/>
        <v>0.20858694999999994</v>
      </c>
    </row>
    <row r="144" spans="1:16" x14ac:dyDescent="0.2">
      <c r="A144" s="44">
        <v>1992</v>
      </c>
      <c r="B144" s="45">
        <v>5.75</v>
      </c>
      <c r="C144" s="45">
        <v>5.7149999999999999</v>
      </c>
      <c r="D144" s="45">
        <v>5.9050000000000002</v>
      </c>
      <c r="E144" s="45">
        <v>6.07</v>
      </c>
      <c r="F144" s="45">
        <v>5.87</v>
      </c>
      <c r="G144" s="45">
        <v>5.9249999999999998</v>
      </c>
      <c r="H144" s="45">
        <v>6.05</v>
      </c>
      <c r="I144" s="45">
        <v>5.51</v>
      </c>
      <c r="J144" s="45">
        <v>5.2750000000000004</v>
      </c>
      <c r="K144" s="45">
        <v>5.36</v>
      </c>
      <c r="L144" s="45">
        <v>5.2450000000000001</v>
      </c>
      <c r="M144" s="45">
        <v>5.42</v>
      </c>
      <c r="O144" s="13">
        <f t="shared" si="6"/>
        <v>0.11488094999999987</v>
      </c>
      <c r="P144" s="13">
        <f t="shared" si="6"/>
        <v>0.13431818000000018</v>
      </c>
    </row>
    <row r="145" spans="1:16" x14ac:dyDescent="0.2">
      <c r="A145" s="44">
        <v>1993</v>
      </c>
      <c r="B145" s="45">
        <v>5.8075000000000001</v>
      </c>
      <c r="C145" s="45">
        <v>5.8550000000000004</v>
      </c>
      <c r="D145" s="45">
        <v>5.7925000000000004</v>
      </c>
      <c r="E145" s="45">
        <v>5.9</v>
      </c>
      <c r="F145" s="45">
        <v>5.9249999999999998</v>
      </c>
      <c r="G145" s="45">
        <v>5.8975</v>
      </c>
      <c r="H145" s="45">
        <v>5.76</v>
      </c>
      <c r="I145" s="45">
        <v>6.4749999999999996</v>
      </c>
      <c r="J145" s="45">
        <v>6.48</v>
      </c>
      <c r="K145" s="45">
        <v>6.16</v>
      </c>
      <c r="L145" s="45">
        <v>6.04</v>
      </c>
      <c r="M145" s="45">
        <v>6.13</v>
      </c>
      <c r="O145" s="13">
        <f t="shared" si="6"/>
        <v>0.22845238000000023</v>
      </c>
      <c r="P145" s="13">
        <f t="shared" si="6"/>
        <v>0.11261904000000023</v>
      </c>
    </row>
    <row r="146" spans="1:16" x14ac:dyDescent="0.2">
      <c r="A146" s="44">
        <v>1994</v>
      </c>
      <c r="B146" s="45">
        <v>6.28</v>
      </c>
      <c r="C146" s="45">
        <v>6.415</v>
      </c>
      <c r="D146" s="45">
        <v>6.3425000000000002</v>
      </c>
      <c r="E146" s="45">
        <v>6.3775000000000004</v>
      </c>
      <c r="F146" s="45">
        <v>6.07</v>
      </c>
      <c r="G146" s="45">
        <v>6.1</v>
      </c>
      <c r="H146" s="45">
        <v>6.25</v>
      </c>
      <c r="I146" s="45">
        <v>5.54</v>
      </c>
      <c r="J146" s="45">
        <v>5.51</v>
      </c>
      <c r="K146" s="45">
        <v>5.3550000000000004</v>
      </c>
      <c r="L146" s="45">
        <v>5.2675000000000001</v>
      </c>
      <c r="M146" s="45">
        <v>5.4024999999999999</v>
      </c>
      <c r="O146" s="13">
        <f t="shared" si="6"/>
        <v>0.26702379999999959</v>
      </c>
      <c r="P146" s="13">
        <f t="shared" si="6"/>
        <v>0.13964284999999954</v>
      </c>
    </row>
    <row r="147" spans="1:16" x14ac:dyDescent="0.2">
      <c r="A147" s="44">
        <v>1995</v>
      </c>
      <c r="B147" s="45">
        <v>5.8674999999999997</v>
      </c>
      <c r="C147" s="45">
        <v>5.7450000000000001</v>
      </c>
      <c r="D147" s="45">
        <v>5.7324999999999999</v>
      </c>
      <c r="E147" s="45">
        <v>5.8449999999999998</v>
      </c>
      <c r="F147" s="45">
        <v>5.91</v>
      </c>
      <c r="G147" s="45">
        <v>5.8250000000000002</v>
      </c>
      <c r="H147" s="45">
        <v>5.9</v>
      </c>
      <c r="I147" s="45">
        <v>5.99</v>
      </c>
      <c r="J147" s="45">
        <v>5.85</v>
      </c>
      <c r="K147" s="45">
        <v>6.19</v>
      </c>
      <c r="L147" s="45">
        <v>6.32</v>
      </c>
      <c r="M147" s="45">
        <v>6.6550000000000002</v>
      </c>
      <c r="O147" s="13">
        <f t="shared" si="6"/>
        <v>0.19299999999999962</v>
      </c>
      <c r="P147" s="13">
        <f t="shared" si="6"/>
        <v>0.23806817999999996</v>
      </c>
    </row>
    <row r="148" spans="1:16" x14ac:dyDescent="0.2">
      <c r="A148" s="44">
        <v>1996</v>
      </c>
      <c r="B148" s="45">
        <v>6.7125000000000004</v>
      </c>
      <c r="C148" s="45">
        <v>6.92</v>
      </c>
      <c r="D148" s="45">
        <v>7.0324999999999998</v>
      </c>
      <c r="E148" s="45">
        <v>7.15</v>
      </c>
      <c r="F148" s="45">
        <v>7.34</v>
      </c>
      <c r="G148" s="45">
        <v>7.46</v>
      </c>
      <c r="H148" s="45">
        <v>7.2249999999999996</v>
      </c>
      <c r="I148" s="45">
        <v>7.2050000000000001</v>
      </c>
      <c r="J148" s="45">
        <v>7.1825000000000001</v>
      </c>
      <c r="K148" s="45">
        <v>7.5549999999999997</v>
      </c>
      <c r="L148" s="45">
        <v>6.66</v>
      </c>
      <c r="M148" s="45">
        <v>6.5975000000000001</v>
      </c>
      <c r="O148" s="13">
        <f t="shared" si="6"/>
        <v>0.38450000000000006</v>
      </c>
      <c r="P148" s="13">
        <f t="shared" si="6"/>
        <v>0.41000000000000014</v>
      </c>
    </row>
    <row r="149" spans="1:16" x14ac:dyDescent="0.2">
      <c r="A149" s="44">
        <v>1997</v>
      </c>
      <c r="B149" s="45">
        <v>6.5250000000000004</v>
      </c>
      <c r="C149" s="45">
        <v>6.57</v>
      </c>
      <c r="D149" s="45">
        <v>6.75</v>
      </c>
      <c r="E149" s="45">
        <v>6.92</v>
      </c>
      <c r="F149" s="45">
        <v>6.81</v>
      </c>
      <c r="G149" s="45">
        <v>6.63</v>
      </c>
      <c r="H149" s="45">
        <v>6.1749999999999998</v>
      </c>
      <c r="I149" s="45">
        <v>5.77</v>
      </c>
      <c r="J149" s="45">
        <v>6.02</v>
      </c>
      <c r="K149" s="45">
        <v>6.2</v>
      </c>
      <c r="L149" s="45">
        <v>6.2</v>
      </c>
      <c r="M149" s="45">
        <v>6.9074999999999998</v>
      </c>
      <c r="O149" s="13">
        <f t="shared" si="6"/>
        <v>0.16880951999999994</v>
      </c>
      <c r="P149" s="13">
        <f t="shared" si="6"/>
        <v>0.6239130399999997</v>
      </c>
    </row>
    <row r="150" spans="1:16" x14ac:dyDescent="0.2">
      <c r="A150" s="44">
        <v>1998</v>
      </c>
      <c r="B150" s="45">
        <v>6.63</v>
      </c>
      <c r="C150" s="45">
        <v>6.4550000000000001</v>
      </c>
      <c r="D150" s="45">
        <v>6.41</v>
      </c>
      <c r="E150" s="45">
        <v>6.23</v>
      </c>
      <c r="F150" s="45">
        <v>6.0625</v>
      </c>
      <c r="G150" s="45">
        <v>5.8550000000000004</v>
      </c>
      <c r="H150" s="45">
        <v>5.7</v>
      </c>
      <c r="I150" s="45">
        <v>5.6</v>
      </c>
      <c r="J150" s="45">
        <v>5.1050000000000004</v>
      </c>
      <c r="K150" s="45">
        <v>5.085</v>
      </c>
      <c r="L150" s="45">
        <v>5.1475</v>
      </c>
      <c r="M150" s="45">
        <v>5.49</v>
      </c>
      <c r="O150" s="13">
        <f t="shared" si="6"/>
        <v>0.16547618999999969</v>
      </c>
      <c r="P150" s="13">
        <f t="shared" si="6"/>
        <v>0.31579545000000042</v>
      </c>
    </row>
    <row r="151" spans="1:16" x14ac:dyDescent="0.2">
      <c r="A151" s="44">
        <v>1999</v>
      </c>
      <c r="B151" s="45">
        <v>5.5650000000000004</v>
      </c>
      <c r="C151" s="45">
        <v>5.2350000000000003</v>
      </c>
      <c r="D151" s="45">
        <v>4.8</v>
      </c>
      <c r="E151" s="45">
        <v>4.82</v>
      </c>
      <c r="F151" s="45">
        <v>4.95</v>
      </c>
      <c r="G151" s="45">
        <v>4.6475</v>
      </c>
      <c r="H151" s="45">
        <v>4.5274999999999999</v>
      </c>
      <c r="I151" s="45">
        <v>4.0525000000000002</v>
      </c>
      <c r="J151" s="45">
        <v>4.45</v>
      </c>
      <c r="K151" s="45">
        <v>4.76</v>
      </c>
      <c r="L151" s="45">
        <v>4.6449999999999996</v>
      </c>
      <c r="M151" s="45">
        <v>4.5425000000000004</v>
      </c>
      <c r="O151" s="13">
        <f t="shared" si="6"/>
        <v>0.18714284999999986</v>
      </c>
      <c r="P151" s="13">
        <f t="shared" si="6"/>
        <v>0.20357142000000028</v>
      </c>
    </row>
    <row r="152" spans="1:16" x14ac:dyDescent="0.2">
      <c r="A152" s="44">
        <v>2000</v>
      </c>
      <c r="B152" s="45">
        <v>4.72</v>
      </c>
      <c r="C152" s="45">
        <v>4.8550000000000004</v>
      </c>
      <c r="D152" s="45">
        <v>5.14</v>
      </c>
      <c r="E152" s="45">
        <v>5.2</v>
      </c>
      <c r="F152" s="45">
        <v>5.4649999999999999</v>
      </c>
      <c r="G152" s="45">
        <v>5.1924999999999999</v>
      </c>
      <c r="H152" s="45">
        <v>4.7</v>
      </c>
      <c r="I152" s="45">
        <v>4.4550000000000001</v>
      </c>
      <c r="J152" s="45">
        <v>4.46</v>
      </c>
      <c r="K152" s="45">
        <v>4.82</v>
      </c>
      <c r="L152" s="45">
        <v>4.5350000000000001</v>
      </c>
      <c r="M152" s="45">
        <v>4.59</v>
      </c>
      <c r="O152" s="13">
        <f t="shared" si="6"/>
        <v>0.13587499999999952</v>
      </c>
      <c r="P152" s="13">
        <f t="shared" si="6"/>
        <v>0.18965909000000014</v>
      </c>
    </row>
    <row r="153" spans="1:16" x14ac:dyDescent="0.2">
      <c r="A153" s="44">
        <v>2001</v>
      </c>
      <c r="B153" s="45">
        <v>5.14</v>
      </c>
      <c r="C153" s="45">
        <v>4.6849999999999996</v>
      </c>
      <c r="D153" s="45">
        <v>4.5199999999999996</v>
      </c>
      <c r="E153" s="45">
        <v>4.26</v>
      </c>
      <c r="F153" s="45">
        <v>4.1749999999999998</v>
      </c>
      <c r="G153" s="45">
        <v>4.2</v>
      </c>
      <c r="H153" s="45">
        <v>4.29</v>
      </c>
      <c r="I153" s="45">
        <v>4.5925000000000002</v>
      </c>
      <c r="J153" s="45">
        <v>4.7350000000000003</v>
      </c>
      <c r="K153" s="45">
        <v>4.5049999999999999</v>
      </c>
      <c r="L153" s="45">
        <v>4.1974999999999998</v>
      </c>
      <c r="M153" s="45">
        <v>4.28</v>
      </c>
      <c r="O153" s="13">
        <f t="shared" si="6"/>
        <v>0.20375000000000032</v>
      </c>
      <c r="P153" s="13">
        <f t="shared" si="6"/>
        <v>0.17391304000000041</v>
      </c>
    </row>
    <row r="154" spans="1:16" x14ac:dyDescent="0.2">
      <c r="A154" s="44">
        <v>2002</v>
      </c>
      <c r="B154" s="45">
        <v>4.33</v>
      </c>
      <c r="C154" s="45">
        <v>4.2850000000000001</v>
      </c>
      <c r="D154" s="45">
        <v>4.3949999999999996</v>
      </c>
      <c r="E154" s="45">
        <v>4.51</v>
      </c>
      <c r="F154" s="45">
        <v>4.5049999999999999</v>
      </c>
      <c r="G154" s="45">
        <v>4.5049999999999999</v>
      </c>
      <c r="H154" s="45">
        <v>4.67</v>
      </c>
      <c r="I154" s="45">
        <v>4.9800000000000004</v>
      </c>
      <c r="J154" s="45">
        <v>5.1749999999999998</v>
      </c>
      <c r="K154" s="45">
        <v>5.4474999999999998</v>
      </c>
      <c r="L154" s="45">
        <v>5.22</v>
      </c>
      <c r="M154" s="45">
        <v>5.6124999999999998</v>
      </c>
      <c r="O154" s="13">
        <f t="shared" si="6"/>
        <v>0.19812500000000011</v>
      </c>
      <c r="P154" s="13">
        <f t="shared" si="6"/>
        <v>0.22521739000000007</v>
      </c>
    </row>
    <row r="155" spans="1:16" x14ac:dyDescent="0.2">
      <c r="A155" s="44">
        <v>2003</v>
      </c>
      <c r="B155" s="45">
        <v>5.03</v>
      </c>
      <c r="C155" s="45">
        <v>5.0250000000000004</v>
      </c>
      <c r="D155" s="45">
        <v>5.19</v>
      </c>
      <c r="E155" s="45">
        <v>5.05</v>
      </c>
      <c r="F155" s="45">
        <v>5.1100000000000003</v>
      </c>
      <c r="G155" s="45">
        <v>5.43</v>
      </c>
      <c r="H155" s="45">
        <v>5.46</v>
      </c>
      <c r="I155" s="45">
        <v>5.0750000000000002</v>
      </c>
      <c r="J155" s="45">
        <v>5.09</v>
      </c>
      <c r="K155" s="45">
        <v>5.6950000000000003</v>
      </c>
      <c r="L155" s="45">
        <v>6.69</v>
      </c>
      <c r="M155" s="45">
        <v>7.31</v>
      </c>
      <c r="O155" s="13">
        <f t="shared" ref="O155:P170" si="7">K37-K155</f>
        <v>0.54035713999999935</v>
      </c>
      <c r="P155" s="13">
        <f t="shared" si="7"/>
        <v>0.6306521699999994</v>
      </c>
    </row>
    <row r="156" spans="1:16" x14ac:dyDescent="0.2">
      <c r="A156" s="44">
        <v>2004</v>
      </c>
      <c r="B156" s="45">
        <v>5.84</v>
      </c>
      <c r="C156" s="45">
        <v>6.3</v>
      </c>
      <c r="D156" s="45">
        <v>6.3</v>
      </c>
      <c r="E156" s="45">
        <v>7.23</v>
      </c>
      <c r="F156" s="45">
        <v>7.1</v>
      </c>
      <c r="G156" s="45">
        <v>6.6875</v>
      </c>
      <c r="H156" s="45">
        <v>6.5225</v>
      </c>
      <c r="I156" s="45">
        <v>5.68</v>
      </c>
      <c r="J156" s="45">
        <v>5.4974999999999996</v>
      </c>
      <c r="K156" s="45">
        <v>5.2149999999999999</v>
      </c>
      <c r="L156" s="45">
        <v>5.0599999999999996</v>
      </c>
      <c r="M156" s="45">
        <v>5.01</v>
      </c>
      <c r="O156" s="13">
        <f t="shared" si="7"/>
        <v>0.4140476099999999</v>
      </c>
      <c r="P156" s="13">
        <f t="shared" si="7"/>
        <v>0.20440476000000007</v>
      </c>
    </row>
    <row r="157" spans="1:16" x14ac:dyDescent="0.2">
      <c r="A157" s="44">
        <v>2005</v>
      </c>
      <c r="B157" s="45">
        <v>5.46</v>
      </c>
      <c r="C157" s="45">
        <v>5.2649999999999997</v>
      </c>
      <c r="D157" s="45">
        <v>5.1950000000000003</v>
      </c>
      <c r="E157" s="45">
        <v>5.93</v>
      </c>
      <c r="F157" s="45">
        <v>5.94</v>
      </c>
      <c r="G157" s="45">
        <v>6.04</v>
      </c>
      <c r="H157" s="45">
        <v>6.6050000000000004</v>
      </c>
      <c r="I157" s="45">
        <v>6.66</v>
      </c>
      <c r="J157" s="45">
        <v>5.9474999999999998</v>
      </c>
      <c r="K157" s="45">
        <v>5.5650000000000004</v>
      </c>
      <c r="L157" s="45">
        <v>5.54</v>
      </c>
      <c r="M157" s="45">
        <v>5.64</v>
      </c>
      <c r="O157" s="13">
        <f t="shared" si="7"/>
        <v>0.24928570999999966</v>
      </c>
      <c r="P157" s="13">
        <f t="shared" si="7"/>
        <v>0.20702379999999998</v>
      </c>
    </row>
    <row r="158" spans="1:16" x14ac:dyDescent="0.2">
      <c r="A158" s="44">
        <v>2006</v>
      </c>
      <c r="B158" s="45">
        <v>5.7850000000000001</v>
      </c>
      <c r="C158" s="45">
        <v>5.92</v>
      </c>
      <c r="D158" s="45">
        <v>6.0350000000000001</v>
      </c>
      <c r="E158" s="45">
        <v>6.0025000000000004</v>
      </c>
      <c r="F158" s="45">
        <v>5.8475000000000001</v>
      </c>
      <c r="G158" s="45">
        <v>6.0149999999999997</v>
      </c>
      <c r="H158" s="45">
        <v>5.91</v>
      </c>
      <c r="I158" s="45">
        <v>5.92</v>
      </c>
      <c r="J158" s="45">
        <v>5.4924999999999997</v>
      </c>
      <c r="K158" s="45">
        <v>5.3674999999999997</v>
      </c>
      <c r="L158" s="45">
        <v>5.4050000000000002</v>
      </c>
      <c r="M158" s="45">
        <v>6.2824999999999998</v>
      </c>
      <c r="O158" s="13">
        <f t="shared" si="7"/>
        <v>0.11112500000000036</v>
      </c>
      <c r="P158" s="13">
        <f t="shared" si="7"/>
        <v>0.52488636</v>
      </c>
    </row>
    <row r="159" spans="1:16" x14ac:dyDescent="0.2">
      <c r="A159" s="44">
        <v>2007</v>
      </c>
      <c r="B159" s="45">
        <v>7.0025000000000004</v>
      </c>
      <c r="C159" s="45">
        <v>7.08</v>
      </c>
      <c r="D159" s="45">
        <v>7.7</v>
      </c>
      <c r="E159" s="45">
        <v>7.7649999999999997</v>
      </c>
      <c r="F159" s="45">
        <v>7.5149999999999997</v>
      </c>
      <c r="G159" s="45">
        <v>7.63</v>
      </c>
      <c r="H159" s="45">
        <v>8.25</v>
      </c>
      <c r="I159" s="45">
        <v>8.3324999999999996</v>
      </c>
      <c r="J159" s="45">
        <v>8.0449999999999999</v>
      </c>
      <c r="K159" s="45">
        <v>8.8550000000000004</v>
      </c>
      <c r="L159" s="45">
        <v>9.2200000000000006</v>
      </c>
      <c r="M159" s="45">
        <v>9.6425000000000001</v>
      </c>
      <c r="O159" s="13">
        <f t="shared" si="7"/>
        <v>0.67157893999999985</v>
      </c>
      <c r="P159" s="13">
        <f t="shared" si="7"/>
        <v>0.53413042999999938</v>
      </c>
    </row>
    <row r="160" spans="1:16" x14ac:dyDescent="0.2">
      <c r="A160" s="44">
        <v>2008</v>
      </c>
      <c r="B160" s="45">
        <v>10.035</v>
      </c>
      <c r="C160" s="45">
        <v>11.217499999999999</v>
      </c>
      <c r="D160" s="45">
        <v>12.45</v>
      </c>
      <c r="E160" s="45">
        <v>10.895</v>
      </c>
      <c r="F160" s="45">
        <v>10.452500000000001</v>
      </c>
      <c r="G160" s="45">
        <v>11.647500000000001</v>
      </c>
      <c r="H160" s="45">
        <v>13.385</v>
      </c>
      <c r="I160" s="45">
        <v>13.5175</v>
      </c>
      <c r="J160" s="45">
        <v>11.68</v>
      </c>
      <c r="K160" s="45">
        <v>10.39</v>
      </c>
      <c r="L160" s="45">
        <v>8.25</v>
      </c>
      <c r="M160" s="45">
        <v>8.65</v>
      </c>
      <c r="O160" s="13">
        <f t="shared" si="7"/>
        <v>1.3611904699999986</v>
      </c>
      <c r="P160" s="13">
        <f t="shared" si="7"/>
        <v>0.97021739000000018</v>
      </c>
    </row>
    <row r="161" spans="1:16" x14ac:dyDescent="0.2">
      <c r="A161" s="44">
        <v>2009</v>
      </c>
      <c r="B161" s="45">
        <v>7.9649999999999999</v>
      </c>
      <c r="C161" s="45">
        <v>9.1300000000000008</v>
      </c>
      <c r="D161" s="45">
        <v>8.1649999999999991</v>
      </c>
      <c r="E161" s="45">
        <v>7.84</v>
      </c>
      <c r="F161" s="45">
        <v>8.83</v>
      </c>
      <c r="G161" s="45">
        <v>9.35</v>
      </c>
      <c r="H161" s="45">
        <v>9.4350000000000005</v>
      </c>
      <c r="I161" s="45">
        <v>8.8125</v>
      </c>
      <c r="J161" s="45">
        <v>9.4049999999999994</v>
      </c>
      <c r="K161" s="45">
        <v>8.92</v>
      </c>
      <c r="L161" s="45">
        <v>8.7874999999999996</v>
      </c>
      <c r="M161" s="45">
        <v>9.4499999999999993</v>
      </c>
      <c r="O161" s="13">
        <f t="shared" si="7"/>
        <v>0.38619047000000073</v>
      </c>
      <c r="P161" s="13">
        <f t="shared" si="7"/>
        <v>0.87034090000000042</v>
      </c>
    </row>
    <row r="162" spans="1:16" x14ac:dyDescent="0.2">
      <c r="A162" s="44">
        <v>2010</v>
      </c>
      <c r="B162" s="45">
        <v>9.68</v>
      </c>
      <c r="C162" s="45">
        <v>9.1</v>
      </c>
      <c r="D162" s="45">
        <v>8.9949999999999992</v>
      </c>
      <c r="E162" s="45">
        <v>9.06</v>
      </c>
      <c r="F162" s="45">
        <v>9.14</v>
      </c>
      <c r="G162" s="45">
        <v>8.93</v>
      </c>
      <c r="H162" s="45">
        <v>8.8674999999999997</v>
      </c>
      <c r="I162" s="45">
        <v>8.94</v>
      </c>
      <c r="J162" s="45">
        <v>9.9350000000000005</v>
      </c>
      <c r="K162" s="45">
        <v>10.0075</v>
      </c>
      <c r="L162" s="45">
        <v>10.42</v>
      </c>
      <c r="M162" s="45">
        <v>12.125</v>
      </c>
      <c r="O162" s="13">
        <f t="shared" si="7"/>
        <v>0.64095237999999988</v>
      </c>
      <c r="P162" s="13">
        <f t="shared" si="7"/>
        <v>1.2058333300000008</v>
      </c>
    </row>
    <row r="163" spans="1:16" x14ac:dyDescent="0.2">
      <c r="A163" s="44">
        <v>2011</v>
      </c>
      <c r="B163" s="45">
        <v>11.61</v>
      </c>
      <c r="C163" s="45">
        <v>12.6875</v>
      </c>
      <c r="D163" s="45">
        <v>12.67</v>
      </c>
      <c r="E163" s="45">
        <v>12.38</v>
      </c>
      <c r="F163" s="45">
        <v>13.2225</v>
      </c>
      <c r="G163" s="45">
        <v>12.8725</v>
      </c>
      <c r="H163" s="45">
        <v>12.86</v>
      </c>
      <c r="I163" s="45">
        <v>12.93</v>
      </c>
      <c r="J163" s="45">
        <v>12.82</v>
      </c>
      <c r="K163" s="45">
        <v>11.75</v>
      </c>
      <c r="L163" s="45">
        <v>11.52</v>
      </c>
      <c r="M163" s="45">
        <v>11.58</v>
      </c>
      <c r="O163" s="13">
        <f t="shared" si="7"/>
        <v>1.6519047600000007</v>
      </c>
      <c r="P163" s="13">
        <f t="shared" si="7"/>
        <v>0.61857142000000032</v>
      </c>
    </row>
    <row r="164" spans="1:16" x14ac:dyDescent="0.2">
      <c r="A164" s="44">
        <v>2012</v>
      </c>
      <c r="B164" s="45">
        <v>11.157500000000001</v>
      </c>
      <c r="C164" s="45">
        <v>11.635</v>
      </c>
      <c r="D164" s="45">
        <v>12.032500000000001</v>
      </c>
      <c r="E164" s="45">
        <v>12.782500000000001</v>
      </c>
      <c r="F164" s="45">
        <v>13.32</v>
      </c>
      <c r="G164" s="45">
        <v>12.512499999999999</v>
      </c>
      <c r="H164" s="45">
        <v>12.4475</v>
      </c>
      <c r="I164" s="45">
        <v>14.305</v>
      </c>
      <c r="J164" s="45">
        <v>15.5525</v>
      </c>
      <c r="K164" s="45">
        <v>15.574999999999999</v>
      </c>
      <c r="L164" s="45">
        <v>14.8575</v>
      </c>
      <c r="M164" s="45">
        <v>14.0075</v>
      </c>
      <c r="O164" s="13">
        <f t="shared" si="7"/>
        <v>1.1811842100000014</v>
      </c>
      <c r="P164" s="13">
        <f t="shared" si="7"/>
        <v>0.53358695000000012</v>
      </c>
    </row>
    <row r="165" spans="1:16" x14ac:dyDescent="0.2">
      <c r="A165" s="44">
        <v>2013</v>
      </c>
      <c r="B165" s="45">
        <v>12.835000000000001</v>
      </c>
      <c r="C165" s="45">
        <v>12.592499999999999</v>
      </c>
      <c r="D165" s="45">
        <v>12.4725</v>
      </c>
      <c r="E165" s="45">
        <v>12.475</v>
      </c>
      <c r="F165" s="45">
        <v>11.865</v>
      </c>
      <c r="G165" s="45">
        <v>11.9725</v>
      </c>
      <c r="H165" s="45">
        <v>12.47</v>
      </c>
      <c r="I165" s="45">
        <v>11.942500000000001</v>
      </c>
      <c r="J165" s="45">
        <v>11.625</v>
      </c>
      <c r="K165" s="45">
        <v>12.8</v>
      </c>
      <c r="L165" s="45">
        <v>12.6175</v>
      </c>
      <c r="M165" s="45">
        <v>12.55</v>
      </c>
      <c r="O165" s="13">
        <f t="shared" si="7"/>
        <v>0.63812499999999872</v>
      </c>
      <c r="P165" s="13">
        <f t="shared" si="7"/>
        <v>0.25076085999999975</v>
      </c>
    </row>
    <row r="166" spans="1:16" x14ac:dyDescent="0.2">
      <c r="A166" s="44">
        <v>2014</v>
      </c>
      <c r="B166" s="45">
        <v>11.3</v>
      </c>
      <c r="C166" s="45">
        <v>10.8825</v>
      </c>
      <c r="D166" s="45">
        <v>10.99</v>
      </c>
      <c r="E166" s="45">
        <v>11.64</v>
      </c>
      <c r="F166" s="45">
        <v>11.82</v>
      </c>
      <c r="G166" s="45">
        <v>12.067500000000001</v>
      </c>
      <c r="H166" s="45">
        <v>11.515000000000001</v>
      </c>
      <c r="I166" s="45">
        <v>10.55</v>
      </c>
      <c r="J166" s="45">
        <v>10.1975</v>
      </c>
      <c r="K166" s="45">
        <v>9.0549999999999997</v>
      </c>
      <c r="L166" s="45">
        <v>9.0399999999999991</v>
      </c>
      <c r="M166" s="45">
        <v>9.9600000000000009</v>
      </c>
      <c r="O166" s="13">
        <f t="shared" si="7"/>
        <v>0.65964285000000089</v>
      </c>
      <c r="P166" s="13">
        <f t="shared" si="7"/>
        <v>0.60630434000000122</v>
      </c>
    </row>
    <row r="167" spans="1:16" x14ac:dyDescent="0.2">
      <c r="A167" s="44">
        <v>2015</v>
      </c>
      <c r="B167" s="45">
        <v>9.6950000000000003</v>
      </c>
      <c r="C167" s="45">
        <v>9.4</v>
      </c>
      <c r="D167" s="45">
        <v>9.43</v>
      </c>
      <c r="E167" s="45">
        <v>9.33</v>
      </c>
      <c r="F167" s="45">
        <v>9.36</v>
      </c>
      <c r="G167" s="45">
        <v>8.9824999999999999</v>
      </c>
      <c r="H167" s="45">
        <v>8.9574999999999996</v>
      </c>
      <c r="I167" s="45">
        <v>9.3175000000000008</v>
      </c>
      <c r="J167" s="45">
        <v>8.5500000000000007</v>
      </c>
      <c r="K167" s="45">
        <v>8.5325000000000006</v>
      </c>
      <c r="L167" s="45">
        <v>8.6824999999999992</v>
      </c>
      <c r="M167" s="45">
        <v>8.59</v>
      </c>
      <c r="O167" s="13">
        <f t="shared" si="7"/>
        <v>0.23226189999999924</v>
      </c>
      <c r="P167" s="13">
        <f t="shared" si="7"/>
        <v>0.22840909000000131</v>
      </c>
    </row>
    <row r="168" spans="1:16" x14ac:dyDescent="0.2">
      <c r="A168" s="48">
        <v>2016</v>
      </c>
      <c r="B168" s="45">
        <v>8.6999999999999993</v>
      </c>
      <c r="C168" s="45">
        <v>8.68</v>
      </c>
      <c r="D168" s="45">
        <v>8.7200000000000006</v>
      </c>
      <c r="E168" s="45">
        <v>8.68</v>
      </c>
      <c r="F168" s="45">
        <v>9.16</v>
      </c>
      <c r="G168" s="45">
        <v>9.9700000000000006</v>
      </c>
      <c r="H168" s="45">
        <v>10.45</v>
      </c>
      <c r="I168" s="45">
        <v>9.6300000000000008</v>
      </c>
      <c r="J168" s="45">
        <v>9.3800000000000008</v>
      </c>
      <c r="K168" s="45">
        <v>9.34</v>
      </c>
      <c r="L168" s="45">
        <v>9.3725000000000005</v>
      </c>
      <c r="M168" s="45">
        <v>9.68</v>
      </c>
      <c r="O168" s="13">
        <f t="shared" si="7"/>
        <v>0.26607141999999939</v>
      </c>
      <c r="P168" s="13">
        <f t="shared" si="7"/>
        <v>0.38119046999999995</v>
      </c>
    </row>
    <row r="169" spans="1:16" x14ac:dyDescent="0.2">
      <c r="A169" s="48">
        <v>2017</v>
      </c>
      <c r="B169" s="45">
        <v>9.8074999999999992</v>
      </c>
      <c r="C169" s="45">
        <v>9.8125</v>
      </c>
      <c r="D169" s="45">
        <v>9.9550000000000001</v>
      </c>
      <c r="E169" s="45">
        <v>9.4949999999999992</v>
      </c>
      <c r="F169" s="45">
        <v>9.4149999999999991</v>
      </c>
      <c r="G169" s="45">
        <v>9.1549999999999994</v>
      </c>
      <c r="H169" s="45">
        <v>9.07</v>
      </c>
      <c r="I169" s="45">
        <v>9.6300000000000008</v>
      </c>
      <c r="J169" s="45">
        <v>9.2100000000000009</v>
      </c>
      <c r="K169" s="45">
        <v>9.375</v>
      </c>
      <c r="L169" s="45">
        <v>9.5250000000000004</v>
      </c>
      <c r="M169" s="45">
        <v>9.8049999999999997</v>
      </c>
      <c r="O169" s="13">
        <f t="shared" si="7"/>
        <v>0.28587499999999899</v>
      </c>
      <c r="P169" s="13">
        <f t="shared" si="7"/>
        <v>0.22568181818181898</v>
      </c>
    </row>
    <row r="170" spans="1:16" x14ac:dyDescent="0.2">
      <c r="A170" s="44">
        <v>2018</v>
      </c>
      <c r="B170" s="13">
        <v>9.6999999999999993</v>
      </c>
      <c r="C170" s="13">
        <v>9.6750000000000007</v>
      </c>
      <c r="D170" s="13">
        <v>9.8925000000000001</v>
      </c>
      <c r="E170" s="13">
        <v>10.0975</v>
      </c>
      <c r="F170" s="13">
        <v>9.9774999999999991</v>
      </c>
      <c r="G170" s="13">
        <v>10.02</v>
      </c>
      <c r="H170" s="13">
        <v>8.6449999999999996</v>
      </c>
      <c r="I170" s="13">
        <v>8.2624999999999993</v>
      </c>
      <c r="J170" s="13">
        <v>8.2874999999999996</v>
      </c>
      <c r="K170" s="13">
        <v>8.1225000000000005</v>
      </c>
      <c r="L170" s="13">
        <v>8.3175000000000008</v>
      </c>
      <c r="M170" s="13">
        <v>8.98</v>
      </c>
      <c r="O170" s="13">
        <f t="shared" si="7"/>
        <v>0.2714473684210521</v>
      </c>
      <c r="P170" s="13">
        <f t="shared" si="7"/>
        <v>0.27858695652173715</v>
      </c>
    </row>
    <row r="171" spans="1:16" x14ac:dyDescent="0.2">
      <c r="A171" s="48">
        <v>2019</v>
      </c>
      <c r="B171" s="13">
        <v>9.2349999999999994</v>
      </c>
      <c r="C171" s="13">
        <v>9.3424999999999994</v>
      </c>
      <c r="D171" s="13">
        <v>9.3874999999999993</v>
      </c>
      <c r="E171" s="13">
        <v>9.18</v>
      </c>
      <c r="F171" s="13">
        <v>8.7225000000000001</v>
      </c>
      <c r="G171" s="13">
        <v>8.1549999999999994</v>
      </c>
      <c r="H171" s="13">
        <v>8.7524999999999995</v>
      </c>
      <c r="I171" s="13">
        <v>8.8000000000000007</v>
      </c>
      <c r="J171" s="13">
        <v>8.5250000000000004</v>
      </c>
      <c r="K171" s="13">
        <v>8.51</v>
      </c>
      <c r="L171" s="13">
        <v>9.0325000000000006</v>
      </c>
      <c r="M171" s="13">
        <v>9.2675000000000001</v>
      </c>
      <c r="O171" s="13">
        <f t="shared" ref="O171:P172" si="8">K53-K171</f>
        <v>0.3227499999999992</v>
      </c>
      <c r="P171" s="13">
        <f t="shared" si="8"/>
        <v>0.21728260869565119</v>
      </c>
    </row>
    <row r="172" spans="1:16" x14ac:dyDescent="0.2">
      <c r="A172" s="48">
        <v>2020</v>
      </c>
      <c r="B172" s="13">
        <v>9.2274999999999991</v>
      </c>
      <c r="C172" s="13">
        <v>9.1174999999999997</v>
      </c>
      <c r="D172" s="13">
        <v>9.0024999999999995</v>
      </c>
      <c r="E172" s="13">
        <v>8.3674999999999997</v>
      </c>
      <c r="F172" s="13">
        <v>8.31</v>
      </c>
      <c r="G172" s="13">
        <v>8.3849999999999998</v>
      </c>
      <c r="H172" s="13">
        <v>8.4574999999999996</v>
      </c>
      <c r="I172" s="13">
        <v>8.7149999999999999</v>
      </c>
      <c r="J172" s="13">
        <v>8.6524999999999999</v>
      </c>
      <c r="K172" s="13">
        <v>9.4275000000000002</v>
      </c>
      <c r="L172" s="13">
        <v>10.130000000000001</v>
      </c>
      <c r="M172" s="13">
        <v>9.66</v>
      </c>
      <c r="O172" s="13">
        <f t="shared" si="8"/>
        <v>0.53547619047619044</v>
      </c>
      <c r="P172" s="13">
        <f t="shared" si="8"/>
        <v>0.41806818181818173</v>
      </c>
    </row>
    <row r="173" spans="1:16" x14ac:dyDescent="0.2">
      <c r="A173" s="48">
        <v>2021</v>
      </c>
      <c r="B173" s="49">
        <v>10.2225</v>
      </c>
      <c r="C173" s="49">
        <v>10.97</v>
      </c>
      <c r="D173" s="49">
        <v>11.3575</v>
      </c>
      <c r="E173" s="49">
        <v>11.84</v>
      </c>
      <c r="F173" s="49">
        <v>12.4275</v>
      </c>
      <c r="G173" s="49">
        <v>13.2575</v>
      </c>
      <c r="H173" s="49">
        <v>12.404999999999999</v>
      </c>
      <c r="I173" s="49">
        <v>13.005000000000001</v>
      </c>
      <c r="J173" s="49">
        <v>12.772500000000001</v>
      </c>
      <c r="K173" s="49">
        <v>12.49</v>
      </c>
      <c r="L173" s="49">
        <v>11.845000000000001</v>
      </c>
      <c r="M173">
        <v>11.922499999999999</v>
      </c>
      <c r="O173" s="13">
        <f>K55-K173</f>
        <v>0.32000000000000028</v>
      </c>
      <c r="P173" s="13">
        <f>L55-L173</f>
        <v>0.45702380952380928</v>
      </c>
    </row>
    <row r="174" spans="1:16" x14ac:dyDescent="0.2">
      <c r="A174" s="48">
        <v>2022</v>
      </c>
      <c r="B174" s="13">
        <v>12.047499999999999</v>
      </c>
      <c r="C174" s="13">
        <v>12.74</v>
      </c>
      <c r="D174" s="13">
        <v>13.6225</v>
      </c>
      <c r="E174" s="13"/>
      <c r="F174" s="13"/>
      <c r="G174" s="50">
        <f>(SUM(G169:G173)-SUM(G51:G55))/5+G56</f>
        <v>13.226456818181818</v>
      </c>
      <c r="H174" s="50">
        <f>(SUM(H169:H173)-SUM(H51:H55))/5+H56</f>
        <v>12.899073484848484</v>
      </c>
      <c r="I174" s="13"/>
      <c r="J174" s="13"/>
      <c r="K174" s="35">
        <f t="shared" ref="K174:L177" si="9">(SUM(K169:K173)-SUM(K51:K55))/5+K56-0.5</f>
        <v>13.76003314536341</v>
      </c>
      <c r="L174" s="35">
        <f t="shared" si="9"/>
        <v>12.993766563146998</v>
      </c>
      <c r="O174" s="13">
        <f>K56-K174</f>
        <v>0.84710971177944749</v>
      </c>
      <c r="P174" s="13">
        <f>L56-L174</f>
        <v>0.81932867494824002</v>
      </c>
    </row>
    <row r="175" spans="1:16" x14ac:dyDescent="0.2">
      <c r="A175" s="48">
        <v>2023</v>
      </c>
      <c r="K175" s="35">
        <f t="shared" si="9"/>
        <v>12.283518345864662</v>
      </c>
      <c r="L175" s="35">
        <f t="shared" si="9"/>
        <v>11.905805590062114</v>
      </c>
      <c r="O175" s="13">
        <f t="shared" ref="O175:P176" si="10">K57-K175</f>
        <v>0.95935665413533755</v>
      </c>
      <c r="P175" s="13">
        <f t="shared" si="10"/>
        <v>0.93805804630152423</v>
      </c>
    </row>
    <row r="176" spans="1:16" x14ac:dyDescent="0.2">
      <c r="A176" s="48">
        <v>2024</v>
      </c>
      <c r="K176" s="35">
        <f t="shared" si="9"/>
        <v>9.0451864887218054</v>
      </c>
      <c r="L176" s="35">
        <f t="shared" si="9"/>
        <v>8.9587433879164315</v>
      </c>
      <c r="O176" s="13">
        <f t="shared" si="10"/>
        <v>1.0969385112781946</v>
      </c>
      <c r="P176" s="13">
        <f t="shared" si="10"/>
        <v>1.0699522642574806</v>
      </c>
    </row>
    <row r="177" spans="1:16" x14ac:dyDescent="0.2">
      <c r="A177" s="48">
        <v>2025</v>
      </c>
      <c r="K177" s="35">
        <f t="shared" si="9"/>
        <v>8.9982237864661663</v>
      </c>
      <c r="L177" s="35">
        <f t="shared" si="9"/>
        <v>8.7595138046301546</v>
      </c>
      <c r="O177" s="13"/>
      <c r="P177" s="13"/>
    </row>
    <row r="178" spans="1:16" x14ac:dyDescent="0.2">
      <c r="K178" s="35"/>
      <c r="L178" s="35"/>
      <c r="O178" s="13"/>
      <c r="P178" s="13"/>
    </row>
    <row r="179" spans="1:16" ht="15.75" x14ac:dyDescent="0.25">
      <c r="A179" s="51" t="s">
        <v>158</v>
      </c>
    </row>
    <row r="180" spans="1:16" ht="13.5" x14ac:dyDescent="0.25">
      <c r="A180" s="42" t="s">
        <v>155</v>
      </c>
      <c r="B180" t="s">
        <v>92</v>
      </c>
      <c r="C180" t="s">
        <v>93</v>
      </c>
      <c r="D180" t="s">
        <v>94</v>
      </c>
      <c r="E180" t="s">
        <v>83</v>
      </c>
      <c r="F180" t="s">
        <v>84</v>
      </c>
      <c r="G180" t="s">
        <v>85</v>
      </c>
      <c r="H180" t="s">
        <v>86</v>
      </c>
      <c r="I180" t="s">
        <v>87</v>
      </c>
      <c r="J180" t="s">
        <v>88</v>
      </c>
      <c r="K180" t="s">
        <v>89</v>
      </c>
      <c r="L180" t="s">
        <v>90</v>
      </c>
      <c r="M180" t="s">
        <v>91</v>
      </c>
    </row>
    <row r="181" spans="1:16" x14ac:dyDescent="0.2">
      <c r="A181" s="48">
        <v>1971</v>
      </c>
      <c r="B181" s="13">
        <v>2.5418421000000002</v>
      </c>
      <c r="C181" s="13">
        <v>2.5757142800000001</v>
      </c>
      <c r="D181" s="13">
        <v>2.6253408999999999</v>
      </c>
      <c r="E181" s="13">
        <v>2.628625</v>
      </c>
      <c r="F181" s="13">
        <v>2.7695454499999999</v>
      </c>
      <c r="G181" s="13">
        <v>2.9794318099999999</v>
      </c>
      <c r="H181" s="13">
        <v>2.89083333</v>
      </c>
      <c r="I181" s="13">
        <v>2.8985714200000001</v>
      </c>
      <c r="J181" s="13">
        <v>3.02727272</v>
      </c>
      <c r="K181" s="13">
        <v>3.05907894</v>
      </c>
      <c r="L181" s="13">
        <v>2.95522727</v>
      </c>
      <c r="M181" s="13">
        <v>3.0038461500000002</v>
      </c>
    </row>
    <row r="182" spans="1:16" x14ac:dyDescent="0.2">
      <c r="A182" s="48">
        <v>1972</v>
      </c>
      <c r="B182" s="13">
        <v>2.9181578899999998</v>
      </c>
      <c r="C182" s="13">
        <v>2.9105434699999999</v>
      </c>
      <c r="D182" s="13">
        <v>2.8789285699999998</v>
      </c>
      <c r="E182" s="13">
        <v>2.9623750000000002</v>
      </c>
      <c r="F182" s="13">
        <v>3.1671590900000002</v>
      </c>
      <c r="G182" s="13">
        <v>3.3369047599999999</v>
      </c>
      <c r="H182" s="13">
        <v>3.2406818099999999</v>
      </c>
      <c r="I182" s="13">
        <v>3.18154761</v>
      </c>
      <c r="J182" s="13">
        <v>3.21666666</v>
      </c>
      <c r="K182" s="13">
        <v>3.1376190400000001</v>
      </c>
      <c r="L182" s="13">
        <v>3.1333333300000001</v>
      </c>
      <c r="M182" s="13">
        <v>3.0748214200000001</v>
      </c>
    </row>
    <row r="183" spans="1:16" x14ac:dyDescent="0.2">
      <c r="A183" s="48">
        <v>1973</v>
      </c>
      <c r="B183" s="13">
        <v>3.053375</v>
      </c>
      <c r="C183" s="13">
        <v>3.17079545</v>
      </c>
      <c r="D183" s="13">
        <v>3.2537500000000001</v>
      </c>
      <c r="E183" s="13">
        <v>3.2329545400000002</v>
      </c>
      <c r="F183" s="13">
        <v>3.2585227200000002</v>
      </c>
      <c r="G183" s="13">
        <v>3.26</v>
      </c>
      <c r="H183" s="13">
        <v>3.35521739</v>
      </c>
      <c r="I183" s="13">
        <v>3.4430000000000001</v>
      </c>
      <c r="J183" s="13">
        <v>3.4401136299999999</v>
      </c>
      <c r="K183" s="13">
        <v>3.68275</v>
      </c>
      <c r="L183" s="13">
        <v>4.1739473599999997</v>
      </c>
      <c r="M183" s="13">
        <v>4.46266666</v>
      </c>
    </row>
    <row r="184" spans="1:16" x14ac:dyDescent="0.2">
      <c r="A184" s="48">
        <v>1974</v>
      </c>
      <c r="B184" s="13">
        <v>3.9194736799999998</v>
      </c>
      <c r="C184" s="13">
        <v>4.0650000000000004</v>
      </c>
      <c r="D184" s="13">
        <v>4.2913750000000004</v>
      </c>
      <c r="E184" s="13">
        <v>5.0363636300000003</v>
      </c>
      <c r="F184" s="13">
        <v>6.15815789</v>
      </c>
      <c r="G184" s="13">
        <v>6.7654761900000002</v>
      </c>
      <c r="H184" s="13">
        <v>7.6966304299999999</v>
      </c>
      <c r="I184" s="13">
        <v>6.4598684200000003</v>
      </c>
      <c r="J184" s="13">
        <v>5.8624999999999998</v>
      </c>
      <c r="K184" s="13">
        <v>5.6776190399999997</v>
      </c>
      <c r="L184" s="13">
        <v>6.0081578899999997</v>
      </c>
      <c r="M184" s="13">
        <v>6.1596666600000001</v>
      </c>
    </row>
    <row r="185" spans="1:16" x14ac:dyDescent="0.2">
      <c r="A185" s="48">
        <v>1975</v>
      </c>
      <c r="B185" s="13">
        <v>6.3419444399999998</v>
      </c>
      <c r="C185" s="13">
        <v>6.1890476100000003</v>
      </c>
      <c r="D185" s="13">
        <v>5.40607142</v>
      </c>
      <c r="E185" s="13">
        <v>5.4</v>
      </c>
      <c r="F185" s="13">
        <v>5.4941250000000004</v>
      </c>
      <c r="G185" s="13">
        <v>7.1062500000000002</v>
      </c>
      <c r="H185" s="13">
        <v>7.8259090899999997</v>
      </c>
      <c r="I185" s="13">
        <v>7.7482499999999996</v>
      </c>
      <c r="J185" s="13">
        <v>8.7323912999999997</v>
      </c>
      <c r="K185" s="13">
        <v>7.9194736800000003</v>
      </c>
      <c r="L185" s="13">
        <v>7.3689285699999996</v>
      </c>
      <c r="M185" s="13">
        <v>6.5066666599999996</v>
      </c>
    </row>
    <row r="186" spans="1:16" x14ac:dyDescent="0.2">
      <c r="A186" s="48">
        <v>1976</v>
      </c>
      <c r="B186" s="13">
        <v>5.8260526300000004</v>
      </c>
      <c r="C186" s="13">
        <v>5.6334999999999997</v>
      </c>
      <c r="D186" s="13">
        <v>5.5865909</v>
      </c>
      <c r="E186" s="13">
        <v>5.04797619</v>
      </c>
      <c r="F186" s="13">
        <v>5.0079761899999999</v>
      </c>
      <c r="G186" s="13">
        <v>5.6356818100000003</v>
      </c>
      <c r="H186" s="13">
        <v>6.20142857</v>
      </c>
      <c r="I186" s="13">
        <v>5.8320238</v>
      </c>
      <c r="J186" s="13">
        <v>5.3534782600000002</v>
      </c>
      <c r="K186" s="13">
        <v>4.8606578899999997</v>
      </c>
      <c r="L186" s="13">
        <v>4.63535714</v>
      </c>
      <c r="M186" s="13">
        <v>4.7201785699999999</v>
      </c>
    </row>
    <row r="187" spans="1:16" x14ac:dyDescent="0.2">
      <c r="A187" s="48">
        <v>1977</v>
      </c>
      <c r="B187" s="13">
        <v>5.1528947299999999</v>
      </c>
      <c r="C187" s="13">
        <v>5.0913043399999998</v>
      </c>
      <c r="D187" s="13">
        <v>5.1195237999999996</v>
      </c>
      <c r="E187" s="13">
        <v>5.4991250000000003</v>
      </c>
      <c r="F187" s="13">
        <v>6.5315909000000003</v>
      </c>
      <c r="G187" s="13">
        <v>7.0220238000000004</v>
      </c>
      <c r="H187" s="13">
        <v>6.5805681800000002</v>
      </c>
      <c r="I187" s="13">
        <v>6.8719047599999996</v>
      </c>
      <c r="J187" s="13">
        <v>6.4876190400000002</v>
      </c>
      <c r="K187" s="13">
        <v>6.6831250000000004</v>
      </c>
      <c r="L187" s="13">
        <v>6.9278571400000004</v>
      </c>
      <c r="M187" s="13">
        <v>7.1224999999999996</v>
      </c>
    </row>
    <row r="188" spans="1:16" x14ac:dyDescent="0.2">
      <c r="A188" s="48">
        <v>1978</v>
      </c>
      <c r="B188" s="13">
        <v>7.0153947299999997</v>
      </c>
      <c r="C188" s="13">
        <v>7.2089130399999997</v>
      </c>
      <c r="D188" s="13">
        <v>7.3248749999999996</v>
      </c>
      <c r="E188" s="13">
        <v>7.358625</v>
      </c>
      <c r="F188" s="13">
        <v>7.2430681799999999</v>
      </c>
      <c r="G188" s="13">
        <v>6.0054999999999996</v>
      </c>
      <c r="H188" s="13">
        <v>5.3663043400000001</v>
      </c>
      <c r="I188" s="13">
        <v>5.34</v>
      </c>
      <c r="J188" s="13">
        <v>5.3813095200000003</v>
      </c>
      <c r="K188" s="13">
        <v>5.9813095199999999</v>
      </c>
      <c r="L188" s="13">
        <v>5.9583333300000003</v>
      </c>
      <c r="M188" s="13">
        <v>5.80375</v>
      </c>
    </row>
    <row r="189" spans="1:16" x14ac:dyDescent="0.2">
      <c r="A189" s="48">
        <v>1979</v>
      </c>
      <c r="B189" s="13">
        <v>5.8256578899999996</v>
      </c>
      <c r="C189" s="13">
        <v>6.1812500000000004</v>
      </c>
      <c r="D189" s="13">
        <v>6.234</v>
      </c>
      <c r="E189" s="13">
        <v>6.3554545400000002</v>
      </c>
      <c r="F189" s="13">
        <v>6.3771590900000001</v>
      </c>
      <c r="G189" s="13">
        <v>6.1418749999999998</v>
      </c>
      <c r="H189" s="13">
        <v>6.2947825999999996</v>
      </c>
      <c r="I189" s="13">
        <v>6.5780000000000003</v>
      </c>
      <c r="J189" s="13">
        <v>6.9152272699999999</v>
      </c>
      <c r="K189" s="13">
        <v>6.7987500000000001</v>
      </c>
      <c r="L189" s="13">
        <v>6.8382500000000004</v>
      </c>
      <c r="M189" s="13">
        <v>6.8498333300000001</v>
      </c>
    </row>
    <row r="190" spans="1:16" x14ac:dyDescent="0.2">
      <c r="A190" s="48">
        <v>1980</v>
      </c>
      <c r="B190" s="13">
        <v>7.0515789399999997</v>
      </c>
      <c r="C190" s="13">
        <v>7.1770454499999996</v>
      </c>
      <c r="D190" s="13">
        <v>7.1196250000000001</v>
      </c>
      <c r="E190" s="13">
        <v>7.2873863600000002</v>
      </c>
      <c r="F190" s="13">
        <v>7.8780952299999996</v>
      </c>
      <c r="G190" s="13">
        <v>7.6588095200000001</v>
      </c>
      <c r="H190" s="13">
        <v>7.2776086900000001</v>
      </c>
      <c r="I190" s="13">
        <v>7.2874999999999996</v>
      </c>
      <c r="J190" s="13">
        <v>6.9171739099999998</v>
      </c>
      <c r="K190" s="13">
        <v>6.7734523800000002</v>
      </c>
      <c r="L190" s="13">
        <v>6.63605263</v>
      </c>
      <c r="M190" s="13">
        <v>6.4228846099999997</v>
      </c>
    </row>
    <row r="191" spans="1:16" x14ac:dyDescent="0.2">
      <c r="A191" s="48">
        <v>1981</v>
      </c>
      <c r="B191" s="13">
        <v>7.4563750000000004</v>
      </c>
      <c r="C191" s="13">
        <v>7.0796428499999999</v>
      </c>
      <c r="D191" s="13">
        <v>6.6919047599999999</v>
      </c>
      <c r="E191" s="13">
        <v>6.6991666600000004</v>
      </c>
      <c r="F191" s="13">
        <v>6.7927380900000003</v>
      </c>
      <c r="G191" s="13">
        <v>7.8239772700000003</v>
      </c>
      <c r="H191" s="13">
        <v>7.9555952300000001</v>
      </c>
      <c r="I191" s="13">
        <v>8.5850000000000009</v>
      </c>
      <c r="J191" s="13">
        <v>8.8180434699999992</v>
      </c>
      <c r="K191" s="13">
        <v>9.2543055499999998</v>
      </c>
      <c r="L191" s="13">
        <v>7.9809523799999997</v>
      </c>
      <c r="M191" s="13">
        <v>7.9128571399999998</v>
      </c>
    </row>
    <row r="192" spans="1:16" x14ac:dyDescent="0.2">
      <c r="A192" s="48">
        <v>1982</v>
      </c>
      <c r="B192" s="13">
        <v>8.4459210500000008</v>
      </c>
      <c r="C192" s="13">
        <v>8.2745454499999997</v>
      </c>
      <c r="D192" s="13">
        <v>8.5894047600000007</v>
      </c>
      <c r="E192" s="13">
        <v>8.0952500000000001</v>
      </c>
      <c r="F192" s="13">
        <v>7.6682954499999996</v>
      </c>
      <c r="G192" s="13">
        <v>7.8139772699999996</v>
      </c>
      <c r="H192" s="13">
        <v>7.2261904699999997</v>
      </c>
      <c r="I192" s="13">
        <v>6.85071428</v>
      </c>
      <c r="J192" s="13">
        <v>6.7712500000000002</v>
      </c>
      <c r="K192" s="13">
        <v>6.5448750000000002</v>
      </c>
      <c r="L192" s="13">
        <v>6.2864772699999998</v>
      </c>
      <c r="M192" s="13">
        <v>6.3051922999999999</v>
      </c>
    </row>
    <row r="193" spans="1:13" x14ac:dyDescent="0.2">
      <c r="A193" s="48">
        <v>1983</v>
      </c>
      <c r="B193" s="13">
        <v>6.8949999999999996</v>
      </c>
      <c r="C193" s="13">
        <v>6.5936956499999999</v>
      </c>
      <c r="D193" s="13">
        <v>6.8771428500000003</v>
      </c>
      <c r="E193" s="13">
        <v>6.850625</v>
      </c>
      <c r="F193" s="13">
        <v>6.5586363600000004</v>
      </c>
      <c r="G193" s="13">
        <v>6.3371428500000002</v>
      </c>
      <c r="H193" s="13">
        <v>5.9206818099999996</v>
      </c>
      <c r="I193" s="13">
        <v>5.6303571400000001</v>
      </c>
      <c r="J193" s="13">
        <v>5.4657142800000003</v>
      </c>
      <c r="K193" s="13">
        <v>5.7306249999999999</v>
      </c>
      <c r="L193" s="13">
        <v>5.6716666599999996</v>
      </c>
      <c r="M193" s="13">
        <v>5.7698214200000004</v>
      </c>
    </row>
    <row r="194" spans="1:13" x14ac:dyDescent="0.2">
      <c r="A194" s="48">
        <v>1984</v>
      </c>
      <c r="B194" s="13">
        <v>6.4576315700000002</v>
      </c>
      <c r="C194" s="13">
        <v>6.52706521</v>
      </c>
      <c r="D194" s="13">
        <v>6.9008750000000001</v>
      </c>
      <c r="E194" s="13">
        <v>6.6517857100000004</v>
      </c>
      <c r="F194" s="13">
        <v>6.3317045399999996</v>
      </c>
      <c r="G194" s="13">
        <v>7.0166250000000003</v>
      </c>
      <c r="H194" s="13">
        <v>8.7780434700000001</v>
      </c>
      <c r="I194" s="13">
        <v>9.1504761899999991</v>
      </c>
      <c r="J194" s="13">
        <v>8.5902380899999997</v>
      </c>
      <c r="K194" s="13">
        <v>8.2702380899999994</v>
      </c>
      <c r="L194" s="13">
        <v>7.8719047599999996</v>
      </c>
      <c r="M194" s="13">
        <v>7.5824999999999996</v>
      </c>
    </row>
    <row r="195" spans="1:13" x14ac:dyDescent="0.2">
      <c r="A195" s="48">
        <v>1985</v>
      </c>
      <c r="B195" s="13">
        <v>7.2311249999999996</v>
      </c>
      <c r="C195" s="13">
        <v>7.4424999999999999</v>
      </c>
      <c r="D195" s="13">
        <v>7.3494999999999999</v>
      </c>
      <c r="E195" s="13">
        <v>7.4337499999999999</v>
      </c>
      <c r="F195" s="13">
        <v>7.38059523</v>
      </c>
      <c r="G195" s="13">
        <v>6.5107142800000002</v>
      </c>
      <c r="H195" s="13">
        <v>6.4884782599999999</v>
      </c>
      <c r="I195" s="13">
        <v>6.2226315699999999</v>
      </c>
      <c r="J195" s="13">
        <v>6.2469565200000003</v>
      </c>
      <c r="K195" s="13">
        <v>6.22333333</v>
      </c>
      <c r="L195" s="13">
        <v>5.9067499999999997</v>
      </c>
      <c r="M195" s="13">
        <v>5.8088333299999997</v>
      </c>
    </row>
    <row r="196" spans="1:13" x14ac:dyDescent="0.2">
      <c r="A196" s="48">
        <v>1986</v>
      </c>
      <c r="B196" s="13">
        <v>6.1803947299999997</v>
      </c>
      <c r="C196" s="13">
        <v>6.1220238</v>
      </c>
      <c r="D196" s="13">
        <v>6.2139285700000002</v>
      </c>
      <c r="E196" s="13">
        <v>5.9340909000000002</v>
      </c>
      <c r="F196" s="13">
        <v>5.766375</v>
      </c>
      <c r="G196" s="13">
        <v>5.63954545</v>
      </c>
      <c r="H196" s="13">
        <v>5.2515909000000001</v>
      </c>
      <c r="I196" s="13">
        <v>5.2317499999999999</v>
      </c>
      <c r="J196" s="13">
        <v>5.1786956499999999</v>
      </c>
      <c r="K196" s="13">
        <v>5.1094999999999997</v>
      </c>
      <c r="L196" s="13">
        <v>5.2169047600000003</v>
      </c>
      <c r="M196" s="13">
        <v>5.3468333299999999</v>
      </c>
    </row>
    <row r="197" spans="1:13" x14ac:dyDescent="0.2">
      <c r="A197" s="48">
        <v>1987</v>
      </c>
      <c r="B197" s="13">
        <v>5.2569736799999998</v>
      </c>
      <c r="C197" s="13">
        <v>5.272875</v>
      </c>
      <c r="D197" s="13">
        <v>5.2034090900000001</v>
      </c>
      <c r="E197" s="13">
        <v>5.2989285700000002</v>
      </c>
      <c r="F197" s="13">
        <v>5.1172618999999999</v>
      </c>
      <c r="G197" s="13">
        <v>5.0717045399999998</v>
      </c>
      <c r="H197" s="13">
        <v>4.8448809500000003</v>
      </c>
      <c r="I197" s="13">
        <v>4.8786904699999996</v>
      </c>
      <c r="J197" s="13">
        <v>4.8842391300000001</v>
      </c>
      <c r="K197" s="13">
        <v>5.0030263100000001</v>
      </c>
      <c r="L197" s="13">
        <v>4.9186363599999998</v>
      </c>
      <c r="M197" s="13">
        <v>4.9387499999999998</v>
      </c>
    </row>
    <row r="198" spans="1:13" x14ac:dyDescent="0.2">
      <c r="A198" s="48">
        <v>1988</v>
      </c>
      <c r="B198" s="13">
        <v>4.7756578899999997</v>
      </c>
      <c r="C198" s="13">
        <v>4.8411363600000001</v>
      </c>
      <c r="D198" s="13">
        <v>5.1757142800000002</v>
      </c>
      <c r="E198" s="13">
        <v>5.7149999999999999</v>
      </c>
      <c r="F198" s="13">
        <v>5.8301136299999996</v>
      </c>
      <c r="G198" s="13">
        <v>5.3744318099999999</v>
      </c>
      <c r="H198" s="13">
        <v>5.1108333300000002</v>
      </c>
      <c r="I198" s="13">
        <v>5.3085714199999998</v>
      </c>
      <c r="J198" s="13">
        <v>5.4676136299999998</v>
      </c>
      <c r="K198" s="13">
        <v>5.6911250000000004</v>
      </c>
      <c r="L198" s="13">
        <v>5.9577272700000004</v>
      </c>
      <c r="M198" s="13">
        <v>6.1859615300000002</v>
      </c>
    </row>
    <row r="199" spans="1:13" x14ac:dyDescent="0.2">
      <c r="A199" s="48">
        <v>1989</v>
      </c>
      <c r="B199" s="13">
        <v>6.5027499999999998</v>
      </c>
      <c r="C199" s="13">
        <v>6.6113043400000002</v>
      </c>
      <c r="D199" s="13">
        <v>7.0331250000000001</v>
      </c>
      <c r="E199" s="13">
        <v>7.6422619000000003</v>
      </c>
      <c r="F199" s="13">
        <v>9.27170454</v>
      </c>
      <c r="G199" s="13">
        <v>8.7140000000000004</v>
      </c>
      <c r="H199" s="13">
        <v>8.6435869499999995</v>
      </c>
      <c r="I199" s="13">
        <v>8.6671428499999994</v>
      </c>
      <c r="J199" s="13">
        <v>8.0549999999999997</v>
      </c>
      <c r="K199" s="13">
        <v>7.7217857099999998</v>
      </c>
      <c r="L199" s="13">
        <v>7.8049999999999997</v>
      </c>
      <c r="M199" s="13">
        <v>7.8846428499999996</v>
      </c>
    </row>
    <row r="200" spans="1:13" x14ac:dyDescent="0.2">
      <c r="A200" s="48">
        <v>1990</v>
      </c>
      <c r="B200" s="13">
        <v>7.3114473599999998</v>
      </c>
      <c r="C200" s="13">
        <v>7.48727272</v>
      </c>
      <c r="D200" s="13">
        <v>7.2815000000000003</v>
      </c>
      <c r="E200" s="13">
        <v>6.9697727199999999</v>
      </c>
      <c r="F200" s="13">
        <v>6.4943181799999996</v>
      </c>
      <c r="G200" s="13">
        <v>6.4359999999999999</v>
      </c>
      <c r="H200" s="13">
        <v>5.8865217300000001</v>
      </c>
      <c r="I200" s="13">
        <v>5.8713749999999996</v>
      </c>
      <c r="J200" s="13">
        <v>5.7382954499999999</v>
      </c>
      <c r="K200" s="13">
        <v>5.8436904700000003</v>
      </c>
      <c r="L200" s="13">
        <v>5.7545000000000002</v>
      </c>
      <c r="M200" s="13">
        <v>5.6351666600000003</v>
      </c>
    </row>
    <row r="201" spans="1:13" x14ac:dyDescent="0.2">
      <c r="A201" s="48">
        <v>1991</v>
      </c>
      <c r="B201" s="13">
        <v>6.0477631499999998</v>
      </c>
      <c r="C201" s="13">
        <v>6.2635227200000001</v>
      </c>
      <c r="D201" s="13">
        <v>6.3627500000000001</v>
      </c>
      <c r="E201" s="13">
        <v>6.5434090899999999</v>
      </c>
      <c r="F201" s="13">
        <v>6.3114285700000003</v>
      </c>
      <c r="G201" s="13">
        <v>6.3658333300000001</v>
      </c>
      <c r="H201" s="13">
        <v>6.3211956499999999</v>
      </c>
      <c r="I201" s="13">
        <v>6.3942105199999997</v>
      </c>
      <c r="J201" s="13">
        <v>6.2682608599999998</v>
      </c>
      <c r="K201" s="13">
        <v>5.8567857099999996</v>
      </c>
      <c r="L201" s="13">
        <v>5.82</v>
      </c>
      <c r="M201" s="13">
        <v>5.6198333299999996</v>
      </c>
    </row>
    <row r="202" spans="1:13" x14ac:dyDescent="0.2">
      <c r="A202" s="48">
        <v>1992</v>
      </c>
      <c r="B202" s="13">
        <v>6.2632894700000001</v>
      </c>
      <c r="C202" s="13">
        <v>6.2850000000000001</v>
      </c>
      <c r="D202" s="13">
        <v>6.2917045399999996</v>
      </c>
      <c r="E202" s="13">
        <v>6.0377272700000004</v>
      </c>
      <c r="F202" s="13">
        <v>5.8907499999999997</v>
      </c>
      <c r="G202" s="13">
        <v>5.5695454499999997</v>
      </c>
      <c r="H202" s="13">
        <v>5.89829545</v>
      </c>
      <c r="I202" s="13">
        <v>6.0483750000000001</v>
      </c>
      <c r="J202" s="13">
        <v>5.71</v>
      </c>
      <c r="K202" s="13">
        <v>5.6109999999999998</v>
      </c>
      <c r="L202" s="13">
        <v>5.5558333299999996</v>
      </c>
      <c r="M202" s="13">
        <v>5.6371666600000001</v>
      </c>
    </row>
    <row r="203" spans="1:13" x14ac:dyDescent="0.2">
      <c r="A203" s="48">
        <v>1993</v>
      </c>
      <c r="B203" s="13">
        <v>6.1507894700000003</v>
      </c>
      <c r="C203" s="13">
        <v>6.2632954500000002</v>
      </c>
      <c r="D203" s="13">
        <v>6.0563157800000003</v>
      </c>
      <c r="E203" s="13">
        <v>6.2602500000000001</v>
      </c>
      <c r="F203" s="13">
        <v>6.3348863599999996</v>
      </c>
      <c r="G203" s="13">
        <v>5.8126136300000004</v>
      </c>
      <c r="H203" s="13">
        <v>5.5125000000000002</v>
      </c>
      <c r="I203" s="13">
        <v>5.5447619000000001</v>
      </c>
      <c r="J203" s="13">
        <v>5.4384090900000004</v>
      </c>
      <c r="K203" s="13">
        <v>5.5970000000000004</v>
      </c>
      <c r="L203" s="13">
        <v>5.6848863600000001</v>
      </c>
      <c r="M203" s="13">
        <v>5.7774999999999999</v>
      </c>
    </row>
    <row r="204" spans="1:13" x14ac:dyDescent="0.2">
      <c r="A204" s="48">
        <v>1994</v>
      </c>
      <c r="B204" s="13">
        <v>5.9365789400000004</v>
      </c>
      <c r="C204" s="13">
        <v>6.0573912999999999</v>
      </c>
      <c r="D204" s="13">
        <v>6.0998809500000002</v>
      </c>
      <c r="E204" s="13">
        <v>6.0952500000000001</v>
      </c>
      <c r="F204" s="13">
        <v>6.0864772699999996</v>
      </c>
      <c r="G204" s="13">
        <v>7.0964285699999996</v>
      </c>
      <c r="H204" s="13">
        <v>6.7682954500000001</v>
      </c>
      <c r="I204" s="13">
        <v>6.44607142</v>
      </c>
      <c r="J204" s="13">
        <v>6.2254761900000002</v>
      </c>
      <c r="K204" s="13">
        <v>6.68154761</v>
      </c>
      <c r="L204" s="13">
        <v>6.8715476100000004</v>
      </c>
      <c r="M204" s="13">
        <v>6.9628571399999997</v>
      </c>
    </row>
    <row r="205" spans="1:13" x14ac:dyDescent="0.2">
      <c r="A205" s="48">
        <v>1995</v>
      </c>
      <c r="B205" s="13">
        <v>6.5296052600000003</v>
      </c>
      <c r="C205" s="13">
        <v>6.54641304</v>
      </c>
      <c r="D205" s="13">
        <v>6.2415789400000001</v>
      </c>
      <c r="E205" s="13">
        <v>6.4301190400000001</v>
      </c>
      <c r="F205" s="13">
        <v>6.5920454499999996</v>
      </c>
      <c r="G205" s="13">
        <v>5.8105000000000002</v>
      </c>
      <c r="H205" s="13">
        <v>5.7368478200000004</v>
      </c>
      <c r="I205" s="13">
        <v>5.71238095</v>
      </c>
      <c r="J205" s="13">
        <v>5.5189285699999999</v>
      </c>
      <c r="K205" s="13">
        <v>5.6553571399999996</v>
      </c>
      <c r="L205" s="13">
        <v>5.6161904700000003</v>
      </c>
      <c r="M205" s="13">
        <v>5.5066071399999998</v>
      </c>
    </row>
    <row r="206" spans="1:13" x14ac:dyDescent="0.2">
      <c r="A206" s="48">
        <v>1996</v>
      </c>
      <c r="B206" s="13">
        <v>5.9290789400000001</v>
      </c>
      <c r="C206" s="13">
        <v>6.0842391300000003</v>
      </c>
      <c r="D206" s="13">
        <v>6.1013157800000002</v>
      </c>
      <c r="E206" s="13">
        <v>6.08102272</v>
      </c>
      <c r="F206" s="13">
        <v>6.1486363600000002</v>
      </c>
      <c r="G206" s="13">
        <v>6.3598749999999997</v>
      </c>
      <c r="H206" s="13">
        <v>6.1578260800000004</v>
      </c>
      <c r="I206" s="13">
        <v>6.4837499999999997</v>
      </c>
      <c r="J206" s="13">
        <v>6.6597727200000003</v>
      </c>
      <c r="K206" s="13">
        <v>6.8342857099999996</v>
      </c>
      <c r="L206" s="13">
        <v>7.1829999999999998</v>
      </c>
      <c r="M206" s="13">
        <v>7.3635000000000002</v>
      </c>
    </row>
    <row r="207" spans="1:13" x14ac:dyDescent="0.2">
      <c r="A207" s="48">
        <v>1997</v>
      </c>
      <c r="B207" s="13">
        <v>7.2756249999999998</v>
      </c>
      <c r="C207" s="13">
        <v>7.31011904</v>
      </c>
      <c r="D207" s="13">
        <v>7.8186904699999999</v>
      </c>
      <c r="E207" s="13">
        <v>7.8264772699999998</v>
      </c>
      <c r="F207" s="13">
        <v>7.4837499999999997</v>
      </c>
      <c r="G207" s="13">
        <v>7.6090909</v>
      </c>
      <c r="H207" s="13">
        <v>7.7945454500000002</v>
      </c>
      <c r="I207" s="13">
        <v>8.0135000000000005</v>
      </c>
      <c r="J207" s="13">
        <v>7.1166304299999998</v>
      </c>
      <c r="K207" s="13">
        <v>6.9361249999999997</v>
      </c>
      <c r="L207" s="13">
        <v>6.9983333300000004</v>
      </c>
      <c r="M207" s="13">
        <v>7.2253333299999998</v>
      </c>
    </row>
    <row r="208" spans="1:13" x14ac:dyDescent="0.2">
      <c r="A208" s="48">
        <v>1998</v>
      </c>
      <c r="B208" s="13">
        <v>7.0251315700000001</v>
      </c>
      <c r="C208" s="13">
        <v>7.2137500000000001</v>
      </c>
      <c r="D208" s="13">
        <v>7.0231818099999996</v>
      </c>
      <c r="E208" s="13">
        <v>6.99940476</v>
      </c>
      <c r="F208" s="13">
        <v>6.69309523</v>
      </c>
      <c r="G208" s="13">
        <v>6.1063636299999997</v>
      </c>
      <c r="H208" s="13">
        <v>6.2710714200000002</v>
      </c>
      <c r="I208" s="13">
        <v>6.3947618999999998</v>
      </c>
      <c r="J208" s="13">
        <v>6.8715217300000004</v>
      </c>
      <c r="K208" s="13">
        <v>7.2193421000000004</v>
      </c>
      <c r="L208" s="13">
        <v>6.9281818099999999</v>
      </c>
      <c r="M208" s="13">
        <v>6.65788461</v>
      </c>
    </row>
    <row r="209" spans="1:13" x14ac:dyDescent="0.2">
      <c r="A209" s="48">
        <v>1999</v>
      </c>
      <c r="B209" s="13">
        <v>6.69473684</v>
      </c>
      <c r="C209" s="13">
        <v>6.4627272700000002</v>
      </c>
      <c r="D209" s="13">
        <v>6.2510714199999997</v>
      </c>
      <c r="E209" s="13">
        <v>6.2296250000000004</v>
      </c>
      <c r="F209" s="13">
        <v>6.085</v>
      </c>
      <c r="G209" s="13">
        <v>5.9393181799999999</v>
      </c>
      <c r="H209" s="13">
        <v>5.4358333300000004</v>
      </c>
      <c r="I209" s="13">
        <v>5.3541666599999997</v>
      </c>
      <c r="J209" s="13">
        <v>5.5645454499999998</v>
      </c>
      <c r="K209" s="13">
        <v>5.7610000000000001</v>
      </c>
      <c r="L209" s="13">
        <v>5.5760227200000001</v>
      </c>
      <c r="M209" s="13">
        <v>5.3889583300000004</v>
      </c>
    </row>
    <row r="210" spans="1:13" x14ac:dyDescent="0.2">
      <c r="A210" s="48">
        <v>2000</v>
      </c>
      <c r="B210" s="13">
        <v>5.2067105199999997</v>
      </c>
      <c r="C210" s="13">
        <v>5.1263043399999999</v>
      </c>
      <c r="D210" s="13">
        <v>5.17535714</v>
      </c>
      <c r="E210" s="13">
        <v>4.9437499999999996</v>
      </c>
      <c r="F210" s="13">
        <v>4.8169318099999998</v>
      </c>
      <c r="G210" s="13">
        <v>4.4372619000000002</v>
      </c>
      <c r="H210" s="13">
        <v>4.8430681800000004</v>
      </c>
      <c r="I210" s="13">
        <v>5.0421428500000003</v>
      </c>
      <c r="J210" s="13">
        <v>4.9570238</v>
      </c>
      <c r="K210" s="13">
        <v>4.7182142799999998</v>
      </c>
      <c r="L210" s="13">
        <v>4.6252380899999999</v>
      </c>
      <c r="M210" s="13">
        <v>4.7024999999999997</v>
      </c>
    </row>
    <row r="211" spans="1:13" x14ac:dyDescent="0.2">
      <c r="A211" s="48">
        <v>2001</v>
      </c>
      <c r="B211" s="13">
        <v>5.3890000000000002</v>
      </c>
      <c r="C211" s="13">
        <v>5.5127173899999997</v>
      </c>
      <c r="D211" s="13">
        <v>5.6911842100000003</v>
      </c>
      <c r="E211" s="13">
        <v>5.7023863600000002</v>
      </c>
      <c r="F211" s="13">
        <v>5.1367045400000002</v>
      </c>
      <c r="G211" s="13">
        <v>4.7117500000000003</v>
      </c>
      <c r="H211" s="13">
        <v>4.77619565</v>
      </c>
      <c r="I211" s="13">
        <v>5.0563750000000001</v>
      </c>
      <c r="J211" s="13">
        <v>4.8309090899999996</v>
      </c>
      <c r="K211" s="13">
        <v>4.8670238000000001</v>
      </c>
      <c r="L211" s="13">
        <v>5.0607499999999996</v>
      </c>
      <c r="M211" s="13">
        <v>4.8997222200000001</v>
      </c>
    </row>
    <row r="212" spans="1:13" x14ac:dyDescent="0.2">
      <c r="A212" s="48">
        <v>2002</v>
      </c>
      <c r="B212" s="13">
        <v>4.7673684200000004</v>
      </c>
      <c r="C212" s="13">
        <v>4.6509090899999999</v>
      </c>
      <c r="D212" s="13">
        <v>4.4148750000000003</v>
      </c>
      <c r="E212" s="13">
        <v>4.4007954500000004</v>
      </c>
      <c r="F212" s="13">
        <v>4.5227380899999998</v>
      </c>
      <c r="G212" s="13">
        <v>5.0440476099999998</v>
      </c>
      <c r="H212" s="13">
        <v>4.9948912999999999</v>
      </c>
      <c r="I212" s="13">
        <v>4.7791666599999996</v>
      </c>
      <c r="J212" s="13">
        <v>4.4396739099999998</v>
      </c>
      <c r="K212" s="13">
        <v>4.4400000000000004</v>
      </c>
      <c r="L212" s="13">
        <v>4.3578947299999999</v>
      </c>
      <c r="M212" s="13">
        <v>4.3266666599999999</v>
      </c>
    </row>
    <row r="213" spans="1:13" x14ac:dyDescent="0.2">
      <c r="A213" s="48">
        <v>2003</v>
      </c>
      <c r="B213" s="13">
        <v>4.5643421000000002</v>
      </c>
      <c r="C213" s="13">
        <v>4.7462499999999999</v>
      </c>
      <c r="D213" s="13">
        <v>4.6789772699999999</v>
      </c>
      <c r="E213" s="13">
        <v>4.7103409000000003</v>
      </c>
      <c r="F213" s="13">
        <v>4.8077500000000004</v>
      </c>
      <c r="G213" s="13">
        <v>5.24840909</v>
      </c>
      <c r="H213" s="13">
        <v>5.4501136299999997</v>
      </c>
      <c r="I213" s="13">
        <v>5.6772499999999999</v>
      </c>
      <c r="J213" s="13">
        <v>5.4759782599999998</v>
      </c>
      <c r="K213" s="13">
        <v>5.6993749999999999</v>
      </c>
      <c r="L213" s="13">
        <v>5.6667500000000004</v>
      </c>
      <c r="M213" s="13">
        <v>5.7666666600000003</v>
      </c>
    </row>
    <row r="214" spans="1:13" x14ac:dyDescent="0.2">
      <c r="A214" s="48">
        <v>2004</v>
      </c>
      <c r="B214" s="13">
        <v>5.2788157800000004</v>
      </c>
      <c r="C214" s="13">
        <v>5.1942857099999999</v>
      </c>
      <c r="D214" s="13">
        <v>5.3345238000000004</v>
      </c>
      <c r="E214" s="13">
        <v>5.64809523</v>
      </c>
      <c r="F214" s="13">
        <v>5.6763095200000002</v>
      </c>
      <c r="G214" s="13">
        <v>5.2938636299999997</v>
      </c>
      <c r="H214" s="13">
        <v>5.5702380900000001</v>
      </c>
      <c r="I214" s="13">
        <v>6.2552380899999998</v>
      </c>
      <c r="J214" s="13">
        <v>7.3414130399999999</v>
      </c>
      <c r="K214" s="13">
        <v>7.6382894700000001</v>
      </c>
      <c r="L214" s="13">
        <v>7.7070454499999999</v>
      </c>
      <c r="M214" s="13">
        <v>8.0458333300000007</v>
      </c>
    </row>
    <row r="215" spans="1:13" x14ac:dyDescent="0.2">
      <c r="A215" s="48">
        <v>2005</v>
      </c>
      <c r="B215" s="13">
        <v>6.7218420999999999</v>
      </c>
      <c r="C215" s="13">
        <v>7.5346739100000004</v>
      </c>
      <c r="D215" s="13">
        <v>7.4973809500000002</v>
      </c>
      <c r="E215" s="13">
        <v>7.2616250000000004</v>
      </c>
      <c r="F215" s="13">
        <v>6.8666666599999999</v>
      </c>
      <c r="G215" s="13">
        <v>6.3409523800000001</v>
      </c>
      <c r="H215" s="13">
        <v>5.9124999999999996</v>
      </c>
      <c r="I215" s="13">
        <v>5.7042857099999997</v>
      </c>
      <c r="J215" s="13">
        <v>5.3257142799999997</v>
      </c>
      <c r="K215" s="13">
        <v>5.3285714200000003</v>
      </c>
      <c r="L215" s="13">
        <v>5.4047618999999996</v>
      </c>
      <c r="M215" s="13">
        <v>5.4654999999999996</v>
      </c>
    </row>
    <row r="216" spans="1:13" x14ac:dyDescent="0.2">
      <c r="A216" s="48">
        <v>2006</v>
      </c>
      <c r="B216" s="13">
        <v>5.5686842099999998</v>
      </c>
      <c r="C216" s="13">
        <v>6.1954545400000001</v>
      </c>
      <c r="D216" s="13">
        <v>6.1685714200000001</v>
      </c>
      <c r="E216" s="13">
        <v>6.35130952</v>
      </c>
      <c r="F216" s="13">
        <v>7.08340909</v>
      </c>
      <c r="G216" s="13">
        <v>7.03775</v>
      </c>
      <c r="H216" s="13">
        <v>6.4316304300000002</v>
      </c>
      <c r="I216" s="13">
        <v>5.9014285700000002</v>
      </c>
      <c r="J216" s="13">
        <v>5.8691666600000003</v>
      </c>
      <c r="K216" s="13">
        <v>5.78821428</v>
      </c>
      <c r="L216" s="13">
        <v>5.8933333299999999</v>
      </c>
      <c r="M216" s="13">
        <v>5.9008333300000002</v>
      </c>
    </row>
    <row r="217" spans="1:13" x14ac:dyDescent="0.2">
      <c r="A217" s="48">
        <v>2007</v>
      </c>
      <c r="B217" s="13">
        <v>6.2364473599999997</v>
      </c>
      <c r="C217" s="13">
        <v>6.1733695600000003</v>
      </c>
      <c r="D217" s="13">
        <v>6.0910526300000001</v>
      </c>
      <c r="E217" s="13">
        <v>6.2671590899999998</v>
      </c>
      <c r="F217" s="13">
        <v>6.25556818</v>
      </c>
      <c r="G217" s="13">
        <v>6.2566249999999997</v>
      </c>
      <c r="H217" s="13">
        <v>5.8338043400000004</v>
      </c>
      <c r="I217" s="13">
        <v>5.6130000000000004</v>
      </c>
      <c r="J217" s="13">
        <v>6.0710227200000002</v>
      </c>
      <c r="K217" s="13">
        <v>6.7011904700000002</v>
      </c>
      <c r="L217" s="13">
        <v>6.6217499999999996</v>
      </c>
      <c r="M217" s="13">
        <v>6.6778124999999999</v>
      </c>
    </row>
    <row r="218" spans="1:13" x14ac:dyDescent="0.2">
      <c r="A218" s="48">
        <v>2008</v>
      </c>
      <c r="B218" s="13">
        <v>8.1315789400000007</v>
      </c>
      <c r="C218" s="13">
        <v>8.0784090899999992</v>
      </c>
      <c r="D218" s="13">
        <v>7.897875</v>
      </c>
      <c r="E218" s="13">
        <v>8.1473863600000005</v>
      </c>
      <c r="F218" s="13">
        <v>8.6701190399999994</v>
      </c>
      <c r="G218" s="13">
        <v>8.9574999999999996</v>
      </c>
      <c r="H218" s="13">
        <v>8.7409782600000003</v>
      </c>
      <c r="I218" s="13">
        <v>9.6809210500000002</v>
      </c>
      <c r="J218" s="13">
        <v>9.9348913000000003</v>
      </c>
      <c r="K218" s="13">
        <v>10.65440476</v>
      </c>
      <c r="L218" s="13">
        <v>11.514374999999999</v>
      </c>
      <c r="M218" s="13">
        <v>12.55722222</v>
      </c>
    </row>
    <row r="219" spans="1:13" x14ac:dyDescent="0.2">
      <c r="A219" s="48">
        <v>2009</v>
      </c>
      <c r="B219" s="13">
        <v>13.420875000000001</v>
      </c>
      <c r="C219" s="13">
        <v>12.780250000000001</v>
      </c>
      <c r="D219" s="13">
        <v>12.498636360000001</v>
      </c>
      <c r="E219" s="13">
        <v>13.137857139999999</v>
      </c>
      <c r="F219" s="13">
        <v>15.02773809</v>
      </c>
      <c r="G219" s="13">
        <v>15.07625</v>
      </c>
      <c r="H219" s="13">
        <v>13.026071419999999</v>
      </c>
      <c r="I219" s="13">
        <v>11.91428571</v>
      </c>
      <c r="J219" s="13">
        <v>9.3384782600000005</v>
      </c>
      <c r="K219" s="13">
        <v>9.0073684200000006</v>
      </c>
      <c r="L219" s="13">
        <v>8.6767045399999994</v>
      </c>
      <c r="M219" s="13">
        <v>9.8733333299999995</v>
      </c>
    </row>
    <row r="220" spans="1:13" x14ac:dyDescent="0.2">
      <c r="A220" s="48">
        <v>2010</v>
      </c>
      <c r="B220" s="13">
        <v>8.8869736800000005</v>
      </c>
      <c r="C220" s="13">
        <v>8.5726136299999993</v>
      </c>
      <c r="D220" s="13">
        <v>9.2917857099999992</v>
      </c>
      <c r="E220" s="13">
        <v>10.031750000000001</v>
      </c>
      <c r="F220" s="13">
        <v>10.43420454</v>
      </c>
      <c r="G220" s="13">
        <v>9.3501136299999992</v>
      </c>
      <c r="H220" s="13">
        <v>10.0625</v>
      </c>
      <c r="I220" s="13">
        <v>9.3567857100000005</v>
      </c>
      <c r="J220" s="13">
        <v>9.6895454500000007</v>
      </c>
      <c r="K220" s="13">
        <v>10.115500000000001</v>
      </c>
      <c r="L220" s="13">
        <v>10.322840899999999</v>
      </c>
      <c r="M220" s="13">
        <v>10.118055549999999</v>
      </c>
    </row>
    <row r="221" spans="1:13" x14ac:dyDescent="0.2">
      <c r="A221" s="48">
        <v>2011</v>
      </c>
      <c r="B221" s="13">
        <v>9.32</v>
      </c>
      <c r="C221" s="13">
        <v>9.3772825999999991</v>
      </c>
      <c r="D221" s="13">
        <v>9.6309523800000001</v>
      </c>
      <c r="E221" s="13">
        <v>9.3518749999999997</v>
      </c>
      <c r="F221" s="13">
        <v>9.2276136300000005</v>
      </c>
      <c r="G221" s="13">
        <v>9.6873809499999997</v>
      </c>
      <c r="H221" s="13">
        <v>10.2765909</v>
      </c>
      <c r="I221" s="13">
        <v>10.74392857</v>
      </c>
      <c r="J221" s="13">
        <v>11.73440476</v>
      </c>
      <c r="K221" s="13">
        <v>12.563452379999999</v>
      </c>
      <c r="L221" s="13">
        <v>13.165681810000001</v>
      </c>
      <c r="M221" s="13">
        <v>13.793749999999999</v>
      </c>
    </row>
    <row r="222" spans="1:13" x14ac:dyDescent="0.2">
      <c r="A222" s="48">
        <v>2012</v>
      </c>
      <c r="B222" s="13">
        <v>13.51907894</v>
      </c>
      <c r="C222" s="13">
        <v>13.365326080000001</v>
      </c>
      <c r="D222" s="13">
        <v>13.743375</v>
      </c>
      <c r="E222" s="13">
        <v>13.48011904</v>
      </c>
      <c r="F222" s="13">
        <v>13.623409090000001</v>
      </c>
      <c r="G222" s="13">
        <v>13.741125</v>
      </c>
      <c r="H222" s="13">
        <v>13.811739129999999</v>
      </c>
      <c r="I222" s="13">
        <v>13.51071428</v>
      </c>
      <c r="J222" s="13">
        <v>12.23178571</v>
      </c>
      <c r="K222" s="13">
        <v>11.71369047</v>
      </c>
      <c r="L222" s="13">
        <v>11.43178571</v>
      </c>
      <c r="M222" s="13">
        <v>12.01777777</v>
      </c>
    </row>
    <row r="223" spans="1:13" x14ac:dyDescent="0.2">
      <c r="A223" s="48">
        <v>2013</v>
      </c>
      <c r="B223" s="13">
        <v>12.597875</v>
      </c>
      <c r="C223" s="13">
        <v>13.13215909</v>
      </c>
      <c r="D223" s="13">
        <v>13.6265</v>
      </c>
      <c r="E223" s="13">
        <v>13.14988636</v>
      </c>
      <c r="F223" s="13">
        <v>13.492261900000001</v>
      </c>
      <c r="G223" s="13">
        <v>15.64285714</v>
      </c>
      <c r="H223" s="13">
        <v>16.568695649999999</v>
      </c>
      <c r="I223" s="13">
        <v>16.756447359999999</v>
      </c>
      <c r="J223" s="13">
        <v>15.3997826</v>
      </c>
      <c r="K223" s="13">
        <v>14.484880950000001</v>
      </c>
      <c r="L223" s="13">
        <v>14.554625</v>
      </c>
      <c r="M223" s="13">
        <v>14.159722220000001</v>
      </c>
    </row>
    <row r="224" spans="1:13" x14ac:dyDescent="0.2">
      <c r="A224" s="48">
        <v>2014</v>
      </c>
      <c r="B224" s="13">
        <v>12.91105263</v>
      </c>
      <c r="C224" s="13">
        <v>12.712</v>
      </c>
      <c r="D224" s="13">
        <v>12.297613630000001</v>
      </c>
      <c r="E224" s="13">
        <v>12.39704545</v>
      </c>
      <c r="F224" s="13">
        <v>13.016125000000001</v>
      </c>
      <c r="G224" s="13">
        <v>12.589772719999999</v>
      </c>
      <c r="H224" s="13">
        <v>12.67863636</v>
      </c>
      <c r="I224" s="13">
        <v>13.441625</v>
      </c>
      <c r="J224" s="13">
        <v>12.835978259999999</v>
      </c>
      <c r="K224" s="13">
        <v>12.931875</v>
      </c>
      <c r="L224" s="13">
        <v>13.29940476</v>
      </c>
      <c r="M224" s="13">
        <v>13.043333329999999</v>
      </c>
    </row>
    <row r="225" spans="1:16" x14ac:dyDescent="0.2">
      <c r="A225" s="48">
        <v>2015</v>
      </c>
      <c r="B225" s="13">
        <v>11.405526310000001</v>
      </c>
      <c r="C225" s="13">
        <v>11.87785714</v>
      </c>
      <c r="D225" s="13">
        <v>12.29273809</v>
      </c>
      <c r="E225" s="13">
        <v>12.38392857</v>
      </c>
      <c r="F225" s="13">
        <v>12.26619047</v>
      </c>
      <c r="G225" s="13">
        <v>11.04863636</v>
      </c>
      <c r="H225" s="13">
        <v>10.60345238</v>
      </c>
      <c r="I225" s="13">
        <v>9.7917857099999992</v>
      </c>
      <c r="J225" s="13">
        <v>9.7202173900000002</v>
      </c>
      <c r="K225" s="13">
        <v>10.320263150000001</v>
      </c>
      <c r="L225" s="13">
        <v>10.30875</v>
      </c>
      <c r="M225" s="13">
        <v>10.27611111</v>
      </c>
    </row>
    <row r="226" spans="1:16" x14ac:dyDescent="0.2">
      <c r="A226" s="48">
        <v>2016</v>
      </c>
      <c r="B226" s="13">
        <v>9.7811842099999993</v>
      </c>
      <c r="C226" s="13">
        <v>9.6584090899999993</v>
      </c>
      <c r="D226" s="13">
        <v>9.6202380900000009</v>
      </c>
      <c r="E226" s="13">
        <v>9.3734999999999999</v>
      </c>
      <c r="F226" s="13">
        <v>9.4547727199999994</v>
      </c>
      <c r="G226" s="13">
        <v>9.9819318100000007</v>
      </c>
      <c r="H226" s="13">
        <v>9.2086904700000005</v>
      </c>
      <c r="I226" s="13">
        <v>8.8027380900000001</v>
      </c>
      <c r="J226" s="13">
        <v>8.9428409000000002</v>
      </c>
      <c r="K226" s="13">
        <v>8.6648750000000003</v>
      </c>
      <c r="L226" s="13">
        <v>8.7992045399999999</v>
      </c>
      <c r="M226" s="13">
        <v>8.8125</v>
      </c>
    </row>
    <row r="227" spans="1:16" x14ac:dyDescent="0.2">
      <c r="A227" s="48">
        <v>2017</v>
      </c>
      <c r="B227" s="13">
        <v>8.8976249999999997</v>
      </c>
      <c r="C227" s="13">
        <v>9.0956818100000003</v>
      </c>
      <c r="D227" s="13">
        <v>9.6980952299999998</v>
      </c>
      <c r="E227" s="13">
        <v>10.41142857</v>
      </c>
      <c r="F227" s="13">
        <v>11.180113629999999</v>
      </c>
      <c r="G227" s="13">
        <v>10.368</v>
      </c>
      <c r="H227" s="13">
        <v>9.8363043399999999</v>
      </c>
      <c r="I227" s="13">
        <v>9.6558333300000001</v>
      </c>
      <c r="J227" s="13">
        <v>9.8377380900000002</v>
      </c>
      <c r="K227" s="13">
        <v>10.070833329999999</v>
      </c>
      <c r="L227" s="13">
        <v>10.21369047</v>
      </c>
      <c r="M227" s="13">
        <v>10.068888879999999</v>
      </c>
    </row>
    <row r="228" spans="1:16" x14ac:dyDescent="0.2">
      <c r="A228" s="48">
        <v>2018</v>
      </c>
      <c r="B228" s="13">
        <v>10.225526315789473</v>
      </c>
      <c r="C228" s="13">
        <v>10.002608695652174</v>
      </c>
      <c r="D228" s="13">
        <v>9.6178947368421053</v>
      </c>
      <c r="E228" s="13">
        <v>9.6189772727272729</v>
      </c>
      <c r="F228" s="13">
        <v>9.4</v>
      </c>
      <c r="G228" s="13">
        <v>10.1755</v>
      </c>
      <c r="H228" s="13">
        <v>9.559347826086956</v>
      </c>
      <c r="I228" s="13">
        <v>9.7629999999999999</v>
      </c>
      <c r="J228" s="13">
        <v>9.8572727272727274</v>
      </c>
      <c r="K228" s="13">
        <v>9.8834523809523809</v>
      </c>
      <c r="L228" s="13">
        <v>9.7201250000000012</v>
      </c>
      <c r="M228" s="13">
        <v>10.001071428571429</v>
      </c>
    </row>
    <row r="229" spans="1:16" x14ac:dyDescent="0.2">
      <c r="A229" s="48">
        <v>2019</v>
      </c>
      <c r="B229" s="13">
        <v>10.205657894736841</v>
      </c>
      <c r="C229" s="13">
        <v>10.364761904761904</v>
      </c>
      <c r="D229" s="13">
        <v>10.432738095238097</v>
      </c>
      <c r="E229" s="13">
        <v>10.357045454545455</v>
      </c>
      <c r="F229" s="13">
        <v>9.543214285714285</v>
      </c>
      <c r="G229" s="13">
        <v>8.7799999999999994</v>
      </c>
      <c r="H229" s="13">
        <v>8.8772826086956531</v>
      </c>
      <c r="I229" s="13">
        <v>8.5305263157894746</v>
      </c>
      <c r="J229" s="13">
        <v>8.7331521739130444</v>
      </c>
      <c r="K229" s="13">
        <v>8.8285714285714292</v>
      </c>
      <c r="L229" s="13">
        <v>8.9942499999999992</v>
      </c>
      <c r="M229" s="13">
        <v>9.6411904761904754</v>
      </c>
    </row>
    <row r="230" spans="1:16" x14ac:dyDescent="0.2">
      <c r="A230" s="48">
        <v>2020</v>
      </c>
      <c r="B230" s="13">
        <v>9.6303947368421046</v>
      </c>
      <c r="C230" s="13">
        <v>9.4480952380952381</v>
      </c>
      <c r="D230" s="13">
        <v>9.25702380952381</v>
      </c>
      <c r="E230" s="13">
        <v>8.7331818181818193</v>
      </c>
      <c r="F230" s="13">
        <v>9.2718749999999996</v>
      </c>
      <c r="G230" s="13">
        <v>9.1787500000000009</v>
      </c>
      <c r="H230" s="13">
        <v>8.8481818181818195</v>
      </c>
      <c r="I230" s="13">
        <v>8.9704999999999995</v>
      </c>
      <c r="J230" s="13">
        <v>9.3922826086956519</v>
      </c>
      <c r="K230" s="13">
        <v>9.12425</v>
      </c>
      <c r="L230" s="13">
        <v>9.1158333333333346</v>
      </c>
      <c r="M230" s="13">
        <v>9.5910714285714285</v>
      </c>
    </row>
    <row r="231" spans="1:16" x14ac:dyDescent="0.2">
      <c r="A231" s="48">
        <v>2021</v>
      </c>
      <c r="B231" s="13">
        <v>9.2146052631578943</v>
      </c>
      <c r="C231" s="13">
        <v>8.8019318181818189</v>
      </c>
      <c r="D231" s="13">
        <v>8.5802380952380943</v>
      </c>
      <c r="E231" s="13">
        <v>8.5302500000000006</v>
      </c>
      <c r="F231" s="13">
        <v>8.7659090909090907</v>
      </c>
      <c r="G231" s="13">
        <v>8.9856818181818188</v>
      </c>
      <c r="H231" s="13">
        <v>9.0978571428571442</v>
      </c>
      <c r="I231" s="13">
        <v>10.00702380952381</v>
      </c>
      <c r="J231" s="13">
        <v>10.547727272727272</v>
      </c>
      <c r="K231" s="13">
        <v>11.4475</v>
      </c>
      <c r="L231" s="13">
        <v>12.022976190476191</v>
      </c>
      <c r="M231" s="13">
        <v>11.513157894736842</v>
      </c>
    </row>
    <row r="232" spans="1:16" x14ac:dyDescent="0.2">
      <c r="A232" s="48">
        <v>2022</v>
      </c>
      <c r="B232" s="52" t="e">
        <v>#REF!</v>
      </c>
      <c r="C232" s="52">
        <v>12.270217391304348</v>
      </c>
      <c r="D232" s="52">
        <v>12.928690476190477</v>
      </c>
      <c r="E232" s="52"/>
      <c r="I232" s="46">
        <v>12.5</v>
      </c>
      <c r="J232" s="46">
        <v>12.600000000000001</v>
      </c>
      <c r="K232" s="38">
        <v>12.37154761904762</v>
      </c>
      <c r="L232" s="38">
        <v>12.895</v>
      </c>
    </row>
    <row r="233" spans="1:16" x14ac:dyDescent="0.2">
      <c r="A233" s="48">
        <v>2023</v>
      </c>
      <c r="B233" s="52"/>
      <c r="C233" s="52"/>
      <c r="D233" s="52"/>
      <c r="E233" s="52"/>
      <c r="I233" s="46">
        <f>MROUND(FORECAST(K233,I182:I232,K182:K232),0.1)</f>
        <v>14.5</v>
      </c>
      <c r="J233" s="46">
        <f>MROUND(FORECAST(L233,J182:J232,L182:L232),0.1)</f>
        <v>14.3</v>
      </c>
      <c r="K233" s="38">
        <f>[3]Prices!$B$637</f>
        <v>14.420119047619048</v>
      </c>
      <c r="L233" s="38">
        <f>[3]Prices!$B$638</f>
        <v>14.744166666666667</v>
      </c>
    </row>
    <row r="234" spans="1:16" x14ac:dyDescent="0.2">
      <c r="A234" s="48">
        <v>2024</v>
      </c>
      <c r="K234" s="38">
        <f>[3]Prices!$B$649</f>
        <v>13.448690476190476</v>
      </c>
      <c r="L234" s="38">
        <f>[3]Prices!$B$650</f>
        <v>13.109249999999999</v>
      </c>
    </row>
    <row r="235" spans="1:16" x14ac:dyDescent="0.2">
      <c r="A235" s="48">
        <v>2025</v>
      </c>
      <c r="K235" s="39">
        <f>[3]Prices!$B$661</f>
        <v>9.9507500000000011</v>
      </c>
      <c r="L235" s="39">
        <f>[3]Prices!$B$662</f>
        <v>9.8350000000000009</v>
      </c>
    </row>
    <row r="236" spans="1:16" x14ac:dyDescent="0.2">
      <c r="A236" s="48">
        <v>2026</v>
      </c>
      <c r="K236" s="39">
        <f>[3]Prices!$B$673</f>
        <v>11</v>
      </c>
      <c r="L236" s="39">
        <f>[3]Prices!$B$675</f>
        <v>11.75</v>
      </c>
    </row>
    <row r="237" spans="1:16" ht="15.75" x14ac:dyDescent="0.25">
      <c r="A237" s="51" t="s">
        <v>159</v>
      </c>
    </row>
    <row r="238" spans="1:16" ht="13.5" x14ac:dyDescent="0.25">
      <c r="A238" s="42" t="s">
        <v>155</v>
      </c>
      <c r="B238" t="s">
        <v>92</v>
      </c>
      <c r="C238" t="s">
        <v>93</v>
      </c>
      <c r="D238" t="s">
        <v>94</v>
      </c>
      <c r="E238" t="s">
        <v>83</v>
      </c>
      <c r="F238" t="s">
        <v>84</v>
      </c>
      <c r="G238" t="s">
        <v>85</v>
      </c>
      <c r="H238" t="s">
        <v>86</v>
      </c>
      <c r="I238" t="s">
        <v>87</v>
      </c>
      <c r="J238" t="s">
        <v>88</v>
      </c>
      <c r="K238" t="s">
        <v>89</v>
      </c>
      <c r="L238" t="s">
        <v>90</v>
      </c>
      <c r="M238" t="s">
        <v>91</v>
      </c>
      <c r="O238" t="str">
        <f>_xlfn.CONCAT(K238," ","Error")</f>
        <v>Nov Error</v>
      </c>
      <c r="P238" t="str">
        <f>_xlfn.CONCAT(L238," ","Error")</f>
        <v>Dec Error</v>
      </c>
    </row>
    <row r="239" spans="1:16" x14ac:dyDescent="0.2">
      <c r="A239" s="48">
        <v>1971</v>
      </c>
      <c r="B239" s="13">
        <v>2.5775000000000001</v>
      </c>
      <c r="C239" s="13">
        <v>2.59</v>
      </c>
      <c r="D239" s="13">
        <v>2.6825000000000001</v>
      </c>
      <c r="E239" s="13">
        <v>2.67</v>
      </c>
      <c r="F239" s="13">
        <v>3.0125000000000002</v>
      </c>
      <c r="G239" s="13">
        <v>3.07</v>
      </c>
      <c r="H239" s="13">
        <v>3.0350000000000001</v>
      </c>
      <c r="I239" s="13">
        <v>2.9725000000000001</v>
      </c>
      <c r="J239" s="13">
        <v>3.15</v>
      </c>
      <c r="K239" s="13">
        <v>3.1124999999999998</v>
      </c>
      <c r="L239" s="13">
        <v>3.0074999999999998</v>
      </c>
      <c r="M239" s="13">
        <v>3.0825</v>
      </c>
      <c r="O239" s="13">
        <f t="shared" ref="O239:P254" si="11">K239-K181</f>
        <v>5.3421059999999798E-2</v>
      </c>
      <c r="P239" s="13">
        <f t="shared" si="11"/>
        <v>5.2272729999999878E-2</v>
      </c>
    </row>
    <row r="240" spans="1:16" x14ac:dyDescent="0.2">
      <c r="A240" s="48">
        <v>1972</v>
      </c>
      <c r="B240" s="13">
        <v>2.9750000000000001</v>
      </c>
      <c r="C240" s="13">
        <v>2.9575</v>
      </c>
      <c r="D240" s="13">
        <v>2.9224999999999999</v>
      </c>
      <c r="E240" s="13">
        <v>3.1</v>
      </c>
      <c r="F240" s="13">
        <v>3.2774999999999999</v>
      </c>
      <c r="G240" s="13">
        <v>3.46</v>
      </c>
      <c r="H240" s="13">
        <v>3.3624999999999998</v>
      </c>
      <c r="I240" s="13">
        <v>3.3149999999999999</v>
      </c>
      <c r="J240" s="13">
        <v>3.32</v>
      </c>
      <c r="K240" s="13">
        <v>3.2574999999999998</v>
      </c>
      <c r="L240" s="13">
        <v>3.1850000000000001</v>
      </c>
      <c r="M240" s="13">
        <v>3.1324999999999998</v>
      </c>
      <c r="O240" s="13">
        <f t="shared" si="11"/>
        <v>0.1198809599999997</v>
      </c>
      <c r="P240" s="13">
        <f t="shared" si="11"/>
        <v>5.1666669999999915E-2</v>
      </c>
    </row>
    <row r="241" spans="1:16" x14ac:dyDescent="0.2">
      <c r="A241" s="48">
        <v>1973</v>
      </c>
      <c r="B241" s="13">
        <v>3.1375000000000002</v>
      </c>
      <c r="C241" s="13">
        <v>3.2324999999999999</v>
      </c>
      <c r="D241" s="13">
        <v>3.3224999999999998</v>
      </c>
      <c r="E241" s="13">
        <v>3.2875000000000001</v>
      </c>
      <c r="F241" s="13">
        <v>3.3250000000000002</v>
      </c>
      <c r="G241" s="13">
        <v>3.3525</v>
      </c>
      <c r="H241" s="13">
        <v>3.4375</v>
      </c>
      <c r="I241" s="13">
        <v>3.53</v>
      </c>
      <c r="J241" s="13">
        <v>3.5975000000000001</v>
      </c>
      <c r="K241" s="13">
        <v>3.895</v>
      </c>
      <c r="L241" s="13">
        <v>4.4400000000000004</v>
      </c>
      <c r="M241" s="13">
        <v>5</v>
      </c>
      <c r="O241" s="13">
        <f t="shared" si="11"/>
        <v>0.21225000000000005</v>
      </c>
      <c r="P241" s="13">
        <f t="shared" si="11"/>
        <v>0.26605264000000073</v>
      </c>
    </row>
    <row r="242" spans="1:16" x14ac:dyDescent="0.2">
      <c r="A242" s="48">
        <v>1974</v>
      </c>
      <c r="B242" s="13">
        <v>4.26</v>
      </c>
      <c r="C242" s="13">
        <v>4.33</v>
      </c>
      <c r="D242" s="13">
        <v>4.6174999999999997</v>
      </c>
      <c r="E242" s="13">
        <v>6.42</v>
      </c>
      <c r="F242" s="13">
        <v>6.9950000000000001</v>
      </c>
      <c r="G242" s="13">
        <v>8.08</v>
      </c>
      <c r="H242" s="13">
        <v>9.15</v>
      </c>
      <c r="I242" s="13">
        <v>6.93</v>
      </c>
      <c r="J242" s="13">
        <v>6.6150000000000002</v>
      </c>
      <c r="K242" s="13">
        <v>6.37</v>
      </c>
      <c r="L242" s="13">
        <v>6.44</v>
      </c>
      <c r="M242" s="13">
        <v>6.43</v>
      </c>
      <c r="O242" s="13">
        <f t="shared" si="11"/>
        <v>0.69238096000000038</v>
      </c>
      <c r="P242" s="13">
        <f t="shared" si="11"/>
        <v>0.43184211000000072</v>
      </c>
    </row>
    <row r="243" spans="1:16" x14ac:dyDescent="0.2">
      <c r="A243" s="48">
        <v>1975</v>
      </c>
      <c r="B243" s="13">
        <v>6.73</v>
      </c>
      <c r="C243" s="13">
        <v>6.48</v>
      </c>
      <c r="D243" s="13">
        <v>5.81</v>
      </c>
      <c r="E243" s="13">
        <v>5.59</v>
      </c>
      <c r="F243" s="13">
        <v>5.9450000000000003</v>
      </c>
      <c r="G243" s="13">
        <v>8.875</v>
      </c>
      <c r="H243" s="13">
        <v>8.84</v>
      </c>
      <c r="I243" s="13">
        <v>8.8550000000000004</v>
      </c>
      <c r="J243" s="13">
        <v>9.61</v>
      </c>
      <c r="K243" s="13">
        <v>8.8000000000000007</v>
      </c>
      <c r="L243" s="13">
        <v>7.87</v>
      </c>
      <c r="M243" s="13">
        <v>7.12</v>
      </c>
      <c r="O243" s="13">
        <f t="shared" si="11"/>
        <v>0.88052632000000042</v>
      </c>
      <c r="P243" s="13">
        <f t="shared" si="11"/>
        <v>0.50107143000000054</v>
      </c>
    </row>
    <row r="244" spans="1:16" x14ac:dyDescent="0.2">
      <c r="A244" s="48">
        <v>1976</v>
      </c>
      <c r="B244" s="13">
        <v>6.19</v>
      </c>
      <c r="C244" s="13">
        <v>6.09</v>
      </c>
      <c r="D244" s="13">
        <v>6.04</v>
      </c>
      <c r="E244" s="13">
        <v>5.27</v>
      </c>
      <c r="F244" s="13">
        <v>5.2750000000000004</v>
      </c>
      <c r="G244" s="13">
        <v>6.4550000000000001</v>
      </c>
      <c r="H244" s="13">
        <v>6.6349999999999998</v>
      </c>
      <c r="I244" s="13">
        <v>6.2</v>
      </c>
      <c r="J244" s="13">
        <v>5.875</v>
      </c>
      <c r="K244" s="13">
        <v>5.12</v>
      </c>
      <c r="L244" s="13">
        <v>5.07</v>
      </c>
      <c r="M244" s="13">
        <v>4.8899999999999997</v>
      </c>
      <c r="O244" s="13">
        <f t="shared" si="11"/>
        <v>0.2593421100000004</v>
      </c>
      <c r="P244" s="13">
        <f t="shared" si="11"/>
        <v>0.4346428600000003</v>
      </c>
    </row>
    <row r="245" spans="1:16" x14ac:dyDescent="0.2">
      <c r="A245" s="48">
        <v>1977</v>
      </c>
      <c r="B245" s="13">
        <v>5.2450000000000001</v>
      </c>
      <c r="C245" s="13">
        <v>5.2149999999999999</v>
      </c>
      <c r="D245" s="13">
        <v>5.26</v>
      </c>
      <c r="E245" s="13">
        <v>6.0250000000000004</v>
      </c>
      <c r="F245" s="13">
        <v>7.06</v>
      </c>
      <c r="G245" s="13">
        <v>7.8250000000000002</v>
      </c>
      <c r="H245" s="13">
        <v>7.05</v>
      </c>
      <c r="I245" s="13">
        <v>7.65</v>
      </c>
      <c r="J245" s="13">
        <v>6.875</v>
      </c>
      <c r="K245" s="13">
        <v>6.9649999999999999</v>
      </c>
      <c r="L245" s="13">
        <v>7.12</v>
      </c>
      <c r="M245" s="13">
        <v>7.2949999999999999</v>
      </c>
      <c r="O245" s="13">
        <f t="shared" si="11"/>
        <v>0.28187499999999943</v>
      </c>
      <c r="P245" s="13">
        <f t="shared" si="11"/>
        <v>0.19214285999999969</v>
      </c>
    </row>
    <row r="246" spans="1:16" x14ac:dyDescent="0.2">
      <c r="A246" s="48">
        <v>1978</v>
      </c>
      <c r="B246" s="13">
        <v>7.2350000000000003</v>
      </c>
      <c r="C246" s="13">
        <v>7.48</v>
      </c>
      <c r="D246" s="13">
        <v>7.79</v>
      </c>
      <c r="E246" s="13">
        <v>7.75</v>
      </c>
      <c r="F246" s="13">
        <v>7.99</v>
      </c>
      <c r="G246" s="13">
        <v>6.6050000000000004</v>
      </c>
      <c r="H246" s="13">
        <v>5.8650000000000002</v>
      </c>
      <c r="I246" s="13">
        <v>5.77</v>
      </c>
      <c r="J246" s="13">
        <v>5.6550000000000002</v>
      </c>
      <c r="K246" s="13">
        <v>6.3449999999999998</v>
      </c>
      <c r="L246" s="13">
        <v>6.165</v>
      </c>
      <c r="M246" s="13">
        <v>6.0449999999999999</v>
      </c>
      <c r="O246" s="13">
        <f t="shared" si="11"/>
        <v>0.36369047999999982</v>
      </c>
      <c r="P246" s="13">
        <f t="shared" si="11"/>
        <v>0.20666666999999972</v>
      </c>
    </row>
    <row r="247" spans="1:16" x14ac:dyDescent="0.2">
      <c r="A247" s="48">
        <v>1979</v>
      </c>
      <c r="B247" s="13">
        <v>5.95</v>
      </c>
      <c r="C247" s="13">
        <v>6.41</v>
      </c>
      <c r="D247" s="13">
        <v>6.5049999999999999</v>
      </c>
      <c r="E247" s="13">
        <v>6.89</v>
      </c>
      <c r="F247" s="13">
        <v>6.84</v>
      </c>
      <c r="G247" s="13">
        <v>6.2949999999999999</v>
      </c>
      <c r="H247" s="13">
        <v>6.63</v>
      </c>
      <c r="I247" s="13">
        <v>6.8624999999999998</v>
      </c>
      <c r="J247" s="13">
        <v>7.3849999999999998</v>
      </c>
      <c r="K247" s="13">
        <v>7.2</v>
      </c>
      <c r="L247" s="13">
        <v>7.06</v>
      </c>
      <c r="M247" s="13">
        <v>7.08</v>
      </c>
      <c r="O247" s="13">
        <f t="shared" si="11"/>
        <v>0.40125000000000011</v>
      </c>
      <c r="P247" s="13">
        <f t="shared" si="11"/>
        <v>0.22174999999999923</v>
      </c>
    </row>
    <row r="248" spans="1:16" x14ac:dyDescent="0.2">
      <c r="A248" s="48">
        <v>1980</v>
      </c>
      <c r="B248" s="13">
        <v>7.2649999999999997</v>
      </c>
      <c r="C248" s="13">
        <v>7.2750000000000004</v>
      </c>
      <c r="D248" s="13">
        <v>7.2850000000000001</v>
      </c>
      <c r="E248" s="13">
        <v>7.4</v>
      </c>
      <c r="F248" s="13">
        <v>8.42</v>
      </c>
      <c r="G248" s="13">
        <v>8.1</v>
      </c>
      <c r="H248" s="13">
        <v>7.5</v>
      </c>
      <c r="I248" s="13">
        <v>7.65</v>
      </c>
      <c r="J248" s="13">
        <v>7.54</v>
      </c>
      <c r="K248" s="13">
        <v>6.97</v>
      </c>
      <c r="L248" s="13">
        <v>6.86</v>
      </c>
      <c r="M248" s="13">
        <v>6.665</v>
      </c>
      <c r="O248" s="13">
        <f t="shared" si="11"/>
        <v>0.19654761999999959</v>
      </c>
      <c r="P248" s="13">
        <f t="shared" si="11"/>
        <v>0.22394737000000031</v>
      </c>
    </row>
    <row r="249" spans="1:16" x14ac:dyDescent="0.2">
      <c r="A249" s="48">
        <v>1981</v>
      </c>
      <c r="B249" s="13">
        <v>7.71</v>
      </c>
      <c r="C249" s="13">
        <v>7.42</v>
      </c>
      <c r="D249" s="13">
        <v>6.85</v>
      </c>
      <c r="E249" s="13">
        <v>6.87</v>
      </c>
      <c r="F249" s="13">
        <v>7.19</v>
      </c>
      <c r="G249" s="13">
        <v>8.4700000000000006</v>
      </c>
      <c r="H249" s="13">
        <v>8.36</v>
      </c>
      <c r="I249" s="13">
        <v>9.01</v>
      </c>
      <c r="J249" s="13">
        <v>9.51</v>
      </c>
      <c r="K249" s="13">
        <v>9.58</v>
      </c>
      <c r="L249" s="13">
        <v>9.3800000000000008</v>
      </c>
      <c r="M249" s="13">
        <v>8.2750000000000004</v>
      </c>
      <c r="O249" s="13">
        <f t="shared" si="11"/>
        <v>0.3256944500000003</v>
      </c>
      <c r="P249" s="13">
        <f t="shared" si="11"/>
        <v>1.399047620000001</v>
      </c>
    </row>
    <row r="250" spans="1:16" x14ac:dyDescent="0.2">
      <c r="A250" s="48">
        <v>1982</v>
      </c>
      <c r="B250" s="13">
        <v>8.65</v>
      </c>
      <c r="C250" s="13">
        <v>8.5850000000000009</v>
      </c>
      <c r="D250" s="13">
        <v>8.8800000000000008</v>
      </c>
      <c r="E250" s="13">
        <v>8.5</v>
      </c>
      <c r="F250" s="13">
        <v>7.9649999999999999</v>
      </c>
      <c r="G250" s="13">
        <v>8.18</v>
      </c>
      <c r="H250" s="13">
        <v>7.6449999999999996</v>
      </c>
      <c r="I250" s="13">
        <v>7.05</v>
      </c>
      <c r="J250" s="13">
        <v>7.11</v>
      </c>
      <c r="K250" s="13">
        <v>6.79</v>
      </c>
      <c r="L250" s="13">
        <v>6.66</v>
      </c>
      <c r="M250" s="13">
        <v>6.46</v>
      </c>
      <c r="O250" s="13">
        <f t="shared" si="11"/>
        <v>0.24512499999999982</v>
      </c>
      <c r="P250" s="13">
        <f t="shared" si="11"/>
        <v>0.37352273000000036</v>
      </c>
    </row>
    <row r="251" spans="1:16" x14ac:dyDescent="0.2">
      <c r="A251" s="48">
        <v>1983</v>
      </c>
      <c r="B251" s="13">
        <v>7.2</v>
      </c>
      <c r="C251" s="13">
        <v>6.86</v>
      </c>
      <c r="D251" s="13">
        <v>7.0750000000000002</v>
      </c>
      <c r="E251" s="13">
        <v>6.98</v>
      </c>
      <c r="F251" s="13">
        <v>6.75</v>
      </c>
      <c r="G251" s="13">
        <v>6.48</v>
      </c>
      <c r="H251" s="13">
        <v>6.3075000000000001</v>
      </c>
      <c r="I251" s="13">
        <v>5.83</v>
      </c>
      <c r="J251" s="13">
        <v>5.64</v>
      </c>
      <c r="K251" s="13">
        <v>5.91</v>
      </c>
      <c r="L251" s="13">
        <v>5.7649999999999997</v>
      </c>
      <c r="M251" s="13">
        <v>5.9474999999999998</v>
      </c>
      <c r="O251" s="13">
        <f t="shared" si="11"/>
        <v>0.17937500000000028</v>
      </c>
      <c r="P251" s="13">
        <f t="shared" si="11"/>
        <v>9.3333340000000042E-2</v>
      </c>
    </row>
    <row r="252" spans="1:16" x14ac:dyDescent="0.2">
      <c r="A252" s="48">
        <v>1984</v>
      </c>
      <c r="B252" s="13">
        <v>6.5949999999999998</v>
      </c>
      <c r="C252" s="13">
        <v>6.9349999999999996</v>
      </c>
      <c r="D252" s="13">
        <v>7.085</v>
      </c>
      <c r="E252" s="13">
        <v>6.9749999999999996</v>
      </c>
      <c r="F252" s="13">
        <v>6.5549999999999997</v>
      </c>
      <c r="G252" s="13">
        <v>7.69</v>
      </c>
      <c r="H252" s="13">
        <v>9.7750000000000004</v>
      </c>
      <c r="I252" s="13">
        <v>9.82</v>
      </c>
      <c r="J252" s="13">
        <v>9.1300000000000008</v>
      </c>
      <c r="K252" s="13">
        <v>8.81</v>
      </c>
      <c r="L252" s="13">
        <v>8.26</v>
      </c>
      <c r="M252" s="13">
        <v>8.01</v>
      </c>
      <c r="O252" s="13">
        <f t="shared" si="11"/>
        <v>0.53976191000000107</v>
      </c>
      <c r="P252" s="13">
        <f t="shared" si="11"/>
        <v>0.38809524000000017</v>
      </c>
    </row>
    <row r="253" spans="1:16" x14ac:dyDescent="0.2">
      <c r="A253" s="48">
        <v>1985</v>
      </c>
      <c r="B253" s="13">
        <v>7.37</v>
      </c>
      <c r="C253" s="13">
        <v>7.54</v>
      </c>
      <c r="D253" s="13">
        <v>7.59</v>
      </c>
      <c r="E253" s="13">
        <v>7.6550000000000002</v>
      </c>
      <c r="F253" s="13">
        <v>7.79</v>
      </c>
      <c r="G253" s="13">
        <v>7.4349999999999996</v>
      </c>
      <c r="H253" s="13">
        <v>6.76</v>
      </c>
      <c r="I253" s="13">
        <v>6.51</v>
      </c>
      <c r="J253" s="13">
        <v>6.52</v>
      </c>
      <c r="K253" s="13">
        <v>6.4950000000000001</v>
      </c>
      <c r="L253" s="13">
        <v>6.14</v>
      </c>
      <c r="M253" s="13">
        <v>6</v>
      </c>
      <c r="O253" s="13">
        <f t="shared" si="11"/>
        <v>0.27166667000000011</v>
      </c>
      <c r="P253" s="13">
        <f t="shared" si="11"/>
        <v>0.23324999999999996</v>
      </c>
    </row>
    <row r="254" spans="1:16" x14ac:dyDescent="0.2">
      <c r="A254" s="48">
        <v>1986</v>
      </c>
      <c r="B254" s="13">
        <v>6.3449999999999998</v>
      </c>
      <c r="C254" s="13">
        <v>6.3</v>
      </c>
      <c r="D254" s="13">
        <v>6.335</v>
      </c>
      <c r="E254" s="13">
        <v>6.1950000000000003</v>
      </c>
      <c r="F254" s="13">
        <v>5.9749999999999996</v>
      </c>
      <c r="G254" s="13">
        <v>6</v>
      </c>
      <c r="H254" s="13">
        <v>5.43</v>
      </c>
      <c r="I254" s="13">
        <v>5.3825000000000003</v>
      </c>
      <c r="J254" s="13">
        <v>5.2949999999999999</v>
      </c>
      <c r="K254" s="13">
        <v>5.3550000000000004</v>
      </c>
      <c r="L254" s="13">
        <v>5.4275000000000002</v>
      </c>
      <c r="M254" s="13">
        <v>5.46</v>
      </c>
      <c r="O254" s="13">
        <f t="shared" si="11"/>
        <v>0.24550000000000072</v>
      </c>
      <c r="P254" s="13">
        <f t="shared" si="11"/>
        <v>0.21059523999999996</v>
      </c>
    </row>
    <row r="255" spans="1:16" x14ac:dyDescent="0.2">
      <c r="A255" s="48">
        <v>1987</v>
      </c>
      <c r="B255" s="13">
        <v>5.38</v>
      </c>
      <c r="C255" s="13">
        <v>5.3674999999999997</v>
      </c>
      <c r="D255" s="13">
        <v>5.61</v>
      </c>
      <c r="E255" s="13">
        <v>5.6050000000000004</v>
      </c>
      <c r="F255" s="13">
        <v>5.2125000000000004</v>
      </c>
      <c r="G255" s="13">
        <v>5.2725</v>
      </c>
      <c r="H255" s="13">
        <v>5.1349999999999998</v>
      </c>
      <c r="I255" s="13">
        <v>5.0149999999999997</v>
      </c>
      <c r="J255" s="13">
        <v>5.0449999999999999</v>
      </c>
      <c r="K255" s="13">
        <v>5.0724999999999998</v>
      </c>
      <c r="L255" s="13">
        <v>5.0475000000000003</v>
      </c>
      <c r="M255" s="13">
        <v>4.9950000000000001</v>
      </c>
      <c r="O255" s="13">
        <f t="shared" ref="O255:P270" si="12">K255-K197</f>
        <v>6.9473689999999699E-2</v>
      </c>
      <c r="P255" s="13">
        <f t="shared" si="12"/>
        <v>0.1288636400000005</v>
      </c>
    </row>
    <row r="256" spans="1:16" x14ac:dyDescent="0.2">
      <c r="A256" s="48">
        <v>1988</v>
      </c>
      <c r="B256" s="13">
        <v>4.9050000000000002</v>
      </c>
      <c r="C256" s="13">
        <v>4.95</v>
      </c>
      <c r="D256" s="13">
        <v>5.42</v>
      </c>
      <c r="E256" s="13">
        <v>6.18</v>
      </c>
      <c r="F256" s="13">
        <v>6.33</v>
      </c>
      <c r="G256" s="13">
        <v>5.6150000000000002</v>
      </c>
      <c r="H256" s="13">
        <v>5.3849999999999998</v>
      </c>
      <c r="I256" s="13">
        <v>5.4375</v>
      </c>
      <c r="J256" s="13">
        <v>5.5949999999999998</v>
      </c>
      <c r="K256" s="13">
        <v>6.1349999999999998</v>
      </c>
      <c r="L256" s="13">
        <v>6.1449999999999996</v>
      </c>
      <c r="M256" s="13">
        <v>6.32</v>
      </c>
      <c r="O256" s="13">
        <f t="shared" si="12"/>
        <v>0.44387499999999935</v>
      </c>
      <c r="P256" s="13">
        <f t="shared" si="12"/>
        <v>0.18727272999999922</v>
      </c>
    </row>
    <row r="257" spans="1:16" x14ac:dyDescent="0.2">
      <c r="A257" s="48">
        <v>1989</v>
      </c>
      <c r="B257" s="13">
        <v>6.72</v>
      </c>
      <c r="C257" s="13">
        <v>6.8150000000000004</v>
      </c>
      <c r="D257" s="13">
        <v>7.2050000000000001</v>
      </c>
      <c r="E257" s="13">
        <v>8.2424999999999997</v>
      </c>
      <c r="F257" s="13">
        <v>10.34</v>
      </c>
      <c r="G257" s="13">
        <v>9.8800000000000008</v>
      </c>
      <c r="H257" s="13">
        <v>9.01</v>
      </c>
      <c r="I257" s="13">
        <v>9.16</v>
      </c>
      <c r="J257" s="13">
        <v>8.4049999999999994</v>
      </c>
      <c r="K257" s="13">
        <v>8.19</v>
      </c>
      <c r="L257" s="13">
        <v>8.0500000000000007</v>
      </c>
      <c r="M257" s="13">
        <v>8.2050000000000001</v>
      </c>
      <c r="O257" s="13">
        <f t="shared" si="12"/>
        <v>0.4682142899999997</v>
      </c>
      <c r="P257" s="13">
        <f t="shared" si="12"/>
        <v>0.24500000000000099</v>
      </c>
    </row>
    <row r="258" spans="1:16" x14ac:dyDescent="0.2">
      <c r="A258" s="48">
        <v>1990</v>
      </c>
      <c r="B258" s="13">
        <v>7.52</v>
      </c>
      <c r="C258" s="13">
        <v>7.67</v>
      </c>
      <c r="D258" s="13">
        <v>7.55</v>
      </c>
      <c r="E258" s="13">
        <v>7.375</v>
      </c>
      <c r="F258" s="13">
        <v>6.8849999999999998</v>
      </c>
      <c r="G258" s="13">
        <v>7.1849999999999996</v>
      </c>
      <c r="H258" s="13">
        <v>6.1</v>
      </c>
      <c r="I258" s="13">
        <v>6.08</v>
      </c>
      <c r="J258" s="13">
        <v>6</v>
      </c>
      <c r="K258" s="13">
        <v>5.9625000000000004</v>
      </c>
      <c r="L258" s="13">
        <v>5.8624999999999998</v>
      </c>
      <c r="M258" s="13">
        <v>5.7450000000000001</v>
      </c>
      <c r="O258" s="13">
        <f t="shared" si="12"/>
        <v>0.11880953000000005</v>
      </c>
      <c r="P258" s="13">
        <f t="shared" si="12"/>
        <v>0.10799999999999965</v>
      </c>
    </row>
    <row r="259" spans="1:16" x14ac:dyDescent="0.2">
      <c r="A259" s="48">
        <v>1991</v>
      </c>
      <c r="B259" s="13">
        <v>6.12</v>
      </c>
      <c r="C259" s="13">
        <v>6.3849999999999998</v>
      </c>
      <c r="D259" s="13">
        <v>6.76</v>
      </c>
      <c r="E259" s="13">
        <v>6.91</v>
      </c>
      <c r="F259" s="13">
        <v>6.625</v>
      </c>
      <c r="G259" s="13">
        <v>6.92</v>
      </c>
      <c r="H259" s="13">
        <v>6.5949999999999998</v>
      </c>
      <c r="I259" s="13">
        <v>6.55</v>
      </c>
      <c r="J259" s="13">
        <v>6.5</v>
      </c>
      <c r="K259" s="13">
        <v>6.1624999999999996</v>
      </c>
      <c r="L259" s="13">
        <v>6.05</v>
      </c>
      <c r="M259" s="13">
        <v>5.8049999999999997</v>
      </c>
      <c r="O259" s="13">
        <f t="shared" si="12"/>
        <v>0.30571429000000006</v>
      </c>
      <c r="P259" s="13">
        <f t="shared" si="12"/>
        <v>0.22999999999999954</v>
      </c>
    </row>
    <row r="260" spans="1:16" x14ac:dyDescent="0.2">
      <c r="A260" s="48">
        <v>1992</v>
      </c>
      <c r="B260" s="13">
        <v>6.36</v>
      </c>
      <c r="C260" s="13">
        <v>6.4950000000000001</v>
      </c>
      <c r="D260" s="13">
        <v>6.43</v>
      </c>
      <c r="E260" s="13">
        <v>6.22</v>
      </c>
      <c r="F260" s="13">
        <v>6.0949999999999998</v>
      </c>
      <c r="G260" s="13">
        <v>6.26</v>
      </c>
      <c r="H260" s="13">
        <v>6.59</v>
      </c>
      <c r="I260" s="13">
        <v>6.2949999999999999</v>
      </c>
      <c r="J260" s="13">
        <v>6.03</v>
      </c>
      <c r="K260" s="13">
        <v>5.74</v>
      </c>
      <c r="L260" s="13">
        <v>5.68</v>
      </c>
      <c r="M260" s="13">
        <v>5.79</v>
      </c>
      <c r="O260" s="13">
        <f t="shared" si="12"/>
        <v>0.12900000000000045</v>
      </c>
      <c r="P260" s="13">
        <f t="shared" si="12"/>
        <v>0.12416667000000015</v>
      </c>
    </row>
    <row r="261" spans="1:16" x14ac:dyDescent="0.2">
      <c r="A261" s="48">
        <v>1993</v>
      </c>
      <c r="B261" s="13">
        <v>6.28</v>
      </c>
      <c r="C261" s="13">
        <v>6.3849999999999998</v>
      </c>
      <c r="D261" s="13">
        <v>6.2125000000000004</v>
      </c>
      <c r="E261" s="13">
        <v>6.4850000000000003</v>
      </c>
      <c r="F261" s="13">
        <v>6.59</v>
      </c>
      <c r="G261" s="13">
        <v>6.2450000000000001</v>
      </c>
      <c r="H261" s="13">
        <v>5.6425000000000001</v>
      </c>
      <c r="I261" s="13">
        <v>5.69</v>
      </c>
      <c r="J261" s="13">
        <v>5.56</v>
      </c>
      <c r="K261" s="13">
        <v>5.69</v>
      </c>
      <c r="L261" s="13">
        <v>5.79</v>
      </c>
      <c r="M261" s="13">
        <v>5.89</v>
      </c>
      <c r="O261" s="13">
        <f t="shared" si="12"/>
        <v>9.2999999999999972E-2</v>
      </c>
      <c r="P261" s="13">
        <f t="shared" si="12"/>
        <v>0.1051136399999999</v>
      </c>
    </row>
    <row r="262" spans="1:16" x14ac:dyDescent="0.2">
      <c r="A262" s="48">
        <v>1994</v>
      </c>
      <c r="B262" s="13">
        <v>6</v>
      </c>
      <c r="C262" s="13">
        <v>6.165</v>
      </c>
      <c r="D262" s="13">
        <v>6.2</v>
      </c>
      <c r="E262" s="13">
        <v>6.17</v>
      </c>
      <c r="F262" s="13">
        <v>6.6349999999999998</v>
      </c>
      <c r="G262" s="13">
        <v>7.56</v>
      </c>
      <c r="H262" s="13">
        <v>7.11</v>
      </c>
      <c r="I262" s="13">
        <v>6.71</v>
      </c>
      <c r="J262" s="13">
        <v>6.3449999999999998</v>
      </c>
      <c r="K262" s="13">
        <v>6.95</v>
      </c>
      <c r="L262" s="13">
        <v>7.06</v>
      </c>
      <c r="M262" s="13">
        <v>7.13</v>
      </c>
      <c r="O262" s="13">
        <f t="shared" si="12"/>
        <v>0.26845239000000021</v>
      </c>
      <c r="P262" s="13">
        <f t="shared" si="12"/>
        <v>0.18845238999999925</v>
      </c>
    </row>
    <row r="263" spans="1:16" x14ac:dyDescent="0.2">
      <c r="A263" s="48">
        <v>1995</v>
      </c>
      <c r="B263" s="13">
        <v>6.64</v>
      </c>
      <c r="C263" s="13">
        <v>6.69</v>
      </c>
      <c r="D263" s="13">
        <v>6.415</v>
      </c>
      <c r="E263" s="13">
        <v>6.9775</v>
      </c>
      <c r="F263" s="13">
        <v>7.04</v>
      </c>
      <c r="G263" s="13">
        <v>6.3</v>
      </c>
      <c r="H263" s="13">
        <v>5.8674999999999997</v>
      </c>
      <c r="I263" s="13">
        <v>5.9450000000000003</v>
      </c>
      <c r="J263" s="13">
        <v>5.67</v>
      </c>
      <c r="K263" s="13">
        <v>5.7649999999999997</v>
      </c>
      <c r="L263" s="13">
        <v>5.69</v>
      </c>
      <c r="M263" s="13">
        <v>5.59</v>
      </c>
      <c r="O263" s="13">
        <f t="shared" si="12"/>
        <v>0.10964286000000012</v>
      </c>
      <c r="P263" s="13">
        <f t="shared" si="12"/>
        <v>7.3809530000000123E-2</v>
      </c>
    </row>
    <row r="264" spans="1:16" x14ac:dyDescent="0.2">
      <c r="A264" s="48">
        <v>1996</v>
      </c>
      <c r="B264" s="13">
        <v>6.02</v>
      </c>
      <c r="C264" s="13">
        <v>6.22</v>
      </c>
      <c r="D264" s="13">
        <v>6.2649999999999997</v>
      </c>
      <c r="E264" s="13">
        <v>6.4</v>
      </c>
      <c r="F264" s="13">
        <v>6.41</v>
      </c>
      <c r="G264" s="13">
        <v>6.6624999999999996</v>
      </c>
      <c r="H264" s="13">
        <v>6.3375000000000004</v>
      </c>
      <c r="I264" s="13">
        <v>6.82</v>
      </c>
      <c r="J264" s="13">
        <v>6.88</v>
      </c>
      <c r="K264" s="13">
        <v>6.9749999999999996</v>
      </c>
      <c r="L264" s="13">
        <v>7.4175000000000004</v>
      </c>
      <c r="M264" s="13">
        <v>7.59</v>
      </c>
      <c r="O264" s="13">
        <f t="shared" si="12"/>
        <v>0.14071429000000002</v>
      </c>
      <c r="P264" s="13">
        <f t="shared" si="12"/>
        <v>0.2345000000000006</v>
      </c>
    </row>
    <row r="265" spans="1:16" x14ac:dyDescent="0.2">
      <c r="A265" s="48">
        <v>1997</v>
      </c>
      <c r="B265" s="13">
        <v>7.5049999999999999</v>
      </c>
      <c r="C265" s="13">
        <v>7.4325000000000001</v>
      </c>
      <c r="D265" s="13">
        <v>8.14</v>
      </c>
      <c r="E265" s="13">
        <v>8.02</v>
      </c>
      <c r="F265" s="13">
        <v>7.71</v>
      </c>
      <c r="G265" s="13">
        <v>8.24</v>
      </c>
      <c r="H265" s="13">
        <v>8.08</v>
      </c>
      <c r="I265" s="13">
        <v>8.2200000000000006</v>
      </c>
      <c r="J265" s="13">
        <v>7.68</v>
      </c>
      <c r="K265" s="13">
        <v>7.1849999999999996</v>
      </c>
      <c r="L265" s="13">
        <v>7.1624999999999996</v>
      </c>
      <c r="M265" s="13">
        <v>7.5049999999999999</v>
      </c>
      <c r="O265" s="13">
        <f t="shared" si="12"/>
        <v>0.24887499999999996</v>
      </c>
      <c r="P265" s="13">
        <f t="shared" si="12"/>
        <v>0.16416666999999929</v>
      </c>
    </row>
    <row r="266" spans="1:16" x14ac:dyDescent="0.2">
      <c r="A266" s="48">
        <v>1998</v>
      </c>
      <c r="B266" s="13">
        <v>7.15</v>
      </c>
      <c r="C266" s="13">
        <v>7.52</v>
      </c>
      <c r="D266" s="13">
        <v>7.16</v>
      </c>
      <c r="E266" s="13">
        <v>7.1849999999999996</v>
      </c>
      <c r="F266" s="13">
        <v>6.9950000000000001</v>
      </c>
      <c r="G266" s="13">
        <v>6.625</v>
      </c>
      <c r="H266" s="13">
        <v>6.79</v>
      </c>
      <c r="I266" s="13">
        <v>6.54</v>
      </c>
      <c r="J266" s="13">
        <v>7.33</v>
      </c>
      <c r="K266" s="13">
        <v>7.48</v>
      </c>
      <c r="L266" s="13">
        <v>7.2350000000000003</v>
      </c>
      <c r="M266" s="13">
        <v>6.83</v>
      </c>
      <c r="O266" s="13">
        <f t="shared" si="12"/>
        <v>0.2606579</v>
      </c>
      <c r="P266" s="13">
        <f t="shared" si="12"/>
        <v>0.30681819000000043</v>
      </c>
    </row>
    <row r="267" spans="1:16" x14ac:dyDescent="0.2">
      <c r="A267" s="48">
        <v>1999</v>
      </c>
      <c r="B267" s="13">
        <v>6.89</v>
      </c>
      <c r="C267" s="13">
        <v>6.66</v>
      </c>
      <c r="D267" s="13">
        <v>6.39</v>
      </c>
      <c r="E267" s="13">
        <v>6.45</v>
      </c>
      <c r="F267" s="13">
        <v>6.6050000000000004</v>
      </c>
      <c r="G267" s="13">
        <v>6.44</v>
      </c>
      <c r="H267" s="13">
        <v>5.69</v>
      </c>
      <c r="I267" s="13">
        <v>5.47</v>
      </c>
      <c r="J267" s="13">
        <v>5.8075000000000001</v>
      </c>
      <c r="K267" s="13">
        <v>5.94</v>
      </c>
      <c r="L267" s="13">
        <v>5.9249999999999998</v>
      </c>
      <c r="M267" s="13">
        <v>5.5650000000000004</v>
      </c>
      <c r="O267" s="13">
        <f t="shared" si="12"/>
        <v>0.17900000000000027</v>
      </c>
      <c r="P267" s="13">
        <f t="shared" si="12"/>
        <v>0.34897727999999972</v>
      </c>
    </row>
    <row r="268" spans="1:16" x14ac:dyDescent="0.2">
      <c r="A268" s="48">
        <v>2000</v>
      </c>
      <c r="B268" s="13">
        <v>5.46</v>
      </c>
      <c r="C268" s="13">
        <v>5.37</v>
      </c>
      <c r="D268" s="13">
        <v>5.32</v>
      </c>
      <c r="E268" s="13">
        <v>5.15</v>
      </c>
      <c r="F268" s="13">
        <v>4.9649999999999999</v>
      </c>
      <c r="G268" s="13">
        <v>4.93</v>
      </c>
      <c r="H268" s="13">
        <v>5.1150000000000002</v>
      </c>
      <c r="I268" s="13">
        <v>5.3</v>
      </c>
      <c r="J268" s="13">
        <v>5.1749999999999998</v>
      </c>
      <c r="K268" s="13">
        <v>4.8899999999999997</v>
      </c>
      <c r="L268" s="13">
        <v>4.82</v>
      </c>
      <c r="M268" s="13">
        <v>4.9000000000000004</v>
      </c>
      <c r="O268" s="13">
        <f t="shared" si="12"/>
        <v>0.17178571999999992</v>
      </c>
      <c r="P268" s="13">
        <f t="shared" si="12"/>
        <v>0.19476191000000043</v>
      </c>
    </row>
    <row r="269" spans="1:16" x14ac:dyDescent="0.2">
      <c r="A269" s="48">
        <v>2001</v>
      </c>
      <c r="B269" s="13">
        <v>5.5149999999999997</v>
      </c>
      <c r="C269" s="13">
        <v>5.77</v>
      </c>
      <c r="D269" s="13">
        <v>5.86</v>
      </c>
      <c r="E269" s="13">
        <v>6</v>
      </c>
      <c r="F269" s="13">
        <v>5.51</v>
      </c>
      <c r="G269" s="13">
        <v>4.9000000000000004</v>
      </c>
      <c r="H269" s="13">
        <v>5.1550000000000002</v>
      </c>
      <c r="I269" s="13">
        <v>5.25</v>
      </c>
      <c r="J269" s="13">
        <v>5.0374999999999996</v>
      </c>
      <c r="K269" s="13">
        <v>5.0949999999999998</v>
      </c>
      <c r="L269" s="13">
        <v>5.14</v>
      </c>
      <c r="M269" s="13">
        <v>5</v>
      </c>
      <c r="O269" s="13">
        <f t="shared" si="12"/>
        <v>0.22797619999999963</v>
      </c>
      <c r="P269" s="13">
        <f t="shared" si="12"/>
        <v>7.9250000000000043E-2</v>
      </c>
    </row>
    <row r="270" spans="1:16" x14ac:dyDescent="0.2">
      <c r="A270" s="48">
        <v>2002</v>
      </c>
      <c r="B270" s="13">
        <v>4.9424999999999999</v>
      </c>
      <c r="C270" s="13">
        <v>4.87</v>
      </c>
      <c r="D270" s="13">
        <v>4.5250000000000004</v>
      </c>
      <c r="E270" s="13">
        <v>4.49</v>
      </c>
      <c r="F270" s="13">
        <v>4.7300000000000004</v>
      </c>
      <c r="G270" s="13">
        <v>5.41</v>
      </c>
      <c r="H270" s="13">
        <v>5.2350000000000003</v>
      </c>
      <c r="I270" s="13">
        <v>4.9275000000000002</v>
      </c>
      <c r="J270" s="13">
        <v>4.6500000000000004</v>
      </c>
      <c r="K270" s="13">
        <v>4.5475000000000003</v>
      </c>
      <c r="L270" s="13">
        <v>4.4874999999999998</v>
      </c>
      <c r="M270" s="13">
        <v>4.5199999999999996</v>
      </c>
      <c r="O270" s="13">
        <f t="shared" si="12"/>
        <v>0.10749999999999993</v>
      </c>
      <c r="P270" s="13">
        <f t="shared" si="12"/>
        <v>0.12960526999999988</v>
      </c>
    </row>
    <row r="271" spans="1:16" x14ac:dyDescent="0.2">
      <c r="A271" s="48">
        <v>2003</v>
      </c>
      <c r="B271" s="13">
        <v>4.665</v>
      </c>
      <c r="C271" s="13">
        <v>4.88</v>
      </c>
      <c r="D271" s="13">
        <v>4.8550000000000004</v>
      </c>
      <c r="E271" s="13">
        <v>4.9050000000000002</v>
      </c>
      <c r="F271" s="13">
        <v>5.1100000000000003</v>
      </c>
      <c r="G271" s="13">
        <v>5.6275000000000004</v>
      </c>
      <c r="H271" s="13">
        <v>5.79</v>
      </c>
      <c r="I271" s="13">
        <v>5.9349999999999996</v>
      </c>
      <c r="J271" s="13">
        <v>5.6875</v>
      </c>
      <c r="K271" s="13">
        <v>5.8150000000000004</v>
      </c>
      <c r="L271" s="13">
        <v>5.875</v>
      </c>
      <c r="M271" s="13">
        <v>5.9249999999999998</v>
      </c>
      <c r="O271" s="13">
        <f t="shared" ref="O271:P286" si="13">K271-K213</f>
        <v>0.11562500000000053</v>
      </c>
      <c r="P271" s="13">
        <f t="shared" si="13"/>
        <v>0.2082499999999996</v>
      </c>
    </row>
    <row r="272" spans="1:16" x14ac:dyDescent="0.2">
      <c r="A272" s="48">
        <v>2004</v>
      </c>
      <c r="B272" s="13">
        <v>5.37</v>
      </c>
      <c r="C272" s="13">
        <v>5.2949999999999999</v>
      </c>
      <c r="D272" s="13">
        <v>5.5149999999999997</v>
      </c>
      <c r="E272" s="13">
        <v>5.86</v>
      </c>
      <c r="F272" s="13">
        <v>5.9050000000000002</v>
      </c>
      <c r="G272" s="13">
        <v>5.6325000000000003</v>
      </c>
      <c r="H272" s="13">
        <v>5.98</v>
      </c>
      <c r="I272" s="13">
        <v>6.9249999999999998</v>
      </c>
      <c r="J272" s="13">
        <v>8.07</v>
      </c>
      <c r="K272" s="13">
        <v>8.0850000000000009</v>
      </c>
      <c r="L272" s="13">
        <v>7.94</v>
      </c>
      <c r="M272" s="13">
        <v>8.42</v>
      </c>
      <c r="O272" s="13">
        <f t="shared" si="13"/>
        <v>0.44671053000000072</v>
      </c>
      <c r="P272" s="13">
        <f t="shared" si="13"/>
        <v>0.23295455000000054</v>
      </c>
    </row>
    <row r="273" spans="1:16" x14ac:dyDescent="0.2">
      <c r="A273" s="48">
        <v>2005</v>
      </c>
      <c r="B273" s="13">
        <v>7.39</v>
      </c>
      <c r="C273" s="13">
        <v>8</v>
      </c>
      <c r="D273" s="13">
        <v>7.99</v>
      </c>
      <c r="E273" s="13">
        <v>7.8525</v>
      </c>
      <c r="F273" s="13">
        <v>7.4349999999999996</v>
      </c>
      <c r="G273" s="13">
        <v>6.87</v>
      </c>
      <c r="H273" s="13">
        <v>6.3449999999999998</v>
      </c>
      <c r="I273" s="13">
        <v>6.56</v>
      </c>
      <c r="J273" s="13">
        <v>5.4850000000000003</v>
      </c>
      <c r="K273" s="13">
        <v>5.62</v>
      </c>
      <c r="L273" s="13">
        <v>5.66</v>
      </c>
      <c r="M273" s="13">
        <v>5.63</v>
      </c>
      <c r="O273" s="13">
        <f t="shared" si="13"/>
        <v>0.29142857999999983</v>
      </c>
      <c r="P273" s="13">
        <f t="shared" si="13"/>
        <v>0.25523810000000058</v>
      </c>
    </row>
    <row r="274" spans="1:16" x14ac:dyDescent="0.2">
      <c r="A274" s="48">
        <v>2006</v>
      </c>
      <c r="B274" s="13">
        <v>6.2</v>
      </c>
      <c r="C274" s="13">
        <v>6.51</v>
      </c>
      <c r="D274" s="13">
        <v>6.43</v>
      </c>
      <c r="E274" s="13">
        <v>6.88</v>
      </c>
      <c r="F274" s="13">
        <v>7.77</v>
      </c>
      <c r="G274" s="13">
        <v>7.51</v>
      </c>
      <c r="H274" s="13">
        <v>7.13</v>
      </c>
      <c r="I274" s="13">
        <v>6.2549999999999999</v>
      </c>
      <c r="J274" s="13">
        <v>6.11</v>
      </c>
      <c r="K274" s="13">
        <v>6.05</v>
      </c>
      <c r="L274" s="13">
        <v>6.1950000000000003</v>
      </c>
      <c r="M274" s="13">
        <v>6.22</v>
      </c>
      <c r="O274" s="13">
        <f t="shared" si="13"/>
        <v>0.26178571999999978</v>
      </c>
      <c r="P274" s="13">
        <f t="shared" si="13"/>
        <v>0.30166667000000036</v>
      </c>
    </row>
    <row r="275" spans="1:16" x14ac:dyDescent="0.2">
      <c r="A275" s="48">
        <v>2007</v>
      </c>
      <c r="B275" s="13">
        <v>6.4</v>
      </c>
      <c r="C275" s="13">
        <v>6.34</v>
      </c>
      <c r="D275" s="13">
        <v>6.35</v>
      </c>
      <c r="E275" s="13">
        <v>6.45</v>
      </c>
      <c r="F275" s="13">
        <v>6.44</v>
      </c>
      <c r="G275" s="13">
        <v>6.5075000000000003</v>
      </c>
      <c r="H275" s="13">
        <v>6.1950000000000003</v>
      </c>
      <c r="I275" s="13">
        <v>5.77</v>
      </c>
      <c r="J275" s="13">
        <v>6.57</v>
      </c>
      <c r="K275" s="13">
        <v>6.9574999999999996</v>
      </c>
      <c r="L275" s="13">
        <v>6.875</v>
      </c>
      <c r="M275" s="13">
        <v>7.0724999999999998</v>
      </c>
      <c r="O275" s="13">
        <f t="shared" si="13"/>
        <v>0.25630952999999934</v>
      </c>
      <c r="P275" s="13">
        <f t="shared" si="13"/>
        <v>0.25325000000000042</v>
      </c>
    </row>
    <row r="276" spans="1:16" x14ac:dyDescent="0.2">
      <c r="A276" s="48">
        <v>2008</v>
      </c>
      <c r="B276" s="13">
        <v>8.4600000000000009</v>
      </c>
      <c r="C276" s="13">
        <v>8.3000000000000007</v>
      </c>
      <c r="D276" s="13">
        <v>8.3550000000000004</v>
      </c>
      <c r="E276" s="13">
        <v>8.5350000000000001</v>
      </c>
      <c r="F276" s="13">
        <v>9.0574999999999992</v>
      </c>
      <c r="G276" s="13">
        <v>9.6349999999999998</v>
      </c>
      <c r="H276" s="13">
        <v>9.1</v>
      </c>
      <c r="I276" s="13">
        <v>10.3375</v>
      </c>
      <c r="J276" s="13">
        <v>10.335000000000001</v>
      </c>
      <c r="K276" s="13">
        <v>11.14</v>
      </c>
      <c r="L276" s="13">
        <v>12.3</v>
      </c>
      <c r="M276" s="13">
        <v>13.2</v>
      </c>
      <c r="O276" s="13">
        <f t="shared" si="13"/>
        <v>0.48559524000000032</v>
      </c>
      <c r="P276" s="13">
        <f t="shared" si="13"/>
        <v>0.78562500000000135</v>
      </c>
    </row>
    <row r="277" spans="1:16" x14ac:dyDescent="0.2">
      <c r="A277" s="48">
        <v>2009</v>
      </c>
      <c r="B277" s="13">
        <v>14.47</v>
      </c>
      <c r="C277" s="13">
        <v>14.8</v>
      </c>
      <c r="D277" s="13">
        <v>13.2925</v>
      </c>
      <c r="E277" s="13">
        <v>13.88</v>
      </c>
      <c r="F277" s="13">
        <v>15.935</v>
      </c>
      <c r="G277" s="13">
        <v>16.489999999999998</v>
      </c>
      <c r="H277" s="13">
        <v>14.2675</v>
      </c>
      <c r="I277" s="13">
        <v>13.307499999999999</v>
      </c>
      <c r="J277" s="13">
        <v>10.827500000000001</v>
      </c>
      <c r="K277" s="13">
        <v>9.8175000000000008</v>
      </c>
      <c r="L277" s="13">
        <v>9.7624999999999993</v>
      </c>
      <c r="M277" s="13">
        <v>10.465</v>
      </c>
      <c r="O277" s="13">
        <f t="shared" si="13"/>
        <v>0.81013158000000018</v>
      </c>
      <c r="P277" s="13">
        <f t="shared" si="13"/>
        <v>1.0857954599999999</v>
      </c>
    </row>
    <row r="278" spans="1:16" x14ac:dyDescent="0.2">
      <c r="A278" s="48">
        <v>2010</v>
      </c>
      <c r="B278" s="13">
        <v>9.68</v>
      </c>
      <c r="C278" s="13">
        <v>9.2324999999999999</v>
      </c>
      <c r="D278" s="13">
        <v>9.59</v>
      </c>
      <c r="E278" s="13">
        <v>10.6625</v>
      </c>
      <c r="F278" s="13">
        <v>11.05</v>
      </c>
      <c r="G278" s="13">
        <v>10.315</v>
      </c>
      <c r="H278" s="13">
        <v>10.68</v>
      </c>
      <c r="I278" s="13">
        <v>9.9</v>
      </c>
      <c r="J278" s="13">
        <v>10.2925</v>
      </c>
      <c r="K278" s="13">
        <v>10.692500000000001</v>
      </c>
      <c r="L278" s="13">
        <v>10.785</v>
      </c>
      <c r="M278" s="13">
        <v>10.654999999999999</v>
      </c>
      <c r="O278" s="13">
        <f t="shared" si="13"/>
        <v>0.57699999999999996</v>
      </c>
      <c r="P278" s="13">
        <f t="shared" si="13"/>
        <v>0.46215910000000093</v>
      </c>
    </row>
    <row r="279" spans="1:16" x14ac:dyDescent="0.2">
      <c r="A279" s="48">
        <v>2011</v>
      </c>
      <c r="B279" s="13">
        <v>9.5449999999999999</v>
      </c>
      <c r="C279" s="13">
        <v>9.57</v>
      </c>
      <c r="D279" s="13">
        <v>9.9275000000000002</v>
      </c>
      <c r="E279" s="13">
        <v>9.8774999999999995</v>
      </c>
      <c r="F279" s="13">
        <v>9.56</v>
      </c>
      <c r="G279" s="13">
        <v>10.130000000000001</v>
      </c>
      <c r="H279" s="13">
        <v>10.54</v>
      </c>
      <c r="I279" s="13">
        <v>11.532500000000001</v>
      </c>
      <c r="J279" s="13">
        <v>12.487500000000001</v>
      </c>
      <c r="K279" s="13">
        <v>13.484999999999999</v>
      </c>
      <c r="L279" s="13">
        <v>13.945</v>
      </c>
      <c r="M279" s="13">
        <v>14.26</v>
      </c>
      <c r="O279" s="13">
        <f t="shared" si="13"/>
        <v>0.92154762000000012</v>
      </c>
      <c r="P279" s="13">
        <f t="shared" si="13"/>
        <v>0.77931818999999969</v>
      </c>
    </row>
    <row r="280" spans="1:16" x14ac:dyDescent="0.2">
      <c r="A280" s="48">
        <v>2012</v>
      </c>
      <c r="B280" s="13">
        <v>14.02</v>
      </c>
      <c r="C280" s="13">
        <v>14.1075</v>
      </c>
      <c r="D280" s="13">
        <v>14.154999999999999</v>
      </c>
      <c r="E280" s="13">
        <v>13.904999999999999</v>
      </c>
      <c r="F280" s="13">
        <v>14.1225</v>
      </c>
      <c r="G280" s="13">
        <v>14.18</v>
      </c>
      <c r="H280" s="13">
        <v>14.7425</v>
      </c>
      <c r="I280" s="13">
        <v>14.664999999999999</v>
      </c>
      <c r="J280" s="13">
        <v>12.8375</v>
      </c>
      <c r="K280" s="13">
        <v>12.315</v>
      </c>
      <c r="L280" s="13">
        <v>12.09</v>
      </c>
      <c r="M280" s="13">
        <v>12.35</v>
      </c>
      <c r="O280" s="13">
        <f t="shared" si="13"/>
        <v>0.60130952999999998</v>
      </c>
      <c r="P280" s="13">
        <f t="shared" si="13"/>
        <v>0.65821429000000009</v>
      </c>
    </row>
    <row r="281" spans="1:16" x14ac:dyDescent="0.2">
      <c r="A281" s="48">
        <v>2013</v>
      </c>
      <c r="B281" s="13">
        <v>12.96</v>
      </c>
      <c r="C281" s="13">
        <v>13.672499999999999</v>
      </c>
      <c r="D281" s="13">
        <v>13.922499999999999</v>
      </c>
      <c r="E281" s="13">
        <v>13.87</v>
      </c>
      <c r="F281" s="13">
        <v>14.3725</v>
      </c>
      <c r="G281" s="13">
        <v>16.73</v>
      </c>
      <c r="H281" s="13">
        <v>17.6325</v>
      </c>
      <c r="I281" s="13">
        <v>17.815000000000001</v>
      </c>
      <c r="J281" s="13">
        <v>16.0075</v>
      </c>
      <c r="K281" s="13">
        <v>15.715</v>
      </c>
      <c r="L281" s="13">
        <v>15.0875</v>
      </c>
      <c r="M281" s="13">
        <v>14.6425</v>
      </c>
      <c r="O281" s="13">
        <f t="shared" si="13"/>
        <v>1.230119049999999</v>
      </c>
      <c r="P281" s="13">
        <f t="shared" si="13"/>
        <v>0.53287500000000065</v>
      </c>
    </row>
    <row r="282" spans="1:16" x14ac:dyDescent="0.2">
      <c r="A282" s="48">
        <v>2014</v>
      </c>
      <c r="B282" s="13">
        <v>13.535</v>
      </c>
      <c r="C282" s="13">
        <v>12.852499999999999</v>
      </c>
      <c r="D282" s="13">
        <v>12.66</v>
      </c>
      <c r="E282" s="13">
        <v>13.195</v>
      </c>
      <c r="F282" s="13">
        <v>13.37</v>
      </c>
      <c r="G282" s="13">
        <v>13.02</v>
      </c>
      <c r="H282" s="13">
        <v>14.06</v>
      </c>
      <c r="I282" s="13">
        <v>14.035</v>
      </c>
      <c r="J282" s="13">
        <v>13.1275</v>
      </c>
      <c r="K282" s="13">
        <v>13.41</v>
      </c>
      <c r="L282" s="13">
        <v>13.535</v>
      </c>
      <c r="M282" s="13">
        <v>13.39</v>
      </c>
      <c r="O282" s="13">
        <f t="shared" si="13"/>
        <v>0.47812500000000036</v>
      </c>
      <c r="P282" s="13">
        <f t="shared" si="13"/>
        <v>0.23559524000000032</v>
      </c>
    </row>
    <row r="283" spans="1:16" x14ac:dyDescent="0.2">
      <c r="A283" s="48">
        <v>2015</v>
      </c>
      <c r="B283" s="13">
        <v>11.85</v>
      </c>
      <c r="C283" s="13">
        <v>12.015000000000001</v>
      </c>
      <c r="D283" s="13">
        <v>12.5425</v>
      </c>
      <c r="E283" s="13">
        <v>12.84</v>
      </c>
      <c r="F283" s="13">
        <v>12.52</v>
      </c>
      <c r="G283" s="13">
        <v>11.65</v>
      </c>
      <c r="H283" s="13">
        <v>10.9725</v>
      </c>
      <c r="I283" s="13">
        <v>10.455</v>
      </c>
      <c r="J283" s="13">
        <v>10.592499999999999</v>
      </c>
      <c r="K283" s="13">
        <v>10.862500000000001</v>
      </c>
      <c r="L283" s="13">
        <v>10.6175</v>
      </c>
      <c r="M283" s="13">
        <v>10.5875</v>
      </c>
      <c r="O283" s="13">
        <f t="shared" si="13"/>
        <v>0.5422368500000001</v>
      </c>
      <c r="P283" s="13">
        <f t="shared" si="13"/>
        <v>0.30874999999999986</v>
      </c>
    </row>
    <row r="284" spans="1:16" x14ac:dyDescent="0.2">
      <c r="A284" s="48">
        <v>2016</v>
      </c>
      <c r="B284" s="13">
        <v>10.08</v>
      </c>
      <c r="C284" s="13">
        <v>10.0875</v>
      </c>
      <c r="D284" s="13">
        <v>9.8350000000000009</v>
      </c>
      <c r="E284" s="13">
        <v>9.6775000000000002</v>
      </c>
      <c r="F284" s="13">
        <v>10.43</v>
      </c>
      <c r="G284" s="13">
        <v>10.5025</v>
      </c>
      <c r="H284" s="13">
        <v>10.012499999999999</v>
      </c>
      <c r="I284" s="13">
        <v>9.0500000000000007</v>
      </c>
      <c r="J284" s="13">
        <v>9.2349999999999994</v>
      </c>
      <c r="K284" s="13">
        <v>8.91</v>
      </c>
      <c r="L284" s="13">
        <v>9.0975000000000001</v>
      </c>
      <c r="M284" s="13">
        <v>9.0050000000000008</v>
      </c>
      <c r="O284" s="13">
        <f t="shared" si="13"/>
        <v>0.24512499999999982</v>
      </c>
      <c r="P284" s="13">
        <f t="shared" si="13"/>
        <v>0.29829546000000029</v>
      </c>
    </row>
    <row r="285" spans="1:16" x14ac:dyDescent="0.2">
      <c r="A285" s="48">
        <v>2017</v>
      </c>
      <c r="B285" s="13">
        <v>9.0150000000000006</v>
      </c>
      <c r="C285" s="13">
        <v>9.33</v>
      </c>
      <c r="D285" s="13">
        <v>10.237500000000001</v>
      </c>
      <c r="E285" s="13">
        <v>10.782500000000001</v>
      </c>
      <c r="F285" s="13">
        <v>11.82</v>
      </c>
      <c r="G285" s="13">
        <v>11.5175</v>
      </c>
      <c r="H285" s="13">
        <v>10.205</v>
      </c>
      <c r="I285" s="13">
        <v>9.99</v>
      </c>
      <c r="J285" s="13">
        <v>10.31</v>
      </c>
      <c r="K285" s="13">
        <v>10.65</v>
      </c>
      <c r="L285" s="13">
        <v>10.6175</v>
      </c>
      <c r="M285" s="13">
        <v>10.43</v>
      </c>
      <c r="O285" s="13">
        <f t="shared" si="13"/>
        <v>0.5791666700000011</v>
      </c>
      <c r="P285" s="13">
        <f t="shared" si="13"/>
        <v>0.40380953000000019</v>
      </c>
    </row>
    <row r="286" spans="1:16" x14ac:dyDescent="0.2">
      <c r="A286" s="48">
        <v>2018</v>
      </c>
      <c r="B286" s="13">
        <v>10.385</v>
      </c>
      <c r="C286" s="13">
        <v>10.36</v>
      </c>
      <c r="D286" s="13">
        <v>9.75</v>
      </c>
      <c r="E286" s="13">
        <v>9.8699999999999992</v>
      </c>
      <c r="F286" s="13">
        <v>9.6524999999999999</v>
      </c>
      <c r="G286" s="13">
        <v>10.5425</v>
      </c>
      <c r="H286" s="13">
        <v>10.092499999999999</v>
      </c>
      <c r="I286" s="13">
        <v>9.9700000000000006</v>
      </c>
      <c r="J286" s="13">
        <v>10.130000000000001</v>
      </c>
      <c r="K286" s="13">
        <v>10.0825</v>
      </c>
      <c r="L286" s="13">
        <v>10.15</v>
      </c>
      <c r="M286" s="13">
        <v>10.234999999999999</v>
      </c>
      <c r="O286" s="13">
        <f t="shared" si="13"/>
        <v>0.1990476190476187</v>
      </c>
      <c r="P286" s="13">
        <f t="shared" si="13"/>
        <v>0.42987499999999912</v>
      </c>
    </row>
    <row r="287" spans="1:16" x14ac:dyDescent="0.2">
      <c r="A287" s="48">
        <v>2019</v>
      </c>
      <c r="B287" s="13">
        <v>10.4</v>
      </c>
      <c r="C287" s="13">
        <v>10.5175</v>
      </c>
      <c r="D287" s="13">
        <v>10.62</v>
      </c>
      <c r="E287" s="13">
        <v>10.6325</v>
      </c>
      <c r="F287" s="13">
        <v>10.4725</v>
      </c>
      <c r="G287" s="13">
        <v>9.3275000000000006</v>
      </c>
      <c r="H287" s="13">
        <v>9.2624999999999993</v>
      </c>
      <c r="I287" s="13">
        <v>8.73</v>
      </c>
      <c r="J287" s="13">
        <v>9.0625</v>
      </c>
      <c r="K287" s="13">
        <v>9.0075000000000003</v>
      </c>
      <c r="L287" s="13">
        <v>9.2799999999999994</v>
      </c>
      <c r="M287" s="13">
        <v>9.75</v>
      </c>
      <c r="O287" s="13">
        <f t="shared" ref="O287:P291" si="14">K287-K229</f>
        <v>0.1789285714285711</v>
      </c>
      <c r="P287" s="13">
        <f t="shared" si="14"/>
        <v>0.28575000000000017</v>
      </c>
    </row>
    <row r="288" spans="1:16" x14ac:dyDescent="0.2">
      <c r="A288" s="48">
        <v>2020</v>
      </c>
      <c r="B288" s="13">
        <v>9.7825000000000006</v>
      </c>
      <c r="C288" s="13">
        <v>9.6649999999999991</v>
      </c>
      <c r="D288" s="13">
        <v>9.4949999999999992</v>
      </c>
      <c r="E288" s="13">
        <v>9.2974999999999994</v>
      </c>
      <c r="F288" s="13">
        <v>9.59</v>
      </c>
      <c r="G288" s="13">
        <v>9.4774999999999991</v>
      </c>
      <c r="H288" s="13">
        <v>9.1</v>
      </c>
      <c r="I288" s="13">
        <v>9.2050000000000001</v>
      </c>
      <c r="J288" s="13">
        <v>9.5950000000000006</v>
      </c>
      <c r="K288" s="13">
        <v>9.4224999999999994</v>
      </c>
      <c r="L288" s="13">
        <v>9.4350000000000005</v>
      </c>
      <c r="M288" s="13">
        <v>9.8524999999999991</v>
      </c>
      <c r="O288" s="13">
        <f t="shared" si="14"/>
        <v>0.29824999999999946</v>
      </c>
      <c r="P288" s="13">
        <f t="shared" si="14"/>
        <v>0.31916666666666593</v>
      </c>
    </row>
    <row r="289" spans="1:16" x14ac:dyDescent="0.2">
      <c r="A289" s="48">
        <v>2021</v>
      </c>
      <c r="B289" s="13">
        <v>9.3249999999999993</v>
      </c>
      <c r="C289" s="13">
        <v>9.2624999999999993</v>
      </c>
      <c r="D289" s="13">
        <v>8.8450000000000006</v>
      </c>
      <c r="E289" s="13">
        <v>8.66</v>
      </c>
      <c r="F289" s="13">
        <v>8.8975000000000009</v>
      </c>
      <c r="G289" s="13">
        <v>9.1624999999999996</v>
      </c>
      <c r="H289" s="13">
        <v>9.7225000000000001</v>
      </c>
      <c r="I289" s="13">
        <v>10.5025</v>
      </c>
      <c r="J289" s="13">
        <v>10.885</v>
      </c>
      <c r="K289" s="13">
        <v>12</v>
      </c>
      <c r="L289" s="13">
        <v>13.0825</v>
      </c>
      <c r="M289" s="13">
        <v>11.97</v>
      </c>
      <c r="O289" s="13">
        <f t="shared" si="14"/>
        <v>0.55250000000000021</v>
      </c>
      <c r="P289" s="13">
        <f t="shared" si="14"/>
        <v>1.0595238095238084</v>
      </c>
    </row>
    <row r="290" spans="1:16" x14ac:dyDescent="0.2">
      <c r="A290" s="48">
        <v>2022</v>
      </c>
      <c r="B290" s="52">
        <v>12.435</v>
      </c>
      <c r="C290" s="52">
        <v>12.595000000000001</v>
      </c>
      <c r="D290" s="52">
        <v>13.815</v>
      </c>
      <c r="I290" s="50">
        <v>12.794123308937344</v>
      </c>
      <c r="J290" s="50">
        <v>12.922865425478262</v>
      </c>
      <c r="K290" s="35">
        <v>12.733126191142858</v>
      </c>
      <c r="L290" s="35">
        <v>13.394625001238094</v>
      </c>
      <c r="O290" s="13">
        <f t="shared" si="14"/>
        <v>0.36157857209523847</v>
      </c>
      <c r="P290" s="13">
        <f t="shared" si="14"/>
        <v>0.49962500123809406</v>
      </c>
    </row>
    <row r="291" spans="1:16" x14ac:dyDescent="0.2">
      <c r="A291" s="48">
        <v>2023</v>
      </c>
      <c r="B291" s="52"/>
      <c r="C291" s="52"/>
      <c r="D291" s="52"/>
      <c r="I291" s="50">
        <v>14.786114636724813</v>
      </c>
      <c r="J291" s="50">
        <v>14.592986128573914</v>
      </c>
      <c r="K291" s="35">
        <v>14.738180000133335</v>
      </c>
      <c r="L291" s="35">
        <v>15.262954762152381</v>
      </c>
      <c r="O291" s="13">
        <f t="shared" si="14"/>
        <v>0.31806095251428701</v>
      </c>
      <c r="P291" s="13">
        <f t="shared" si="14"/>
        <v>0.51878809548571425</v>
      </c>
    </row>
    <row r="292" spans="1:16" x14ac:dyDescent="0.2">
      <c r="A292" s="48">
        <v>2024</v>
      </c>
      <c r="K292" s="35">
        <f t="shared" ref="K292:L294" si="15">(SUM(K287:K291)-SUM(K229:K233))/5+K234</f>
        <v>13.790554095398095</v>
      </c>
      <c r="L292" s="35">
        <f t="shared" si="15"/>
        <v>13.645820714582856</v>
      </c>
    </row>
    <row r="293" spans="1:16" x14ac:dyDescent="0.2">
      <c r="A293" s="48">
        <v>2025</v>
      </c>
      <c r="K293" s="35">
        <f t="shared" si="15"/>
        <v>10.325200628763429</v>
      </c>
      <c r="L293" s="35">
        <f t="shared" si="15"/>
        <v>10.421734857499432</v>
      </c>
    </row>
    <row r="294" spans="1:16" x14ac:dyDescent="0.2">
      <c r="A294" s="48"/>
      <c r="K294" s="35">
        <f t="shared" si="15"/>
        <v>11.389690754516113</v>
      </c>
      <c r="L294" s="35">
        <f t="shared" si="15"/>
        <v>12.390248495665983</v>
      </c>
    </row>
    <row r="295" spans="1:16" ht="15.75" x14ac:dyDescent="0.25">
      <c r="A295" s="51" t="s">
        <v>160</v>
      </c>
    </row>
    <row r="296" spans="1:16" ht="13.5" x14ac:dyDescent="0.25">
      <c r="A296" s="42" t="s">
        <v>155</v>
      </c>
      <c r="B296" t="s">
        <v>92</v>
      </c>
      <c r="C296" t="s">
        <v>93</v>
      </c>
      <c r="D296" t="s">
        <v>94</v>
      </c>
      <c r="E296" t="s">
        <v>83</v>
      </c>
      <c r="F296" t="s">
        <v>84</v>
      </c>
      <c r="G296" t="s">
        <v>85</v>
      </c>
      <c r="H296" t="s">
        <v>86</v>
      </c>
      <c r="I296" t="s">
        <v>87</v>
      </c>
      <c r="J296" t="s">
        <v>88</v>
      </c>
      <c r="K296" t="s">
        <v>89</v>
      </c>
      <c r="L296" t="s">
        <v>90</v>
      </c>
      <c r="M296" t="s">
        <v>91</v>
      </c>
      <c r="O296" t="str">
        <f>_xlfn.CONCAT(K296," ","Error")</f>
        <v>Nov Error</v>
      </c>
      <c r="P296" t="str">
        <f>_xlfn.CONCAT(L296," ","Error")</f>
        <v>Dec Error</v>
      </c>
    </row>
    <row r="297" spans="1:16" x14ac:dyDescent="0.2">
      <c r="A297" s="48">
        <v>1971</v>
      </c>
      <c r="B297" s="13">
        <v>2.5175000000000001</v>
      </c>
      <c r="C297" s="13">
        <v>2.56</v>
      </c>
      <c r="D297" s="13">
        <v>2.5724999999999998</v>
      </c>
      <c r="E297" s="13">
        <v>2.6025</v>
      </c>
      <c r="F297" s="13">
        <v>2.6225000000000001</v>
      </c>
      <c r="G297" s="13">
        <v>2.87</v>
      </c>
      <c r="H297" s="13">
        <v>2.8125</v>
      </c>
      <c r="I297" s="13">
        <v>2.8</v>
      </c>
      <c r="J297" s="13">
        <v>2.9024999999999999</v>
      </c>
      <c r="K297" s="13">
        <v>2.97</v>
      </c>
      <c r="L297" s="13">
        <v>2.895</v>
      </c>
      <c r="M297" s="13">
        <v>2.9224999999999999</v>
      </c>
      <c r="O297" s="13">
        <f t="shared" ref="O297:P312" si="16">K181-K297</f>
        <v>8.9078939999999829E-2</v>
      </c>
      <c r="P297" s="13">
        <f t="shared" si="16"/>
        <v>6.0227269999999944E-2</v>
      </c>
    </row>
    <row r="298" spans="1:16" x14ac:dyDescent="0.2">
      <c r="A298" s="48">
        <v>1972</v>
      </c>
      <c r="B298" s="13">
        <v>2.8774999999999999</v>
      </c>
      <c r="C298" s="13">
        <v>2.8624999999999998</v>
      </c>
      <c r="D298" s="13">
        <v>2.85</v>
      </c>
      <c r="E298" s="13">
        <v>2.87</v>
      </c>
      <c r="F298" s="13">
        <v>3.04</v>
      </c>
      <c r="G298" s="13">
        <v>3.2349999999999999</v>
      </c>
      <c r="H298" s="13">
        <v>3.1625000000000001</v>
      </c>
      <c r="I298" s="13">
        <v>3.0825</v>
      </c>
      <c r="J298" s="13">
        <v>3.1</v>
      </c>
      <c r="K298" s="13">
        <v>3.0249999999999999</v>
      </c>
      <c r="L298" s="13">
        <v>3.0950000000000002</v>
      </c>
      <c r="M298" s="13">
        <v>3.0125000000000002</v>
      </c>
      <c r="O298" s="13">
        <f t="shared" si="16"/>
        <v>0.11261904000000023</v>
      </c>
      <c r="P298" s="13">
        <f t="shared" si="16"/>
        <v>3.8333329999999943E-2</v>
      </c>
    </row>
    <row r="299" spans="1:16" x14ac:dyDescent="0.2">
      <c r="A299" s="48">
        <v>1973</v>
      </c>
      <c r="B299" s="13">
        <v>3.0024999999999999</v>
      </c>
      <c r="C299" s="13">
        <v>3.1</v>
      </c>
      <c r="D299" s="13">
        <v>3.1749999999999998</v>
      </c>
      <c r="E299" s="13">
        <v>3.1749999999999998</v>
      </c>
      <c r="F299" s="13">
        <v>3.1974999999999998</v>
      </c>
      <c r="G299" s="13">
        <v>3.2025000000000001</v>
      </c>
      <c r="H299" s="13">
        <v>3.2075</v>
      </c>
      <c r="I299" s="13">
        <v>3.3650000000000002</v>
      </c>
      <c r="J299" s="13">
        <v>3.3525</v>
      </c>
      <c r="K299" s="13">
        <v>3.5049999999999999</v>
      </c>
      <c r="L299" s="13">
        <v>3.83</v>
      </c>
      <c r="M299" s="13">
        <v>4.2</v>
      </c>
      <c r="O299" s="13">
        <f t="shared" si="16"/>
        <v>0.17775000000000007</v>
      </c>
      <c r="P299" s="13">
        <f t="shared" si="16"/>
        <v>0.34394735999999959</v>
      </c>
    </row>
    <row r="300" spans="1:16" x14ac:dyDescent="0.2">
      <c r="A300" s="48">
        <v>1974</v>
      </c>
      <c r="B300" s="13">
        <v>3.5425</v>
      </c>
      <c r="C300" s="13">
        <v>3.7275</v>
      </c>
      <c r="D300" s="13">
        <v>4.0075000000000003</v>
      </c>
      <c r="E300" s="13">
        <v>4.4450000000000003</v>
      </c>
      <c r="F300" s="13">
        <v>5.53</v>
      </c>
      <c r="G300" s="13">
        <v>5.46</v>
      </c>
      <c r="H300" s="13">
        <v>6.72</v>
      </c>
      <c r="I300" s="13">
        <v>6.02</v>
      </c>
      <c r="J300" s="13">
        <v>5.17</v>
      </c>
      <c r="K300" s="13">
        <v>5.1550000000000002</v>
      </c>
      <c r="L300" s="13">
        <v>5.7549999999999999</v>
      </c>
      <c r="M300" s="13">
        <v>5.7</v>
      </c>
      <c r="O300" s="13">
        <f t="shared" si="16"/>
        <v>0.52261903999999948</v>
      </c>
      <c r="P300" s="13">
        <f t="shared" si="16"/>
        <v>0.25315788999999977</v>
      </c>
    </row>
    <row r="301" spans="1:16" x14ac:dyDescent="0.2">
      <c r="A301" s="48">
        <v>1975</v>
      </c>
      <c r="B301" s="13">
        <v>6.1749999999999998</v>
      </c>
      <c r="C301" s="13">
        <v>5.71</v>
      </c>
      <c r="D301" s="13">
        <v>5.09</v>
      </c>
      <c r="E301" s="13">
        <v>5.1100000000000003</v>
      </c>
      <c r="F301" s="13">
        <v>5.21</v>
      </c>
      <c r="G301" s="13">
        <v>5.8</v>
      </c>
      <c r="H301" s="13">
        <v>7.19</v>
      </c>
      <c r="I301" s="13">
        <v>6.99</v>
      </c>
      <c r="J301" s="13">
        <v>7.77</v>
      </c>
      <c r="K301" s="13">
        <v>7.15</v>
      </c>
      <c r="L301" s="13">
        <v>6.76</v>
      </c>
      <c r="M301" s="13">
        <v>5.79</v>
      </c>
      <c r="O301" s="13">
        <f t="shared" si="16"/>
        <v>0.76947367999999994</v>
      </c>
      <c r="P301" s="13">
        <f t="shared" si="16"/>
        <v>0.60892856999999978</v>
      </c>
    </row>
    <row r="302" spans="1:16" x14ac:dyDescent="0.2">
      <c r="A302" s="48">
        <v>1976</v>
      </c>
      <c r="B302" s="13">
        <v>5.18</v>
      </c>
      <c r="C302" s="13">
        <v>5.03</v>
      </c>
      <c r="D302" s="13">
        <v>5.18</v>
      </c>
      <c r="E302" s="13">
        <v>4.8849999999999998</v>
      </c>
      <c r="F302" s="13">
        <v>4.8099999999999996</v>
      </c>
      <c r="G302" s="13">
        <v>4.9550000000000001</v>
      </c>
      <c r="H302" s="13">
        <v>5.75</v>
      </c>
      <c r="I302" s="13">
        <v>5.54</v>
      </c>
      <c r="J302" s="13">
        <v>4.87</v>
      </c>
      <c r="K302" s="13">
        <v>4.5650000000000004</v>
      </c>
      <c r="L302" s="13">
        <v>4.3949999999999996</v>
      </c>
      <c r="M302" s="13">
        <v>4.46</v>
      </c>
      <c r="O302" s="13">
        <f t="shared" si="16"/>
        <v>0.29565788999999931</v>
      </c>
      <c r="P302" s="13">
        <f t="shared" si="16"/>
        <v>0.24035714000000041</v>
      </c>
    </row>
    <row r="303" spans="1:16" x14ac:dyDescent="0.2">
      <c r="A303" s="48">
        <v>1977</v>
      </c>
      <c r="B303" s="13">
        <v>5.04</v>
      </c>
      <c r="C303" s="13">
        <v>4.9775</v>
      </c>
      <c r="D303" s="13">
        <v>4.9675000000000002</v>
      </c>
      <c r="E303" s="13">
        <v>5.125</v>
      </c>
      <c r="F303" s="13">
        <v>5.915</v>
      </c>
      <c r="G303" s="13">
        <v>6.27</v>
      </c>
      <c r="H303" s="13">
        <v>5.97</v>
      </c>
      <c r="I303" s="13">
        <v>6.2125000000000004</v>
      </c>
      <c r="J303" s="13">
        <v>6.12</v>
      </c>
      <c r="K303" s="13">
        <v>6.27</v>
      </c>
      <c r="L303" s="13">
        <v>6.73</v>
      </c>
      <c r="M303" s="13">
        <v>6.92</v>
      </c>
      <c r="O303" s="13">
        <f t="shared" si="16"/>
        <v>0.41312500000000085</v>
      </c>
      <c r="P303" s="13">
        <f t="shared" si="16"/>
        <v>0.19785713999999999</v>
      </c>
    </row>
    <row r="304" spans="1:16" x14ac:dyDescent="0.2">
      <c r="A304" s="48">
        <v>1978</v>
      </c>
      <c r="B304" s="13">
        <v>6.85</v>
      </c>
      <c r="C304" s="13">
        <v>6.9924999999999997</v>
      </c>
      <c r="D304" s="13">
        <v>6.88</v>
      </c>
      <c r="E304" s="13">
        <v>7.03</v>
      </c>
      <c r="F304" s="13">
        <v>6.58</v>
      </c>
      <c r="G304" s="13">
        <v>5.64</v>
      </c>
      <c r="H304" s="13">
        <v>5.0449999999999999</v>
      </c>
      <c r="I304" s="13">
        <v>5.08</v>
      </c>
      <c r="J304" s="13">
        <v>5.16</v>
      </c>
      <c r="K304" s="13">
        <v>5.5650000000000004</v>
      </c>
      <c r="L304" s="13">
        <v>5.77</v>
      </c>
      <c r="M304" s="13">
        <v>5.5025000000000004</v>
      </c>
      <c r="O304" s="13">
        <f t="shared" si="16"/>
        <v>0.41630951999999954</v>
      </c>
      <c r="P304" s="13">
        <f t="shared" si="16"/>
        <v>0.18833333000000074</v>
      </c>
    </row>
    <row r="305" spans="1:16" x14ac:dyDescent="0.2">
      <c r="A305" s="48">
        <v>1979</v>
      </c>
      <c r="B305" s="13">
        <v>5.7050000000000001</v>
      </c>
      <c r="C305" s="13">
        <v>5.92</v>
      </c>
      <c r="D305" s="13">
        <v>5.97</v>
      </c>
      <c r="E305" s="13">
        <v>6.05</v>
      </c>
      <c r="F305" s="13">
        <v>6.1</v>
      </c>
      <c r="G305" s="13">
        <v>5.9450000000000003</v>
      </c>
      <c r="H305" s="13">
        <v>5.9249999999999998</v>
      </c>
      <c r="I305" s="13">
        <v>6.35</v>
      </c>
      <c r="J305" s="13">
        <v>6.61</v>
      </c>
      <c r="K305" s="13">
        <v>6.49</v>
      </c>
      <c r="L305" s="13">
        <v>6.6050000000000004</v>
      </c>
      <c r="M305" s="13">
        <v>6.6349999999999998</v>
      </c>
      <c r="O305" s="13">
        <f t="shared" si="16"/>
        <v>0.30874999999999986</v>
      </c>
      <c r="P305" s="13">
        <f t="shared" si="16"/>
        <v>0.23324999999999996</v>
      </c>
    </row>
    <row r="306" spans="1:16" x14ac:dyDescent="0.2">
      <c r="A306" s="48">
        <v>1980</v>
      </c>
      <c r="B306" s="13">
        <v>6.8849999999999998</v>
      </c>
      <c r="C306" s="13">
        <v>7.04</v>
      </c>
      <c r="D306" s="13">
        <v>7.0049999999999999</v>
      </c>
      <c r="E306" s="13">
        <v>7.1349999999999998</v>
      </c>
      <c r="F306" s="13">
        <v>7.2949999999999999</v>
      </c>
      <c r="G306" s="13">
        <v>7.1349999999999998</v>
      </c>
      <c r="H306" s="13">
        <v>6.98</v>
      </c>
      <c r="I306" s="13">
        <v>7.05</v>
      </c>
      <c r="J306" s="13">
        <v>6.5</v>
      </c>
      <c r="K306" s="13">
        <v>6.585</v>
      </c>
      <c r="L306" s="13">
        <v>6.41</v>
      </c>
      <c r="M306" s="13">
        <v>6.04</v>
      </c>
      <c r="O306" s="13">
        <f t="shared" si="16"/>
        <v>0.1884523800000002</v>
      </c>
      <c r="P306" s="13">
        <f t="shared" si="16"/>
        <v>0.22605262999999987</v>
      </c>
    </row>
    <row r="307" spans="1:16" x14ac:dyDescent="0.2">
      <c r="A307" s="48">
        <v>1981</v>
      </c>
      <c r="B307" s="13">
        <v>7.27</v>
      </c>
      <c r="C307" s="13">
        <v>6.64</v>
      </c>
      <c r="D307" s="13">
        <v>6.49</v>
      </c>
      <c r="E307" s="13">
        <v>6.5824999999999996</v>
      </c>
      <c r="F307" s="13">
        <v>6.53</v>
      </c>
      <c r="G307" s="13">
        <v>7.1524999999999999</v>
      </c>
      <c r="H307" s="13">
        <v>7.6275000000000004</v>
      </c>
      <c r="I307" s="13">
        <v>8.06</v>
      </c>
      <c r="J307" s="13">
        <v>8.09</v>
      </c>
      <c r="K307" s="13">
        <v>8.85</v>
      </c>
      <c r="L307" s="13">
        <v>7.02</v>
      </c>
      <c r="M307" s="13">
        <v>7.55</v>
      </c>
      <c r="O307" s="13">
        <f t="shared" si="16"/>
        <v>0.40430555000000012</v>
      </c>
      <c r="P307" s="13">
        <f t="shared" si="16"/>
        <v>0.96095238000000016</v>
      </c>
    </row>
    <row r="308" spans="1:16" x14ac:dyDescent="0.2">
      <c r="A308" s="48">
        <v>1982</v>
      </c>
      <c r="B308" s="13">
        <v>8.1950000000000003</v>
      </c>
      <c r="C308" s="13">
        <v>7.92</v>
      </c>
      <c r="D308" s="13">
        <v>8.36</v>
      </c>
      <c r="E308" s="13">
        <v>7.81</v>
      </c>
      <c r="F308" s="13">
        <v>7.3250000000000002</v>
      </c>
      <c r="G308" s="13">
        <v>7.4749999999999996</v>
      </c>
      <c r="H308" s="13">
        <v>6.81</v>
      </c>
      <c r="I308" s="13">
        <v>6.585</v>
      </c>
      <c r="J308" s="13">
        <v>6.61</v>
      </c>
      <c r="K308" s="13">
        <v>6.3650000000000002</v>
      </c>
      <c r="L308" s="13">
        <v>5.96</v>
      </c>
      <c r="M308" s="13">
        <v>6.1050000000000004</v>
      </c>
      <c r="O308" s="13">
        <f t="shared" si="16"/>
        <v>0.17987500000000001</v>
      </c>
      <c r="P308" s="13">
        <f t="shared" si="16"/>
        <v>0.32647726999999982</v>
      </c>
    </row>
    <row r="309" spans="1:16" x14ac:dyDescent="0.2">
      <c r="A309" s="48">
        <v>1983</v>
      </c>
      <c r="B309" s="13">
        <v>6.62</v>
      </c>
      <c r="C309" s="13">
        <v>6.36</v>
      </c>
      <c r="D309" s="13">
        <v>6.69</v>
      </c>
      <c r="E309" s="13">
        <v>6.5949999999999998</v>
      </c>
      <c r="F309" s="13">
        <v>6.38</v>
      </c>
      <c r="G309" s="13">
        <v>6.17</v>
      </c>
      <c r="H309" s="13">
        <v>5.65</v>
      </c>
      <c r="I309" s="13">
        <v>5.48</v>
      </c>
      <c r="J309" s="13">
        <v>5.3250000000000002</v>
      </c>
      <c r="K309" s="13">
        <v>5.4974999999999996</v>
      </c>
      <c r="L309" s="13">
        <v>5.58</v>
      </c>
      <c r="M309" s="13">
        <v>5.6124999999999998</v>
      </c>
      <c r="O309" s="13">
        <f t="shared" si="16"/>
        <v>0.23312500000000025</v>
      </c>
      <c r="P309" s="13">
        <f t="shared" si="16"/>
        <v>9.1666659999999567E-2</v>
      </c>
    </row>
    <row r="310" spans="1:16" x14ac:dyDescent="0.2">
      <c r="A310" s="48">
        <v>1984</v>
      </c>
      <c r="B310" s="13">
        <v>6.165</v>
      </c>
      <c r="C310" s="13">
        <v>6.2149999999999999</v>
      </c>
      <c r="D310" s="13">
        <v>6.7249999999999996</v>
      </c>
      <c r="E310" s="13">
        <v>6.3525</v>
      </c>
      <c r="F310" s="13">
        <v>6.09</v>
      </c>
      <c r="G310" s="13">
        <v>6.36</v>
      </c>
      <c r="H310" s="13">
        <v>7.36</v>
      </c>
      <c r="I310" s="13">
        <v>8.5150000000000006</v>
      </c>
      <c r="J310" s="13">
        <v>8.1300000000000008</v>
      </c>
      <c r="K310" s="13">
        <v>7.63</v>
      </c>
      <c r="L310" s="13">
        <v>7.48</v>
      </c>
      <c r="M310" s="13">
        <v>7.2</v>
      </c>
      <c r="O310" s="13">
        <f t="shared" si="16"/>
        <v>0.64023808999999954</v>
      </c>
      <c r="P310" s="13">
        <f t="shared" si="16"/>
        <v>0.39190475999999919</v>
      </c>
    </row>
    <row r="311" spans="1:16" x14ac:dyDescent="0.2">
      <c r="A311" s="48">
        <v>1985</v>
      </c>
      <c r="B311" s="13">
        <v>7.0949999999999998</v>
      </c>
      <c r="C311" s="13">
        <v>7.3150000000000004</v>
      </c>
      <c r="D311" s="13">
        <v>7.13</v>
      </c>
      <c r="E311" s="13">
        <v>7.165</v>
      </c>
      <c r="F311" s="13">
        <v>7.14</v>
      </c>
      <c r="G311" s="13">
        <v>6.14</v>
      </c>
      <c r="H311" s="13">
        <v>6.1849999999999996</v>
      </c>
      <c r="I311" s="13">
        <v>5.8049999999999997</v>
      </c>
      <c r="J311" s="13">
        <v>5.9850000000000003</v>
      </c>
      <c r="K311" s="13">
        <v>5.9349999999999996</v>
      </c>
      <c r="L311" s="13">
        <v>5.7149999999999999</v>
      </c>
      <c r="M311" s="13">
        <v>5.5774999999999997</v>
      </c>
      <c r="O311" s="13">
        <f t="shared" si="16"/>
        <v>0.28833333000000039</v>
      </c>
      <c r="P311" s="13">
        <f t="shared" si="16"/>
        <v>0.19174999999999986</v>
      </c>
    </row>
    <row r="312" spans="1:16" x14ac:dyDescent="0.2">
      <c r="A312" s="48">
        <v>1986</v>
      </c>
      <c r="B312" s="13">
        <v>5.98</v>
      </c>
      <c r="C312" s="13">
        <v>5.9450000000000003</v>
      </c>
      <c r="D312" s="13">
        <v>6.13</v>
      </c>
      <c r="E312" s="13">
        <v>5.6449999999999996</v>
      </c>
      <c r="F312" s="13">
        <v>5.5875000000000004</v>
      </c>
      <c r="G312" s="13">
        <v>5.3049999999999997</v>
      </c>
      <c r="H312" s="13">
        <v>5.13</v>
      </c>
      <c r="I312" s="13">
        <v>5.1100000000000003</v>
      </c>
      <c r="J312" s="13">
        <v>5.0999999999999996</v>
      </c>
      <c r="K312" s="13">
        <v>4.78</v>
      </c>
      <c r="L312" s="13">
        <v>4.8925000000000001</v>
      </c>
      <c r="M312" s="13">
        <v>5.1749999999999998</v>
      </c>
      <c r="O312" s="13">
        <f t="shared" si="16"/>
        <v>0.32949999999999946</v>
      </c>
      <c r="P312" s="13">
        <f t="shared" si="16"/>
        <v>0.32440476000000018</v>
      </c>
    </row>
    <row r="313" spans="1:16" x14ac:dyDescent="0.2">
      <c r="A313" s="48">
        <v>1987</v>
      </c>
      <c r="B313" s="13">
        <v>5.16</v>
      </c>
      <c r="C313" s="13">
        <v>5.1749999999999998</v>
      </c>
      <c r="D313" s="13">
        <v>5.0599999999999996</v>
      </c>
      <c r="E313" s="13">
        <v>5.1524999999999999</v>
      </c>
      <c r="F313" s="13">
        <v>4.9349999999999996</v>
      </c>
      <c r="G313" s="13">
        <v>4.88</v>
      </c>
      <c r="H313" s="13">
        <v>4.74</v>
      </c>
      <c r="I313" s="13">
        <v>4.7575000000000003</v>
      </c>
      <c r="J313" s="13">
        <v>4.7699999999999996</v>
      </c>
      <c r="K313" s="13">
        <v>4.9450000000000003</v>
      </c>
      <c r="L313" s="13">
        <v>4.8375000000000004</v>
      </c>
      <c r="M313" s="13">
        <v>4.84</v>
      </c>
      <c r="O313" s="13">
        <f t="shared" ref="O313:P328" si="17">K197-K313</f>
        <v>5.8026309999999803E-2</v>
      </c>
      <c r="P313" s="13">
        <f t="shared" si="17"/>
        <v>8.1136359999999463E-2</v>
      </c>
    </row>
    <row r="314" spans="1:16" x14ac:dyDescent="0.2">
      <c r="A314" s="48">
        <v>1988</v>
      </c>
      <c r="B314" s="13">
        <v>4.665</v>
      </c>
      <c r="C314" s="13">
        <v>4.7649999999999997</v>
      </c>
      <c r="D314" s="13">
        <v>4.9800000000000004</v>
      </c>
      <c r="E314" s="13">
        <v>5.36</v>
      </c>
      <c r="F314" s="13">
        <v>5.48</v>
      </c>
      <c r="G314" s="13">
        <v>5.16</v>
      </c>
      <c r="H314" s="13">
        <v>4.9725000000000001</v>
      </c>
      <c r="I314" s="13">
        <v>5.09</v>
      </c>
      <c r="J314" s="13">
        <v>5.2324999999999999</v>
      </c>
      <c r="K314" s="13">
        <v>5.3150000000000004</v>
      </c>
      <c r="L314" s="13">
        <v>5.75</v>
      </c>
      <c r="M314" s="13">
        <v>6.0350000000000001</v>
      </c>
      <c r="O314" s="13">
        <f t="shared" si="17"/>
        <v>0.37612500000000004</v>
      </c>
      <c r="P314" s="13">
        <f t="shared" si="17"/>
        <v>0.20772727000000035</v>
      </c>
    </row>
    <row r="315" spans="1:16" x14ac:dyDescent="0.2">
      <c r="A315" s="48">
        <v>1989</v>
      </c>
      <c r="B315" s="13">
        <v>6.29</v>
      </c>
      <c r="C315" s="13">
        <v>6.34</v>
      </c>
      <c r="D315" s="13">
        <v>6.875</v>
      </c>
      <c r="E315" s="13">
        <v>7.14</v>
      </c>
      <c r="F315" s="13">
        <v>8.125</v>
      </c>
      <c r="G315" s="13">
        <v>7.5650000000000004</v>
      </c>
      <c r="H315" s="13">
        <v>8.16</v>
      </c>
      <c r="I315" s="13">
        <v>8.0950000000000006</v>
      </c>
      <c r="J315" s="13">
        <v>7.68</v>
      </c>
      <c r="K315" s="13">
        <v>7.29</v>
      </c>
      <c r="L315" s="13">
        <v>7.5149999999999997</v>
      </c>
      <c r="M315" s="13">
        <v>7.35</v>
      </c>
      <c r="O315" s="13">
        <f t="shared" si="17"/>
        <v>0.43178570999999977</v>
      </c>
      <c r="P315" s="13">
        <f t="shared" si="17"/>
        <v>0.29000000000000004</v>
      </c>
    </row>
    <row r="316" spans="1:16" x14ac:dyDescent="0.2">
      <c r="A316" s="48">
        <v>1990</v>
      </c>
      <c r="B316" s="13">
        <v>7.11</v>
      </c>
      <c r="C316" s="13">
        <v>7.19</v>
      </c>
      <c r="D316" s="13">
        <v>6.98</v>
      </c>
      <c r="E316" s="13">
        <v>6.36</v>
      </c>
      <c r="F316" s="13">
        <v>6.24</v>
      </c>
      <c r="G316" s="13">
        <v>5.86</v>
      </c>
      <c r="H316" s="13">
        <v>5.72</v>
      </c>
      <c r="I316" s="13">
        <v>5.7549999999999999</v>
      </c>
      <c r="J316" s="13">
        <v>5.51</v>
      </c>
      <c r="K316" s="13">
        <v>5.7024999999999997</v>
      </c>
      <c r="L316" s="13">
        <v>5.64</v>
      </c>
      <c r="M316" s="13">
        <v>5.5449999999999999</v>
      </c>
      <c r="O316" s="13">
        <f t="shared" si="17"/>
        <v>0.14119047000000062</v>
      </c>
      <c r="P316" s="13">
        <f t="shared" si="17"/>
        <v>0.11450000000000049</v>
      </c>
    </row>
    <row r="317" spans="1:16" x14ac:dyDescent="0.2">
      <c r="A317" s="48">
        <v>1991</v>
      </c>
      <c r="B317" s="13">
        <v>5.9850000000000003</v>
      </c>
      <c r="C317" s="13">
        <v>6.085</v>
      </c>
      <c r="D317" s="13">
        <v>6.1749999999999998</v>
      </c>
      <c r="E317" s="13">
        <v>6.2949999999999999</v>
      </c>
      <c r="F317" s="13">
        <v>6.1150000000000002</v>
      </c>
      <c r="G317" s="13">
        <v>6.02</v>
      </c>
      <c r="H317" s="13">
        <v>5.9950000000000001</v>
      </c>
      <c r="I317" s="13">
        <v>6.2125000000000004</v>
      </c>
      <c r="J317" s="13">
        <v>6.0625</v>
      </c>
      <c r="K317" s="13">
        <v>5.6425000000000001</v>
      </c>
      <c r="L317" s="13">
        <v>5.5650000000000004</v>
      </c>
      <c r="M317" s="13">
        <v>5.45</v>
      </c>
      <c r="O317" s="13">
        <f t="shared" si="17"/>
        <v>0.21428570999999952</v>
      </c>
      <c r="P317" s="13">
        <f t="shared" si="17"/>
        <v>0.25499999999999989</v>
      </c>
    </row>
    <row r="318" spans="1:16" x14ac:dyDescent="0.2">
      <c r="A318" s="48">
        <v>1992</v>
      </c>
      <c r="B318" s="13">
        <v>6.165</v>
      </c>
      <c r="C318" s="13">
        <v>6.1025</v>
      </c>
      <c r="D318" s="13">
        <v>6.16</v>
      </c>
      <c r="E318" s="13">
        <v>5.9074999999999998</v>
      </c>
      <c r="F318" s="13">
        <v>5.4175000000000004</v>
      </c>
      <c r="G318" s="13">
        <v>5.2750000000000004</v>
      </c>
      <c r="H318" s="13">
        <v>5.3949999999999996</v>
      </c>
      <c r="I318" s="13">
        <v>5.8775000000000004</v>
      </c>
      <c r="J318" s="13">
        <v>5.5049999999999999</v>
      </c>
      <c r="K318" s="13">
        <v>5.4550000000000001</v>
      </c>
      <c r="L318" s="13">
        <v>5.43</v>
      </c>
      <c r="M318" s="13">
        <v>5.4824999999999999</v>
      </c>
      <c r="O318" s="13">
        <f t="shared" si="17"/>
        <v>0.15599999999999969</v>
      </c>
      <c r="P318" s="13">
        <f t="shared" si="17"/>
        <v>0.12583332999999985</v>
      </c>
    </row>
    <row r="319" spans="1:16" x14ac:dyDescent="0.2">
      <c r="A319" s="48">
        <v>1993</v>
      </c>
      <c r="B319" s="13">
        <v>6.0149999999999997</v>
      </c>
      <c r="C319" s="13">
        <v>6.165</v>
      </c>
      <c r="D319" s="13">
        <v>5.9550000000000001</v>
      </c>
      <c r="E319" s="13">
        <v>6.0250000000000004</v>
      </c>
      <c r="F319" s="13">
        <v>6.1349999999999998</v>
      </c>
      <c r="G319" s="13">
        <v>5.58</v>
      </c>
      <c r="H319" s="13">
        <v>5.34</v>
      </c>
      <c r="I319" s="13">
        <v>5.4225000000000003</v>
      </c>
      <c r="J319" s="13">
        <v>5.32</v>
      </c>
      <c r="K319" s="13">
        <v>5.43</v>
      </c>
      <c r="L319" s="13">
        <v>5.5625</v>
      </c>
      <c r="M319" s="13">
        <v>5.6174999999999997</v>
      </c>
      <c r="O319" s="13">
        <f t="shared" si="17"/>
        <v>0.1670000000000007</v>
      </c>
      <c r="P319" s="13">
        <f t="shared" si="17"/>
        <v>0.12238636000000014</v>
      </c>
    </row>
    <row r="320" spans="1:16" x14ac:dyDescent="0.2">
      <c r="A320" s="48">
        <v>1994</v>
      </c>
      <c r="B320" s="13">
        <v>5.8674999999999997</v>
      </c>
      <c r="C320" s="13">
        <v>5.9725000000000001</v>
      </c>
      <c r="D320" s="13">
        <v>5.99</v>
      </c>
      <c r="E320" s="13">
        <v>5.9725000000000001</v>
      </c>
      <c r="F320" s="13">
        <v>5.8250000000000002</v>
      </c>
      <c r="G320" s="13">
        <v>6.5149999999999997</v>
      </c>
      <c r="H320" s="13">
        <v>6.53</v>
      </c>
      <c r="I320" s="13">
        <v>6.2149999999999999</v>
      </c>
      <c r="J320" s="13">
        <v>6.1150000000000002</v>
      </c>
      <c r="K320" s="13">
        <v>6.2249999999999996</v>
      </c>
      <c r="L320" s="13">
        <v>6.66</v>
      </c>
      <c r="M320" s="13">
        <v>6.81</v>
      </c>
      <c r="O320" s="13">
        <f t="shared" si="17"/>
        <v>0.45654761000000033</v>
      </c>
      <c r="P320" s="13">
        <f t="shared" si="17"/>
        <v>0.21154761000000022</v>
      </c>
    </row>
    <row r="321" spans="1:16" x14ac:dyDescent="0.2">
      <c r="A321" s="48">
        <v>1995</v>
      </c>
      <c r="B321" s="13">
        <v>6.4</v>
      </c>
      <c r="C321" s="13">
        <v>6.44</v>
      </c>
      <c r="D321" s="13">
        <v>6.13</v>
      </c>
      <c r="E321" s="13">
        <v>6.17</v>
      </c>
      <c r="F321" s="13">
        <v>6.32</v>
      </c>
      <c r="G321" s="13">
        <v>5.61</v>
      </c>
      <c r="H321" s="13">
        <v>5.6</v>
      </c>
      <c r="I321" s="13">
        <v>5.46</v>
      </c>
      <c r="J321" s="13">
        <v>5.3724999999999996</v>
      </c>
      <c r="K321" s="13">
        <v>5.52</v>
      </c>
      <c r="L321" s="13">
        <v>5.5025000000000004</v>
      </c>
      <c r="M321" s="13">
        <v>5.4625000000000004</v>
      </c>
      <c r="O321" s="13">
        <f t="shared" si="17"/>
        <v>0.13535713999999999</v>
      </c>
      <c r="P321" s="13">
        <f t="shared" si="17"/>
        <v>0.11369046999999988</v>
      </c>
    </row>
    <row r="322" spans="1:16" x14ac:dyDescent="0.2">
      <c r="A322" s="48">
        <v>1996</v>
      </c>
      <c r="B322" s="13">
        <v>5.8250000000000002</v>
      </c>
      <c r="C322" s="13">
        <v>5.9325000000000001</v>
      </c>
      <c r="D322" s="13">
        <v>5.99</v>
      </c>
      <c r="E322" s="13">
        <v>5.9249999999999998</v>
      </c>
      <c r="F322" s="13">
        <v>5.9850000000000003</v>
      </c>
      <c r="G322" s="13">
        <v>6.06</v>
      </c>
      <c r="H322" s="13">
        <v>5.96</v>
      </c>
      <c r="I322" s="13">
        <v>6.29</v>
      </c>
      <c r="J322" s="13">
        <v>6.4249999999999998</v>
      </c>
      <c r="K322" s="13">
        <v>6.7149999999999999</v>
      </c>
      <c r="L322" s="13">
        <v>6.88</v>
      </c>
      <c r="M322" s="13">
        <v>7.1950000000000003</v>
      </c>
      <c r="O322" s="13">
        <f t="shared" si="17"/>
        <v>0.11928570999999977</v>
      </c>
      <c r="P322" s="13">
        <f t="shared" si="17"/>
        <v>0.30299999999999994</v>
      </c>
    </row>
    <row r="323" spans="1:16" x14ac:dyDescent="0.2">
      <c r="A323" s="48">
        <v>1997</v>
      </c>
      <c r="B323" s="13">
        <v>7.0949999999999998</v>
      </c>
      <c r="C323" s="13">
        <v>7.23</v>
      </c>
      <c r="D323" s="13">
        <v>7.4275000000000002</v>
      </c>
      <c r="E323" s="13">
        <v>7.54</v>
      </c>
      <c r="F323" s="13">
        <v>7.3</v>
      </c>
      <c r="G323" s="13">
        <v>7.31</v>
      </c>
      <c r="H323" s="13">
        <v>7.3</v>
      </c>
      <c r="I323" s="13">
        <v>7.64</v>
      </c>
      <c r="J323" s="13">
        <v>6.67</v>
      </c>
      <c r="K323" s="13">
        <v>6.62</v>
      </c>
      <c r="L323" s="13">
        <v>6.8274999999999997</v>
      </c>
      <c r="M323" s="13">
        <v>6.9</v>
      </c>
      <c r="O323" s="13">
        <f t="shared" si="17"/>
        <v>0.31612499999999955</v>
      </c>
      <c r="P323" s="13">
        <f t="shared" si="17"/>
        <v>0.17083333000000067</v>
      </c>
    </row>
    <row r="324" spans="1:16" x14ac:dyDescent="0.2">
      <c r="A324" s="48">
        <v>1998</v>
      </c>
      <c r="B324" s="13">
        <v>6.82</v>
      </c>
      <c r="C324" s="13">
        <v>6.98</v>
      </c>
      <c r="D324" s="13">
        <v>6.88</v>
      </c>
      <c r="E324" s="13">
        <v>6.6749999999999998</v>
      </c>
      <c r="F324" s="13">
        <v>6.2125000000000004</v>
      </c>
      <c r="G324" s="13">
        <v>5.83</v>
      </c>
      <c r="H324" s="13">
        <v>6.07</v>
      </c>
      <c r="I324" s="13">
        <v>6.25</v>
      </c>
      <c r="J324" s="13">
        <v>6.23</v>
      </c>
      <c r="K324" s="13">
        <v>6.97</v>
      </c>
      <c r="L324" s="13">
        <v>6.7</v>
      </c>
      <c r="M324" s="13">
        <v>6.5750000000000002</v>
      </c>
      <c r="O324" s="13">
        <f t="shared" si="17"/>
        <v>0.24934210000000068</v>
      </c>
      <c r="P324" s="13">
        <f t="shared" si="17"/>
        <v>0.22818180999999971</v>
      </c>
    </row>
    <row r="325" spans="1:16" x14ac:dyDescent="0.2">
      <c r="A325" s="48">
        <v>1999</v>
      </c>
      <c r="B325" s="13">
        <v>6.4749999999999996</v>
      </c>
      <c r="C325" s="13">
        <v>6.29</v>
      </c>
      <c r="D325" s="13">
        <v>6.14</v>
      </c>
      <c r="E325" s="13">
        <v>5.94</v>
      </c>
      <c r="F325" s="13">
        <v>5.78</v>
      </c>
      <c r="G325" s="13">
        <v>5.7050000000000001</v>
      </c>
      <c r="H325" s="13">
        <v>5.2050000000000001</v>
      </c>
      <c r="I325" s="13">
        <v>5.18</v>
      </c>
      <c r="J325" s="13">
        <v>5.2549999999999999</v>
      </c>
      <c r="K325" s="13">
        <v>5.58</v>
      </c>
      <c r="L325" s="13">
        <v>5.375</v>
      </c>
      <c r="M325" s="13">
        <v>5.2249999999999996</v>
      </c>
      <c r="O325" s="13">
        <f t="shared" si="17"/>
        <v>0.18100000000000005</v>
      </c>
      <c r="P325" s="13">
        <f t="shared" si="17"/>
        <v>0.2010227200000001</v>
      </c>
    </row>
    <row r="326" spans="1:16" x14ac:dyDescent="0.2">
      <c r="A326" s="48">
        <v>2000</v>
      </c>
      <c r="B326" s="13">
        <v>4.9050000000000002</v>
      </c>
      <c r="C326" s="13">
        <v>4.93</v>
      </c>
      <c r="D326" s="13">
        <v>5.0750000000000002</v>
      </c>
      <c r="E326" s="13">
        <v>4.75</v>
      </c>
      <c r="F326" s="13">
        <v>4.6399999999999997</v>
      </c>
      <c r="G326" s="13">
        <v>4.1500000000000004</v>
      </c>
      <c r="H326" s="13">
        <v>4.55</v>
      </c>
      <c r="I326" s="13">
        <v>4.8650000000000002</v>
      </c>
      <c r="J326" s="13">
        <v>4.76</v>
      </c>
      <c r="K326" s="13">
        <v>4.5824999999999996</v>
      </c>
      <c r="L326" s="13">
        <v>4.4625000000000004</v>
      </c>
      <c r="M326" s="13">
        <v>4.5575000000000001</v>
      </c>
      <c r="O326" s="13">
        <f t="shared" si="17"/>
        <v>0.13571428000000019</v>
      </c>
      <c r="P326" s="13">
        <f t="shared" si="17"/>
        <v>0.1627380899999995</v>
      </c>
    </row>
    <row r="327" spans="1:16" x14ac:dyDescent="0.2">
      <c r="A327" s="48">
        <v>2001</v>
      </c>
      <c r="B327" s="13">
        <v>5.22</v>
      </c>
      <c r="C327" s="13">
        <v>5.2774999999999999</v>
      </c>
      <c r="D327" s="13">
        <v>5.55</v>
      </c>
      <c r="E327" s="13">
        <v>5.28</v>
      </c>
      <c r="F327" s="13">
        <v>4.8099999999999996</v>
      </c>
      <c r="G327" s="13">
        <v>4.5599999999999996</v>
      </c>
      <c r="H327" s="13">
        <v>4.57</v>
      </c>
      <c r="I327" s="13">
        <v>4.9225000000000003</v>
      </c>
      <c r="J327" s="13">
        <v>4.6449999999999996</v>
      </c>
      <c r="K327" s="13">
        <v>4.6950000000000003</v>
      </c>
      <c r="L327" s="13">
        <v>4.96</v>
      </c>
      <c r="M327" s="13">
        <v>4.76</v>
      </c>
      <c r="O327" s="13">
        <f t="shared" si="17"/>
        <v>0.17202379999999984</v>
      </c>
      <c r="P327" s="13">
        <f t="shared" si="17"/>
        <v>0.10074999999999967</v>
      </c>
    </row>
    <row r="328" spans="1:16" x14ac:dyDescent="0.2">
      <c r="A328" s="48">
        <v>2002</v>
      </c>
      <c r="B328" s="13">
        <v>4.62</v>
      </c>
      <c r="C328" s="13">
        <v>4.3600000000000003</v>
      </c>
      <c r="D328" s="13">
        <v>4.2774999999999999</v>
      </c>
      <c r="E328" s="13">
        <v>4.2874999999999996</v>
      </c>
      <c r="F328" s="13">
        <v>4.3600000000000003</v>
      </c>
      <c r="G328" s="13">
        <v>4.6749999999999998</v>
      </c>
      <c r="H328" s="13">
        <v>4.7949999999999999</v>
      </c>
      <c r="I328" s="13">
        <v>4.6050000000000004</v>
      </c>
      <c r="J328" s="13">
        <v>4.2625000000000002</v>
      </c>
      <c r="K328" s="13">
        <v>4.3425000000000002</v>
      </c>
      <c r="L328" s="13">
        <v>4.1950000000000003</v>
      </c>
      <c r="M328" s="13">
        <v>4.1550000000000002</v>
      </c>
      <c r="O328" s="13">
        <f t="shared" si="17"/>
        <v>9.7500000000000142E-2</v>
      </c>
      <c r="P328" s="13">
        <f t="shared" si="17"/>
        <v>0.16289472999999965</v>
      </c>
    </row>
    <row r="329" spans="1:16" x14ac:dyDescent="0.2">
      <c r="A329" s="48">
        <v>2003</v>
      </c>
      <c r="B329" s="13">
        <v>4.46</v>
      </c>
      <c r="C329" s="13">
        <v>4.59</v>
      </c>
      <c r="D329" s="13">
        <v>4.55</v>
      </c>
      <c r="E329" s="13">
        <v>4.5650000000000004</v>
      </c>
      <c r="F329" s="13">
        <v>4.7</v>
      </c>
      <c r="G329" s="13">
        <v>5.0199999999999996</v>
      </c>
      <c r="H329" s="13">
        <v>5.22</v>
      </c>
      <c r="I329" s="13">
        <v>5.47</v>
      </c>
      <c r="J329" s="13">
        <v>5.28</v>
      </c>
      <c r="K329" s="13">
        <v>5.54</v>
      </c>
      <c r="L329" s="13">
        <v>5.5225</v>
      </c>
      <c r="M329" s="13">
        <v>5.54</v>
      </c>
      <c r="O329" s="13">
        <f t="shared" ref="O329:P344" si="18">K213-K329</f>
        <v>0.15937499999999982</v>
      </c>
      <c r="P329" s="13">
        <f t="shared" si="18"/>
        <v>0.14425000000000043</v>
      </c>
    </row>
    <row r="330" spans="1:16" x14ac:dyDescent="0.2">
      <c r="A330" s="48">
        <v>2004</v>
      </c>
      <c r="B330" s="13">
        <v>5.21</v>
      </c>
      <c r="C330" s="13">
        <v>5.1150000000000002</v>
      </c>
      <c r="D330" s="13">
        <v>5.1449999999999996</v>
      </c>
      <c r="E330" s="13">
        <v>5.4749999999999996</v>
      </c>
      <c r="F330" s="13">
        <v>5.5</v>
      </c>
      <c r="G330" s="13">
        <v>5.12</v>
      </c>
      <c r="H330" s="13">
        <v>5.15</v>
      </c>
      <c r="I330" s="13">
        <v>5.7249999999999996</v>
      </c>
      <c r="J330" s="13">
        <v>6.71</v>
      </c>
      <c r="K330" s="13">
        <v>7.3075000000000001</v>
      </c>
      <c r="L330" s="13">
        <v>7.28</v>
      </c>
      <c r="M330" s="13">
        <v>7.8250000000000002</v>
      </c>
      <c r="O330" s="13">
        <f t="shared" si="18"/>
        <v>0.33078947000000003</v>
      </c>
      <c r="P330" s="13">
        <f t="shared" si="18"/>
        <v>0.4270454499999996</v>
      </c>
    </row>
    <row r="331" spans="1:16" x14ac:dyDescent="0.2">
      <c r="A331" s="48">
        <v>2005</v>
      </c>
      <c r="B331" s="13">
        <v>6.38</v>
      </c>
      <c r="C331" s="13">
        <v>7.23</v>
      </c>
      <c r="D331" s="13">
        <v>7.11</v>
      </c>
      <c r="E331" s="13">
        <v>6.72</v>
      </c>
      <c r="F331" s="13">
        <v>6.57</v>
      </c>
      <c r="G331" s="13">
        <v>5.76</v>
      </c>
      <c r="H331" s="13">
        <v>5.57</v>
      </c>
      <c r="I331" s="13">
        <v>5.3049999999999997</v>
      </c>
      <c r="J331" s="13">
        <v>5.1325000000000003</v>
      </c>
      <c r="K331" s="13">
        <v>5.0250000000000004</v>
      </c>
      <c r="L331" s="13">
        <v>5.1749999999999998</v>
      </c>
      <c r="M331" s="13">
        <v>5.28</v>
      </c>
      <c r="O331" s="13">
        <f t="shared" si="18"/>
        <v>0.30357141999999993</v>
      </c>
      <c r="P331" s="13">
        <f t="shared" si="18"/>
        <v>0.22976189999999974</v>
      </c>
    </row>
    <row r="332" spans="1:16" x14ac:dyDescent="0.2">
      <c r="A332" s="48">
        <v>2006</v>
      </c>
      <c r="B332" s="13">
        <v>5.26</v>
      </c>
      <c r="C332" s="13">
        <v>5.9749999999999996</v>
      </c>
      <c r="D332" s="13">
        <v>5.98</v>
      </c>
      <c r="E332" s="13">
        <v>6.07</v>
      </c>
      <c r="F332" s="13">
        <v>6.63</v>
      </c>
      <c r="G332" s="13">
        <v>6.7</v>
      </c>
      <c r="H332" s="13">
        <v>6.02</v>
      </c>
      <c r="I332" s="13">
        <v>5.65</v>
      </c>
      <c r="J332" s="13">
        <v>5.6574999999999998</v>
      </c>
      <c r="K332" s="13">
        <v>5.4424999999999999</v>
      </c>
      <c r="L332" s="13">
        <v>5.5350000000000001</v>
      </c>
      <c r="M332" s="13">
        <v>5.61</v>
      </c>
      <c r="O332" s="13">
        <f t="shared" si="18"/>
        <v>0.34571428000000015</v>
      </c>
      <c r="P332" s="13">
        <f t="shared" si="18"/>
        <v>0.35833332999999978</v>
      </c>
    </row>
    <row r="333" spans="1:16" x14ac:dyDescent="0.2">
      <c r="A333" s="48">
        <v>2007</v>
      </c>
      <c r="B333" s="13">
        <v>6.1050000000000004</v>
      </c>
      <c r="C333" s="13">
        <v>6.07</v>
      </c>
      <c r="D333" s="13">
        <v>5.89</v>
      </c>
      <c r="E333" s="13">
        <v>6.125</v>
      </c>
      <c r="F333" s="13">
        <v>6.0149999999999997</v>
      </c>
      <c r="G333" s="13">
        <v>6.04</v>
      </c>
      <c r="H333" s="13">
        <v>5.6174999999999997</v>
      </c>
      <c r="I333" s="13">
        <v>5.5</v>
      </c>
      <c r="J333" s="13">
        <v>5.5475000000000003</v>
      </c>
      <c r="K333" s="13">
        <v>6.415</v>
      </c>
      <c r="L333" s="13">
        <v>6.4275000000000002</v>
      </c>
      <c r="M333" s="13">
        <v>6.4550000000000001</v>
      </c>
      <c r="O333" s="13">
        <f t="shared" si="18"/>
        <v>0.2861904700000002</v>
      </c>
      <c r="P333" s="13">
        <f t="shared" si="18"/>
        <v>0.19424999999999937</v>
      </c>
    </row>
    <row r="334" spans="1:16" x14ac:dyDescent="0.2">
      <c r="A334" s="48">
        <v>2008</v>
      </c>
      <c r="B334" s="13">
        <v>7.7750000000000004</v>
      </c>
      <c r="C334" s="13">
        <v>7.875</v>
      </c>
      <c r="D334" s="13">
        <v>7.61</v>
      </c>
      <c r="E334" s="13">
        <v>7.76</v>
      </c>
      <c r="F334" s="13">
        <v>8.3699999999999992</v>
      </c>
      <c r="G334" s="13">
        <v>8.49</v>
      </c>
      <c r="H334" s="13">
        <v>8.2050000000000001</v>
      </c>
      <c r="I334" s="13">
        <v>8.99</v>
      </c>
      <c r="J334" s="13">
        <v>9.4</v>
      </c>
      <c r="K334" s="13">
        <v>9.8049999999999997</v>
      </c>
      <c r="L334" s="13">
        <v>10.685</v>
      </c>
      <c r="M334" s="13">
        <v>12.0625</v>
      </c>
      <c r="O334" s="13">
        <f t="shared" si="18"/>
        <v>0.84940476000000054</v>
      </c>
      <c r="P334" s="13">
        <f t="shared" si="18"/>
        <v>0.82937499999999886</v>
      </c>
    </row>
    <row r="335" spans="1:16" x14ac:dyDescent="0.2">
      <c r="A335" s="48">
        <v>2009</v>
      </c>
      <c r="B335" s="13">
        <v>12.52</v>
      </c>
      <c r="C335" s="13">
        <v>11.015000000000001</v>
      </c>
      <c r="D335" s="13">
        <v>10.654999999999999</v>
      </c>
      <c r="E335" s="13">
        <v>11.755000000000001</v>
      </c>
      <c r="F335" s="13">
        <v>13.535</v>
      </c>
      <c r="G335" s="13">
        <v>13.7</v>
      </c>
      <c r="H335" s="13">
        <v>11.865</v>
      </c>
      <c r="I335" s="13">
        <v>10.565</v>
      </c>
      <c r="J335" s="13">
        <v>8.3800000000000008</v>
      </c>
      <c r="K335" s="13">
        <v>8.3524999999999991</v>
      </c>
      <c r="L335" s="13">
        <v>7.7625000000000002</v>
      </c>
      <c r="M335" s="13">
        <v>9.5124999999999993</v>
      </c>
      <c r="O335" s="13">
        <f t="shared" si="18"/>
        <v>0.65486842000000145</v>
      </c>
      <c r="P335" s="13">
        <f t="shared" si="18"/>
        <v>0.91420453999999918</v>
      </c>
    </row>
    <row r="336" spans="1:16" x14ac:dyDescent="0.2">
      <c r="A336" s="48">
        <v>2010</v>
      </c>
      <c r="B336" s="13">
        <v>8.2874999999999996</v>
      </c>
      <c r="C336" s="13">
        <v>7.94</v>
      </c>
      <c r="D336" s="13">
        <v>8.9024999999999999</v>
      </c>
      <c r="E336" s="13">
        <v>9.4774999999999991</v>
      </c>
      <c r="F336" s="13">
        <v>9.4674999999999994</v>
      </c>
      <c r="G336" s="13">
        <v>8.89</v>
      </c>
      <c r="H336" s="13">
        <v>9.4625000000000004</v>
      </c>
      <c r="I336" s="13">
        <v>8.9975000000000005</v>
      </c>
      <c r="J336" s="13">
        <v>8.8550000000000004</v>
      </c>
      <c r="K336" s="13">
        <v>9.5</v>
      </c>
      <c r="L336" s="13">
        <v>9.8450000000000006</v>
      </c>
      <c r="M336" s="13">
        <v>9.6174999999999997</v>
      </c>
      <c r="O336" s="13">
        <f t="shared" si="18"/>
        <v>0.61550000000000082</v>
      </c>
      <c r="P336" s="13">
        <f t="shared" si="18"/>
        <v>0.47784089999999857</v>
      </c>
    </row>
    <row r="337" spans="1:16" x14ac:dyDescent="0.2">
      <c r="A337" s="48">
        <v>2011</v>
      </c>
      <c r="B337" s="13">
        <v>9.0975000000000001</v>
      </c>
      <c r="C337" s="13">
        <v>9.15</v>
      </c>
      <c r="D337" s="13">
        <v>9.2349999999999994</v>
      </c>
      <c r="E337" s="13">
        <v>9.02</v>
      </c>
      <c r="F337" s="13">
        <v>8.9725000000000001</v>
      </c>
      <c r="G337" s="13">
        <v>9.0374999999999996</v>
      </c>
      <c r="H337" s="13">
        <v>10.0075</v>
      </c>
      <c r="I337" s="13">
        <v>10.1075</v>
      </c>
      <c r="J337" s="13">
        <v>10.525</v>
      </c>
      <c r="K337" s="13">
        <v>11.7525</v>
      </c>
      <c r="L337" s="13">
        <v>12.4025</v>
      </c>
      <c r="M337" s="13">
        <v>13.49</v>
      </c>
      <c r="O337" s="13">
        <f t="shared" si="18"/>
        <v>0.81095237999999981</v>
      </c>
      <c r="P337" s="13">
        <f t="shared" si="18"/>
        <v>0.76318181000000074</v>
      </c>
    </row>
    <row r="338" spans="1:16" x14ac:dyDescent="0.2">
      <c r="A338" s="48">
        <v>2012</v>
      </c>
      <c r="B338" s="13">
        <v>12.717499999999999</v>
      </c>
      <c r="C338" s="13">
        <v>12.425000000000001</v>
      </c>
      <c r="D338" s="13">
        <v>13.3</v>
      </c>
      <c r="E338" s="13">
        <v>12.98</v>
      </c>
      <c r="F338" s="13">
        <v>12.965</v>
      </c>
      <c r="G338" s="13">
        <v>13.0375</v>
      </c>
      <c r="H338" s="13">
        <v>12.932499999999999</v>
      </c>
      <c r="I338" s="13">
        <v>11.8575</v>
      </c>
      <c r="J338" s="13">
        <v>11.635</v>
      </c>
      <c r="K338" s="13">
        <v>11.0275</v>
      </c>
      <c r="L338" s="13">
        <v>10.942500000000001</v>
      </c>
      <c r="M338" s="13">
        <v>11.5</v>
      </c>
      <c r="O338" s="13">
        <f t="shared" si="18"/>
        <v>0.68619046999999966</v>
      </c>
      <c r="P338" s="13">
        <f t="shared" si="18"/>
        <v>0.48928570999999899</v>
      </c>
    </row>
    <row r="339" spans="1:16" x14ac:dyDescent="0.2">
      <c r="A339" s="48">
        <v>2013</v>
      </c>
      <c r="B339" s="13">
        <v>12.105</v>
      </c>
      <c r="C339" s="13">
        <v>12.85</v>
      </c>
      <c r="D339" s="13">
        <v>13.36</v>
      </c>
      <c r="E339" s="13">
        <v>12.51</v>
      </c>
      <c r="F339" s="13">
        <v>12.494999999999999</v>
      </c>
      <c r="G339" s="13">
        <v>14.3025</v>
      </c>
      <c r="H339" s="13">
        <v>15.5</v>
      </c>
      <c r="I339" s="13">
        <v>15.5875</v>
      </c>
      <c r="J339" s="13">
        <v>14.84</v>
      </c>
      <c r="K339" s="13">
        <v>13.7225</v>
      </c>
      <c r="L339" s="13">
        <v>14.0275</v>
      </c>
      <c r="M339" s="13">
        <v>13.78</v>
      </c>
      <c r="O339" s="13">
        <f t="shared" si="18"/>
        <v>0.76238095000000072</v>
      </c>
      <c r="P339" s="13">
        <f t="shared" si="18"/>
        <v>0.52712499999999984</v>
      </c>
    </row>
    <row r="340" spans="1:16" x14ac:dyDescent="0.2">
      <c r="A340" s="48">
        <v>2014</v>
      </c>
      <c r="B340" s="13">
        <v>12.51</v>
      </c>
      <c r="C340" s="13">
        <v>12.54</v>
      </c>
      <c r="D340" s="13">
        <v>11.942500000000001</v>
      </c>
      <c r="E340" s="13">
        <v>12.077500000000001</v>
      </c>
      <c r="F340" s="13">
        <v>12.555</v>
      </c>
      <c r="G340" s="13">
        <v>11.99</v>
      </c>
      <c r="H340" s="13">
        <v>11.69</v>
      </c>
      <c r="I340" s="13">
        <v>12.824999999999999</v>
      </c>
      <c r="J340" s="13">
        <v>12.612500000000001</v>
      </c>
      <c r="K340" s="13">
        <v>12.47</v>
      </c>
      <c r="L340" s="13">
        <v>13.09</v>
      </c>
      <c r="M340" s="13">
        <v>12.8025</v>
      </c>
      <c r="O340" s="13">
        <f t="shared" si="18"/>
        <v>0.46187499999999915</v>
      </c>
      <c r="P340" s="13">
        <f t="shared" si="18"/>
        <v>0.20940475999999997</v>
      </c>
    </row>
    <row r="341" spans="1:16" x14ac:dyDescent="0.2">
      <c r="A341" s="48">
        <v>2015</v>
      </c>
      <c r="B341" s="13">
        <v>11.0525</v>
      </c>
      <c r="C341" s="13">
        <v>11.68</v>
      </c>
      <c r="D341" s="13">
        <v>11.895</v>
      </c>
      <c r="E341" s="13">
        <v>12.14</v>
      </c>
      <c r="F341" s="13">
        <v>11.5825</v>
      </c>
      <c r="G341" s="13">
        <v>10.635</v>
      </c>
      <c r="H341" s="13">
        <v>10.272500000000001</v>
      </c>
      <c r="I341" s="13">
        <v>9.14</v>
      </c>
      <c r="J341" s="13">
        <v>9.1225000000000005</v>
      </c>
      <c r="K341" s="13">
        <v>9.9525000000000006</v>
      </c>
      <c r="L341" s="13">
        <v>9.8375000000000004</v>
      </c>
      <c r="M341" s="13">
        <v>9.9175000000000004</v>
      </c>
      <c r="O341" s="13">
        <f t="shared" si="18"/>
        <v>0.36776315000000004</v>
      </c>
      <c r="P341" s="13">
        <f t="shared" si="18"/>
        <v>0.4712499999999995</v>
      </c>
    </row>
    <row r="342" spans="1:16" x14ac:dyDescent="0.2">
      <c r="A342" s="48">
        <v>2016</v>
      </c>
      <c r="B342" s="13">
        <v>9.49</v>
      </c>
      <c r="C342" s="13">
        <v>9.3800000000000008</v>
      </c>
      <c r="D342" s="13">
        <v>9.4275000000000002</v>
      </c>
      <c r="E342" s="13">
        <v>9.0549999999999997</v>
      </c>
      <c r="F342" s="13">
        <v>9.0299999999999994</v>
      </c>
      <c r="G342" s="13">
        <v>9.3800000000000008</v>
      </c>
      <c r="H342" s="13">
        <v>8.5824999999999996</v>
      </c>
      <c r="I342" s="13">
        <v>8.57</v>
      </c>
      <c r="J342" s="13">
        <v>8.7225000000000001</v>
      </c>
      <c r="K342" s="13">
        <v>8.4425000000000008</v>
      </c>
      <c r="L342" s="13">
        <v>8.5399999999999991</v>
      </c>
      <c r="M342" s="13">
        <v>8.6174999999999997</v>
      </c>
      <c r="O342" s="13">
        <f t="shared" si="18"/>
        <v>0.22237499999999955</v>
      </c>
      <c r="P342" s="13">
        <f t="shared" si="18"/>
        <v>0.2592045400000007</v>
      </c>
    </row>
    <row r="343" spans="1:16" x14ac:dyDescent="0.2">
      <c r="A343" s="48">
        <v>2017</v>
      </c>
      <c r="B343" s="13">
        <v>8.7774999999999999</v>
      </c>
      <c r="C343" s="13">
        <v>8.7375000000000007</v>
      </c>
      <c r="D343" s="13">
        <v>9.2074999999999996</v>
      </c>
      <c r="E343" s="13">
        <v>9.9875000000000007</v>
      </c>
      <c r="F343" s="13">
        <v>10.425000000000001</v>
      </c>
      <c r="G343" s="13">
        <v>9.6349999999999998</v>
      </c>
      <c r="H343" s="13">
        <v>9.4075000000000006</v>
      </c>
      <c r="I343" s="13">
        <v>9.4024999999999999</v>
      </c>
      <c r="J343" s="13">
        <v>9.4525000000000006</v>
      </c>
      <c r="K343" s="13">
        <v>9.7524999999999995</v>
      </c>
      <c r="L343" s="13">
        <v>9.8774999999999995</v>
      </c>
      <c r="M343" s="13">
        <v>9.84</v>
      </c>
      <c r="O343" s="13">
        <f t="shared" si="18"/>
        <v>0.31833332999999975</v>
      </c>
      <c r="P343" s="13">
        <f t="shared" si="18"/>
        <v>0.33619047000000002</v>
      </c>
    </row>
    <row r="344" spans="1:16" x14ac:dyDescent="0.2">
      <c r="A344" s="48">
        <v>2018</v>
      </c>
      <c r="B344" s="13">
        <v>10.015000000000001</v>
      </c>
      <c r="C344" s="13">
        <v>9.5625</v>
      </c>
      <c r="D344" s="13">
        <v>9.48</v>
      </c>
      <c r="E344" s="13">
        <v>9.2349999999999994</v>
      </c>
      <c r="F344" s="13">
        <v>9.1524999999999999</v>
      </c>
      <c r="G344" s="13">
        <v>9.67</v>
      </c>
      <c r="H344" s="13">
        <v>9.2925000000000004</v>
      </c>
      <c r="I344" s="13">
        <v>9.4749999999999996</v>
      </c>
      <c r="J344" s="13">
        <v>9.6325000000000003</v>
      </c>
      <c r="K344" s="13">
        <v>9.67</v>
      </c>
      <c r="L344" s="13">
        <v>9.4324999999999992</v>
      </c>
      <c r="M344" s="13">
        <v>9.7550000000000008</v>
      </c>
      <c r="O344" s="13">
        <f t="shared" si="18"/>
        <v>0.21345238095238095</v>
      </c>
      <c r="P344" s="13">
        <f t="shared" si="18"/>
        <v>0.28762500000000202</v>
      </c>
    </row>
    <row r="345" spans="1:16" x14ac:dyDescent="0.2">
      <c r="A345" s="48">
        <v>2019</v>
      </c>
      <c r="B345" s="13">
        <v>9.9600000000000009</v>
      </c>
      <c r="C345" s="13">
        <v>10.1275</v>
      </c>
      <c r="D345" s="13">
        <v>10.02</v>
      </c>
      <c r="E345" s="13">
        <v>10.065</v>
      </c>
      <c r="F345" s="13">
        <v>8.74</v>
      </c>
      <c r="G345" s="13">
        <v>8.3674999999999997</v>
      </c>
      <c r="H345" s="13">
        <v>8.42</v>
      </c>
      <c r="I345" s="13">
        <v>8.2624999999999993</v>
      </c>
      <c r="J345" s="13">
        <v>8.4450000000000003</v>
      </c>
      <c r="K345" s="13">
        <v>8.4574999999999996</v>
      </c>
      <c r="L345" s="13">
        <v>8.67</v>
      </c>
      <c r="M345" s="13">
        <v>9.4600000000000009</v>
      </c>
      <c r="O345" s="13">
        <f t="shared" ref="O345:P351" si="19">K229-K345</f>
        <v>0.37107142857142961</v>
      </c>
      <c r="P345" s="13">
        <f t="shared" si="19"/>
        <v>0.32424999999999926</v>
      </c>
    </row>
    <row r="346" spans="1:16" x14ac:dyDescent="0.2">
      <c r="A346" s="48">
        <v>2020</v>
      </c>
      <c r="B346" s="13">
        <v>9.4824999999999999</v>
      </c>
      <c r="C346" s="13">
        <v>9.27</v>
      </c>
      <c r="D346" s="13">
        <v>8.83</v>
      </c>
      <c r="E346" s="13">
        <v>8.2949999999999999</v>
      </c>
      <c r="F346" s="13">
        <v>8.89</v>
      </c>
      <c r="G346" s="13">
        <v>8.9350000000000005</v>
      </c>
      <c r="H346" s="13">
        <v>8.66</v>
      </c>
      <c r="I346" s="13">
        <v>8.65</v>
      </c>
      <c r="J346" s="13">
        <v>9.17</v>
      </c>
      <c r="K346" s="13">
        <v>8.7575000000000003</v>
      </c>
      <c r="L346" s="13">
        <v>8.6750000000000007</v>
      </c>
      <c r="M346" s="13">
        <v>9.18</v>
      </c>
      <c r="O346" s="13">
        <f t="shared" si="19"/>
        <v>0.36674999999999969</v>
      </c>
      <c r="P346" s="13">
        <f t="shared" si="19"/>
        <v>0.44083333333333385</v>
      </c>
    </row>
    <row r="347" spans="1:16" x14ac:dyDescent="0.2">
      <c r="A347" s="48">
        <v>2021</v>
      </c>
      <c r="B347" s="13">
        <v>9.0374999999999996</v>
      </c>
      <c r="C347" s="13">
        <v>8.39</v>
      </c>
      <c r="D347" s="13">
        <v>8.3574999999999999</v>
      </c>
      <c r="E347" s="13">
        <v>8.4075000000000006</v>
      </c>
      <c r="F347" s="13">
        <v>8.5024999999999995</v>
      </c>
      <c r="G347" s="13">
        <v>8.7725000000000009</v>
      </c>
      <c r="H347" s="13">
        <v>8.7174999999999994</v>
      </c>
      <c r="I347" s="13">
        <v>9.49</v>
      </c>
      <c r="J347" s="13">
        <v>10.164999999999999</v>
      </c>
      <c r="K347" s="13">
        <v>10.45</v>
      </c>
      <c r="L347" s="13">
        <v>11.425000000000001</v>
      </c>
      <c r="M347" s="13">
        <v>10.9275</v>
      </c>
      <c r="O347" s="13">
        <f t="shared" si="19"/>
        <v>0.9975000000000005</v>
      </c>
      <c r="P347" s="13">
        <f t="shared" si="19"/>
        <v>0.59797619047619044</v>
      </c>
    </row>
    <row r="348" spans="1:16" x14ac:dyDescent="0.2">
      <c r="A348" s="48">
        <v>2022</v>
      </c>
      <c r="B348" s="52">
        <v>11.317500000000001</v>
      </c>
      <c r="C348" s="52">
        <v>11.8375</v>
      </c>
      <c r="D348" s="52">
        <v>12.42</v>
      </c>
      <c r="I348" s="53">
        <v>12.170623308937344</v>
      </c>
      <c r="J348" s="53">
        <v>12.299365425478262</v>
      </c>
      <c r="K348" s="13">
        <v>11.918126191142859</v>
      </c>
      <c r="L348" s="13">
        <v>12.497625001238093</v>
      </c>
      <c r="O348" s="13">
        <f t="shared" si="19"/>
        <v>0.45342142790476103</v>
      </c>
      <c r="P348" s="13">
        <f t="shared" si="19"/>
        <v>0.39737499876190618</v>
      </c>
    </row>
    <row r="349" spans="1:16" x14ac:dyDescent="0.2">
      <c r="A349" s="48">
        <v>2023</v>
      </c>
      <c r="B349" s="52"/>
      <c r="C349" s="52"/>
      <c r="D349" s="52"/>
      <c r="I349" s="53">
        <v>14.155414636724812</v>
      </c>
      <c r="J349" s="53">
        <v>14.016286128573915</v>
      </c>
      <c r="K349" s="13">
        <v>13.939680000133334</v>
      </c>
      <c r="L349" s="13">
        <v>14.334554762152379</v>
      </c>
      <c r="O349" s="13">
        <f t="shared" si="19"/>
        <v>0.48043904748571364</v>
      </c>
      <c r="P349" s="13">
        <f t="shared" si="19"/>
        <v>0.40961190451428742</v>
      </c>
    </row>
    <row r="350" spans="1:16" x14ac:dyDescent="0.2">
      <c r="A350" s="48">
        <v>2024</v>
      </c>
      <c r="K350" s="35">
        <f t="shared" ref="K350:L352" si="20">(SUM(K345:K349)-SUM(K229:K233))/5+K234</f>
        <v>12.914854095398097</v>
      </c>
      <c r="L350" s="35">
        <f t="shared" si="20"/>
        <v>12.675240714582856</v>
      </c>
      <c r="O350" s="13">
        <f t="shared" si="19"/>
        <v>0.53383638079237983</v>
      </c>
      <c r="P350" s="13">
        <f t="shared" si="19"/>
        <v>0.43400928541714379</v>
      </c>
    </row>
    <row r="351" spans="1:16" x14ac:dyDescent="0.2">
      <c r="A351" s="48">
        <v>2025</v>
      </c>
      <c r="K351" s="35">
        <f t="shared" si="20"/>
        <v>9.3843606287634298</v>
      </c>
      <c r="L351" s="35">
        <f t="shared" si="20"/>
        <v>9.3790388574994292</v>
      </c>
      <c r="O351" s="13">
        <f t="shared" si="19"/>
        <v>0.56638937123657129</v>
      </c>
      <c r="P351" s="13">
        <f t="shared" si="19"/>
        <v>0.45596114250057163</v>
      </c>
    </row>
    <row r="352" spans="1:16" x14ac:dyDescent="0.2">
      <c r="A352" s="48"/>
      <c r="K352" s="35">
        <f t="shared" si="20"/>
        <v>10.393682754516115</v>
      </c>
      <c r="L352" s="35">
        <f t="shared" si="20"/>
        <v>11.29101329566598</v>
      </c>
      <c r="O352" s="13"/>
      <c r="P352" s="13"/>
    </row>
    <row r="353" spans="1:13" ht="15.75" x14ac:dyDescent="0.25">
      <c r="A353" s="51" t="s">
        <v>161</v>
      </c>
    </row>
    <row r="354" spans="1:13" ht="13.5" x14ac:dyDescent="0.25">
      <c r="A354" s="42" t="s">
        <v>155</v>
      </c>
      <c r="B354" t="s">
        <v>94</v>
      </c>
      <c r="C354" t="s">
        <v>83</v>
      </c>
      <c r="D354" t="s">
        <v>84</v>
      </c>
      <c r="E354" t="s">
        <v>85</v>
      </c>
      <c r="F354" t="s">
        <v>86</v>
      </c>
      <c r="G354" t="s">
        <v>87</v>
      </c>
      <c r="H354" t="s">
        <v>88</v>
      </c>
      <c r="I354" t="s">
        <v>89</v>
      </c>
      <c r="J354" t="s">
        <v>90</v>
      </c>
      <c r="K354" t="s">
        <v>91</v>
      </c>
      <c r="L354" t="s">
        <v>92</v>
      </c>
      <c r="M354" t="s">
        <v>93</v>
      </c>
    </row>
    <row r="355" spans="1:13" x14ac:dyDescent="0.2">
      <c r="A355" s="48">
        <v>1971</v>
      </c>
      <c r="B355" s="13">
        <v>2.66181818</v>
      </c>
      <c r="C355" s="13">
        <v>2.6661250000000001</v>
      </c>
      <c r="D355" s="13">
        <v>2.8089772700000002</v>
      </c>
      <c r="E355" s="13">
        <v>3.0238636300000001</v>
      </c>
      <c r="F355" s="13">
        <v>2.9392857100000001</v>
      </c>
      <c r="G355" s="13">
        <v>2.9428571400000001</v>
      </c>
      <c r="H355" s="13">
        <v>3.0672727200000001</v>
      </c>
      <c r="I355" s="13">
        <v>3.0984210499999998</v>
      </c>
      <c r="J355" s="13">
        <v>2.9998863600000001</v>
      </c>
      <c r="K355" s="13">
        <v>3.05925</v>
      </c>
      <c r="L355" s="13">
        <v>3.0557894700000001</v>
      </c>
      <c r="M355" s="13">
        <v>3.0187499999999998</v>
      </c>
    </row>
    <row r="356" spans="1:13" x14ac:dyDescent="0.2">
      <c r="A356" s="48">
        <v>1972</v>
      </c>
      <c r="B356" s="13">
        <v>2.91023809</v>
      </c>
      <c r="C356" s="13">
        <v>2.996</v>
      </c>
      <c r="D356" s="13">
        <v>3.2022727199999999</v>
      </c>
      <c r="E356" s="13">
        <v>3.3646428500000001</v>
      </c>
      <c r="F356" s="13">
        <v>3.2792045399999998</v>
      </c>
      <c r="G356" s="13">
        <v>3.2229761899999998</v>
      </c>
      <c r="H356" s="13">
        <v>3.2572619</v>
      </c>
      <c r="I356" s="13">
        <v>3.18630952</v>
      </c>
      <c r="J356" s="13">
        <v>3.1867857100000001</v>
      </c>
      <c r="K356" s="13">
        <v>3.1321428500000001</v>
      </c>
      <c r="L356" s="13">
        <v>3.1963750000000002</v>
      </c>
      <c r="M356" s="13">
        <v>3.3715000000000002</v>
      </c>
    </row>
    <row r="357" spans="1:13" x14ac:dyDescent="0.2">
      <c r="A357" s="48">
        <v>1973</v>
      </c>
      <c r="B357" s="13">
        <v>3.2890000000000001</v>
      </c>
      <c r="C357" s="13">
        <v>3.27011363</v>
      </c>
      <c r="D357" s="13">
        <v>3.3001136299999998</v>
      </c>
      <c r="E357" s="13">
        <v>3.3026249999999999</v>
      </c>
      <c r="F357" s="13">
        <v>3.4001086900000002</v>
      </c>
      <c r="G357" s="13">
        <v>3.4896250000000002</v>
      </c>
      <c r="H357" s="13">
        <v>3.4842045399999999</v>
      </c>
      <c r="I357" s="13">
        <v>3.696625</v>
      </c>
      <c r="J357" s="13">
        <v>4.1669736799999999</v>
      </c>
      <c r="K357" s="13">
        <v>4.5283333299999997</v>
      </c>
      <c r="L357" s="13">
        <v>5.8401315699999996</v>
      </c>
      <c r="M357" s="13">
        <v>6.4996666599999999</v>
      </c>
    </row>
    <row r="358" spans="1:13" x14ac:dyDescent="0.2">
      <c r="A358" s="48">
        <v>1974</v>
      </c>
      <c r="B358" s="13">
        <v>4.303375</v>
      </c>
      <c r="C358" s="13">
        <v>5.0334090900000001</v>
      </c>
      <c r="D358" s="13">
        <v>6.1118420999999996</v>
      </c>
      <c r="E358" s="13">
        <v>6.7477380900000004</v>
      </c>
      <c r="F358" s="13">
        <v>7.6969565199999996</v>
      </c>
      <c r="G358" s="13">
        <v>6.5198684199999999</v>
      </c>
      <c r="H358" s="13">
        <v>5.9195454500000002</v>
      </c>
      <c r="I358" s="13">
        <v>5.7034523799999999</v>
      </c>
      <c r="J358" s="13">
        <v>6.0678947299999999</v>
      </c>
      <c r="K358" s="13">
        <v>6.2625000000000002</v>
      </c>
      <c r="L358" s="13">
        <v>6.4398611099999998</v>
      </c>
      <c r="M358" s="13">
        <v>6.3221428499999996</v>
      </c>
    </row>
    <row r="359" spans="1:13" x14ac:dyDescent="0.2">
      <c r="A359" s="48">
        <v>1975</v>
      </c>
      <c r="B359" s="13">
        <v>5.4392857100000001</v>
      </c>
      <c r="C359" s="13">
        <v>5.4451136299999998</v>
      </c>
      <c r="D359" s="13">
        <v>5.5502500000000001</v>
      </c>
      <c r="E359" s="13">
        <v>7.1421590899999998</v>
      </c>
      <c r="F359" s="13">
        <v>7.86545454</v>
      </c>
      <c r="G359" s="13">
        <v>7.8296250000000001</v>
      </c>
      <c r="H359" s="13">
        <v>8.8483695600000001</v>
      </c>
      <c r="I359" s="13">
        <v>8.0794736799999995</v>
      </c>
      <c r="J359" s="13">
        <v>7.5311904700000003</v>
      </c>
      <c r="K359" s="13">
        <v>6.4853408999999997</v>
      </c>
      <c r="L359" s="13">
        <v>5.6819736799999996</v>
      </c>
      <c r="M359" s="13">
        <v>5.3709615299999998</v>
      </c>
    </row>
    <row r="360" spans="1:13" x14ac:dyDescent="0.2">
      <c r="A360" s="48">
        <v>1976</v>
      </c>
      <c r="B360" s="13">
        <v>5.6534090900000002</v>
      </c>
      <c r="C360" s="13">
        <v>5.1189285699999996</v>
      </c>
      <c r="D360" s="13">
        <v>5.0902380899999997</v>
      </c>
      <c r="E360" s="13">
        <v>5.7202272699999996</v>
      </c>
      <c r="F360" s="13">
        <v>6.2936904699999996</v>
      </c>
      <c r="G360" s="13">
        <v>5.92059523</v>
      </c>
      <c r="H360" s="13">
        <v>5.4542391300000004</v>
      </c>
      <c r="I360" s="13">
        <v>4.9534210500000002</v>
      </c>
      <c r="J360" s="13">
        <v>4.73309523</v>
      </c>
      <c r="K360" s="13">
        <v>4.7533333300000002</v>
      </c>
      <c r="L360" s="13">
        <v>4.7967105200000004</v>
      </c>
      <c r="M360" s="13">
        <v>4.7579687499999999</v>
      </c>
    </row>
    <row r="361" spans="1:13" x14ac:dyDescent="0.2">
      <c r="A361" s="48">
        <v>1977</v>
      </c>
      <c r="B361" s="13">
        <v>5.1936904699999999</v>
      </c>
      <c r="C361" s="13">
        <v>5.5605000000000002</v>
      </c>
      <c r="D361" s="13">
        <v>6.5895454500000001</v>
      </c>
      <c r="E361" s="13">
        <v>7.0810714199999998</v>
      </c>
      <c r="F361" s="13">
        <v>6.6422727200000002</v>
      </c>
      <c r="G361" s="13">
        <v>6.9163095200000004</v>
      </c>
      <c r="H361" s="13">
        <v>6.5545238000000001</v>
      </c>
      <c r="I361" s="13">
        <v>6.7186250000000003</v>
      </c>
      <c r="J361" s="13">
        <v>6.9708333299999996</v>
      </c>
      <c r="K361" s="13">
        <v>7.20761904</v>
      </c>
      <c r="L361" s="13">
        <v>7.3990789399999999</v>
      </c>
      <c r="M361" s="13">
        <v>8.3081250000000004</v>
      </c>
    </row>
    <row r="362" spans="1:13" x14ac:dyDescent="0.2">
      <c r="A362" s="48">
        <v>1978</v>
      </c>
      <c r="B362" s="13">
        <v>7.3710000000000004</v>
      </c>
      <c r="C362" s="13">
        <v>7.4136249999999997</v>
      </c>
      <c r="D362" s="13">
        <v>7.3</v>
      </c>
      <c r="E362" s="13">
        <v>6.0808749999999998</v>
      </c>
      <c r="F362" s="13">
        <v>5.44347826</v>
      </c>
      <c r="G362" s="13">
        <v>5.4188095199999999</v>
      </c>
      <c r="H362" s="13">
        <v>5.4658333299999997</v>
      </c>
      <c r="I362" s="13">
        <v>6.0579761899999998</v>
      </c>
      <c r="J362" s="13">
        <v>6.0395238000000004</v>
      </c>
      <c r="K362" s="13">
        <v>5.8259523800000004</v>
      </c>
      <c r="L362" s="13">
        <v>5.7094736800000003</v>
      </c>
      <c r="M362" s="13">
        <v>6.5348333299999997</v>
      </c>
    </row>
    <row r="363" spans="1:13" x14ac:dyDescent="0.2">
      <c r="A363" s="48">
        <v>1979</v>
      </c>
      <c r="B363" s="13">
        <v>6.3032500000000002</v>
      </c>
      <c r="C363" s="13">
        <v>6.42</v>
      </c>
      <c r="D363" s="13">
        <v>6.4447727199999996</v>
      </c>
      <c r="E363" s="13">
        <v>6.2095000000000002</v>
      </c>
      <c r="F363" s="13">
        <v>6.37358695</v>
      </c>
      <c r="G363" s="13">
        <v>6.6559999999999997</v>
      </c>
      <c r="H363" s="13">
        <v>6.9997727200000002</v>
      </c>
      <c r="I363" s="13">
        <v>6.9208749999999997</v>
      </c>
      <c r="J363" s="13">
        <v>6.9722499999999998</v>
      </c>
      <c r="K363" s="13">
        <v>6.9894318100000001</v>
      </c>
      <c r="L363" s="13">
        <v>7.4540789399999996</v>
      </c>
      <c r="M363" s="13">
        <v>7.4536666599999997</v>
      </c>
    </row>
    <row r="364" spans="1:13" x14ac:dyDescent="0.2">
      <c r="A364" s="48">
        <v>1980</v>
      </c>
      <c r="B364" s="13">
        <v>7.2221250000000001</v>
      </c>
      <c r="C364" s="13">
        <v>7.3978409000000003</v>
      </c>
      <c r="D364" s="13">
        <v>7.9942857099999998</v>
      </c>
      <c r="E364" s="13">
        <v>7.7611904699999998</v>
      </c>
      <c r="F364" s="13">
        <v>7.40717391</v>
      </c>
      <c r="G364" s="13">
        <v>7.4481578900000001</v>
      </c>
      <c r="H364" s="13">
        <v>7.1308695599999998</v>
      </c>
      <c r="I364" s="13">
        <v>7.0032142799999999</v>
      </c>
      <c r="J364" s="13">
        <v>6.8622368399999996</v>
      </c>
      <c r="K364" s="13">
        <v>6.6204999999999998</v>
      </c>
      <c r="L364" s="13">
        <v>6.5683749999999996</v>
      </c>
      <c r="M364" s="13">
        <v>6.2421428499999996</v>
      </c>
    </row>
    <row r="365" spans="1:13" x14ac:dyDescent="0.2">
      <c r="A365" s="48">
        <v>1981</v>
      </c>
      <c r="B365" s="13">
        <v>6.8717857100000002</v>
      </c>
      <c r="C365" s="13">
        <v>6.8498809500000002</v>
      </c>
      <c r="D365" s="13">
        <v>6.9491666600000004</v>
      </c>
      <c r="E365" s="13">
        <v>7.9609090900000004</v>
      </c>
      <c r="F365" s="13">
        <v>8.0876190399999999</v>
      </c>
      <c r="G365" s="13">
        <v>8.7807142799999998</v>
      </c>
      <c r="H365" s="13">
        <v>9.0659782599999996</v>
      </c>
      <c r="I365" s="13">
        <v>9.5538888800000006</v>
      </c>
      <c r="J365" s="13">
        <v>8.3130952300000001</v>
      </c>
      <c r="K365" s="13">
        <v>7.8611904700000004</v>
      </c>
      <c r="L365" s="13">
        <v>7.5018421000000002</v>
      </c>
      <c r="M365" s="13">
        <v>7.26183333</v>
      </c>
    </row>
    <row r="366" spans="1:13" x14ac:dyDescent="0.2">
      <c r="A366" s="48">
        <v>1982</v>
      </c>
      <c r="B366" s="13">
        <v>8.7958333300000007</v>
      </c>
      <c r="C366" s="13">
        <v>8.3079999999999998</v>
      </c>
      <c r="D366" s="13">
        <v>7.8776136299999999</v>
      </c>
      <c r="E366" s="13">
        <v>8.0285227199999998</v>
      </c>
      <c r="F366" s="13">
        <v>7.4441666599999996</v>
      </c>
      <c r="G366" s="13">
        <v>7.0805952300000001</v>
      </c>
      <c r="H366" s="13">
        <v>6.99125</v>
      </c>
      <c r="I366" s="13">
        <v>6.7283749999999998</v>
      </c>
      <c r="J366" s="13">
        <v>6.4185227200000003</v>
      </c>
      <c r="K366" s="13">
        <v>6.422625</v>
      </c>
      <c r="L366" s="13">
        <v>6.2947368399999997</v>
      </c>
      <c r="M366" s="13">
        <v>6.1032812500000002</v>
      </c>
    </row>
    <row r="367" spans="1:13" x14ac:dyDescent="0.2">
      <c r="A367" s="48">
        <v>1983</v>
      </c>
      <c r="B367" s="13">
        <v>7.0232142800000004</v>
      </c>
      <c r="C367" s="13">
        <v>6.9968750000000002</v>
      </c>
      <c r="D367" s="13">
        <v>6.7249999999999996</v>
      </c>
      <c r="E367" s="13">
        <v>6.5061904699999999</v>
      </c>
      <c r="F367" s="13">
        <v>6.0804545399999999</v>
      </c>
      <c r="G367" s="13">
        <v>5.7808333300000001</v>
      </c>
      <c r="H367" s="13">
        <v>5.6032142800000004</v>
      </c>
      <c r="I367" s="13">
        <v>5.8390000000000004</v>
      </c>
      <c r="J367" s="13">
        <v>5.7666666600000003</v>
      </c>
      <c r="K367" s="13">
        <v>5.8970238000000004</v>
      </c>
      <c r="L367" s="13">
        <v>5.9036842099999998</v>
      </c>
      <c r="M367" s="13">
        <v>5.796875</v>
      </c>
    </row>
    <row r="368" spans="1:13" x14ac:dyDescent="0.2">
      <c r="A368" s="48">
        <v>1984</v>
      </c>
      <c r="B368" s="13">
        <v>7.0327500000000001</v>
      </c>
      <c r="C368" s="13">
        <v>6.7809523799999996</v>
      </c>
      <c r="D368" s="13">
        <v>6.4502272700000001</v>
      </c>
      <c r="E368" s="13">
        <v>7.1535000000000002</v>
      </c>
      <c r="F368" s="13">
        <v>8.87130434</v>
      </c>
      <c r="G368" s="13">
        <v>9.2630952299999993</v>
      </c>
      <c r="H368" s="13">
        <v>8.7198809500000003</v>
      </c>
      <c r="I368" s="13">
        <v>8.43214285</v>
      </c>
      <c r="J368" s="13">
        <v>8.0395237999999996</v>
      </c>
      <c r="K368" s="13">
        <v>7.6113095199999998</v>
      </c>
      <c r="L368" s="13">
        <v>7.2247500000000002</v>
      </c>
      <c r="M368" s="13">
        <v>7.7385000000000002</v>
      </c>
    </row>
    <row r="369" spans="1:13" x14ac:dyDescent="0.2">
      <c r="A369" s="48">
        <v>1985</v>
      </c>
      <c r="B369" s="13">
        <v>7.4717500000000001</v>
      </c>
      <c r="C369" s="13">
        <v>7.5464772699999996</v>
      </c>
      <c r="D369" s="13">
        <v>7.50559523</v>
      </c>
      <c r="E369" s="13">
        <v>6.6467857099999996</v>
      </c>
      <c r="F369" s="13">
        <v>6.6335869499999998</v>
      </c>
      <c r="G369" s="13">
        <v>6.3563157800000001</v>
      </c>
      <c r="H369" s="13">
        <v>6.38695652</v>
      </c>
      <c r="I369" s="13">
        <v>6.3667857100000003</v>
      </c>
      <c r="J369" s="13">
        <v>6.0410000000000004</v>
      </c>
      <c r="K369" s="13">
        <v>5.9395454499999998</v>
      </c>
      <c r="L369" s="13">
        <v>5.8198684199999997</v>
      </c>
      <c r="M369" s="13">
        <v>5.7960714199999996</v>
      </c>
    </row>
    <row r="370" spans="1:13" x14ac:dyDescent="0.2">
      <c r="A370" s="48">
        <v>1986</v>
      </c>
      <c r="B370" s="13">
        <v>6.3242857099999998</v>
      </c>
      <c r="C370" s="13">
        <v>6.0393181800000004</v>
      </c>
      <c r="D370" s="13">
        <v>5.8663749999999997</v>
      </c>
      <c r="E370" s="13">
        <v>5.74522727</v>
      </c>
      <c r="F370" s="13">
        <v>5.3506818100000002</v>
      </c>
      <c r="G370" s="13">
        <v>5.3490000000000002</v>
      </c>
      <c r="H370" s="13">
        <v>5.3079347800000001</v>
      </c>
      <c r="I370" s="13">
        <v>5.2018750000000002</v>
      </c>
      <c r="J370" s="13">
        <v>5.3265476100000004</v>
      </c>
      <c r="K370" s="13">
        <v>5.4209090900000003</v>
      </c>
      <c r="L370" s="13">
        <v>5.2601315700000004</v>
      </c>
      <c r="M370" s="13">
        <v>5.3430769199999997</v>
      </c>
    </row>
    <row r="371" spans="1:13" x14ac:dyDescent="0.2">
      <c r="A371" s="48">
        <v>1987</v>
      </c>
      <c r="B371" s="13">
        <v>5.2919318100000003</v>
      </c>
      <c r="C371" s="13">
        <v>5.3949999999999996</v>
      </c>
      <c r="D371" s="13">
        <v>5.2103571400000002</v>
      </c>
      <c r="E371" s="13">
        <v>5.1645454500000003</v>
      </c>
      <c r="F371" s="13">
        <v>4.9403571399999997</v>
      </c>
      <c r="G371" s="13">
        <v>4.9647619000000001</v>
      </c>
      <c r="H371" s="13">
        <v>4.9568478200000001</v>
      </c>
      <c r="I371" s="13">
        <v>5.0394736800000004</v>
      </c>
      <c r="J371" s="13">
        <v>4.9502272700000001</v>
      </c>
      <c r="K371" s="13">
        <v>4.9664285699999997</v>
      </c>
      <c r="L371" s="13">
        <v>4.8951315700000002</v>
      </c>
      <c r="M371" s="13">
        <v>4.8783333300000002</v>
      </c>
    </row>
    <row r="372" spans="1:13" x14ac:dyDescent="0.2">
      <c r="A372" s="48">
        <v>1988</v>
      </c>
      <c r="B372" s="13">
        <v>5.2485714200000002</v>
      </c>
      <c r="C372" s="13">
        <v>5.8018749999999999</v>
      </c>
      <c r="D372" s="13">
        <v>5.9189772700000001</v>
      </c>
      <c r="E372" s="13">
        <v>5.46</v>
      </c>
      <c r="F372" s="13">
        <v>5.1783333300000001</v>
      </c>
      <c r="G372" s="13">
        <v>5.3697619000000003</v>
      </c>
      <c r="H372" s="13">
        <v>5.5415909000000001</v>
      </c>
      <c r="I372" s="13">
        <v>5.76</v>
      </c>
      <c r="J372" s="13">
        <v>6.0536363599999996</v>
      </c>
      <c r="K372" s="13">
        <v>6.235125</v>
      </c>
      <c r="L372" s="13">
        <v>6.18675</v>
      </c>
      <c r="M372" s="13">
        <v>6.1871875000000003</v>
      </c>
    </row>
    <row r="373" spans="1:13" x14ac:dyDescent="0.2">
      <c r="A373" s="48">
        <v>1989</v>
      </c>
      <c r="B373" s="13">
        <v>7.1109999999999998</v>
      </c>
      <c r="C373" s="13">
        <v>7.7140476099999997</v>
      </c>
      <c r="D373" s="13">
        <v>9.2485227200000004</v>
      </c>
      <c r="E373" s="13">
        <v>8.6675000000000004</v>
      </c>
      <c r="F373" s="13">
        <v>8.63782608</v>
      </c>
      <c r="G373" s="13">
        <v>8.7259523800000007</v>
      </c>
      <c r="H373" s="13">
        <v>8.1455952299999996</v>
      </c>
      <c r="I373" s="13">
        <v>7.8324999999999996</v>
      </c>
      <c r="J373" s="13">
        <v>7.9370238000000004</v>
      </c>
      <c r="K373" s="13">
        <v>7.8674999999999997</v>
      </c>
      <c r="L373" s="13">
        <v>7.5010526300000002</v>
      </c>
      <c r="M373" s="13">
        <v>7.6613333299999997</v>
      </c>
    </row>
    <row r="374" spans="1:13" x14ac:dyDescent="0.2">
      <c r="A374" s="48">
        <v>1990</v>
      </c>
      <c r="B374" s="13">
        <v>7.3712499999999999</v>
      </c>
      <c r="C374" s="13">
        <v>7.0553409</v>
      </c>
      <c r="D374" s="13">
        <v>6.5819318100000004</v>
      </c>
      <c r="E374" s="13">
        <v>6.5177500000000004</v>
      </c>
      <c r="F374" s="13">
        <v>5.9858695600000003</v>
      </c>
      <c r="G374" s="13">
        <v>5.9880000000000004</v>
      </c>
      <c r="H374" s="13">
        <v>5.86227272</v>
      </c>
      <c r="I374" s="13">
        <v>5.9726190399999997</v>
      </c>
      <c r="J374" s="13">
        <v>5.8921250000000001</v>
      </c>
      <c r="K374" s="13">
        <v>5.7102272699999999</v>
      </c>
      <c r="L374" s="13">
        <v>5.6511842100000003</v>
      </c>
      <c r="M374" s="13">
        <v>5.8041666599999999</v>
      </c>
    </row>
    <row r="375" spans="1:13" x14ac:dyDescent="0.2">
      <c r="A375" s="48">
        <v>1991</v>
      </c>
      <c r="B375" s="13">
        <v>6.4668749999999999</v>
      </c>
      <c r="C375" s="13">
        <v>6.6447727199999997</v>
      </c>
      <c r="D375" s="13">
        <v>6.4203571400000001</v>
      </c>
      <c r="E375" s="13">
        <v>6.4810714200000001</v>
      </c>
      <c r="F375" s="13">
        <v>6.4395652099999996</v>
      </c>
      <c r="G375" s="13">
        <v>6.5256578899999997</v>
      </c>
      <c r="H375" s="13">
        <v>6.4014130400000004</v>
      </c>
      <c r="I375" s="13">
        <v>5.9996428499999999</v>
      </c>
      <c r="J375" s="13">
        <v>5.9702500000000001</v>
      </c>
      <c r="K375" s="13">
        <v>5.7093181800000004</v>
      </c>
      <c r="L375" s="13">
        <v>5.7180263099999999</v>
      </c>
      <c r="M375" s="13">
        <v>5.8448076899999997</v>
      </c>
    </row>
    <row r="376" spans="1:13" x14ac:dyDescent="0.2">
      <c r="A376" s="48">
        <v>1992</v>
      </c>
      <c r="B376" s="13">
        <v>6.3989772699999996</v>
      </c>
      <c r="C376" s="13">
        <v>6.1473863599999996</v>
      </c>
      <c r="D376" s="13">
        <v>5.9928749999999997</v>
      </c>
      <c r="E376" s="13">
        <v>5.6717045400000003</v>
      </c>
      <c r="F376" s="13">
        <v>5.9965909000000002</v>
      </c>
      <c r="G376" s="13">
        <v>6.14975</v>
      </c>
      <c r="H376" s="13">
        <v>5.8145652099999996</v>
      </c>
      <c r="I376" s="13">
        <v>5.6840000000000002</v>
      </c>
      <c r="J376" s="13">
        <v>5.60928571</v>
      </c>
      <c r="K376" s="13">
        <v>5.6934090900000003</v>
      </c>
      <c r="L376" s="13">
        <v>5.7460526300000003</v>
      </c>
      <c r="M376" s="13">
        <v>5.8898333300000001</v>
      </c>
    </row>
    <row r="377" spans="1:13" x14ac:dyDescent="0.2">
      <c r="A377" s="48">
        <v>1993</v>
      </c>
      <c r="B377" s="13">
        <v>6.1486842099999999</v>
      </c>
      <c r="C377" s="13">
        <v>6.344875</v>
      </c>
      <c r="D377" s="13">
        <v>6.4122727199999998</v>
      </c>
      <c r="E377" s="13">
        <v>5.89590909</v>
      </c>
      <c r="F377" s="13">
        <v>5.5882142799999999</v>
      </c>
      <c r="G377" s="13">
        <v>5.6210714199999998</v>
      </c>
      <c r="H377" s="13">
        <v>5.5060227199999998</v>
      </c>
      <c r="I377" s="13">
        <v>5.656625</v>
      </c>
      <c r="J377" s="13">
        <v>5.7298863600000001</v>
      </c>
      <c r="K377" s="13">
        <v>5.7885</v>
      </c>
      <c r="L377" s="13">
        <v>5.7153947299999999</v>
      </c>
      <c r="M377" s="13">
        <v>5.8004687500000003</v>
      </c>
    </row>
    <row r="378" spans="1:13" x14ac:dyDescent="0.2">
      <c r="A378" s="48">
        <v>1994</v>
      </c>
      <c r="B378" s="13">
        <v>6.1670237999999999</v>
      </c>
      <c r="C378" s="13">
        <v>6.1544999999999996</v>
      </c>
      <c r="D378" s="13">
        <v>6.14670454</v>
      </c>
      <c r="E378" s="13">
        <v>7.1141666600000004</v>
      </c>
      <c r="F378" s="13">
        <v>6.8043181800000001</v>
      </c>
      <c r="G378" s="13">
        <v>6.5034523799999997</v>
      </c>
      <c r="H378" s="13">
        <v>6.2933333300000003</v>
      </c>
      <c r="I378" s="13">
        <v>6.7417857100000003</v>
      </c>
      <c r="J378" s="13">
        <v>6.9435714199999996</v>
      </c>
      <c r="K378" s="13">
        <v>7.0071428500000001</v>
      </c>
      <c r="L378" s="13">
        <v>6.7938157800000001</v>
      </c>
      <c r="M378" s="13">
        <v>6.7837500000000004</v>
      </c>
    </row>
    <row r="379" spans="1:13" x14ac:dyDescent="0.2">
      <c r="A379" s="48">
        <v>1995</v>
      </c>
      <c r="B379" s="13">
        <v>6.2922368400000002</v>
      </c>
      <c r="C379" s="13">
        <v>6.48428571</v>
      </c>
      <c r="D379" s="13">
        <v>6.6431818099999997</v>
      </c>
      <c r="E379" s="13">
        <v>5.8873749999999996</v>
      </c>
      <c r="F379" s="13">
        <v>5.8273913000000004</v>
      </c>
      <c r="G379" s="13">
        <v>5.8084523800000003</v>
      </c>
      <c r="H379" s="13">
        <v>5.6177380899999996</v>
      </c>
      <c r="I379" s="13">
        <v>5.7519047600000004</v>
      </c>
      <c r="J379" s="13">
        <v>5.7171428500000001</v>
      </c>
      <c r="K379" s="13">
        <v>5.5533333300000001</v>
      </c>
      <c r="L379" s="13">
        <v>5.5419736799999999</v>
      </c>
      <c r="M379" s="13">
        <v>5.6676562500000003</v>
      </c>
    </row>
    <row r="380" spans="1:13" x14ac:dyDescent="0.2">
      <c r="A380" s="48">
        <v>1996</v>
      </c>
      <c r="B380" s="13">
        <v>6.1784210499999999</v>
      </c>
      <c r="C380" s="13">
        <v>6.1576136300000002</v>
      </c>
      <c r="D380" s="13">
        <v>6.2184090899999998</v>
      </c>
      <c r="E380" s="13">
        <v>6.421875</v>
      </c>
      <c r="F380" s="13">
        <v>6.2490217299999999</v>
      </c>
      <c r="G380" s="13">
        <v>6.5754999999999999</v>
      </c>
      <c r="H380" s="13">
        <v>6.7510227199999999</v>
      </c>
      <c r="I380" s="13">
        <v>6.9130952299999997</v>
      </c>
      <c r="J380" s="13">
        <v>7.2783749999999996</v>
      </c>
      <c r="K380" s="13">
        <v>7.4074999999999998</v>
      </c>
      <c r="L380" s="13">
        <v>7.3002500000000001</v>
      </c>
      <c r="M380" s="13">
        <v>7.1689285700000003</v>
      </c>
    </row>
    <row r="381" spans="1:13" x14ac:dyDescent="0.2">
      <c r="A381" s="48">
        <v>1997</v>
      </c>
      <c r="B381" s="13">
        <v>7.87321428</v>
      </c>
      <c r="C381" s="13">
        <v>7.8826136299999998</v>
      </c>
      <c r="D381" s="13">
        <v>7.5432499999999996</v>
      </c>
      <c r="E381" s="13">
        <v>7.6681818100000001</v>
      </c>
      <c r="F381" s="13">
        <v>7.8451136300000002</v>
      </c>
      <c r="G381" s="13">
        <v>8.0666250000000002</v>
      </c>
      <c r="H381" s="13">
        <v>7.1805434699999999</v>
      </c>
      <c r="I381" s="13">
        <v>6.9421249999999999</v>
      </c>
      <c r="J381" s="13">
        <v>6.9536904699999997</v>
      </c>
      <c r="K381" s="13">
        <v>7.30852272</v>
      </c>
      <c r="L381" s="13">
        <v>7.6346052599999998</v>
      </c>
      <c r="M381" s="13">
        <v>8.2519230700000001</v>
      </c>
    </row>
    <row r="382" spans="1:13" x14ac:dyDescent="0.2">
      <c r="A382" s="48">
        <v>1998</v>
      </c>
      <c r="B382" s="13">
        <v>7.0798863599999997</v>
      </c>
      <c r="C382" s="13">
        <v>7.0521428500000001</v>
      </c>
      <c r="D382" s="13">
        <v>6.7328571400000001</v>
      </c>
      <c r="E382" s="13">
        <v>6.1893181799999999</v>
      </c>
      <c r="F382" s="13">
        <v>6.36107142</v>
      </c>
      <c r="G382" s="13">
        <v>6.4632142799999999</v>
      </c>
      <c r="H382" s="13">
        <v>6.9421739100000002</v>
      </c>
      <c r="I382" s="13">
        <v>7.2535526299999997</v>
      </c>
      <c r="J382" s="13">
        <v>6.9523863600000002</v>
      </c>
      <c r="K382" s="13">
        <v>6.7143750000000004</v>
      </c>
      <c r="L382" s="13">
        <v>6.7332894699999999</v>
      </c>
      <c r="M382" s="13">
        <v>6.5523333299999997</v>
      </c>
    </row>
    <row r="383" spans="1:13" x14ac:dyDescent="0.2">
      <c r="A383" s="48">
        <v>1999</v>
      </c>
      <c r="B383" s="13">
        <v>6.3132142800000004</v>
      </c>
      <c r="C383" s="13">
        <v>6.2993750000000004</v>
      </c>
      <c r="D383" s="13">
        <v>6.1535227199999998</v>
      </c>
      <c r="E383" s="13">
        <v>6.0268181800000002</v>
      </c>
      <c r="F383" s="13">
        <v>5.5373809500000002</v>
      </c>
      <c r="G383" s="13">
        <v>5.4601190400000004</v>
      </c>
      <c r="H383" s="13">
        <v>5.6607954500000002</v>
      </c>
      <c r="I383" s="13">
        <v>5.8503749999999997</v>
      </c>
      <c r="J383" s="13">
        <v>5.6438636300000002</v>
      </c>
      <c r="K383" s="13">
        <v>5.3215789400000002</v>
      </c>
      <c r="L383" s="13">
        <v>4.8892105199999998</v>
      </c>
      <c r="M383" s="13">
        <v>4.6865625</v>
      </c>
    </row>
    <row r="384" spans="1:13" x14ac:dyDescent="0.2">
      <c r="A384" s="48">
        <v>2000</v>
      </c>
      <c r="B384" s="13">
        <v>5.2684523800000003</v>
      </c>
      <c r="C384" s="13">
        <v>5.0321249999999997</v>
      </c>
      <c r="D384" s="13">
        <v>4.8981818099999996</v>
      </c>
      <c r="E384" s="13">
        <v>4.5191666599999998</v>
      </c>
      <c r="F384" s="13">
        <v>4.9128409</v>
      </c>
      <c r="G384" s="13">
        <v>5.1140476100000001</v>
      </c>
      <c r="H384" s="13">
        <v>5.0367857100000002</v>
      </c>
      <c r="I384" s="13">
        <v>4.7874999999999996</v>
      </c>
      <c r="J384" s="13">
        <v>4.6973809500000003</v>
      </c>
      <c r="K384" s="13">
        <v>4.9477500000000001</v>
      </c>
      <c r="L384" s="13">
        <v>5.054875</v>
      </c>
      <c r="M384" s="13">
        <v>5.0582500000000001</v>
      </c>
    </row>
    <row r="385" spans="1:13" x14ac:dyDescent="0.2">
      <c r="A385" s="48">
        <v>2001</v>
      </c>
      <c r="B385" s="13">
        <v>5.7584210499999999</v>
      </c>
      <c r="C385" s="13">
        <v>5.76693181</v>
      </c>
      <c r="D385" s="13">
        <v>5.2159090900000002</v>
      </c>
      <c r="E385" s="13">
        <v>4.8103749999999996</v>
      </c>
      <c r="F385" s="13">
        <v>4.8752173900000004</v>
      </c>
      <c r="G385" s="13">
        <v>5.1491249999999997</v>
      </c>
      <c r="H385" s="13">
        <v>4.9262499999999996</v>
      </c>
      <c r="I385" s="13">
        <v>4.95761904</v>
      </c>
      <c r="J385" s="13">
        <v>5.1485000000000003</v>
      </c>
      <c r="K385" s="13">
        <v>4.8051190400000001</v>
      </c>
      <c r="L385" s="13">
        <v>4.5565789399999996</v>
      </c>
      <c r="M385" s="13">
        <v>4.5540000000000003</v>
      </c>
    </row>
    <row r="386" spans="1:13" x14ac:dyDescent="0.2">
      <c r="A386" s="48">
        <v>2002</v>
      </c>
      <c r="B386" s="13">
        <v>4.50725</v>
      </c>
      <c r="C386" s="13">
        <v>4.4894318100000001</v>
      </c>
      <c r="D386" s="13">
        <v>4.5922618999999996</v>
      </c>
      <c r="E386" s="13">
        <v>5.0678571400000001</v>
      </c>
      <c r="F386" s="13">
        <v>5.0334782599999999</v>
      </c>
      <c r="G386" s="13">
        <v>4.8394444400000003</v>
      </c>
      <c r="H386" s="13">
        <v>4.4918478200000003</v>
      </c>
      <c r="I386" s="13">
        <v>4.4744047599999996</v>
      </c>
      <c r="J386" s="13">
        <v>4.37921052</v>
      </c>
      <c r="K386" s="13">
        <v>4.3557142799999999</v>
      </c>
      <c r="L386" s="13">
        <v>4.3592105200000004</v>
      </c>
      <c r="M386" s="13">
        <v>4.524</v>
      </c>
    </row>
    <row r="387" spans="1:13" x14ac:dyDescent="0.2">
      <c r="A387" s="48">
        <v>2003</v>
      </c>
      <c r="B387" s="13">
        <v>4.7240909000000002</v>
      </c>
      <c r="C387" s="13">
        <v>4.7409090899999997</v>
      </c>
      <c r="D387" s="13">
        <v>4.8287500000000003</v>
      </c>
      <c r="E387" s="13">
        <v>5.2413636300000004</v>
      </c>
      <c r="F387" s="13">
        <v>5.4468181800000002</v>
      </c>
      <c r="G387" s="13">
        <v>5.6866250000000003</v>
      </c>
      <c r="H387" s="13">
        <v>5.4821739100000002</v>
      </c>
      <c r="I387" s="13">
        <v>5.6523750000000001</v>
      </c>
      <c r="J387" s="13">
        <v>5.6289999999999996</v>
      </c>
      <c r="K387" s="13">
        <v>5.6511904700000004</v>
      </c>
      <c r="L387" s="13">
        <v>5.7047368399999998</v>
      </c>
      <c r="M387" s="13">
        <v>5.7037500000000003</v>
      </c>
    </row>
    <row r="388" spans="1:13" x14ac:dyDescent="0.2">
      <c r="A388" s="48">
        <v>2004</v>
      </c>
      <c r="B388" s="13">
        <v>5.3596428500000002</v>
      </c>
      <c r="C388" s="13">
        <v>5.68392857</v>
      </c>
      <c r="D388" s="13">
        <v>5.7067857100000001</v>
      </c>
      <c r="E388" s="13">
        <v>5.3251136299999997</v>
      </c>
      <c r="F388" s="13">
        <v>5.5671428499999998</v>
      </c>
      <c r="G388" s="13">
        <v>6.2065476100000003</v>
      </c>
      <c r="H388" s="13">
        <v>7.2078260800000002</v>
      </c>
      <c r="I388" s="13">
        <v>7.5788157800000002</v>
      </c>
      <c r="J388" s="13">
        <v>7.7402272700000001</v>
      </c>
      <c r="K388" s="13">
        <v>8.2118749999999991</v>
      </c>
      <c r="L388" s="13">
        <v>8.6151315700000008</v>
      </c>
      <c r="M388" s="13">
        <v>9.3765000000000001</v>
      </c>
    </row>
    <row r="389" spans="1:13" x14ac:dyDescent="0.2">
      <c r="A389" s="48">
        <v>2005</v>
      </c>
      <c r="B389" s="13">
        <v>7.4320237999999996</v>
      </c>
      <c r="C389" s="13">
        <v>7.2173749999999997</v>
      </c>
      <c r="D389" s="13">
        <v>6.8584523800000001</v>
      </c>
      <c r="E389" s="13">
        <v>6.38773809</v>
      </c>
      <c r="F389" s="13">
        <v>5.9773863599999997</v>
      </c>
      <c r="G389" s="13">
        <v>5.7745237999999999</v>
      </c>
      <c r="H389" s="13">
        <v>5.3847619</v>
      </c>
      <c r="I389" s="13">
        <v>5.3739285700000003</v>
      </c>
      <c r="J389" s="13">
        <v>5.4013095199999999</v>
      </c>
      <c r="K389" s="13">
        <v>5.2642499999999997</v>
      </c>
      <c r="L389" s="13">
        <v>5.3775000000000004</v>
      </c>
      <c r="M389" s="13">
        <v>6.2625000000000002</v>
      </c>
    </row>
    <row r="390" spans="1:13" x14ac:dyDescent="0.2">
      <c r="A390" s="48">
        <v>2006</v>
      </c>
      <c r="B390" s="13">
        <v>6.1765476100000001</v>
      </c>
      <c r="C390" s="13">
        <v>6.3482142799999997</v>
      </c>
      <c r="D390" s="13">
        <v>6.9989772700000001</v>
      </c>
      <c r="E390" s="13">
        <v>6.968</v>
      </c>
      <c r="F390" s="13">
        <v>6.4538043399999996</v>
      </c>
      <c r="G390" s="13">
        <v>5.9778571400000002</v>
      </c>
      <c r="H390" s="13">
        <v>5.9447618999999996</v>
      </c>
      <c r="I390" s="13">
        <v>5.8630952299999999</v>
      </c>
      <c r="J390" s="13">
        <v>5.9960714199999998</v>
      </c>
      <c r="K390" s="13">
        <v>5.8721249999999996</v>
      </c>
      <c r="L390" s="13">
        <v>5.8340789400000004</v>
      </c>
      <c r="M390" s="13">
        <v>5.8019999999999996</v>
      </c>
    </row>
    <row r="391" spans="1:13" x14ac:dyDescent="0.2">
      <c r="A391" s="48">
        <v>2007</v>
      </c>
      <c r="B391" s="13">
        <v>6.1571052599999998</v>
      </c>
      <c r="C391" s="13">
        <v>6.3327272700000004</v>
      </c>
      <c r="D391" s="13">
        <v>6.3348863599999996</v>
      </c>
      <c r="E391" s="13">
        <v>6.3452500000000001</v>
      </c>
      <c r="F391" s="13">
        <v>5.9340217300000004</v>
      </c>
      <c r="G391" s="13">
        <v>5.725625</v>
      </c>
      <c r="H391" s="13">
        <v>6.1637500000000003</v>
      </c>
      <c r="I391" s="13">
        <v>6.8239285699999996</v>
      </c>
      <c r="J391" s="13">
        <v>6.7708750000000002</v>
      </c>
      <c r="K391" s="13">
        <v>7.0170000000000003</v>
      </c>
      <c r="L391" s="13">
        <v>7.5669736800000003</v>
      </c>
      <c r="M391" s="13">
        <v>7.4210000000000003</v>
      </c>
    </row>
    <row r="392" spans="1:13" x14ac:dyDescent="0.2">
      <c r="A392" s="48">
        <v>2008</v>
      </c>
      <c r="B392" s="13">
        <v>7.9672499999999999</v>
      </c>
      <c r="C392" s="13">
        <v>8.2118181799999999</v>
      </c>
      <c r="D392" s="13">
        <v>8.72154761</v>
      </c>
      <c r="E392" s="13">
        <v>9.0540476099999996</v>
      </c>
      <c r="F392" s="13">
        <v>8.8470652100000002</v>
      </c>
      <c r="G392" s="13">
        <v>9.7776315700000005</v>
      </c>
      <c r="H392" s="13">
        <v>10.064782599999999</v>
      </c>
      <c r="I392" s="13">
        <v>10.81154761</v>
      </c>
      <c r="J392" s="13">
        <v>11.698499999999999</v>
      </c>
      <c r="K392" s="13">
        <v>12.619166659999999</v>
      </c>
      <c r="L392" s="13">
        <v>13.831375</v>
      </c>
      <c r="M392" s="13">
        <v>14.1995</v>
      </c>
    </row>
    <row r="393" spans="1:13" x14ac:dyDescent="0.2">
      <c r="A393" s="48">
        <v>2009</v>
      </c>
      <c r="B393" s="13">
        <v>12.59375</v>
      </c>
      <c r="C393" s="13">
        <v>13.240833329999999</v>
      </c>
      <c r="D393" s="13">
        <v>15.07916666</v>
      </c>
      <c r="E393" s="13">
        <v>15.1790909</v>
      </c>
      <c r="F393" s="13">
        <v>13.16928571</v>
      </c>
      <c r="G393" s="13">
        <v>12.050238090000001</v>
      </c>
      <c r="H393" s="13">
        <v>9.4573912999999994</v>
      </c>
      <c r="I393" s="13">
        <v>9.0967105200000002</v>
      </c>
      <c r="J393" s="13">
        <v>8.7271590900000007</v>
      </c>
      <c r="K393" s="13">
        <v>9.9352499999999999</v>
      </c>
      <c r="L393" s="13">
        <v>9.2878947299999997</v>
      </c>
      <c r="M393" s="13">
        <v>8.7550000000000008</v>
      </c>
    </row>
    <row r="394" spans="1:13" x14ac:dyDescent="0.2">
      <c r="A394" s="48">
        <v>2010</v>
      </c>
      <c r="B394" s="13">
        <v>9.3453571400000008</v>
      </c>
      <c r="C394" s="13">
        <v>9.9742499999999996</v>
      </c>
      <c r="D394" s="13">
        <v>10.394545450000001</v>
      </c>
      <c r="E394" s="13">
        <v>9.3659090900000006</v>
      </c>
      <c r="F394" s="13">
        <v>10.03821428</v>
      </c>
      <c r="G394" s="13">
        <v>9.3755952300000001</v>
      </c>
      <c r="H394" s="13">
        <v>9.6972727200000008</v>
      </c>
      <c r="I394" s="13">
        <v>10.1685</v>
      </c>
      <c r="J394" s="13">
        <v>10.402272719999999</v>
      </c>
      <c r="K394" s="13">
        <v>9.8140789399999999</v>
      </c>
      <c r="L394" s="13">
        <v>9.3801315699999996</v>
      </c>
      <c r="M394" s="13">
        <v>9.4139999999999997</v>
      </c>
    </row>
    <row r="395" spans="1:13" x14ac:dyDescent="0.2">
      <c r="A395" s="48">
        <v>2011</v>
      </c>
      <c r="B395" s="13">
        <v>9.6883333300000007</v>
      </c>
      <c r="C395" s="13">
        <v>9.4183749999999993</v>
      </c>
      <c r="D395" s="13">
        <v>9.2885227199999996</v>
      </c>
      <c r="E395" s="13">
        <v>9.7264285699999995</v>
      </c>
      <c r="F395" s="13">
        <v>10.30556818</v>
      </c>
      <c r="G395" s="13">
        <v>10.814880949999999</v>
      </c>
      <c r="H395" s="13">
        <v>11.81119047</v>
      </c>
      <c r="I395" s="13">
        <v>12.640476189999999</v>
      </c>
      <c r="J395" s="13">
        <v>13.26465909</v>
      </c>
      <c r="K395" s="13">
        <v>13.951124999999999</v>
      </c>
      <c r="L395" s="13">
        <v>13.93578947</v>
      </c>
      <c r="M395" s="13">
        <v>13.679500000000001</v>
      </c>
    </row>
    <row r="396" spans="1:13" x14ac:dyDescent="0.2">
      <c r="A396" s="48">
        <v>2012</v>
      </c>
      <c r="B396" s="13">
        <v>13.729749999999999</v>
      </c>
      <c r="C396" s="13">
        <v>13.49035714</v>
      </c>
      <c r="D396" s="13">
        <v>13.649204539999999</v>
      </c>
      <c r="E396" s="13">
        <v>13.776999999999999</v>
      </c>
      <c r="F396" s="13">
        <v>13.857934780000001</v>
      </c>
      <c r="G396" s="13">
        <v>13.579285710000001</v>
      </c>
      <c r="H396" s="13">
        <v>12.318095230000001</v>
      </c>
      <c r="I396" s="13">
        <v>11.81154761</v>
      </c>
      <c r="J396" s="13">
        <v>11.530238089999999</v>
      </c>
      <c r="K396" s="13">
        <v>12.049875</v>
      </c>
      <c r="L396" s="13">
        <v>12.561500000000001</v>
      </c>
      <c r="M396" s="13">
        <v>13.315</v>
      </c>
    </row>
    <row r="397" spans="1:13" x14ac:dyDescent="0.2">
      <c r="A397" s="48">
        <v>2013</v>
      </c>
      <c r="B397" s="13">
        <v>13.46475</v>
      </c>
      <c r="C397" s="13">
        <v>12.89181818</v>
      </c>
      <c r="D397" s="13">
        <v>13.18654761</v>
      </c>
      <c r="E397" s="13">
        <v>14.87535714</v>
      </c>
      <c r="F397" s="13">
        <v>15.74217391</v>
      </c>
      <c r="G397" s="13">
        <v>16.302499999999998</v>
      </c>
      <c r="H397" s="13">
        <v>15.09054347</v>
      </c>
      <c r="I397" s="13">
        <v>14.317500000000001</v>
      </c>
      <c r="J397" s="13">
        <v>14.5105</v>
      </c>
      <c r="K397" s="13">
        <v>14.189880949999999</v>
      </c>
      <c r="L397" s="13">
        <v>14.59776315</v>
      </c>
      <c r="M397" s="13">
        <v>14.884499999999999</v>
      </c>
    </row>
    <row r="398" spans="1:13" x14ac:dyDescent="0.2">
      <c r="A398" s="48">
        <v>2014</v>
      </c>
      <c r="B398" s="13">
        <v>12.35579545</v>
      </c>
      <c r="C398" s="13">
        <v>12.442500000000001</v>
      </c>
      <c r="D398" s="13">
        <v>13.000999999999999</v>
      </c>
      <c r="E398" s="13">
        <v>12.58625</v>
      </c>
      <c r="F398" s="13">
        <v>12.571477270000001</v>
      </c>
      <c r="G398" s="13">
        <v>13.23625</v>
      </c>
      <c r="H398" s="13">
        <v>12.675543469999999</v>
      </c>
      <c r="I398" s="13">
        <v>12.77875</v>
      </c>
      <c r="J398" s="13">
        <v>13.15904761</v>
      </c>
      <c r="K398" s="13">
        <v>12.851547610000001</v>
      </c>
      <c r="L398" s="13">
        <v>13.520657890000001</v>
      </c>
      <c r="M398" s="13">
        <v>14.1195</v>
      </c>
    </row>
    <row r="399" spans="1:13" x14ac:dyDescent="0.2">
      <c r="A399" s="48">
        <v>2015</v>
      </c>
      <c r="B399" s="13">
        <v>12.332261900000001</v>
      </c>
      <c r="C399" s="13">
        <v>12.42488095</v>
      </c>
      <c r="D399" s="13">
        <v>12.32</v>
      </c>
      <c r="E399" s="13">
        <v>11.12590909</v>
      </c>
      <c r="F399" s="13">
        <v>10.679404760000001</v>
      </c>
      <c r="G399" s="13">
        <v>9.8632142799999993</v>
      </c>
      <c r="H399" s="13">
        <v>9.7958695599999999</v>
      </c>
      <c r="I399" s="13">
        <v>10.378157890000001</v>
      </c>
      <c r="J399" s="13">
        <v>10.376818180000001</v>
      </c>
      <c r="K399" s="13">
        <v>10.0245</v>
      </c>
      <c r="L399" s="13">
        <v>9.9265789400000006</v>
      </c>
      <c r="M399" s="13">
        <v>9.8795000000000002</v>
      </c>
    </row>
    <row r="400" spans="1:13" x14ac:dyDescent="0.2">
      <c r="A400" s="48">
        <v>2016</v>
      </c>
      <c r="B400" s="13">
        <v>9.6584523799999999</v>
      </c>
      <c r="C400" s="13">
        <v>9.42</v>
      </c>
      <c r="D400" s="13">
        <v>9.4767045400000001</v>
      </c>
      <c r="E400" s="13">
        <v>9.93829545</v>
      </c>
      <c r="F400" s="13">
        <v>9.1942857100000008</v>
      </c>
      <c r="G400" s="13">
        <v>8.8296428500000008</v>
      </c>
      <c r="H400" s="13">
        <v>8.9736363600000004</v>
      </c>
      <c r="I400" s="13">
        <v>8.6837499999999999</v>
      </c>
      <c r="J400" s="13">
        <v>8.80215909</v>
      </c>
      <c r="K400" s="13">
        <v>8.7301315699999993</v>
      </c>
      <c r="L400" s="13">
        <v>8.7125000000000004</v>
      </c>
      <c r="M400" s="13">
        <v>8.7204999999999995</v>
      </c>
    </row>
    <row r="401" spans="1:16" x14ac:dyDescent="0.2">
      <c r="A401" s="48">
        <v>2017</v>
      </c>
      <c r="B401" s="13">
        <v>9.6848809500000002</v>
      </c>
      <c r="C401" s="13">
        <v>10.230357140000001</v>
      </c>
      <c r="D401" s="13">
        <v>10.839772719999999</v>
      </c>
      <c r="E401" s="13">
        <v>10.198499999999999</v>
      </c>
      <c r="F401" s="13">
        <v>9.7830434700000009</v>
      </c>
      <c r="G401" s="13">
        <v>9.6969047600000007</v>
      </c>
      <c r="H401" s="13">
        <v>9.9022618999999992</v>
      </c>
      <c r="I401" s="13">
        <v>10.15119047</v>
      </c>
      <c r="J401" s="13">
        <v>10.31392857</v>
      </c>
      <c r="K401" s="13">
        <v>10.367000000000001</v>
      </c>
      <c r="L401" s="13">
        <v>10.36565789</v>
      </c>
      <c r="M401" s="13">
        <v>10.026304347826088</v>
      </c>
    </row>
    <row r="402" spans="1:16" x14ac:dyDescent="0.2">
      <c r="A402" s="48">
        <v>2018</v>
      </c>
      <c r="B402" s="13">
        <v>9.6511842105263153</v>
      </c>
      <c r="C402" s="13">
        <v>9.6548863636363631</v>
      </c>
      <c r="D402" s="13">
        <v>9.4544318181818188</v>
      </c>
      <c r="E402" s="13">
        <v>10.188499999999999</v>
      </c>
      <c r="F402" s="13">
        <v>9.6405434782608701</v>
      </c>
      <c r="G402" s="13">
        <v>9.8523750000000003</v>
      </c>
      <c r="H402" s="13">
        <v>9.9547727272727276</v>
      </c>
      <c r="I402" s="13">
        <v>9.9942857142857147</v>
      </c>
      <c r="J402" s="13">
        <v>9.8326250000000002</v>
      </c>
      <c r="K402" s="13">
        <v>9.7538095238095242</v>
      </c>
      <c r="L402" s="13">
        <v>10.10328947368421</v>
      </c>
      <c r="M402" s="13">
        <v>10.340238095238096</v>
      </c>
    </row>
    <row r="403" spans="1:16" x14ac:dyDescent="0.2">
      <c r="A403" s="48">
        <v>2019</v>
      </c>
      <c r="B403" s="13">
        <v>10.327500000000001</v>
      </c>
      <c r="C403" s="13">
        <v>10.217045454545454</v>
      </c>
      <c r="D403" s="13">
        <v>9.5488095238095241</v>
      </c>
      <c r="E403" s="13">
        <v>8.8660714285714288</v>
      </c>
      <c r="F403" s="13">
        <v>8.9891304347826093</v>
      </c>
      <c r="G403" s="13">
        <v>8.6603947368421057</v>
      </c>
      <c r="H403" s="13">
        <v>8.8610869565217385</v>
      </c>
      <c r="I403" s="13">
        <v>8.9608333333333334</v>
      </c>
      <c r="J403" s="13">
        <v>9.1226250000000011</v>
      </c>
      <c r="K403" s="13">
        <v>9.1355952380952381</v>
      </c>
      <c r="L403" s="13">
        <v>9.1036842105263158</v>
      </c>
      <c r="M403" s="13">
        <v>9.5089285714285712</v>
      </c>
    </row>
    <row r="404" spans="1:16" x14ac:dyDescent="0.2">
      <c r="A404" s="48">
        <v>2020</v>
      </c>
      <c r="B404" s="13">
        <v>9.3254761904761896</v>
      </c>
      <c r="C404" s="13">
        <v>8.8188636363636359</v>
      </c>
      <c r="D404" s="13">
        <v>9.3416250000000005</v>
      </c>
      <c r="E404" s="13">
        <v>9.2773863636363636</v>
      </c>
      <c r="F404" s="13">
        <v>8.9737500000000008</v>
      </c>
      <c r="G404" s="13">
        <v>9.0945</v>
      </c>
      <c r="H404" s="13">
        <v>9.5070652173913039</v>
      </c>
      <c r="I404" s="13">
        <v>9.2586250000000003</v>
      </c>
      <c r="J404" s="13">
        <v>9.2427380952380958</v>
      </c>
      <c r="K404" s="13">
        <v>9.2216666666666658</v>
      </c>
      <c r="L404" s="13">
        <v>8.8567105263157888</v>
      </c>
      <c r="M404" s="13">
        <v>8.6779545454545453</v>
      </c>
    </row>
    <row r="405" spans="1:16" x14ac:dyDescent="0.2">
      <c r="A405" s="48">
        <v>2021</v>
      </c>
      <c r="B405" s="13">
        <v>8.4630952380952387</v>
      </c>
      <c r="C405" s="13">
        <v>8.4433749999999996</v>
      </c>
      <c r="D405" s="13">
        <v>8.7296590909090916</v>
      </c>
      <c r="E405" s="13">
        <v>8.9473863636363635</v>
      </c>
      <c r="F405" s="13">
        <v>9.1120238095238104</v>
      </c>
      <c r="G405" s="13">
        <v>9.9761904761904763</v>
      </c>
      <c r="H405" s="13">
        <v>10.420795454545456</v>
      </c>
      <c r="I405" s="13">
        <v>11.432625</v>
      </c>
      <c r="J405" s="13">
        <v>12.10125</v>
      </c>
      <c r="K405" s="13">
        <v>13.707763157894737</v>
      </c>
      <c r="L405" s="13">
        <v>13.820526315789472</v>
      </c>
      <c r="M405" s="52">
        <v>12.076630434782608</v>
      </c>
    </row>
    <row r="406" spans="1:16" x14ac:dyDescent="0.2">
      <c r="A406" s="48">
        <v>2022</v>
      </c>
      <c r="B406" s="13">
        <v>12.674166666666668</v>
      </c>
      <c r="C406" s="13">
        <v>13.576874999999999</v>
      </c>
      <c r="D406" s="13">
        <v>13.497045454545455</v>
      </c>
      <c r="E406" s="13">
        <v>13.504761904761903</v>
      </c>
      <c r="F406" s="13">
        <v>13.341363636363637</v>
      </c>
      <c r="G406" s="13">
        <v>12.951904761904762</v>
      </c>
      <c r="H406" s="13">
        <v>12.497619047619049</v>
      </c>
      <c r="I406" s="13">
        <v>12.541190476190478</v>
      </c>
      <c r="J406" s="13">
        <v>12.96034090909091</v>
      </c>
      <c r="K406" s="13">
        <v>14.05325</v>
      </c>
      <c r="L406" s="13">
        <v>15.885526315789473</v>
      </c>
      <c r="M406" s="52"/>
    </row>
    <row r="407" spans="1:16" x14ac:dyDescent="0.2">
      <c r="A407" s="48">
        <v>2023</v>
      </c>
      <c r="K407" s="38">
        <f>[3]Prices!$B$639</f>
        <v>15.101500000000001</v>
      </c>
      <c r="L407" s="38">
        <f>[3]Prices!$B$640</f>
        <v>15.276052631578947</v>
      </c>
    </row>
    <row r="408" spans="1:16" x14ac:dyDescent="0.2">
      <c r="A408" s="48">
        <v>2024</v>
      </c>
      <c r="K408" s="39">
        <f>[3]Prices!$B$651</f>
        <v>12.30154761904762</v>
      </c>
      <c r="L408" s="39">
        <f>[3]Prices!$B$652</f>
        <v>11.693875</v>
      </c>
    </row>
    <row r="409" spans="1:16" x14ac:dyDescent="0.2">
      <c r="A409" s="48">
        <v>2025</v>
      </c>
      <c r="K409" s="39">
        <f>[3]Prices!$B$662</f>
        <v>9.8350000000000009</v>
      </c>
      <c r="L409" s="39">
        <f>[3]Prices!$B$663</f>
        <v>10.295119047619048</v>
      </c>
    </row>
    <row r="410" spans="1:16" x14ac:dyDescent="0.2">
      <c r="A410" s="48">
        <v>2026</v>
      </c>
      <c r="K410" s="39">
        <f>[3]Prices!$B$675</f>
        <v>11.75</v>
      </c>
      <c r="L410" s="39">
        <f>[3]Prices!$B$676</f>
        <v>12.100000000000001</v>
      </c>
    </row>
    <row r="411" spans="1:16" ht="15.75" x14ac:dyDescent="0.25">
      <c r="A411" s="51" t="s">
        <v>162</v>
      </c>
    </row>
    <row r="412" spans="1:16" ht="13.5" x14ac:dyDescent="0.25">
      <c r="A412" s="42" t="s">
        <v>155</v>
      </c>
      <c r="B412" t="s">
        <v>94</v>
      </c>
      <c r="C412" t="s">
        <v>83</v>
      </c>
      <c r="D412" t="s">
        <v>84</v>
      </c>
      <c r="E412" t="s">
        <v>85</v>
      </c>
      <c r="F412" t="s">
        <v>86</v>
      </c>
      <c r="G412" t="s">
        <v>87</v>
      </c>
      <c r="H412" t="s">
        <v>88</v>
      </c>
      <c r="I412" t="s">
        <v>89</v>
      </c>
      <c r="J412" t="s">
        <v>90</v>
      </c>
      <c r="K412" t="s">
        <v>91</v>
      </c>
      <c r="L412" t="s">
        <v>92</v>
      </c>
      <c r="M412" t="s">
        <v>93</v>
      </c>
      <c r="O412" t="str">
        <f>_xlfn.CONCAT(K412," ","Error")</f>
        <v>Jan Error</v>
      </c>
      <c r="P412" t="str">
        <f>_xlfn.CONCAT(L412," ","Error")</f>
        <v>Feb Error</v>
      </c>
    </row>
    <row r="413" spans="1:16" x14ac:dyDescent="0.2">
      <c r="A413" s="48">
        <v>1971</v>
      </c>
      <c r="B413" s="13">
        <v>2.7149999999999999</v>
      </c>
      <c r="C413" s="13">
        <v>2.7</v>
      </c>
      <c r="D413" s="13">
        <v>3.0525000000000002</v>
      </c>
      <c r="E413" s="13">
        <v>3.11</v>
      </c>
      <c r="F413" s="13">
        <v>3.0625</v>
      </c>
      <c r="G413" s="13">
        <v>3.02</v>
      </c>
      <c r="H413" s="13">
        <v>3.19</v>
      </c>
      <c r="I413" s="13">
        <v>3.1575000000000002</v>
      </c>
      <c r="J413" s="13">
        <v>3.0449999999999999</v>
      </c>
      <c r="K413" s="13">
        <v>3.1225000000000001</v>
      </c>
      <c r="L413" s="13">
        <v>3.1</v>
      </c>
      <c r="M413" s="13">
        <v>3.05</v>
      </c>
      <c r="O413" s="13">
        <f t="shared" ref="O413:P428" si="21">K413-K355</f>
        <v>6.3250000000000028E-2</v>
      </c>
      <c r="P413" s="13">
        <f t="shared" si="21"/>
        <v>4.421052999999997E-2</v>
      </c>
    </row>
    <row r="414" spans="1:16" x14ac:dyDescent="0.2">
      <c r="A414" s="48">
        <v>1972</v>
      </c>
      <c r="B414" s="13">
        <v>2.9550000000000001</v>
      </c>
      <c r="C414" s="13">
        <v>3.1324999999999998</v>
      </c>
      <c r="D414" s="13">
        <v>3.3125</v>
      </c>
      <c r="E414" s="13">
        <v>3.4925000000000002</v>
      </c>
      <c r="F414" s="13">
        <v>3.4049999999999998</v>
      </c>
      <c r="G414" s="13">
        <v>3.36</v>
      </c>
      <c r="H414" s="13">
        <v>3.3650000000000002</v>
      </c>
      <c r="I414" s="13">
        <v>3.3050000000000002</v>
      </c>
      <c r="J414" s="13">
        <v>3.2425000000000002</v>
      </c>
      <c r="K414" s="13">
        <v>3.2</v>
      </c>
      <c r="L414" s="13">
        <v>3.3174999999999999</v>
      </c>
      <c r="M414" s="13">
        <v>3.46</v>
      </c>
      <c r="O414" s="13">
        <f t="shared" si="21"/>
        <v>6.7857150000000033E-2</v>
      </c>
      <c r="P414" s="13">
        <f t="shared" si="21"/>
        <v>0.12112499999999971</v>
      </c>
    </row>
    <row r="415" spans="1:16" x14ac:dyDescent="0.2">
      <c r="A415" s="48">
        <v>1973</v>
      </c>
      <c r="B415" s="13">
        <v>3.3574999999999999</v>
      </c>
      <c r="C415" s="13">
        <v>3.33</v>
      </c>
      <c r="D415" s="13">
        <v>3.3624999999999998</v>
      </c>
      <c r="E415" s="13">
        <v>3.395</v>
      </c>
      <c r="F415" s="13">
        <v>3.4824999999999999</v>
      </c>
      <c r="G415" s="13">
        <v>3.5775000000000001</v>
      </c>
      <c r="H415" s="13">
        <v>3.6349999999999998</v>
      </c>
      <c r="I415" s="13">
        <v>3.9049999999999998</v>
      </c>
      <c r="J415" s="13">
        <v>4.41</v>
      </c>
      <c r="K415" s="13">
        <v>4.9800000000000004</v>
      </c>
      <c r="L415" s="13">
        <v>6.81</v>
      </c>
      <c r="M415" s="13">
        <v>7</v>
      </c>
      <c r="O415" s="13">
        <f t="shared" si="21"/>
        <v>0.45166667000000071</v>
      </c>
      <c r="P415" s="13">
        <f t="shared" si="21"/>
        <v>0.96986843</v>
      </c>
    </row>
    <row r="416" spans="1:16" x14ac:dyDescent="0.2">
      <c r="A416" s="48">
        <v>1974</v>
      </c>
      <c r="B416" s="13">
        <v>4.6325000000000003</v>
      </c>
      <c r="C416" s="13">
        <v>6.44</v>
      </c>
      <c r="D416" s="13">
        <v>6.9249999999999998</v>
      </c>
      <c r="E416" s="13">
        <v>8.0500000000000007</v>
      </c>
      <c r="F416" s="13">
        <v>9.1300000000000008</v>
      </c>
      <c r="G416" s="13">
        <v>6.95</v>
      </c>
      <c r="H416" s="13">
        <v>6.68</v>
      </c>
      <c r="I416" s="13">
        <v>6.39</v>
      </c>
      <c r="J416" s="13">
        <v>6.4950000000000001</v>
      </c>
      <c r="K416" s="13">
        <v>6.52</v>
      </c>
      <c r="L416" s="13">
        <v>6.8</v>
      </c>
      <c r="M416" s="13">
        <v>6.5149999999999997</v>
      </c>
      <c r="O416" s="13">
        <f t="shared" si="21"/>
        <v>0.2574999999999994</v>
      </c>
      <c r="P416" s="13">
        <f t="shared" si="21"/>
        <v>0.36013888999999999</v>
      </c>
    </row>
    <row r="417" spans="1:16" x14ac:dyDescent="0.2">
      <c r="A417" s="48">
        <v>1975</v>
      </c>
      <c r="B417" s="13">
        <v>5.81</v>
      </c>
      <c r="C417" s="13">
        <v>5.65</v>
      </c>
      <c r="D417" s="13">
        <v>6</v>
      </c>
      <c r="E417" s="13">
        <v>8.8800000000000008</v>
      </c>
      <c r="F417" s="13">
        <v>8.85</v>
      </c>
      <c r="G417" s="13">
        <v>8.9350000000000005</v>
      </c>
      <c r="H417" s="13">
        <v>9.69</v>
      </c>
      <c r="I417" s="13">
        <v>8.9499999999999993</v>
      </c>
      <c r="J417" s="13">
        <v>8.0299999999999994</v>
      </c>
      <c r="K417" s="13">
        <v>7.29</v>
      </c>
      <c r="L417" s="13">
        <v>6.15</v>
      </c>
      <c r="M417" s="13">
        <v>5.8</v>
      </c>
      <c r="O417" s="13">
        <f t="shared" si="21"/>
        <v>0.80465910000000029</v>
      </c>
      <c r="P417" s="13">
        <f t="shared" si="21"/>
        <v>0.46802632000000077</v>
      </c>
    </row>
    <row r="418" spans="1:16" x14ac:dyDescent="0.2">
      <c r="A418" s="48">
        <v>1976</v>
      </c>
      <c r="B418" s="13">
        <v>6.0475000000000003</v>
      </c>
      <c r="C418" s="13">
        <v>5.34</v>
      </c>
      <c r="D418" s="13">
        <v>5.33</v>
      </c>
      <c r="E418" s="13">
        <v>6.55</v>
      </c>
      <c r="F418" s="13">
        <v>6.72</v>
      </c>
      <c r="G418" s="13">
        <v>6.33</v>
      </c>
      <c r="H418" s="13">
        <v>5.97</v>
      </c>
      <c r="I418" s="13">
        <v>5.2</v>
      </c>
      <c r="J418" s="13">
        <v>5.1425000000000001</v>
      </c>
      <c r="K418" s="13">
        <v>4.9550000000000001</v>
      </c>
      <c r="L418" s="13">
        <v>4.9074999999999998</v>
      </c>
      <c r="M418" s="13">
        <v>4.8449999999999998</v>
      </c>
      <c r="O418" s="13">
        <f t="shared" si="21"/>
        <v>0.20166666999999983</v>
      </c>
      <c r="P418" s="13">
        <f t="shared" si="21"/>
        <v>0.11078947999999933</v>
      </c>
    </row>
    <row r="419" spans="1:16" x14ac:dyDescent="0.2">
      <c r="A419" s="48">
        <v>1977</v>
      </c>
      <c r="B419" s="13">
        <v>5.3250000000000002</v>
      </c>
      <c r="C419" s="13">
        <v>6.0750000000000002</v>
      </c>
      <c r="D419" s="13">
        <v>7.0949999999999998</v>
      </c>
      <c r="E419" s="13">
        <v>7.88</v>
      </c>
      <c r="F419" s="13">
        <v>7.13</v>
      </c>
      <c r="G419" s="13">
        <v>7.6849999999999996</v>
      </c>
      <c r="H419" s="13">
        <v>6.9</v>
      </c>
      <c r="I419" s="13">
        <v>6.99</v>
      </c>
      <c r="J419" s="13">
        <v>7.16</v>
      </c>
      <c r="K419" s="13">
        <v>7.38</v>
      </c>
      <c r="L419" s="13">
        <v>7.8650000000000002</v>
      </c>
      <c r="M419" s="13">
        <v>8.7349999999999994</v>
      </c>
      <c r="O419" s="13">
        <f t="shared" si="21"/>
        <v>0.17238095999999992</v>
      </c>
      <c r="P419" s="13">
        <f t="shared" si="21"/>
        <v>0.46592106000000033</v>
      </c>
    </row>
    <row r="420" spans="1:16" x14ac:dyDescent="0.2">
      <c r="A420" s="48">
        <v>1978</v>
      </c>
      <c r="B420" s="13">
        <v>7.83</v>
      </c>
      <c r="C420" s="13">
        <v>7.79</v>
      </c>
      <c r="D420" s="13">
        <v>8.0449999999999999</v>
      </c>
      <c r="E420" s="13">
        <v>6.67</v>
      </c>
      <c r="F420" s="13">
        <v>5.9</v>
      </c>
      <c r="G420" s="13">
        <v>5.83</v>
      </c>
      <c r="H420" s="13">
        <v>5.74</v>
      </c>
      <c r="I420" s="13">
        <v>6.42</v>
      </c>
      <c r="J420" s="13">
        <v>6.2549999999999999</v>
      </c>
      <c r="K420" s="13">
        <v>6.1349999999999998</v>
      </c>
      <c r="L420" s="13">
        <v>5.8650000000000002</v>
      </c>
      <c r="M420" s="13">
        <v>7.12</v>
      </c>
      <c r="O420" s="13">
        <f t="shared" si="21"/>
        <v>0.30904761999999941</v>
      </c>
      <c r="P420" s="13">
        <f t="shared" si="21"/>
        <v>0.15552631999999988</v>
      </c>
    </row>
    <row r="421" spans="1:16" x14ac:dyDescent="0.2">
      <c r="A421" s="48">
        <v>1979</v>
      </c>
      <c r="B421" s="13">
        <v>6.55</v>
      </c>
      <c r="C421" s="13">
        <v>6.94</v>
      </c>
      <c r="D421" s="13">
        <v>6.89</v>
      </c>
      <c r="E421" s="13">
        <v>6.37</v>
      </c>
      <c r="F421" s="13">
        <v>6.71</v>
      </c>
      <c r="G421" s="13">
        <v>6.93</v>
      </c>
      <c r="H421" s="13">
        <v>7.51</v>
      </c>
      <c r="I421" s="13">
        <v>7.3049999999999997</v>
      </c>
      <c r="J421" s="13">
        <v>7.1849999999999996</v>
      </c>
      <c r="K421" s="13">
        <v>7.23</v>
      </c>
      <c r="L421" s="13">
        <v>7.7850000000000001</v>
      </c>
      <c r="M421" s="13">
        <v>7.64</v>
      </c>
      <c r="O421" s="13">
        <f t="shared" si="21"/>
        <v>0.24056819000000029</v>
      </c>
      <c r="P421" s="13">
        <f t="shared" si="21"/>
        <v>0.33092106000000054</v>
      </c>
    </row>
    <row r="422" spans="1:16" x14ac:dyDescent="0.2">
      <c r="A422" s="48">
        <v>1980</v>
      </c>
      <c r="B422" s="13">
        <v>7.39</v>
      </c>
      <c r="C422" s="13">
        <v>7.52</v>
      </c>
      <c r="D422" s="13">
        <v>8.56</v>
      </c>
      <c r="E422" s="13">
        <v>8.1999999999999993</v>
      </c>
      <c r="F422" s="13">
        <v>7.64</v>
      </c>
      <c r="G422" s="13">
        <v>7.8</v>
      </c>
      <c r="H422" s="13">
        <v>7.72</v>
      </c>
      <c r="I422" s="13">
        <v>7.2050000000000001</v>
      </c>
      <c r="J422" s="13">
        <v>7.08</v>
      </c>
      <c r="K422" s="13">
        <v>6.82</v>
      </c>
      <c r="L422" s="13">
        <v>6.8875000000000002</v>
      </c>
      <c r="M422" s="13">
        <v>6.4550000000000001</v>
      </c>
      <c r="O422" s="13">
        <f t="shared" si="21"/>
        <v>0.19950000000000045</v>
      </c>
      <c r="P422" s="13">
        <f t="shared" si="21"/>
        <v>0.31912500000000055</v>
      </c>
    </row>
    <row r="423" spans="1:16" x14ac:dyDescent="0.2">
      <c r="A423" s="48">
        <v>1981</v>
      </c>
      <c r="B423" s="13">
        <v>7.0149999999999997</v>
      </c>
      <c r="C423" s="13">
        <v>7</v>
      </c>
      <c r="D423" s="13">
        <v>7.38</v>
      </c>
      <c r="E423" s="13">
        <v>8.5649999999999995</v>
      </c>
      <c r="F423" s="13">
        <v>8.52</v>
      </c>
      <c r="G423" s="13">
        <v>9.19</v>
      </c>
      <c r="H423" s="13">
        <v>9.7799999999999994</v>
      </c>
      <c r="I423" s="13">
        <v>9.8800000000000008</v>
      </c>
      <c r="J423" s="13">
        <v>9.7100000000000009</v>
      </c>
      <c r="K423" s="13">
        <v>8.5500000000000007</v>
      </c>
      <c r="L423" s="13">
        <v>7.72</v>
      </c>
      <c r="M423" s="13">
        <v>7.58</v>
      </c>
      <c r="O423" s="13">
        <f t="shared" si="21"/>
        <v>0.68880953000000034</v>
      </c>
      <c r="P423" s="13">
        <f t="shared" si="21"/>
        <v>0.21815789999999957</v>
      </c>
    </row>
    <row r="424" spans="1:16" x14ac:dyDescent="0.2">
      <c r="A424" s="48">
        <v>1982</v>
      </c>
      <c r="B424" s="13">
        <v>9.08</v>
      </c>
      <c r="C424" s="13">
        <v>8.6999999999999993</v>
      </c>
      <c r="D424" s="13">
        <v>8.17</v>
      </c>
      <c r="E424" s="13">
        <v>8.3800000000000008</v>
      </c>
      <c r="F424" s="13">
        <v>7.875</v>
      </c>
      <c r="G424" s="13">
        <v>7.2850000000000001</v>
      </c>
      <c r="H424" s="13">
        <v>7.1950000000000003</v>
      </c>
      <c r="I424" s="13">
        <v>7.01</v>
      </c>
      <c r="J424" s="13">
        <v>6.81</v>
      </c>
      <c r="K424" s="13">
        <v>6.6</v>
      </c>
      <c r="L424" s="13">
        <v>6.65</v>
      </c>
      <c r="M424" s="13">
        <v>6.2750000000000004</v>
      </c>
      <c r="O424" s="13">
        <f t="shared" si="21"/>
        <v>0.17737499999999962</v>
      </c>
      <c r="P424" s="13">
        <f t="shared" si="21"/>
        <v>0.35526316000000069</v>
      </c>
    </row>
    <row r="425" spans="1:16" x14ac:dyDescent="0.2">
      <c r="A425" s="48">
        <v>1983</v>
      </c>
      <c r="B425" s="13">
        <v>7.21</v>
      </c>
      <c r="C425" s="13">
        <v>7.125</v>
      </c>
      <c r="D425" s="13">
        <v>6.915</v>
      </c>
      <c r="E425" s="13">
        <v>6.64</v>
      </c>
      <c r="F425" s="13">
        <v>6.49</v>
      </c>
      <c r="G425" s="13">
        <v>5.98</v>
      </c>
      <c r="H425" s="13">
        <v>5.7750000000000004</v>
      </c>
      <c r="I425" s="13">
        <v>5.9924999999999997</v>
      </c>
      <c r="J425" s="13">
        <v>5.87</v>
      </c>
      <c r="K425" s="13">
        <v>6.07</v>
      </c>
      <c r="L425" s="13">
        <v>6.0750000000000002</v>
      </c>
      <c r="M425" s="13">
        <v>6.0324999999999998</v>
      </c>
      <c r="O425" s="13">
        <f t="shared" si="21"/>
        <v>0.17297619999999991</v>
      </c>
      <c r="P425" s="13">
        <f t="shared" si="21"/>
        <v>0.17131579000000041</v>
      </c>
    </row>
    <row r="426" spans="1:16" x14ac:dyDescent="0.2">
      <c r="A426" s="48">
        <v>1984</v>
      </c>
      <c r="B426" s="13">
        <v>7.21</v>
      </c>
      <c r="C426" s="13">
        <v>7.1</v>
      </c>
      <c r="D426" s="13">
        <v>6.68</v>
      </c>
      <c r="E426" s="13">
        <v>7.83</v>
      </c>
      <c r="F426" s="13">
        <v>9.875</v>
      </c>
      <c r="G426" s="13">
        <v>9.9350000000000005</v>
      </c>
      <c r="H426" s="13">
        <v>9.26</v>
      </c>
      <c r="I426" s="13">
        <v>8.9700000000000006</v>
      </c>
      <c r="J426" s="13">
        <v>8.44</v>
      </c>
      <c r="K426" s="13">
        <v>8.1999999999999993</v>
      </c>
      <c r="L426" s="13">
        <v>7.53</v>
      </c>
      <c r="M426" s="13">
        <v>8.01</v>
      </c>
      <c r="O426" s="13">
        <f t="shared" si="21"/>
        <v>0.58869047999999946</v>
      </c>
      <c r="P426" s="13">
        <f t="shared" si="21"/>
        <v>0.30525000000000002</v>
      </c>
    </row>
    <row r="427" spans="1:16" x14ac:dyDescent="0.2">
      <c r="A427" s="48">
        <v>1985</v>
      </c>
      <c r="B427" s="13">
        <v>7.69</v>
      </c>
      <c r="C427" s="13">
        <v>7.76</v>
      </c>
      <c r="D427" s="13">
        <v>7.9050000000000002</v>
      </c>
      <c r="E427" s="13">
        <v>7.55</v>
      </c>
      <c r="F427" s="13">
        <v>6.9024999999999999</v>
      </c>
      <c r="G427" s="13">
        <v>6.65</v>
      </c>
      <c r="H427" s="13">
        <v>6.6550000000000002</v>
      </c>
      <c r="I427" s="13">
        <v>6.6349999999999998</v>
      </c>
      <c r="J427" s="13">
        <v>6.27</v>
      </c>
      <c r="K427" s="13">
        <v>6.125</v>
      </c>
      <c r="L427" s="13">
        <v>6.07</v>
      </c>
      <c r="M427" s="13">
        <v>6.04</v>
      </c>
      <c r="O427" s="13">
        <f t="shared" si="21"/>
        <v>0.18545455000000022</v>
      </c>
      <c r="P427" s="13">
        <f t="shared" si="21"/>
        <v>0.25013158000000058</v>
      </c>
    </row>
    <row r="428" spans="1:16" x14ac:dyDescent="0.2">
      <c r="A428" s="48">
        <v>1986</v>
      </c>
      <c r="B428" s="13">
        <v>6.44</v>
      </c>
      <c r="C428" s="13">
        <v>6.3</v>
      </c>
      <c r="D428" s="13">
        <v>6.07</v>
      </c>
      <c r="E428" s="13">
        <v>6.11</v>
      </c>
      <c r="F428" s="13">
        <v>5.54</v>
      </c>
      <c r="G428" s="13">
        <v>5.5049999999999999</v>
      </c>
      <c r="H428" s="13">
        <v>5.4225000000000003</v>
      </c>
      <c r="I428" s="13">
        <v>5.48</v>
      </c>
      <c r="J428" s="13">
        <v>5.5549999999999997</v>
      </c>
      <c r="K428" s="13">
        <v>5.57</v>
      </c>
      <c r="L428" s="13">
        <v>5.37</v>
      </c>
      <c r="M428" s="13">
        <v>5.3925000000000001</v>
      </c>
      <c r="O428" s="13">
        <f t="shared" si="21"/>
        <v>0.14909090999999997</v>
      </c>
      <c r="P428" s="13">
        <f t="shared" si="21"/>
        <v>0.10986842999999968</v>
      </c>
    </row>
    <row r="429" spans="1:16" x14ac:dyDescent="0.2">
      <c r="A429" s="48">
        <v>1987</v>
      </c>
      <c r="B429" s="13">
        <v>5.7</v>
      </c>
      <c r="C429" s="13">
        <v>5.71</v>
      </c>
      <c r="D429" s="13">
        <v>5.3</v>
      </c>
      <c r="E429" s="13">
        <v>5.35</v>
      </c>
      <c r="F429" s="13">
        <v>5.2149999999999999</v>
      </c>
      <c r="G429" s="13">
        <v>5.0949999999999998</v>
      </c>
      <c r="H429" s="13">
        <v>5.0925000000000002</v>
      </c>
      <c r="I429" s="13">
        <v>5.1100000000000003</v>
      </c>
      <c r="J429" s="13">
        <v>5.085</v>
      </c>
      <c r="K429" s="13">
        <v>5.0274999999999999</v>
      </c>
      <c r="L429" s="13">
        <v>5.0175000000000001</v>
      </c>
      <c r="M429" s="13">
        <v>4.9175000000000004</v>
      </c>
      <c r="O429" s="13">
        <f t="shared" ref="O429:P444" si="22">K429-K371</f>
        <v>6.1071430000000149E-2</v>
      </c>
      <c r="P429" s="13">
        <f t="shared" si="22"/>
        <v>0.12236842999999986</v>
      </c>
    </row>
    <row r="430" spans="1:16" x14ac:dyDescent="0.2">
      <c r="A430" s="48">
        <v>1988</v>
      </c>
      <c r="B430" s="13">
        <v>5.49</v>
      </c>
      <c r="C430" s="13">
        <v>6.28</v>
      </c>
      <c r="D430" s="13">
        <v>6.4249999999999998</v>
      </c>
      <c r="E430" s="13">
        <v>5.7050000000000001</v>
      </c>
      <c r="F430" s="13">
        <v>5.47</v>
      </c>
      <c r="G430" s="13">
        <v>5.4924999999999997</v>
      </c>
      <c r="H430" s="13">
        <v>5.69</v>
      </c>
      <c r="I430" s="13">
        <v>6.2249999999999996</v>
      </c>
      <c r="J430" s="13">
        <v>6.23</v>
      </c>
      <c r="K430" s="13">
        <v>6.4124999999999996</v>
      </c>
      <c r="L430" s="13">
        <v>6.45</v>
      </c>
      <c r="M430" s="13">
        <v>6.37</v>
      </c>
      <c r="O430" s="13">
        <f t="shared" si="22"/>
        <v>0.17737499999999962</v>
      </c>
      <c r="P430" s="13">
        <f t="shared" si="22"/>
        <v>0.26325000000000021</v>
      </c>
    </row>
    <row r="431" spans="1:16" x14ac:dyDescent="0.2">
      <c r="A431" s="48">
        <v>1989</v>
      </c>
      <c r="B431" s="13">
        <v>7.29</v>
      </c>
      <c r="C431" s="13">
        <v>8.3000000000000007</v>
      </c>
      <c r="D431" s="13">
        <v>10.23</v>
      </c>
      <c r="E431" s="13">
        <v>9.7799999999999994</v>
      </c>
      <c r="F431" s="13">
        <v>8.99</v>
      </c>
      <c r="G431" s="13">
        <v>9.2100000000000009</v>
      </c>
      <c r="H431" s="13">
        <v>8.4600000000000009</v>
      </c>
      <c r="I431" s="13">
        <v>8.2650000000000006</v>
      </c>
      <c r="J431" s="13">
        <v>8.1999999999999993</v>
      </c>
      <c r="K431" s="13">
        <v>8.3275000000000006</v>
      </c>
      <c r="L431" s="13">
        <v>7.7750000000000004</v>
      </c>
      <c r="M431" s="13">
        <v>7.7949999999999999</v>
      </c>
      <c r="O431" s="13">
        <f t="shared" si="22"/>
        <v>0.46000000000000085</v>
      </c>
      <c r="P431" s="13">
        <f t="shared" si="22"/>
        <v>0.27394737000000013</v>
      </c>
    </row>
    <row r="432" spans="1:16" x14ac:dyDescent="0.2">
      <c r="A432" s="48">
        <v>1990</v>
      </c>
      <c r="B432" s="13">
        <v>7.62</v>
      </c>
      <c r="C432" s="13">
        <v>7.46</v>
      </c>
      <c r="D432" s="13">
        <v>6.9550000000000001</v>
      </c>
      <c r="E432" s="13">
        <v>7.24</v>
      </c>
      <c r="F432" s="13">
        <v>6.18</v>
      </c>
      <c r="G432" s="13">
        <v>6.1849999999999996</v>
      </c>
      <c r="H432" s="13">
        <v>6.12</v>
      </c>
      <c r="I432" s="13">
        <v>6.1</v>
      </c>
      <c r="J432" s="13">
        <v>6</v>
      </c>
      <c r="K432" s="13">
        <v>5.8650000000000002</v>
      </c>
      <c r="L432" s="13">
        <v>5.74</v>
      </c>
      <c r="M432" s="13">
        <v>5.9550000000000001</v>
      </c>
      <c r="O432" s="13">
        <f t="shared" si="22"/>
        <v>0.15477273000000036</v>
      </c>
      <c r="P432" s="13">
        <f t="shared" si="22"/>
        <v>8.881578999999995E-2</v>
      </c>
    </row>
    <row r="433" spans="1:16" x14ac:dyDescent="0.2">
      <c r="A433" s="48">
        <v>1991</v>
      </c>
      <c r="B433" s="13">
        <v>6.85</v>
      </c>
      <c r="C433" s="13">
        <v>7.01</v>
      </c>
      <c r="D433" s="13">
        <v>6.74</v>
      </c>
      <c r="E433" s="13">
        <v>7.03</v>
      </c>
      <c r="F433" s="13">
        <v>6.73</v>
      </c>
      <c r="G433" s="13">
        <v>6.6849999999999996</v>
      </c>
      <c r="H433" s="13">
        <v>6.625</v>
      </c>
      <c r="I433" s="13">
        <v>6.3075000000000001</v>
      </c>
      <c r="J433" s="13">
        <v>6.2</v>
      </c>
      <c r="K433" s="13">
        <v>5.8925000000000001</v>
      </c>
      <c r="L433" s="13">
        <v>5.8274999999999997</v>
      </c>
      <c r="M433" s="13">
        <v>6.0049999999999999</v>
      </c>
      <c r="O433" s="13">
        <f t="shared" si="22"/>
        <v>0.18318181999999972</v>
      </c>
      <c r="P433" s="13">
        <f t="shared" si="22"/>
        <v>0.10947368999999973</v>
      </c>
    </row>
    <row r="434" spans="1:16" x14ac:dyDescent="0.2">
      <c r="A434" s="48">
        <v>1992</v>
      </c>
      <c r="B434" s="13">
        <v>6.53</v>
      </c>
      <c r="C434" s="13">
        <v>6.33</v>
      </c>
      <c r="D434" s="13">
        <v>6.2050000000000001</v>
      </c>
      <c r="E434" s="13">
        <v>6.37</v>
      </c>
      <c r="F434" s="13">
        <v>6.66</v>
      </c>
      <c r="G434" s="13">
        <v>6.38</v>
      </c>
      <c r="H434" s="13">
        <v>6.1349999999999998</v>
      </c>
      <c r="I434" s="13">
        <v>5.8150000000000004</v>
      </c>
      <c r="J434" s="13">
        <v>5.7350000000000003</v>
      </c>
      <c r="K434" s="13">
        <v>5.8574999999999999</v>
      </c>
      <c r="L434" s="13">
        <v>5.85</v>
      </c>
      <c r="M434" s="13">
        <v>5.9550000000000001</v>
      </c>
      <c r="O434" s="13">
        <f t="shared" si="22"/>
        <v>0.16409090999999965</v>
      </c>
      <c r="P434" s="13">
        <f t="shared" si="22"/>
        <v>0.10394736999999932</v>
      </c>
    </row>
    <row r="435" spans="1:16" x14ac:dyDescent="0.2">
      <c r="A435" s="48">
        <v>1993</v>
      </c>
      <c r="B435" s="13">
        <v>6.2350000000000003</v>
      </c>
      <c r="C435" s="13">
        <v>6.56</v>
      </c>
      <c r="D435" s="13">
        <v>6.64</v>
      </c>
      <c r="E435" s="13">
        <v>6.3</v>
      </c>
      <c r="F435" s="13">
        <v>5.72</v>
      </c>
      <c r="G435" s="13">
        <v>5.77</v>
      </c>
      <c r="H435" s="13">
        <v>5.625</v>
      </c>
      <c r="I435" s="13">
        <v>5.7549999999999999</v>
      </c>
      <c r="J435" s="13">
        <v>5.8449999999999998</v>
      </c>
      <c r="K435" s="13">
        <v>5.88</v>
      </c>
      <c r="L435" s="13">
        <v>5.79</v>
      </c>
      <c r="M435" s="13">
        <v>5.875</v>
      </c>
      <c r="O435" s="13">
        <f t="shared" si="22"/>
        <v>9.1499999999999915E-2</v>
      </c>
      <c r="P435" s="13">
        <f t="shared" si="22"/>
        <v>7.4605270000000168E-2</v>
      </c>
    </row>
    <row r="436" spans="1:16" x14ac:dyDescent="0.2">
      <c r="A436" s="48">
        <v>1994</v>
      </c>
      <c r="B436" s="13">
        <v>6.2750000000000004</v>
      </c>
      <c r="C436" s="13">
        <v>6.23</v>
      </c>
      <c r="D436" s="13">
        <v>6.66</v>
      </c>
      <c r="E436" s="13">
        <v>7.54</v>
      </c>
      <c r="F436" s="13">
        <v>7.12</v>
      </c>
      <c r="G436" s="13">
        <v>6.7525000000000004</v>
      </c>
      <c r="H436" s="13">
        <v>6.41</v>
      </c>
      <c r="I436" s="13">
        <v>6.99</v>
      </c>
      <c r="J436" s="13">
        <v>7.1449999999999996</v>
      </c>
      <c r="K436" s="13">
        <v>7.21</v>
      </c>
      <c r="L436" s="13">
        <v>6.9074999999999998</v>
      </c>
      <c r="M436" s="13">
        <v>6.95</v>
      </c>
      <c r="O436" s="13">
        <f t="shared" si="22"/>
        <v>0.20285714999999982</v>
      </c>
      <c r="P436" s="13">
        <f t="shared" si="22"/>
        <v>0.11368421999999967</v>
      </c>
    </row>
    <row r="437" spans="1:16" x14ac:dyDescent="0.2">
      <c r="A437" s="48">
        <v>1995</v>
      </c>
      <c r="B437" s="13">
        <v>6.46</v>
      </c>
      <c r="C437" s="13">
        <v>7.0225</v>
      </c>
      <c r="D437" s="13">
        <v>7.05</v>
      </c>
      <c r="E437" s="13">
        <v>6.35</v>
      </c>
      <c r="F437" s="13">
        <v>5.96</v>
      </c>
      <c r="G437" s="13">
        <v>6.02</v>
      </c>
      <c r="H437" s="13">
        <v>5.77</v>
      </c>
      <c r="I437" s="13">
        <v>5.86</v>
      </c>
      <c r="J437" s="13">
        <v>5.7925000000000004</v>
      </c>
      <c r="K437" s="13">
        <v>5.63</v>
      </c>
      <c r="L437" s="13">
        <v>5.61</v>
      </c>
      <c r="M437" s="13">
        <v>5.81</v>
      </c>
      <c r="O437" s="13">
        <f t="shared" si="22"/>
        <v>7.6666669999999826E-2</v>
      </c>
      <c r="P437" s="13">
        <f t="shared" si="22"/>
        <v>6.8026320000000418E-2</v>
      </c>
    </row>
    <row r="438" spans="1:16" x14ac:dyDescent="0.2">
      <c r="A438" s="48">
        <v>1996</v>
      </c>
      <c r="B438" s="13">
        <v>6.3250000000000002</v>
      </c>
      <c r="C438" s="13">
        <v>6.4450000000000003</v>
      </c>
      <c r="D438" s="13">
        <v>6.46</v>
      </c>
      <c r="E438" s="13">
        <v>6.71</v>
      </c>
      <c r="F438" s="13">
        <v>6.4275000000000002</v>
      </c>
      <c r="G438" s="13">
        <v>6.9</v>
      </c>
      <c r="H438" s="13">
        <v>6.9550000000000001</v>
      </c>
      <c r="I438" s="13">
        <v>7.05</v>
      </c>
      <c r="J438" s="13">
        <v>7.5149999999999997</v>
      </c>
      <c r="K438" s="13">
        <v>7.7</v>
      </c>
      <c r="L438" s="13">
        <v>7.4375</v>
      </c>
      <c r="M438" s="13">
        <v>7.36</v>
      </c>
      <c r="O438" s="13">
        <f t="shared" si="22"/>
        <v>0.29250000000000043</v>
      </c>
      <c r="P438" s="13">
        <f t="shared" si="22"/>
        <v>0.13724999999999987</v>
      </c>
    </row>
    <row r="439" spans="1:16" x14ac:dyDescent="0.2">
      <c r="A439" s="48">
        <v>1997</v>
      </c>
      <c r="B439" s="13">
        <v>8.1649999999999991</v>
      </c>
      <c r="C439" s="13">
        <v>8.0549999999999997</v>
      </c>
      <c r="D439" s="13">
        <v>7.7575000000000003</v>
      </c>
      <c r="E439" s="13">
        <v>8.3000000000000007</v>
      </c>
      <c r="F439" s="13">
        <v>8.1199999999999992</v>
      </c>
      <c r="G439" s="13">
        <v>8.2799999999999994</v>
      </c>
      <c r="H439" s="13">
        <v>7.75</v>
      </c>
      <c r="I439" s="13">
        <v>7.1349999999999998</v>
      </c>
      <c r="J439" s="13">
        <v>7.125</v>
      </c>
      <c r="K439" s="13">
        <v>7.54</v>
      </c>
      <c r="L439" s="13">
        <v>7.95</v>
      </c>
      <c r="M439" s="13">
        <v>8.6475000000000009</v>
      </c>
      <c r="O439" s="13">
        <f t="shared" si="22"/>
        <v>0.23147728000000001</v>
      </c>
      <c r="P439" s="13">
        <f t="shared" si="22"/>
        <v>0.31539474000000034</v>
      </c>
    </row>
    <row r="440" spans="1:16" x14ac:dyDescent="0.2">
      <c r="A440" s="48">
        <v>1998</v>
      </c>
      <c r="B440" s="13">
        <v>7.21</v>
      </c>
      <c r="C440" s="13">
        <v>7.23</v>
      </c>
      <c r="D440" s="13">
        <v>7.03</v>
      </c>
      <c r="E440" s="13">
        <v>6.7</v>
      </c>
      <c r="F440" s="13">
        <v>6.82</v>
      </c>
      <c r="G440" s="13">
        <v>6.59</v>
      </c>
      <c r="H440" s="13">
        <v>7.41</v>
      </c>
      <c r="I440" s="13">
        <v>7.4950000000000001</v>
      </c>
      <c r="J440" s="13">
        <v>7.2649999999999997</v>
      </c>
      <c r="K440" s="13">
        <v>6.9</v>
      </c>
      <c r="L440" s="13">
        <v>6.94</v>
      </c>
      <c r="M440" s="13">
        <v>6.7249999999999996</v>
      </c>
      <c r="O440" s="13">
        <f t="shared" si="22"/>
        <v>0.18562499999999993</v>
      </c>
      <c r="P440" s="13">
        <f t="shared" si="22"/>
        <v>0.2067105300000005</v>
      </c>
    </row>
    <row r="441" spans="1:16" x14ac:dyDescent="0.2">
      <c r="A441" s="48">
        <v>1999</v>
      </c>
      <c r="B441" s="13">
        <v>6.46</v>
      </c>
      <c r="C441" s="13">
        <v>6.51</v>
      </c>
      <c r="D441" s="13">
        <v>6.68</v>
      </c>
      <c r="E441" s="13">
        <v>6.49</v>
      </c>
      <c r="F441" s="13">
        <v>5.7549999999999999</v>
      </c>
      <c r="G441" s="13">
        <v>5.58</v>
      </c>
      <c r="H441" s="13">
        <v>5.8975</v>
      </c>
      <c r="I441" s="13">
        <v>6.0350000000000001</v>
      </c>
      <c r="J441" s="13">
        <v>6.02</v>
      </c>
      <c r="K441" s="13">
        <v>5.5875000000000004</v>
      </c>
      <c r="L441" s="13">
        <v>5.19</v>
      </c>
      <c r="M441" s="13">
        <v>4.9249999999999998</v>
      </c>
      <c r="O441" s="13">
        <f t="shared" si="22"/>
        <v>0.26592106000000015</v>
      </c>
      <c r="P441" s="13">
        <f t="shared" si="22"/>
        <v>0.30078948000000061</v>
      </c>
    </row>
    <row r="442" spans="1:16" x14ac:dyDescent="0.2">
      <c r="A442" s="48">
        <v>2000</v>
      </c>
      <c r="B442" s="13">
        <v>5.4050000000000002</v>
      </c>
      <c r="C442" s="13">
        <v>5.2249999999999996</v>
      </c>
      <c r="D442" s="13">
        <v>5.04</v>
      </c>
      <c r="E442" s="13">
        <v>5</v>
      </c>
      <c r="F442" s="13">
        <v>5.16</v>
      </c>
      <c r="G442" s="13">
        <v>5.3650000000000002</v>
      </c>
      <c r="H442" s="13">
        <v>5.2549999999999999</v>
      </c>
      <c r="I442" s="13">
        <v>4.9550000000000001</v>
      </c>
      <c r="J442" s="13">
        <v>4.8899999999999997</v>
      </c>
      <c r="K442" s="13">
        <v>5.2949999999999999</v>
      </c>
      <c r="L442" s="13">
        <v>5.1950000000000003</v>
      </c>
      <c r="M442" s="13">
        <v>5.2</v>
      </c>
      <c r="O442" s="13">
        <f t="shared" si="22"/>
        <v>0.34724999999999984</v>
      </c>
      <c r="P442" s="13">
        <f t="shared" si="22"/>
        <v>0.14012500000000028</v>
      </c>
    </row>
    <row r="443" spans="1:16" x14ac:dyDescent="0.2">
      <c r="A443" s="48">
        <v>2001</v>
      </c>
      <c r="B443" s="13">
        <v>5.915</v>
      </c>
      <c r="C443" s="13">
        <v>6.0449999999999999</v>
      </c>
      <c r="D443" s="13">
        <v>5.6</v>
      </c>
      <c r="E443" s="13">
        <v>4.97</v>
      </c>
      <c r="F443" s="13">
        <v>5.2450000000000001</v>
      </c>
      <c r="G443" s="13">
        <v>5.35</v>
      </c>
      <c r="H443" s="13">
        <v>5.13</v>
      </c>
      <c r="I443" s="13">
        <v>5.17</v>
      </c>
      <c r="J443" s="13">
        <v>5.24</v>
      </c>
      <c r="K443" s="13">
        <v>5.1050000000000004</v>
      </c>
      <c r="L443" s="13">
        <v>4.6950000000000003</v>
      </c>
      <c r="M443" s="13">
        <v>4.6399999999999997</v>
      </c>
      <c r="O443" s="13">
        <f t="shared" si="22"/>
        <v>0.29988096000000031</v>
      </c>
      <c r="P443" s="13">
        <f t="shared" si="22"/>
        <v>0.13842106000000065</v>
      </c>
    </row>
    <row r="444" spans="1:16" x14ac:dyDescent="0.2">
      <c r="A444" s="48">
        <v>2002</v>
      </c>
      <c r="B444" s="13">
        <v>4.6050000000000004</v>
      </c>
      <c r="C444" s="13">
        <v>4.58</v>
      </c>
      <c r="D444" s="13">
        <v>4.8099999999999996</v>
      </c>
      <c r="E444" s="13">
        <v>5.4</v>
      </c>
      <c r="F444" s="13">
        <v>5.25</v>
      </c>
      <c r="G444" s="13">
        <v>4.9850000000000003</v>
      </c>
      <c r="H444" s="13">
        <v>4.7149999999999999</v>
      </c>
      <c r="I444" s="13">
        <v>4.5750000000000002</v>
      </c>
      <c r="J444" s="13">
        <v>4.5199999999999996</v>
      </c>
      <c r="K444" s="13">
        <v>4.5449999999999999</v>
      </c>
      <c r="L444" s="13">
        <v>4.47</v>
      </c>
      <c r="M444" s="13">
        <v>4.6050000000000004</v>
      </c>
      <c r="O444" s="13">
        <f t="shared" si="22"/>
        <v>0.18928571999999999</v>
      </c>
      <c r="P444" s="13">
        <f t="shared" si="22"/>
        <v>0.11078947999999933</v>
      </c>
    </row>
    <row r="445" spans="1:16" x14ac:dyDescent="0.2">
      <c r="A445" s="48">
        <v>2003</v>
      </c>
      <c r="B445" s="13">
        <v>4.88</v>
      </c>
      <c r="C445" s="13">
        <v>4.9000000000000004</v>
      </c>
      <c r="D445" s="13">
        <v>5.0999999999999996</v>
      </c>
      <c r="E445" s="13">
        <v>5.5350000000000001</v>
      </c>
      <c r="F445" s="13">
        <v>5.76</v>
      </c>
      <c r="G445" s="13">
        <v>5.93</v>
      </c>
      <c r="H445" s="13">
        <v>5.6475</v>
      </c>
      <c r="I445" s="13">
        <v>5.77</v>
      </c>
      <c r="J445" s="13">
        <v>5.83</v>
      </c>
      <c r="K445" s="13">
        <v>5.8650000000000002</v>
      </c>
      <c r="L445" s="13">
        <v>5.8449999999999998</v>
      </c>
      <c r="M445" s="13">
        <v>5.81</v>
      </c>
      <c r="O445" s="13">
        <f t="shared" ref="O445:P460" si="23">K445-K387</f>
        <v>0.2138095299999998</v>
      </c>
      <c r="P445" s="13">
        <f t="shared" si="23"/>
        <v>0.14026315999999994</v>
      </c>
    </row>
    <row r="446" spans="1:16" x14ac:dyDescent="0.2">
      <c r="A446" s="48">
        <v>2004</v>
      </c>
      <c r="B446" s="13">
        <v>5.5449999999999999</v>
      </c>
      <c r="C446" s="13">
        <v>5.89</v>
      </c>
      <c r="D446" s="13">
        <v>5.9</v>
      </c>
      <c r="E446" s="13">
        <v>5.6349999999999998</v>
      </c>
      <c r="F446" s="13">
        <v>5.93</v>
      </c>
      <c r="G446" s="13">
        <v>6.83</v>
      </c>
      <c r="H446" s="13">
        <v>7.9474999999999998</v>
      </c>
      <c r="I446" s="13">
        <v>7.95</v>
      </c>
      <c r="J446" s="13">
        <v>8.0225000000000009</v>
      </c>
      <c r="K446" s="13">
        <v>8.5500000000000007</v>
      </c>
      <c r="L446" s="13">
        <v>9.5150000000000006</v>
      </c>
      <c r="M446" s="13">
        <v>9.7949999999999999</v>
      </c>
      <c r="O446" s="13">
        <f t="shared" si="23"/>
        <v>0.33812500000000156</v>
      </c>
      <c r="P446" s="13">
        <f t="shared" si="23"/>
        <v>0.89986842999999972</v>
      </c>
    </row>
    <row r="447" spans="1:16" x14ac:dyDescent="0.2">
      <c r="A447" s="48">
        <v>2005</v>
      </c>
      <c r="B447" s="13">
        <v>7.85</v>
      </c>
      <c r="C447" s="13">
        <v>7.73</v>
      </c>
      <c r="D447" s="13">
        <v>7.3975</v>
      </c>
      <c r="E447" s="13">
        <v>6.81</v>
      </c>
      <c r="F447" s="13">
        <v>6.3949999999999996</v>
      </c>
      <c r="G447" s="13">
        <v>6.62</v>
      </c>
      <c r="H447" s="13">
        <v>5.5449999999999999</v>
      </c>
      <c r="I447" s="13">
        <v>5.65</v>
      </c>
      <c r="J447" s="13">
        <v>5.61</v>
      </c>
      <c r="K447" s="13">
        <v>5.51</v>
      </c>
      <c r="L447" s="13">
        <v>6.1849999999999996</v>
      </c>
      <c r="M447" s="13">
        <v>6.6</v>
      </c>
      <c r="O447" s="13">
        <f t="shared" si="23"/>
        <v>0.24575000000000014</v>
      </c>
      <c r="P447" s="13">
        <f t="shared" si="23"/>
        <v>0.80749999999999922</v>
      </c>
    </row>
    <row r="448" spans="1:16" x14ac:dyDescent="0.2">
      <c r="A448" s="48">
        <v>2006</v>
      </c>
      <c r="B448" s="13">
        <v>6.42</v>
      </c>
      <c r="C448" s="13">
        <v>6.8</v>
      </c>
      <c r="D448" s="13">
        <v>7.6</v>
      </c>
      <c r="E448" s="13">
        <v>7.4225000000000003</v>
      </c>
      <c r="F448" s="13">
        <v>7.08</v>
      </c>
      <c r="G448" s="13">
        <v>6.32</v>
      </c>
      <c r="H448" s="13">
        <v>6.19</v>
      </c>
      <c r="I448" s="13">
        <v>6.1224999999999996</v>
      </c>
      <c r="J448" s="13">
        <v>6.32</v>
      </c>
      <c r="K448" s="13">
        <v>6.33</v>
      </c>
      <c r="L448" s="13">
        <v>6.0449999999999999</v>
      </c>
      <c r="M448" s="13">
        <v>5.94</v>
      </c>
      <c r="O448" s="13">
        <f t="shared" si="23"/>
        <v>0.45787500000000048</v>
      </c>
      <c r="P448" s="13">
        <f t="shared" si="23"/>
        <v>0.21092105999999955</v>
      </c>
    </row>
    <row r="449" spans="1:16" x14ac:dyDescent="0.2">
      <c r="A449" s="48">
        <v>2007</v>
      </c>
      <c r="B449" s="13">
        <v>6.41</v>
      </c>
      <c r="C449" s="13">
        <v>6.51</v>
      </c>
      <c r="D449" s="13">
        <v>6.49</v>
      </c>
      <c r="E449" s="13">
        <v>6.55</v>
      </c>
      <c r="F449" s="13">
        <v>6.3</v>
      </c>
      <c r="G449" s="13">
        <v>5.88</v>
      </c>
      <c r="H449" s="13">
        <v>6.6550000000000002</v>
      </c>
      <c r="I449" s="13">
        <v>7.09</v>
      </c>
      <c r="J449" s="13">
        <v>7.01</v>
      </c>
      <c r="K449" s="13">
        <v>7.32</v>
      </c>
      <c r="L449" s="13">
        <v>7.91</v>
      </c>
      <c r="M449" s="13">
        <v>7.7350000000000003</v>
      </c>
      <c r="O449" s="13">
        <f t="shared" si="23"/>
        <v>0.30299999999999994</v>
      </c>
      <c r="P449" s="13">
        <f t="shared" si="23"/>
        <v>0.34302631999999988</v>
      </c>
    </row>
    <row r="450" spans="1:16" x14ac:dyDescent="0.2">
      <c r="A450" s="48">
        <v>2008</v>
      </c>
      <c r="B450" s="13">
        <v>8.39</v>
      </c>
      <c r="C450" s="13">
        <v>8.58</v>
      </c>
      <c r="D450" s="13">
        <v>9.0950000000000006</v>
      </c>
      <c r="E450" s="13">
        <v>9.7149999999999999</v>
      </c>
      <c r="F450" s="13">
        <v>9.2050000000000001</v>
      </c>
      <c r="G450" s="13">
        <v>10.414999999999999</v>
      </c>
      <c r="H450" s="13">
        <v>10.47</v>
      </c>
      <c r="I450" s="13">
        <v>11.3</v>
      </c>
      <c r="J450" s="13">
        <v>12.48</v>
      </c>
      <c r="K450" s="13">
        <v>13.414999999999999</v>
      </c>
      <c r="L450" s="13">
        <v>15.24</v>
      </c>
      <c r="M450" s="13">
        <v>15.71</v>
      </c>
      <c r="O450" s="13">
        <f t="shared" si="23"/>
        <v>0.79583333999999972</v>
      </c>
      <c r="P450" s="13">
        <f t="shared" si="23"/>
        <v>1.4086250000000007</v>
      </c>
    </row>
    <row r="451" spans="1:16" x14ac:dyDescent="0.2">
      <c r="A451" s="48">
        <v>2009</v>
      </c>
      <c r="B451" s="13">
        <v>13.38</v>
      </c>
      <c r="C451" s="13">
        <v>13.96</v>
      </c>
      <c r="D451" s="13">
        <v>15.99</v>
      </c>
      <c r="E451" s="13">
        <v>16.535</v>
      </c>
      <c r="F451" s="13">
        <v>14.41</v>
      </c>
      <c r="G451" s="13">
        <v>13.39</v>
      </c>
      <c r="H451" s="13">
        <v>10.98</v>
      </c>
      <c r="I451" s="13">
        <v>9.9350000000000005</v>
      </c>
      <c r="J451" s="13">
        <v>9.8350000000000009</v>
      </c>
      <c r="K451" s="13">
        <v>10.602499999999999</v>
      </c>
      <c r="L451" s="13">
        <v>10.19</v>
      </c>
      <c r="M451" s="13">
        <v>9.0500000000000007</v>
      </c>
      <c r="O451" s="13">
        <f t="shared" si="23"/>
        <v>0.66724999999999923</v>
      </c>
      <c r="P451" s="13">
        <f t="shared" si="23"/>
        <v>0.90210526999999985</v>
      </c>
    </row>
    <row r="452" spans="1:16" x14ac:dyDescent="0.2">
      <c r="A452" s="48">
        <v>2010</v>
      </c>
      <c r="B452" s="13">
        <v>9.65</v>
      </c>
      <c r="C452" s="13">
        <v>10.5375</v>
      </c>
      <c r="D452" s="13">
        <v>11</v>
      </c>
      <c r="E452" s="13">
        <v>10.225</v>
      </c>
      <c r="F452" s="13">
        <v>10.615</v>
      </c>
      <c r="G452" s="13">
        <v>9.86</v>
      </c>
      <c r="H452" s="13">
        <v>10.27</v>
      </c>
      <c r="I452" s="13">
        <v>10.7425</v>
      </c>
      <c r="J452" s="13">
        <v>10.84</v>
      </c>
      <c r="K452" s="13">
        <v>10.7475</v>
      </c>
      <c r="L452" s="13">
        <v>9.7874999999999996</v>
      </c>
      <c r="M452" s="13">
        <v>9.625</v>
      </c>
      <c r="O452" s="13">
        <f t="shared" si="23"/>
        <v>0.93342106000000058</v>
      </c>
      <c r="P452" s="13">
        <f t="shared" si="23"/>
        <v>0.40736843</v>
      </c>
    </row>
    <row r="453" spans="1:16" x14ac:dyDescent="0.2">
      <c r="A453" s="48">
        <v>2011</v>
      </c>
      <c r="B453" s="13">
        <v>9.9824999999999999</v>
      </c>
      <c r="C453" s="13">
        <v>9.9</v>
      </c>
      <c r="D453" s="13">
        <v>9.5950000000000006</v>
      </c>
      <c r="E453" s="13">
        <v>10.1325</v>
      </c>
      <c r="F453" s="13">
        <v>10.555</v>
      </c>
      <c r="G453" s="13">
        <v>11.61</v>
      </c>
      <c r="H453" s="13">
        <v>12.55</v>
      </c>
      <c r="I453" s="13">
        <v>13.545</v>
      </c>
      <c r="J453" s="13">
        <v>14.04</v>
      </c>
      <c r="K453" s="13">
        <v>14.324999999999999</v>
      </c>
      <c r="L453" s="13">
        <v>14.557499999999999</v>
      </c>
      <c r="M453" s="13">
        <v>14.18</v>
      </c>
      <c r="O453" s="13">
        <f t="shared" si="23"/>
        <v>0.37387499999999996</v>
      </c>
      <c r="P453" s="13">
        <f t="shared" si="23"/>
        <v>0.62171052999999965</v>
      </c>
    </row>
    <row r="454" spans="1:16" x14ac:dyDescent="0.2">
      <c r="A454" s="48">
        <v>2012</v>
      </c>
      <c r="B454" s="13">
        <v>14.125</v>
      </c>
      <c r="C454" s="13">
        <v>13.89</v>
      </c>
      <c r="D454" s="13">
        <v>14.12</v>
      </c>
      <c r="E454" s="13">
        <v>14.2</v>
      </c>
      <c r="F454" s="13">
        <v>14.7575</v>
      </c>
      <c r="G454" s="13">
        <v>14.695</v>
      </c>
      <c r="H454" s="13">
        <v>12.9</v>
      </c>
      <c r="I454" s="13">
        <v>12.404999999999999</v>
      </c>
      <c r="J454" s="13">
        <v>12.19</v>
      </c>
      <c r="K454" s="13">
        <v>12.4475</v>
      </c>
      <c r="L454" s="13">
        <v>13.175000000000001</v>
      </c>
      <c r="M454" s="13">
        <v>13.56</v>
      </c>
      <c r="O454" s="13">
        <f t="shared" si="23"/>
        <v>0.39762499999999967</v>
      </c>
      <c r="P454" s="13">
        <f t="shared" si="23"/>
        <v>0.61350000000000016</v>
      </c>
    </row>
    <row r="455" spans="1:16" x14ac:dyDescent="0.2">
      <c r="A455" s="48">
        <v>2013</v>
      </c>
      <c r="B455" s="13">
        <v>13.7775</v>
      </c>
      <c r="C455" s="13">
        <v>13.637499999999999</v>
      </c>
      <c r="D455" s="13">
        <v>13.952500000000001</v>
      </c>
      <c r="E455" s="13">
        <v>15.7</v>
      </c>
      <c r="F455" s="13">
        <v>16.862500000000001</v>
      </c>
      <c r="G455" s="13">
        <v>17.282499999999999</v>
      </c>
      <c r="H455" s="13">
        <v>15.625</v>
      </c>
      <c r="I455" s="13">
        <v>15.45</v>
      </c>
      <c r="J455" s="13">
        <v>15.012499999999999</v>
      </c>
      <c r="K455" s="13">
        <v>14.842499999999999</v>
      </c>
      <c r="L455" s="13">
        <v>15.164999999999999</v>
      </c>
      <c r="M455" s="13">
        <v>15.18</v>
      </c>
      <c r="O455" s="13">
        <f t="shared" si="23"/>
        <v>0.6526190500000002</v>
      </c>
      <c r="P455" s="13">
        <f t="shared" si="23"/>
        <v>0.56723684999999868</v>
      </c>
    </row>
    <row r="456" spans="1:16" x14ac:dyDescent="0.2">
      <c r="A456" s="48">
        <v>2014</v>
      </c>
      <c r="B456" s="13">
        <v>12.702500000000001</v>
      </c>
      <c r="C456" s="13">
        <v>13.192500000000001</v>
      </c>
      <c r="D456" s="13">
        <v>13.365</v>
      </c>
      <c r="E456" s="13">
        <v>12.99</v>
      </c>
      <c r="F456" s="13">
        <v>13.715</v>
      </c>
      <c r="G456" s="13">
        <v>13.7775</v>
      </c>
      <c r="H456" s="13">
        <v>12.942500000000001</v>
      </c>
      <c r="I456" s="13">
        <v>13.22</v>
      </c>
      <c r="J456" s="13">
        <v>13.3925</v>
      </c>
      <c r="K456" s="13">
        <v>13.305</v>
      </c>
      <c r="L456" s="13">
        <v>14.522500000000001</v>
      </c>
      <c r="M456" s="13">
        <v>14.6</v>
      </c>
      <c r="O456" s="13">
        <f t="shared" si="23"/>
        <v>0.45345238999999893</v>
      </c>
      <c r="P456" s="13">
        <f t="shared" si="23"/>
        <v>1.0018421100000001</v>
      </c>
    </row>
    <row r="457" spans="1:16" x14ac:dyDescent="0.2">
      <c r="A457" s="48">
        <v>2015</v>
      </c>
      <c r="B457" s="13">
        <v>12.5825</v>
      </c>
      <c r="C457" s="13">
        <v>12.875</v>
      </c>
      <c r="D457" s="13">
        <v>12.565</v>
      </c>
      <c r="E457" s="13">
        <v>11.7125</v>
      </c>
      <c r="F457" s="13">
        <v>11.047499999999999</v>
      </c>
      <c r="G457" s="13">
        <v>10.5275</v>
      </c>
      <c r="H457" s="13">
        <v>10.6625</v>
      </c>
      <c r="I457" s="13">
        <v>10.897500000000001</v>
      </c>
      <c r="J457" s="13">
        <v>10.682499999999999</v>
      </c>
      <c r="K457" s="13">
        <v>10.62</v>
      </c>
      <c r="L457" s="13">
        <v>10.355</v>
      </c>
      <c r="M457" s="13">
        <v>10.3725</v>
      </c>
      <c r="O457" s="13">
        <f t="shared" si="23"/>
        <v>0.59549999999999947</v>
      </c>
      <c r="P457" s="13">
        <f t="shared" si="23"/>
        <v>0.4284210599999998</v>
      </c>
    </row>
    <row r="458" spans="1:16" x14ac:dyDescent="0.2">
      <c r="A458" s="48">
        <v>2016</v>
      </c>
      <c r="B458" s="13">
        <v>9.86</v>
      </c>
      <c r="C458" s="13">
        <v>9.7025000000000006</v>
      </c>
      <c r="D458" s="13">
        <v>10.3375</v>
      </c>
      <c r="E458" s="13">
        <v>10.442500000000001</v>
      </c>
      <c r="F458" s="13">
        <v>9.9425000000000008</v>
      </c>
      <c r="G458" s="13">
        <v>9.0850000000000009</v>
      </c>
      <c r="H458" s="13">
        <v>9.26</v>
      </c>
      <c r="I458" s="13">
        <v>8.9324999999999992</v>
      </c>
      <c r="J458" s="13">
        <v>9.1150000000000002</v>
      </c>
      <c r="K458" s="13">
        <v>8.8800000000000008</v>
      </c>
      <c r="L458" s="13">
        <v>8.8949999999999996</v>
      </c>
      <c r="M458" s="13">
        <v>8.9</v>
      </c>
      <c r="O458" s="13">
        <f t="shared" si="23"/>
        <v>0.1498684300000015</v>
      </c>
      <c r="P458" s="13">
        <f t="shared" si="23"/>
        <v>0.18249999999999922</v>
      </c>
    </row>
    <row r="459" spans="1:16" x14ac:dyDescent="0.2">
      <c r="A459" s="48">
        <v>2017</v>
      </c>
      <c r="B459" s="13">
        <v>10.185</v>
      </c>
      <c r="C459" s="13">
        <v>10.535</v>
      </c>
      <c r="D459" s="13">
        <v>11.355</v>
      </c>
      <c r="E459" s="13">
        <v>11.0975</v>
      </c>
      <c r="F459" s="13">
        <v>10.147500000000001</v>
      </c>
      <c r="G459" s="13">
        <v>10.0175</v>
      </c>
      <c r="H459" s="13">
        <v>10.3725</v>
      </c>
      <c r="I459" s="13">
        <v>10.74</v>
      </c>
      <c r="J459" s="13">
        <v>10.7125</v>
      </c>
      <c r="K459" s="13">
        <v>10.8</v>
      </c>
      <c r="L459" s="13">
        <v>10.635</v>
      </c>
      <c r="M459" s="13">
        <v>10.3675</v>
      </c>
      <c r="O459" s="13">
        <f t="shared" si="23"/>
        <v>0.43299999999999983</v>
      </c>
      <c r="P459" s="13">
        <f t="shared" si="23"/>
        <v>0.26934211000000019</v>
      </c>
    </row>
    <row r="460" spans="1:16" x14ac:dyDescent="0.2">
      <c r="A460" s="48">
        <v>2018</v>
      </c>
      <c r="B460" s="13">
        <v>9.7799999999999994</v>
      </c>
      <c r="C460" s="13">
        <v>9.8949999999999996</v>
      </c>
      <c r="D460" s="13">
        <v>9.7025000000000006</v>
      </c>
      <c r="E460" s="13">
        <v>10.505000000000001</v>
      </c>
      <c r="F460" s="13">
        <v>10.1425</v>
      </c>
      <c r="G460" s="13">
        <v>10.06</v>
      </c>
      <c r="H460" s="13">
        <v>10.2225</v>
      </c>
      <c r="I460" s="13">
        <v>10.19</v>
      </c>
      <c r="J460" s="13">
        <v>10.27</v>
      </c>
      <c r="K460" s="13">
        <v>10.047499999999999</v>
      </c>
      <c r="L460" s="13">
        <v>10.48</v>
      </c>
      <c r="M460" s="13">
        <v>10.477499999999999</v>
      </c>
      <c r="O460" s="13">
        <f t="shared" si="23"/>
        <v>0.29369047619047528</v>
      </c>
      <c r="P460" s="13">
        <f t="shared" si="23"/>
        <v>0.37671052631579016</v>
      </c>
    </row>
    <row r="461" spans="1:16" x14ac:dyDescent="0.2">
      <c r="A461" s="48">
        <v>2019</v>
      </c>
      <c r="B461" s="13">
        <v>10.545</v>
      </c>
      <c r="C461" s="13">
        <v>10.465</v>
      </c>
      <c r="D461" s="13">
        <v>10.3675</v>
      </c>
      <c r="E461" s="13">
        <v>9.4175000000000004</v>
      </c>
      <c r="F461" s="13">
        <v>9.3424999999999994</v>
      </c>
      <c r="G461" s="13">
        <v>8.8625000000000007</v>
      </c>
      <c r="H461" s="13">
        <v>9.1824999999999992</v>
      </c>
      <c r="I461" s="13">
        <v>9.1225000000000005</v>
      </c>
      <c r="J461" s="13">
        <v>9.41</v>
      </c>
      <c r="K461" s="13">
        <v>9.2774999999999999</v>
      </c>
      <c r="L461" s="13">
        <v>9.3125</v>
      </c>
      <c r="M461" s="13">
        <v>9.7174999999999994</v>
      </c>
      <c r="O461" s="13">
        <f t="shared" ref="O461:P464" si="24">K461-K403</f>
        <v>0.14190476190476176</v>
      </c>
      <c r="P461" s="13">
        <f t="shared" si="24"/>
        <v>0.20881578947368418</v>
      </c>
    </row>
    <row r="462" spans="1:16" x14ac:dyDescent="0.2">
      <c r="A462" s="48">
        <v>2020</v>
      </c>
      <c r="B462" s="13">
        <v>9.5525000000000002</v>
      </c>
      <c r="C462" s="13">
        <v>9.3550000000000004</v>
      </c>
      <c r="D462" s="13">
        <v>9.6199999999999992</v>
      </c>
      <c r="E462" s="13">
        <v>9.5625</v>
      </c>
      <c r="F462" s="13">
        <v>9.2225000000000001</v>
      </c>
      <c r="G462" s="13">
        <v>9.31</v>
      </c>
      <c r="H462" s="13">
        <v>9.6999999999999993</v>
      </c>
      <c r="I462" s="13">
        <v>9.5500000000000007</v>
      </c>
      <c r="J462" s="13">
        <v>9.5625</v>
      </c>
      <c r="K462" s="13">
        <v>9.61</v>
      </c>
      <c r="L462" s="13">
        <v>9.02</v>
      </c>
      <c r="M462" s="13">
        <v>9.1950000000000003</v>
      </c>
      <c r="O462" s="13">
        <f t="shared" si="24"/>
        <v>0.38833333333333364</v>
      </c>
      <c r="P462" s="13">
        <f t="shared" si="24"/>
        <v>0.16328947368421076</v>
      </c>
    </row>
    <row r="463" spans="1:16" x14ac:dyDescent="0.2">
      <c r="A463" s="48">
        <v>2021</v>
      </c>
      <c r="B463" s="13">
        <v>8.7274999999999991</v>
      </c>
      <c r="C463" s="13">
        <v>8.5875000000000004</v>
      </c>
      <c r="D463" s="13">
        <v>8.85</v>
      </c>
      <c r="E463" s="13">
        <v>9.0975000000000001</v>
      </c>
      <c r="F463" s="13">
        <v>9.7174999999999994</v>
      </c>
      <c r="G463" s="13">
        <v>10.41</v>
      </c>
      <c r="H463" s="13">
        <v>10.7325</v>
      </c>
      <c r="I463" s="13">
        <v>12.0025</v>
      </c>
      <c r="J463" s="13">
        <v>13.2075</v>
      </c>
      <c r="K463" s="13">
        <v>14.365</v>
      </c>
      <c r="L463" s="13">
        <v>14.43</v>
      </c>
      <c r="M463" s="13">
        <v>12.4275</v>
      </c>
      <c r="O463" s="13">
        <f t="shared" si="24"/>
        <v>0.65723684210526301</v>
      </c>
      <c r="P463" s="13">
        <f t="shared" si="24"/>
        <v>0.60947368421052772</v>
      </c>
    </row>
    <row r="464" spans="1:16" x14ac:dyDescent="0.2">
      <c r="A464" s="48">
        <v>2022</v>
      </c>
      <c r="B464" s="13">
        <v>13.5275</v>
      </c>
      <c r="C464" s="13">
        <v>14.164999999999999</v>
      </c>
      <c r="D464" s="13">
        <v>14.455</v>
      </c>
      <c r="E464" s="13">
        <v>13.994999999999999</v>
      </c>
      <c r="F464" s="13">
        <v>13.762499999999999</v>
      </c>
      <c r="G464" s="13">
        <v>13.205</v>
      </c>
      <c r="H464" s="13">
        <v>12.8325</v>
      </c>
      <c r="I464" s="13">
        <v>13.005000000000001</v>
      </c>
      <c r="J464" s="13">
        <v>13.845000000000001</v>
      </c>
      <c r="K464" s="13">
        <v>14.967499999999999</v>
      </c>
      <c r="L464" s="13">
        <v>17.649999999999999</v>
      </c>
      <c r="M464" s="13"/>
      <c r="O464" s="13">
        <f t="shared" si="24"/>
        <v>0.91424999999999912</v>
      </c>
      <c r="P464" s="13">
        <f t="shared" si="24"/>
        <v>1.7644736842105253</v>
      </c>
    </row>
    <row r="465" spans="1:16" x14ac:dyDescent="0.2">
      <c r="A465" s="48">
        <v>2023</v>
      </c>
      <c r="K465" s="35">
        <f t="shared" ref="K465:L468" si="25">(SUM(K460:K464)-SUM(K402:K406))/5+K407</f>
        <v>15.580583082706768</v>
      </c>
      <c r="L465" s="35">
        <f t="shared" si="25"/>
        <v>15.900605263157894</v>
      </c>
    </row>
    <row r="466" spans="1:16" x14ac:dyDescent="0.2">
      <c r="A466" s="48">
        <v>2024</v>
      </c>
      <c r="K466" s="35">
        <f t="shared" si="25"/>
        <v>12.817709223057644</v>
      </c>
      <c r="L466" s="35">
        <f t="shared" si="25"/>
        <v>12.367996052631581</v>
      </c>
    </row>
    <row r="467" spans="1:16" x14ac:dyDescent="0.2">
      <c r="A467" s="48">
        <v>2025</v>
      </c>
      <c r="K467" s="35">
        <f t="shared" si="25"/>
        <v>10.426012972431078</v>
      </c>
      <c r="L467" s="35">
        <f t="shared" si="25"/>
        <v>11.062301152882203</v>
      </c>
    </row>
    <row r="468" spans="1:16" x14ac:dyDescent="0.2">
      <c r="A468" s="48">
        <v>2026</v>
      </c>
      <c r="K468" s="35">
        <f t="shared" si="25"/>
        <v>12.381548900250626</v>
      </c>
      <c r="L468" s="35">
        <f t="shared" si="25"/>
        <v>12.98796063157895</v>
      </c>
    </row>
    <row r="469" spans="1:16" ht="15.75" x14ac:dyDescent="0.25">
      <c r="A469" s="51" t="s">
        <v>163</v>
      </c>
    </row>
    <row r="470" spans="1:16" ht="13.5" x14ac:dyDescent="0.25">
      <c r="A470" s="42" t="s">
        <v>155</v>
      </c>
      <c r="B470" t="s">
        <v>94</v>
      </c>
      <c r="C470" t="s">
        <v>83</v>
      </c>
      <c r="D470" t="s">
        <v>84</v>
      </c>
      <c r="E470" t="s">
        <v>85</v>
      </c>
      <c r="F470" t="s">
        <v>86</v>
      </c>
      <c r="G470" t="s">
        <v>87</v>
      </c>
      <c r="H470" t="s">
        <v>88</v>
      </c>
      <c r="I470" t="s">
        <v>89</v>
      </c>
      <c r="J470" t="s">
        <v>90</v>
      </c>
      <c r="K470" t="s">
        <v>91</v>
      </c>
      <c r="L470" t="s">
        <v>92</v>
      </c>
      <c r="M470" t="s">
        <v>93</v>
      </c>
      <c r="O470" t="str">
        <f>_xlfn.CONCAT(K470," ","Error")</f>
        <v>Jan Error</v>
      </c>
      <c r="P470" t="str">
        <f>_xlfn.CONCAT(L470," ","Error")</f>
        <v>Feb Error</v>
      </c>
    </row>
    <row r="471" spans="1:16" x14ac:dyDescent="0.2">
      <c r="A471" s="48">
        <v>1971</v>
      </c>
      <c r="B471" s="13">
        <v>2.61</v>
      </c>
      <c r="C471" s="13">
        <v>2.64</v>
      </c>
      <c r="D471" s="13">
        <v>2.66</v>
      </c>
      <c r="E471" s="13">
        <v>2.92</v>
      </c>
      <c r="F471" s="13">
        <v>2.86</v>
      </c>
      <c r="G471" s="13">
        <v>2.8475000000000001</v>
      </c>
      <c r="H471" s="13">
        <v>2.95</v>
      </c>
      <c r="I471" s="13">
        <v>3.0049999999999999</v>
      </c>
      <c r="J471" s="13">
        <v>2.94</v>
      </c>
      <c r="K471" s="13">
        <v>2.97</v>
      </c>
      <c r="L471" s="13">
        <v>3.0225</v>
      </c>
      <c r="M471" s="13">
        <v>2.9750000000000001</v>
      </c>
      <c r="O471" s="13">
        <f t="shared" ref="O471:P486" si="26">K355-K471</f>
        <v>8.9249999999999829E-2</v>
      </c>
      <c r="P471" s="13">
        <f t="shared" si="26"/>
        <v>3.3289470000000154E-2</v>
      </c>
    </row>
    <row r="472" spans="1:16" x14ac:dyDescent="0.2">
      <c r="A472" s="48">
        <v>1972</v>
      </c>
      <c r="B472" s="13">
        <v>2.8849999999999998</v>
      </c>
      <c r="C472" s="13">
        <v>2.9049999999999998</v>
      </c>
      <c r="D472" s="13">
        <v>3.0750000000000002</v>
      </c>
      <c r="E472" s="13">
        <v>3.26</v>
      </c>
      <c r="F472" s="13">
        <v>3.1974999999999998</v>
      </c>
      <c r="G472" s="13">
        <v>3.12</v>
      </c>
      <c r="H472" s="13">
        <v>3.1425000000000001</v>
      </c>
      <c r="I472" s="13">
        <v>3.0724999999999998</v>
      </c>
      <c r="J472" s="13">
        <v>3.145</v>
      </c>
      <c r="K472" s="13">
        <v>3.0525000000000002</v>
      </c>
      <c r="L472" s="13">
        <v>3.12</v>
      </c>
      <c r="M472" s="13">
        <v>3.28</v>
      </c>
      <c r="O472" s="13">
        <f t="shared" si="26"/>
        <v>7.9642849999999932E-2</v>
      </c>
      <c r="P472" s="13">
        <f t="shared" si="26"/>
        <v>7.6375000000000082E-2</v>
      </c>
    </row>
    <row r="473" spans="1:16" x14ac:dyDescent="0.2">
      <c r="A473" s="48">
        <v>1973</v>
      </c>
      <c r="B473" s="13">
        <v>3.21</v>
      </c>
      <c r="C473" s="13">
        <v>3.2149999999999999</v>
      </c>
      <c r="D473" s="13">
        <v>3.2450000000000001</v>
      </c>
      <c r="E473" s="13">
        <v>3.2425000000000002</v>
      </c>
      <c r="F473" s="13">
        <v>3.2524999999999999</v>
      </c>
      <c r="G473" s="13">
        <v>3.4125000000000001</v>
      </c>
      <c r="H473" s="13">
        <v>3.4</v>
      </c>
      <c r="I473" s="13">
        <v>3.5375000000000001</v>
      </c>
      <c r="J473" s="13">
        <v>3.855</v>
      </c>
      <c r="K473" s="13">
        <v>4.18</v>
      </c>
      <c r="L473" s="13">
        <v>4.8600000000000003</v>
      </c>
      <c r="M473" s="13">
        <v>5.95</v>
      </c>
      <c r="O473" s="13">
        <f t="shared" si="26"/>
        <v>0.34833333</v>
      </c>
      <c r="P473" s="13">
        <f t="shared" si="26"/>
        <v>0.98013156999999929</v>
      </c>
    </row>
    <row r="474" spans="1:16" x14ac:dyDescent="0.2">
      <c r="A474" s="48">
        <v>1974</v>
      </c>
      <c r="B474" s="13">
        <v>4.04</v>
      </c>
      <c r="C474" s="13">
        <v>4.4550000000000001</v>
      </c>
      <c r="D474" s="13">
        <v>5.52</v>
      </c>
      <c r="E474" s="13">
        <v>5.5</v>
      </c>
      <c r="F474" s="13">
        <v>6.76</v>
      </c>
      <c r="G474" s="13">
        <v>6.08</v>
      </c>
      <c r="H474" s="13">
        <v>5.22</v>
      </c>
      <c r="I474" s="13">
        <v>5.17</v>
      </c>
      <c r="J474" s="13">
        <v>5.82</v>
      </c>
      <c r="K474" s="13">
        <v>5.78</v>
      </c>
      <c r="L474" s="13">
        <v>6.1224999999999996</v>
      </c>
      <c r="M474" s="13">
        <v>6.12</v>
      </c>
      <c r="O474" s="13">
        <f t="shared" si="26"/>
        <v>0.48249999999999993</v>
      </c>
      <c r="P474" s="13">
        <f t="shared" si="26"/>
        <v>0.31736111000000022</v>
      </c>
    </row>
    <row r="475" spans="1:16" x14ac:dyDescent="0.2">
      <c r="A475" s="48">
        <v>1975</v>
      </c>
      <c r="B475" s="13">
        <v>5.1100000000000003</v>
      </c>
      <c r="C475" s="13">
        <v>5.1775000000000002</v>
      </c>
      <c r="D475" s="13">
        <v>5.26</v>
      </c>
      <c r="E475" s="13">
        <v>5.85</v>
      </c>
      <c r="F475" s="13">
        <v>7.23</v>
      </c>
      <c r="G475" s="13">
        <v>7.06</v>
      </c>
      <c r="H475" s="13">
        <v>7.88</v>
      </c>
      <c r="I475" s="13">
        <v>7.32</v>
      </c>
      <c r="J475" s="13">
        <v>6.95</v>
      </c>
      <c r="K475" s="13">
        <v>5.6</v>
      </c>
      <c r="L475" s="13">
        <v>4.92</v>
      </c>
      <c r="M475" s="13">
        <v>4.7525000000000004</v>
      </c>
      <c r="O475" s="13">
        <f t="shared" si="26"/>
        <v>0.8853409000000001</v>
      </c>
      <c r="P475" s="13">
        <f t="shared" si="26"/>
        <v>0.76197367999999965</v>
      </c>
    </row>
    <row r="476" spans="1:16" x14ac:dyDescent="0.2">
      <c r="A476" s="48">
        <v>1976</v>
      </c>
      <c r="B476" s="13">
        <v>5.26</v>
      </c>
      <c r="C476" s="13">
        <v>4.9550000000000001</v>
      </c>
      <c r="D476" s="13">
        <v>4.91</v>
      </c>
      <c r="E476" s="13">
        <v>5.05</v>
      </c>
      <c r="F476" s="13">
        <v>5.85</v>
      </c>
      <c r="G476" s="13">
        <v>5.64</v>
      </c>
      <c r="H476" s="13">
        <v>4.9749999999999996</v>
      </c>
      <c r="I476" s="13">
        <v>4.6550000000000002</v>
      </c>
      <c r="J476" s="13">
        <v>4.4950000000000001</v>
      </c>
      <c r="K476" s="13">
        <v>4.5250000000000004</v>
      </c>
      <c r="L476" s="13">
        <v>4.6900000000000004</v>
      </c>
      <c r="M476" s="13">
        <v>4.6449999999999996</v>
      </c>
      <c r="O476" s="13">
        <f t="shared" si="26"/>
        <v>0.22833332999999989</v>
      </c>
      <c r="P476" s="13">
        <f t="shared" si="26"/>
        <v>0.10671052000000003</v>
      </c>
    </row>
    <row r="477" spans="1:16" x14ac:dyDescent="0.2">
      <c r="A477" s="48">
        <v>1977</v>
      </c>
      <c r="B477" s="13">
        <v>5.0449999999999999</v>
      </c>
      <c r="C477" s="13">
        <v>5.2175000000000002</v>
      </c>
      <c r="D477" s="13">
        <v>5.9649999999999999</v>
      </c>
      <c r="E477" s="13">
        <v>6.335</v>
      </c>
      <c r="F477" s="13">
        <v>6.07</v>
      </c>
      <c r="G477" s="13">
        <v>6.29</v>
      </c>
      <c r="H477" s="13">
        <v>6.19</v>
      </c>
      <c r="I477" s="13">
        <v>6.3075000000000001</v>
      </c>
      <c r="J477" s="13">
        <v>6.7649999999999997</v>
      </c>
      <c r="K477" s="13">
        <v>6.9649999999999999</v>
      </c>
      <c r="L477" s="13">
        <v>7.15</v>
      </c>
      <c r="M477" s="13">
        <v>7.71</v>
      </c>
      <c r="O477" s="13">
        <f t="shared" si="26"/>
        <v>0.24261904000000012</v>
      </c>
      <c r="P477" s="13">
        <f t="shared" si="26"/>
        <v>0.24907893999999953</v>
      </c>
    </row>
    <row r="478" spans="1:16" x14ac:dyDescent="0.2">
      <c r="A478" s="48">
        <v>1978</v>
      </c>
      <c r="B478" s="13">
        <v>6.93</v>
      </c>
      <c r="C478" s="13">
        <v>7.09</v>
      </c>
      <c r="D478" s="13">
        <v>6.66</v>
      </c>
      <c r="E478" s="13">
        <v>5.7249999999999996</v>
      </c>
      <c r="F478" s="13">
        <v>5.13</v>
      </c>
      <c r="G478" s="13">
        <v>5.16</v>
      </c>
      <c r="H478" s="13">
        <v>5.24</v>
      </c>
      <c r="I478" s="13">
        <v>5.65</v>
      </c>
      <c r="J478" s="13">
        <v>5.84</v>
      </c>
      <c r="K478" s="13">
        <v>5.57</v>
      </c>
      <c r="L478" s="13">
        <v>5.57</v>
      </c>
      <c r="M478" s="13">
        <v>5.8250000000000002</v>
      </c>
      <c r="O478" s="13">
        <f t="shared" si="26"/>
        <v>0.25595238000000009</v>
      </c>
      <c r="P478" s="13">
        <f t="shared" si="26"/>
        <v>0.13947368000000004</v>
      </c>
    </row>
    <row r="479" spans="1:16" x14ac:dyDescent="0.2">
      <c r="A479" s="48">
        <v>1979</v>
      </c>
      <c r="B479" s="13">
        <v>6.03</v>
      </c>
      <c r="C479" s="13">
        <v>6.13</v>
      </c>
      <c r="D479" s="13">
        <v>6.17</v>
      </c>
      <c r="E479" s="13">
        <v>6.02</v>
      </c>
      <c r="F479" s="13">
        <v>6.02</v>
      </c>
      <c r="G479" s="13">
        <v>6.4325000000000001</v>
      </c>
      <c r="H479" s="13">
        <v>6.68</v>
      </c>
      <c r="I479" s="13">
        <v>6.6050000000000004</v>
      </c>
      <c r="J479" s="13">
        <v>6.73</v>
      </c>
      <c r="K479" s="13">
        <v>6.76</v>
      </c>
      <c r="L479" s="13">
        <v>7.01</v>
      </c>
      <c r="M479" s="13">
        <v>7.23</v>
      </c>
      <c r="O479" s="13">
        <f t="shared" si="26"/>
        <v>0.22943181000000035</v>
      </c>
      <c r="P479" s="13">
        <f t="shared" si="26"/>
        <v>0.44407893999999981</v>
      </c>
    </row>
    <row r="480" spans="1:16" x14ac:dyDescent="0.2">
      <c r="A480" s="48">
        <v>1980</v>
      </c>
      <c r="B480" s="13">
        <v>7.12</v>
      </c>
      <c r="C480" s="13">
        <v>7.2450000000000001</v>
      </c>
      <c r="D480" s="13">
        <v>7.4050000000000002</v>
      </c>
      <c r="E480" s="13">
        <v>7.25</v>
      </c>
      <c r="F480" s="13">
        <v>7.1150000000000002</v>
      </c>
      <c r="G480" s="13">
        <v>7.1950000000000003</v>
      </c>
      <c r="H480" s="13">
        <v>6.74</v>
      </c>
      <c r="I480" s="13">
        <v>6.82</v>
      </c>
      <c r="J480" s="13">
        <v>6.64</v>
      </c>
      <c r="K480" s="13">
        <v>6.28</v>
      </c>
      <c r="L480" s="13">
        <v>6.33</v>
      </c>
      <c r="M480" s="13">
        <v>6.08</v>
      </c>
      <c r="O480" s="13">
        <f t="shared" si="26"/>
        <v>0.34049999999999958</v>
      </c>
      <c r="P480" s="13">
        <f t="shared" si="26"/>
        <v>0.23837499999999956</v>
      </c>
    </row>
    <row r="481" spans="1:16" x14ac:dyDescent="0.2">
      <c r="A481" s="48">
        <v>1981</v>
      </c>
      <c r="B481" s="13">
        <v>6.6749999999999998</v>
      </c>
      <c r="C481" s="13">
        <v>6.7249999999999996</v>
      </c>
      <c r="D481" s="13">
        <v>6.67</v>
      </c>
      <c r="E481" s="13">
        <v>7.32</v>
      </c>
      <c r="F481" s="13">
        <v>7.78</v>
      </c>
      <c r="G481" s="13">
        <v>8.2850000000000001</v>
      </c>
      <c r="H481" s="13">
        <v>8.32</v>
      </c>
      <c r="I481" s="13">
        <v>9.15</v>
      </c>
      <c r="J481" s="13">
        <v>7.36</v>
      </c>
      <c r="K481" s="13">
        <v>7.085</v>
      </c>
      <c r="L481" s="13">
        <v>7.26</v>
      </c>
      <c r="M481" s="13">
        <v>6.95</v>
      </c>
      <c r="O481" s="13">
        <f t="shared" si="26"/>
        <v>0.77619047000000041</v>
      </c>
      <c r="P481" s="13">
        <f t="shared" si="26"/>
        <v>0.24184210000000039</v>
      </c>
    </row>
    <row r="482" spans="1:16" x14ac:dyDescent="0.2">
      <c r="A482" s="48">
        <v>1982</v>
      </c>
      <c r="B482" s="13">
        <v>8.5749999999999993</v>
      </c>
      <c r="C482" s="13">
        <v>8.0350000000000001</v>
      </c>
      <c r="D482" s="13">
        <v>7.55</v>
      </c>
      <c r="E482" s="13">
        <v>7.7</v>
      </c>
      <c r="F482" s="13">
        <v>7.02</v>
      </c>
      <c r="G482" s="13">
        <v>6.82</v>
      </c>
      <c r="H482" s="13">
        <v>6.83</v>
      </c>
      <c r="I482" s="13">
        <v>6.53</v>
      </c>
      <c r="J482" s="13">
        <v>6.05</v>
      </c>
      <c r="K482" s="13">
        <v>6.2350000000000003</v>
      </c>
      <c r="L482" s="13">
        <v>6.04</v>
      </c>
      <c r="M482" s="13">
        <v>5.91</v>
      </c>
      <c r="O482" s="13">
        <f t="shared" si="26"/>
        <v>0.18762499999999971</v>
      </c>
      <c r="P482" s="13">
        <f t="shared" si="26"/>
        <v>0.25473683999999963</v>
      </c>
    </row>
    <row r="483" spans="1:16" x14ac:dyDescent="0.2">
      <c r="A483" s="48">
        <v>1983</v>
      </c>
      <c r="B483" s="13">
        <v>6.85</v>
      </c>
      <c r="C483" s="13">
        <v>6.75</v>
      </c>
      <c r="D483" s="13">
        <v>6.55</v>
      </c>
      <c r="E483" s="13">
        <v>6.35</v>
      </c>
      <c r="F483" s="13">
        <v>5.81</v>
      </c>
      <c r="G483" s="13">
        <v>5.62</v>
      </c>
      <c r="H483" s="13">
        <v>5.4749999999999996</v>
      </c>
      <c r="I483" s="13">
        <v>5.6050000000000004</v>
      </c>
      <c r="J483" s="13">
        <v>5.67</v>
      </c>
      <c r="K483" s="13">
        <v>5.6849999999999996</v>
      </c>
      <c r="L483" s="13">
        <v>5.5549999999999997</v>
      </c>
      <c r="M483" s="13">
        <v>5.61</v>
      </c>
      <c r="O483" s="13">
        <f t="shared" si="26"/>
        <v>0.21202380000000076</v>
      </c>
      <c r="P483" s="13">
        <f t="shared" si="26"/>
        <v>0.34868421000000005</v>
      </c>
    </row>
    <row r="484" spans="1:16" x14ac:dyDescent="0.2">
      <c r="A484" s="48">
        <v>1984</v>
      </c>
      <c r="B484" s="13">
        <v>6.86</v>
      </c>
      <c r="C484" s="13">
        <v>6.4749999999999996</v>
      </c>
      <c r="D484" s="13">
        <v>6.21</v>
      </c>
      <c r="E484" s="13">
        <v>6.5</v>
      </c>
      <c r="F484" s="13">
        <v>7.49</v>
      </c>
      <c r="G484" s="13">
        <v>8.6</v>
      </c>
      <c r="H484" s="13">
        <v>8.2799999999999994</v>
      </c>
      <c r="I484" s="13">
        <v>7.8</v>
      </c>
      <c r="J484" s="13">
        <v>7.64</v>
      </c>
      <c r="K484" s="13">
        <v>7.2</v>
      </c>
      <c r="L484" s="13">
        <v>6.8849999999999998</v>
      </c>
      <c r="M484" s="13">
        <v>7.46</v>
      </c>
      <c r="O484" s="13">
        <f t="shared" si="26"/>
        <v>0.41130951999999965</v>
      </c>
      <c r="P484" s="13">
        <f t="shared" si="26"/>
        <v>0.33975000000000044</v>
      </c>
    </row>
    <row r="485" spans="1:16" x14ac:dyDescent="0.2">
      <c r="A485" s="48">
        <v>1985</v>
      </c>
      <c r="B485" s="13">
        <v>7.27</v>
      </c>
      <c r="C485" s="13">
        <v>7.28</v>
      </c>
      <c r="D485" s="13">
        <v>7.26</v>
      </c>
      <c r="E485" s="13">
        <v>6.29</v>
      </c>
      <c r="F485" s="13">
        <v>6.33</v>
      </c>
      <c r="G485" s="13">
        <v>5.9349999999999996</v>
      </c>
      <c r="H485" s="13">
        <v>6.12</v>
      </c>
      <c r="I485" s="13">
        <v>6.085</v>
      </c>
      <c r="J485" s="13">
        <v>5.8449999999999998</v>
      </c>
      <c r="K485" s="13">
        <v>5.6950000000000003</v>
      </c>
      <c r="L485" s="13">
        <v>5.59</v>
      </c>
      <c r="M485" s="13">
        <v>5.6</v>
      </c>
      <c r="O485" s="13">
        <f t="shared" si="26"/>
        <v>0.2445454499999995</v>
      </c>
      <c r="P485" s="13">
        <f t="shared" si="26"/>
        <v>0.22986841999999985</v>
      </c>
    </row>
    <row r="486" spans="1:16" x14ac:dyDescent="0.2">
      <c r="A486" s="48">
        <v>1986</v>
      </c>
      <c r="B486" s="13">
        <v>6.2350000000000003</v>
      </c>
      <c r="C486" s="13">
        <v>5.75</v>
      </c>
      <c r="D486" s="13">
        <v>5.69</v>
      </c>
      <c r="E486" s="13">
        <v>5.41</v>
      </c>
      <c r="F486" s="13">
        <v>5.23</v>
      </c>
      <c r="G486" s="13">
        <v>5.2249999999999996</v>
      </c>
      <c r="H486" s="13">
        <v>5.2450000000000001</v>
      </c>
      <c r="I486" s="13">
        <v>4.8525</v>
      </c>
      <c r="J486" s="13">
        <v>4.9649999999999999</v>
      </c>
      <c r="K486" s="13">
        <v>5.2549999999999999</v>
      </c>
      <c r="L486" s="13">
        <v>5.165</v>
      </c>
      <c r="M486" s="13">
        <v>5.25</v>
      </c>
      <c r="O486" s="13">
        <f t="shared" si="26"/>
        <v>0.16590909000000043</v>
      </c>
      <c r="P486" s="13">
        <f t="shared" si="26"/>
        <v>9.5131570000000387E-2</v>
      </c>
    </row>
    <row r="487" spans="1:16" x14ac:dyDescent="0.2">
      <c r="A487" s="48">
        <v>1987</v>
      </c>
      <c r="B487" s="13">
        <v>5.1550000000000002</v>
      </c>
      <c r="C487" s="13">
        <v>5.2450000000000001</v>
      </c>
      <c r="D487" s="13">
        <v>5.03</v>
      </c>
      <c r="E487" s="13">
        <v>4.9749999999999996</v>
      </c>
      <c r="F487" s="13">
        <v>4.835</v>
      </c>
      <c r="G487" s="13">
        <v>4.8499999999999996</v>
      </c>
      <c r="H487" s="13">
        <v>4.8550000000000004</v>
      </c>
      <c r="I487" s="13">
        <v>4.9775</v>
      </c>
      <c r="J487" s="13">
        <v>4.8624999999999998</v>
      </c>
      <c r="K487" s="13">
        <v>4.8674999999999997</v>
      </c>
      <c r="L487" s="13">
        <v>4.7949999999999999</v>
      </c>
      <c r="M487" s="13">
        <v>4.8250000000000002</v>
      </c>
      <c r="O487" s="13">
        <f t="shared" ref="O487:P502" si="27">K371-K487</f>
        <v>9.8928569999999993E-2</v>
      </c>
      <c r="P487" s="13">
        <f t="shared" si="27"/>
        <v>0.10013157000000028</v>
      </c>
    </row>
    <row r="488" spans="1:16" x14ac:dyDescent="0.2">
      <c r="A488" s="48">
        <v>1988</v>
      </c>
      <c r="B488" s="13">
        <v>5.0525000000000002</v>
      </c>
      <c r="C488" s="13">
        <v>5.45</v>
      </c>
      <c r="D488" s="13">
        <v>5.59</v>
      </c>
      <c r="E488" s="13">
        <v>5.2450000000000001</v>
      </c>
      <c r="F488" s="13">
        <v>5.04</v>
      </c>
      <c r="G488" s="13">
        <v>5.1550000000000002</v>
      </c>
      <c r="H488" s="13">
        <v>5.32</v>
      </c>
      <c r="I488" s="13">
        <v>5.3650000000000002</v>
      </c>
      <c r="J488" s="13">
        <v>5.85</v>
      </c>
      <c r="K488" s="13">
        <v>6.01</v>
      </c>
      <c r="L488" s="13">
        <v>5.9450000000000003</v>
      </c>
      <c r="M488" s="13">
        <v>6.01</v>
      </c>
      <c r="O488" s="13">
        <f t="shared" si="27"/>
        <v>0.22512500000000024</v>
      </c>
      <c r="P488" s="13">
        <f t="shared" si="27"/>
        <v>0.24174999999999969</v>
      </c>
    </row>
    <row r="489" spans="1:16" x14ac:dyDescent="0.2">
      <c r="A489" s="48">
        <v>1989</v>
      </c>
      <c r="B489" s="13">
        <v>6.9649999999999999</v>
      </c>
      <c r="C489" s="13">
        <v>7.2149999999999999</v>
      </c>
      <c r="D489" s="13">
        <v>8.1750000000000007</v>
      </c>
      <c r="E489" s="13">
        <v>7.55</v>
      </c>
      <c r="F489" s="13">
        <v>8.1649999999999991</v>
      </c>
      <c r="G489" s="13">
        <v>8.17</v>
      </c>
      <c r="H489" s="13">
        <v>7.78</v>
      </c>
      <c r="I489" s="13">
        <v>7.4249999999999998</v>
      </c>
      <c r="J489" s="13">
        <v>7.63</v>
      </c>
      <c r="K489" s="13">
        <v>7.4050000000000002</v>
      </c>
      <c r="L489" s="13">
        <v>7.22</v>
      </c>
      <c r="M489" s="13">
        <v>7.47</v>
      </c>
      <c r="O489" s="13">
        <f t="shared" si="27"/>
        <v>0.46249999999999947</v>
      </c>
      <c r="P489" s="13">
        <f t="shared" si="27"/>
        <v>0.28105263000000047</v>
      </c>
    </row>
    <row r="490" spans="1:16" x14ac:dyDescent="0.2">
      <c r="A490" s="48">
        <v>1990</v>
      </c>
      <c r="B490" s="13">
        <v>7.08</v>
      </c>
      <c r="C490" s="13">
        <v>6.45</v>
      </c>
      <c r="D490" s="13">
        <v>6.35</v>
      </c>
      <c r="E490" s="13">
        <v>5.95</v>
      </c>
      <c r="F490" s="13">
        <v>5.8150000000000004</v>
      </c>
      <c r="G490" s="13">
        <v>5.8849999999999998</v>
      </c>
      <c r="H490" s="13">
        <v>5.6349999999999998</v>
      </c>
      <c r="I490" s="13">
        <v>5.83</v>
      </c>
      <c r="J490" s="13">
        <v>5.7850000000000001</v>
      </c>
      <c r="K490" s="13">
        <v>5.5350000000000001</v>
      </c>
      <c r="L490" s="13">
        <v>5.5750000000000002</v>
      </c>
      <c r="M490" s="13">
        <v>5.64</v>
      </c>
      <c r="O490" s="13">
        <f t="shared" si="27"/>
        <v>0.17522726999999971</v>
      </c>
      <c r="P490" s="13">
        <f t="shared" si="27"/>
        <v>7.6184210000000085E-2</v>
      </c>
    </row>
    <row r="491" spans="1:16" x14ac:dyDescent="0.2">
      <c r="A491" s="48">
        <v>1991</v>
      </c>
      <c r="B491" s="13">
        <v>6.28</v>
      </c>
      <c r="C491" s="13">
        <v>6.4</v>
      </c>
      <c r="D491" s="13">
        <v>6.2350000000000003</v>
      </c>
      <c r="E491" s="13">
        <v>6.1449999999999996</v>
      </c>
      <c r="F491" s="13">
        <v>6.1150000000000002</v>
      </c>
      <c r="G491" s="13">
        <v>6.3449999999999998</v>
      </c>
      <c r="H491" s="13">
        <v>6.21</v>
      </c>
      <c r="I491" s="13">
        <v>5.7850000000000001</v>
      </c>
      <c r="J491" s="13">
        <v>5.72</v>
      </c>
      <c r="K491" s="13">
        <v>5.4950000000000001</v>
      </c>
      <c r="L491" s="13">
        <v>5.6275000000000004</v>
      </c>
      <c r="M491" s="13">
        <v>5.6349999999999998</v>
      </c>
      <c r="O491" s="13">
        <f t="shared" si="27"/>
        <v>0.21431818000000025</v>
      </c>
      <c r="P491" s="13">
        <f t="shared" si="27"/>
        <v>9.0526309999999555E-2</v>
      </c>
    </row>
    <row r="492" spans="1:16" x14ac:dyDescent="0.2">
      <c r="A492" s="48">
        <v>1992</v>
      </c>
      <c r="B492" s="13">
        <v>6.27</v>
      </c>
      <c r="C492" s="13">
        <v>6.01</v>
      </c>
      <c r="D492" s="13">
        <v>5.52</v>
      </c>
      <c r="E492" s="13">
        <v>5.38</v>
      </c>
      <c r="F492" s="13">
        <v>5.5</v>
      </c>
      <c r="G492" s="13">
        <v>5.9850000000000003</v>
      </c>
      <c r="H492" s="13">
        <v>5.6150000000000002</v>
      </c>
      <c r="I492" s="13">
        <v>5.53</v>
      </c>
      <c r="J492" s="13">
        <v>5.5049999999999999</v>
      </c>
      <c r="K492" s="13">
        <v>5.4850000000000003</v>
      </c>
      <c r="L492" s="13">
        <v>5.6449999999999996</v>
      </c>
      <c r="M492" s="13">
        <v>5.7874999999999996</v>
      </c>
      <c r="O492" s="13">
        <f t="shared" si="27"/>
        <v>0.20840908999999996</v>
      </c>
      <c r="P492" s="13">
        <f t="shared" si="27"/>
        <v>0.10105263000000075</v>
      </c>
    </row>
    <row r="493" spans="1:16" x14ac:dyDescent="0.2">
      <c r="A493" s="48">
        <v>1993</v>
      </c>
      <c r="B493" s="13">
        <v>6.05</v>
      </c>
      <c r="C493" s="13">
        <v>6.11</v>
      </c>
      <c r="D493" s="13">
        <v>6.23</v>
      </c>
      <c r="E493" s="13">
        <v>5.66</v>
      </c>
      <c r="F493" s="13">
        <v>5.4050000000000002</v>
      </c>
      <c r="G493" s="13">
        <v>5.5</v>
      </c>
      <c r="H493" s="13">
        <v>5.3875000000000002</v>
      </c>
      <c r="I493" s="13">
        <v>5.4950000000000001</v>
      </c>
      <c r="J493" s="13">
        <v>5.61</v>
      </c>
      <c r="K493" s="13">
        <v>5.67</v>
      </c>
      <c r="L493" s="13">
        <v>5.625</v>
      </c>
      <c r="M493" s="13">
        <v>5.73</v>
      </c>
      <c r="O493" s="13">
        <f t="shared" si="27"/>
        <v>0.11850000000000005</v>
      </c>
      <c r="P493" s="13">
        <f t="shared" si="27"/>
        <v>9.0394729999999868E-2</v>
      </c>
    </row>
    <row r="494" spans="1:16" x14ac:dyDescent="0.2">
      <c r="A494" s="48">
        <v>1994</v>
      </c>
      <c r="B494" s="13">
        <v>6.0674999999999999</v>
      </c>
      <c r="C494" s="13">
        <v>6.04</v>
      </c>
      <c r="D494" s="13">
        <v>5.8975</v>
      </c>
      <c r="E494" s="13">
        <v>6.56</v>
      </c>
      <c r="F494" s="13">
        <v>6.56</v>
      </c>
      <c r="G494" s="13">
        <v>6.27</v>
      </c>
      <c r="H494" s="13">
        <v>6.19</v>
      </c>
      <c r="I494" s="13">
        <v>6.28</v>
      </c>
      <c r="J494" s="13">
        <v>6.72</v>
      </c>
      <c r="K494" s="13">
        <v>6.8150000000000004</v>
      </c>
      <c r="L494" s="13">
        <v>6.7</v>
      </c>
      <c r="M494" s="13">
        <v>6.62</v>
      </c>
      <c r="O494" s="13">
        <f t="shared" si="27"/>
        <v>0.19214284999999975</v>
      </c>
      <c r="P494" s="13">
        <f t="shared" si="27"/>
        <v>9.3815779999999904E-2</v>
      </c>
    </row>
    <row r="495" spans="1:16" x14ac:dyDescent="0.2">
      <c r="A495" s="48">
        <v>1995</v>
      </c>
      <c r="B495" s="13">
        <v>6.18</v>
      </c>
      <c r="C495" s="13">
        <v>6.24</v>
      </c>
      <c r="D495" s="13">
        <v>6.3849999999999998</v>
      </c>
      <c r="E495" s="13">
        <v>5.6974999999999998</v>
      </c>
      <c r="F495" s="13">
        <v>5.69</v>
      </c>
      <c r="G495" s="13">
        <v>5.5575000000000001</v>
      </c>
      <c r="H495" s="13">
        <v>5.4725000000000001</v>
      </c>
      <c r="I495" s="13">
        <v>5.6224999999999996</v>
      </c>
      <c r="J495" s="13">
        <v>5.61</v>
      </c>
      <c r="K495" s="13">
        <v>5.4725000000000001</v>
      </c>
      <c r="L495" s="13">
        <v>5.4450000000000003</v>
      </c>
      <c r="M495" s="13">
        <v>5.51</v>
      </c>
      <c r="O495" s="13">
        <f t="shared" si="27"/>
        <v>8.0833329999999926E-2</v>
      </c>
      <c r="P495" s="13">
        <f t="shared" si="27"/>
        <v>9.6973679999999618E-2</v>
      </c>
    </row>
    <row r="496" spans="1:16" x14ac:dyDescent="0.2">
      <c r="A496" s="48">
        <v>1996</v>
      </c>
      <c r="B496" s="13">
        <v>6.0650000000000004</v>
      </c>
      <c r="C496" s="13">
        <v>5.9924999999999997</v>
      </c>
      <c r="D496" s="13">
        <v>6.07</v>
      </c>
      <c r="E496" s="13">
        <v>6.14</v>
      </c>
      <c r="F496" s="13">
        <v>6.04</v>
      </c>
      <c r="G496" s="13">
        <v>6.38</v>
      </c>
      <c r="H496" s="13">
        <v>6.5149999999999997</v>
      </c>
      <c r="I496" s="13">
        <v>6.8025000000000002</v>
      </c>
      <c r="J496" s="13">
        <v>6.9625000000000004</v>
      </c>
      <c r="K496" s="13">
        <v>7.2024999999999997</v>
      </c>
      <c r="L496" s="13">
        <v>7.15</v>
      </c>
      <c r="M496" s="13">
        <v>7.0575000000000001</v>
      </c>
      <c r="O496" s="13">
        <f t="shared" si="27"/>
        <v>0.20500000000000007</v>
      </c>
      <c r="P496" s="13">
        <f t="shared" si="27"/>
        <v>0.15024999999999977</v>
      </c>
    </row>
    <row r="497" spans="1:16" x14ac:dyDescent="0.2">
      <c r="A497" s="48">
        <v>1997</v>
      </c>
      <c r="B497" s="13">
        <v>7.47</v>
      </c>
      <c r="C497" s="13">
        <v>7.61</v>
      </c>
      <c r="D497" s="13">
        <v>7.37</v>
      </c>
      <c r="E497" s="13">
        <v>7.3274999999999997</v>
      </c>
      <c r="F497" s="13">
        <v>7.35</v>
      </c>
      <c r="G497" s="13">
        <v>7.7</v>
      </c>
      <c r="H497" s="13">
        <v>6.72</v>
      </c>
      <c r="I497" s="13">
        <v>6.63</v>
      </c>
      <c r="J497" s="13">
        <v>6.7774999999999999</v>
      </c>
      <c r="K497" s="13">
        <v>6.88</v>
      </c>
      <c r="L497" s="13">
        <v>7.28</v>
      </c>
      <c r="M497" s="13">
        <v>7.9225000000000003</v>
      </c>
      <c r="O497" s="13">
        <f t="shared" si="27"/>
        <v>0.42852272000000013</v>
      </c>
      <c r="P497" s="13">
        <f t="shared" si="27"/>
        <v>0.35460525999999959</v>
      </c>
    </row>
    <row r="498" spans="1:16" x14ac:dyDescent="0.2">
      <c r="A498" s="48">
        <v>1998</v>
      </c>
      <c r="B498" s="13">
        <v>6.95</v>
      </c>
      <c r="C498" s="13">
        <v>6.7249999999999996</v>
      </c>
      <c r="D498" s="13">
        <v>6.2675000000000001</v>
      </c>
      <c r="E498" s="13">
        <v>5.93</v>
      </c>
      <c r="F498" s="13">
        <v>6.1425000000000001</v>
      </c>
      <c r="G498" s="13">
        <v>6.3150000000000004</v>
      </c>
      <c r="H498" s="13">
        <v>6.28</v>
      </c>
      <c r="I498" s="13">
        <v>7.0175000000000001</v>
      </c>
      <c r="J498" s="13">
        <v>6.7549999999999999</v>
      </c>
      <c r="K498" s="13">
        <v>6.5724999999999998</v>
      </c>
      <c r="L498" s="13">
        <v>6.48</v>
      </c>
      <c r="M498" s="13">
        <v>6.43</v>
      </c>
      <c r="O498" s="13">
        <f t="shared" si="27"/>
        <v>0.14187500000000064</v>
      </c>
      <c r="P498" s="13">
        <f t="shared" si="27"/>
        <v>0.25328946999999946</v>
      </c>
    </row>
    <row r="499" spans="1:16" x14ac:dyDescent="0.2">
      <c r="A499" s="48">
        <v>1999</v>
      </c>
      <c r="B499" s="13">
        <v>6.2</v>
      </c>
      <c r="C499" s="13">
        <v>6.02</v>
      </c>
      <c r="D499" s="13">
        <v>5.85</v>
      </c>
      <c r="E499" s="13">
        <v>5.8</v>
      </c>
      <c r="F499" s="13">
        <v>5.3150000000000004</v>
      </c>
      <c r="G499" s="13">
        <v>5.27</v>
      </c>
      <c r="H499" s="13">
        <v>5.3550000000000004</v>
      </c>
      <c r="I499" s="13">
        <v>5.665</v>
      </c>
      <c r="J499" s="13">
        <v>5.41</v>
      </c>
      <c r="K499" s="13">
        <v>5.0650000000000004</v>
      </c>
      <c r="L499" s="13">
        <v>4.49</v>
      </c>
      <c r="M499" s="13">
        <v>4.5049999999999999</v>
      </c>
      <c r="O499" s="13">
        <f t="shared" si="27"/>
        <v>0.25657893999999981</v>
      </c>
      <c r="P499" s="13">
        <f t="shared" si="27"/>
        <v>0.39921051999999957</v>
      </c>
    </row>
    <row r="500" spans="1:16" x14ac:dyDescent="0.2">
      <c r="A500" s="48">
        <v>2000</v>
      </c>
      <c r="B500" s="13">
        <v>5.16</v>
      </c>
      <c r="C500" s="13">
        <v>4.8250000000000002</v>
      </c>
      <c r="D500" s="13">
        <v>4.72</v>
      </c>
      <c r="E500" s="13">
        <v>4.2350000000000003</v>
      </c>
      <c r="F500" s="13">
        <v>4.625</v>
      </c>
      <c r="G500" s="13">
        <v>4.9400000000000004</v>
      </c>
      <c r="H500" s="13">
        <v>4.8449999999999998</v>
      </c>
      <c r="I500" s="13">
        <v>4.6500000000000004</v>
      </c>
      <c r="J500" s="13">
        <v>4.5324999999999998</v>
      </c>
      <c r="K500" s="13">
        <v>4.6325000000000003</v>
      </c>
      <c r="L500" s="13">
        <v>4.92</v>
      </c>
      <c r="M500" s="13">
        <v>4.9249999999999998</v>
      </c>
      <c r="O500" s="13">
        <f t="shared" si="27"/>
        <v>0.31524999999999981</v>
      </c>
      <c r="P500" s="13">
        <f t="shared" si="27"/>
        <v>0.13487500000000008</v>
      </c>
    </row>
    <row r="501" spans="1:16" x14ac:dyDescent="0.2">
      <c r="A501" s="48">
        <v>2001</v>
      </c>
      <c r="B501" s="13">
        <v>5.6349999999999998</v>
      </c>
      <c r="C501" s="13">
        <v>5.3449999999999998</v>
      </c>
      <c r="D501" s="13">
        <v>4.92</v>
      </c>
      <c r="E501" s="13">
        <v>4.67</v>
      </c>
      <c r="F501" s="13">
        <v>4.6725000000000003</v>
      </c>
      <c r="G501" s="13">
        <v>5.0199999999999996</v>
      </c>
      <c r="H501" s="13">
        <v>4.74</v>
      </c>
      <c r="I501" s="13">
        <v>4.7824999999999998</v>
      </c>
      <c r="J501" s="13">
        <v>5.05</v>
      </c>
      <c r="K501" s="13">
        <v>4.5625</v>
      </c>
      <c r="L501" s="13">
        <v>4.47</v>
      </c>
      <c r="M501" s="13">
        <v>4.42</v>
      </c>
      <c r="O501" s="13">
        <f t="shared" si="27"/>
        <v>0.24261904000000012</v>
      </c>
      <c r="P501" s="13">
        <f t="shared" si="27"/>
        <v>8.6578939999999882E-2</v>
      </c>
    </row>
    <row r="502" spans="1:16" x14ac:dyDescent="0.2">
      <c r="A502" s="48">
        <v>2002</v>
      </c>
      <c r="B502" s="13">
        <v>4.375</v>
      </c>
      <c r="C502" s="13">
        <v>4.3650000000000002</v>
      </c>
      <c r="D502" s="13">
        <v>4.4450000000000003</v>
      </c>
      <c r="E502" s="13">
        <v>4.75</v>
      </c>
      <c r="F502" s="13">
        <v>4.8499999999999996</v>
      </c>
      <c r="G502" s="13">
        <v>4.665</v>
      </c>
      <c r="H502" s="13">
        <v>4.32</v>
      </c>
      <c r="I502" s="13">
        <v>4.3600000000000003</v>
      </c>
      <c r="J502" s="13">
        <v>4.21</v>
      </c>
      <c r="K502" s="13">
        <v>4.1574999999999998</v>
      </c>
      <c r="L502" s="13">
        <v>4.2525000000000004</v>
      </c>
      <c r="M502" s="13">
        <v>4.3499999999999996</v>
      </c>
      <c r="O502" s="13">
        <f t="shared" si="27"/>
        <v>0.19821428000000019</v>
      </c>
      <c r="P502" s="13">
        <f t="shared" si="27"/>
        <v>0.10671052000000003</v>
      </c>
    </row>
    <row r="503" spans="1:16" x14ac:dyDescent="0.2">
      <c r="A503" s="48">
        <v>2003</v>
      </c>
      <c r="B503" s="13">
        <v>4.5999999999999996</v>
      </c>
      <c r="C503" s="13">
        <v>4.6150000000000002</v>
      </c>
      <c r="D503" s="13">
        <v>4.7300000000000004</v>
      </c>
      <c r="E503" s="13">
        <v>5.0149999999999997</v>
      </c>
      <c r="F503" s="13">
        <v>5.22</v>
      </c>
      <c r="G503" s="13">
        <v>5.48</v>
      </c>
      <c r="H503" s="13">
        <v>5.3049999999999997</v>
      </c>
      <c r="I503" s="13">
        <v>5.4850000000000003</v>
      </c>
      <c r="J503" s="13">
        <v>5.49</v>
      </c>
      <c r="K503" s="13">
        <v>5.44</v>
      </c>
      <c r="L503" s="13">
        <v>5.5425000000000004</v>
      </c>
      <c r="M503" s="13">
        <v>5.5975000000000001</v>
      </c>
      <c r="O503" s="13">
        <f t="shared" ref="O503:P518" si="28">K387-K503</f>
        <v>0.21119047000000002</v>
      </c>
      <c r="P503" s="13">
        <f t="shared" si="28"/>
        <v>0.16223683999999938</v>
      </c>
    </row>
    <row r="504" spans="1:16" x14ac:dyDescent="0.2">
      <c r="A504" s="48">
        <v>2004</v>
      </c>
      <c r="B504" s="13">
        <v>5.1749999999999998</v>
      </c>
      <c r="C504" s="13">
        <v>5.5449999999999999</v>
      </c>
      <c r="D504" s="13">
        <v>5.5125000000000002</v>
      </c>
      <c r="E504" s="13">
        <v>5.1550000000000002</v>
      </c>
      <c r="F504" s="13">
        <v>5.1849999999999996</v>
      </c>
      <c r="G504" s="13">
        <v>5.71</v>
      </c>
      <c r="H504" s="13">
        <v>6.665</v>
      </c>
      <c r="I504" s="13">
        <v>7.28</v>
      </c>
      <c r="J504" s="13">
        <v>7.33</v>
      </c>
      <c r="K504" s="13">
        <v>7.8550000000000004</v>
      </c>
      <c r="L504" s="13">
        <v>7.9050000000000002</v>
      </c>
      <c r="M504" s="13">
        <v>9.0299999999999994</v>
      </c>
      <c r="O504" s="13">
        <f t="shared" si="28"/>
        <v>0.35687499999999872</v>
      </c>
      <c r="P504" s="13">
        <f t="shared" si="28"/>
        <v>0.7101315700000006</v>
      </c>
    </row>
    <row r="505" spans="1:16" x14ac:dyDescent="0.2">
      <c r="A505" s="48">
        <v>2005</v>
      </c>
      <c r="B505" s="13">
        <v>7.06</v>
      </c>
      <c r="C505" s="13">
        <v>6.73</v>
      </c>
      <c r="D505" s="13">
        <v>6.54</v>
      </c>
      <c r="E505" s="13">
        <v>5.84</v>
      </c>
      <c r="F505" s="13">
        <v>5.64</v>
      </c>
      <c r="G505" s="13">
        <v>5.39</v>
      </c>
      <c r="H505" s="13">
        <v>5.1950000000000003</v>
      </c>
      <c r="I505" s="13">
        <v>5.085</v>
      </c>
      <c r="J505" s="13">
        <v>5.19</v>
      </c>
      <c r="K505" s="13">
        <v>5.09</v>
      </c>
      <c r="L505" s="13">
        <v>4.9850000000000003</v>
      </c>
      <c r="M505" s="13">
        <v>6.0149999999999997</v>
      </c>
      <c r="O505" s="13">
        <f t="shared" si="28"/>
        <v>0.17424999999999979</v>
      </c>
      <c r="P505" s="13">
        <f t="shared" si="28"/>
        <v>0.39250000000000007</v>
      </c>
    </row>
    <row r="506" spans="1:16" x14ac:dyDescent="0.2">
      <c r="A506" s="48">
        <v>2006</v>
      </c>
      <c r="B506" s="13">
        <v>6</v>
      </c>
      <c r="C506" s="13">
        <v>6.085</v>
      </c>
      <c r="D506" s="13">
        <v>6.56</v>
      </c>
      <c r="E506" s="13">
        <v>6.65</v>
      </c>
      <c r="F506" s="13">
        <v>6.09</v>
      </c>
      <c r="G506" s="13">
        <v>5.73</v>
      </c>
      <c r="H506" s="13">
        <v>5.7024999999999997</v>
      </c>
      <c r="I506" s="13">
        <v>5.5149999999999997</v>
      </c>
      <c r="J506" s="13">
        <v>5.6174999999999997</v>
      </c>
      <c r="K506" s="13">
        <v>5.6349999999999998</v>
      </c>
      <c r="L506" s="13">
        <v>5.68</v>
      </c>
      <c r="M506" s="13">
        <v>5.7</v>
      </c>
      <c r="O506" s="13">
        <f t="shared" si="28"/>
        <v>0.23712499999999981</v>
      </c>
      <c r="P506" s="13">
        <f t="shared" si="28"/>
        <v>0.15407894000000066</v>
      </c>
    </row>
    <row r="507" spans="1:16" x14ac:dyDescent="0.2">
      <c r="A507" s="48">
        <v>2007</v>
      </c>
      <c r="B507" s="13">
        <v>6.0049999999999999</v>
      </c>
      <c r="C507" s="13">
        <v>6.18</v>
      </c>
      <c r="D507" s="13">
        <v>6.085</v>
      </c>
      <c r="E507" s="13">
        <v>6.1449999999999996</v>
      </c>
      <c r="F507" s="13">
        <v>5.7450000000000001</v>
      </c>
      <c r="G507" s="13">
        <v>5.63</v>
      </c>
      <c r="H507" s="13">
        <v>5.6675000000000004</v>
      </c>
      <c r="I507" s="13">
        <v>6.5175000000000001</v>
      </c>
      <c r="J507" s="13">
        <v>6.5724999999999998</v>
      </c>
      <c r="K507" s="13">
        <v>6.57</v>
      </c>
      <c r="L507" s="13">
        <v>7.1749999999999998</v>
      </c>
      <c r="M507" s="13">
        <v>7.2450000000000001</v>
      </c>
      <c r="O507" s="13">
        <f t="shared" si="28"/>
        <v>0.44700000000000006</v>
      </c>
      <c r="P507" s="13">
        <f t="shared" si="28"/>
        <v>0.39197368000000044</v>
      </c>
    </row>
    <row r="508" spans="1:16" x14ac:dyDescent="0.2">
      <c r="A508" s="48">
        <v>2008</v>
      </c>
      <c r="B508" s="13">
        <v>7.69</v>
      </c>
      <c r="C508" s="13">
        <v>7.835</v>
      </c>
      <c r="D508" s="13">
        <v>8.4250000000000007</v>
      </c>
      <c r="E508" s="13">
        <v>8.625</v>
      </c>
      <c r="F508" s="13">
        <v>8.3149999999999995</v>
      </c>
      <c r="G508" s="13">
        <v>9.06</v>
      </c>
      <c r="H508" s="13">
        <v>9.5299999999999994</v>
      </c>
      <c r="I508" s="13">
        <v>9.9499999999999993</v>
      </c>
      <c r="J508" s="13">
        <v>10.8575</v>
      </c>
      <c r="K508" s="13">
        <v>11.895</v>
      </c>
      <c r="L508" s="13">
        <v>12.7525</v>
      </c>
      <c r="M508" s="13">
        <v>13.28</v>
      </c>
      <c r="O508" s="13">
        <f t="shared" si="28"/>
        <v>0.72416665999999985</v>
      </c>
      <c r="P508" s="13">
        <f t="shared" si="28"/>
        <v>1.078875</v>
      </c>
    </row>
    <row r="509" spans="1:16" x14ac:dyDescent="0.2">
      <c r="A509" s="48">
        <v>2009</v>
      </c>
      <c r="B509" s="13">
        <v>10.72</v>
      </c>
      <c r="C509" s="13">
        <v>11.8</v>
      </c>
      <c r="D509" s="13">
        <v>13.65</v>
      </c>
      <c r="E509" s="13">
        <v>13.852499999999999</v>
      </c>
      <c r="F509" s="13">
        <v>12.012499999999999</v>
      </c>
      <c r="G509" s="13">
        <v>10.7125</v>
      </c>
      <c r="H509" s="13">
        <v>8.5</v>
      </c>
      <c r="I509" s="13">
        <v>8.4124999999999996</v>
      </c>
      <c r="J509" s="13">
        <v>7.7925000000000004</v>
      </c>
      <c r="K509" s="13">
        <v>9.5775000000000006</v>
      </c>
      <c r="L509" s="13">
        <v>8.51</v>
      </c>
      <c r="M509" s="13">
        <v>8.43</v>
      </c>
      <c r="O509" s="13">
        <f t="shared" si="28"/>
        <v>0.35774999999999935</v>
      </c>
      <c r="P509" s="13">
        <f t="shared" si="28"/>
        <v>0.77789472999999987</v>
      </c>
    </row>
    <row r="510" spans="1:16" x14ac:dyDescent="0.2">
      <c r="A510" s="48">
        <v>2010</v>
      </c>
      <c r="B510" s="13">
        <v>9</v>
      </c>
      <c r="C510" s="13">
        <v>9.51</v>
      </c>
      <c r="D510" s="13">
        <v>9.4499999999999993</v>
      </c>
      <c r="E510" s="13">
        <v>8.8800000000000008</v>
      </c>
      <c r="F510" s="13">
        <v>9.5075000000000003</v>
      </c>
      <c r="G510" s="13">
        <v>9.06</v>
      </c>
      <c r="H510" s="13">
        <v>8.8825000000000003</v>
      </c>
      <c r="I510" s="13">
        <v>9.5574999999999992</v>
      </c>
      <c r="J510" s="13">
        <v>9.9224999999999994</v>
      </c>
      <c r="K510" s="13">
        <v>9.1300000000000008</v>
      </c>
      <c r="L510" s="13">
        <v>9</v>
      </c>
      <c r="M510" s="13">
        <v>9.24</v>
      </c>
      <c r="O510" s="13">
        <f t="shared" si="28"/>
        <v>0.68407893999999914</v>
      </c>
      <c r="P510" s="13">
        <f t="shared" si="28"/>
        <v>0.38013156999999964</v>
      </c>
    </row>
    <row r="511" spans="1:16" x14ac:dyDescent="0.2">
      <c r="A511" s="48">
        <v>2011</v>
      </c>
      <c r="B511" s="13">
        <v>9.2899999999999991</v>
      </c>
      <c r="C511" s="13">
        <v>9.1174999999999997</v>
      </c>
      <c r="D511" s="13">
        <v>9.06</v>
      </c>
      <c r="E511" s="13">
        <v>9.1125000000000007</v>
      </c>
      <c r="F511" s="13">
        <v>10.050000000000001</v>
      </c>
      <c r="G511" s="13">
        <v>10.17</v>
      </c>
      <c r="H511" s="13">
        <v>10.6075</v>
      </c>
      <c r="I511" s="13">
        <v>11.83</v>
      </c>
      <c r="J511" s="13">
        <v>12.49</v>
      </c>
      <c r="K511" s="13">
        <v>13.5525</v>
      </c>
      <c r="L511" s="13">
        <v>12.8475</v>
      </c>
      <c r="M511" s="13">
        <v>13.1</v>
      </c>
      <c r="O511" s="13">
        <f t="shared" si="28"/>
        <v>0.39862499999999912</v>
      </c>
      <c r="P511" s="13">
        <f t="shared" si="28"/>
        <v>1.0882894699999994</v>
      </c>
    </row>
    <row r="512" spans="1:16" x14ac:dyDescent="0.2">
      <c r="A512" s="48">
        <v>2012</v>
      </c>
      <c r="B512" s="13">
        <v>13.31</v>
      </c>
      <c r="C512" s="13">
        <v>12.9825</v>
      </c>
      <c r="D512" s="13">
        <v>12.99</v>
      </c>
      <c r="E512" s="13">
        <v>13.105</v>
      </c>
      <c r="F512" s="13">
        <v>12.987500000000001</v>
      </c>
      <c r="G512" s="13">
        <v>11.9475</v>
      </c>
      <c r="H512" s="13">
        <v>11.734999999999999</v>
      </c>
      <c r="I512" s="13">
        <v>11.1175</v>
      </c>
      <c r="J512" s="13">
        <v>11.045</v>
      </c>
      <c r="K512" s="13">
        <v>11.5</v>
      </c>
      <c r="L512" s="13">
        <v>12.02</v>
      </c>
      <c r="M512" s="13">
        <v>13</v>
      </c>
      <c r="O512" s="13">
        <f t="shared" si="28"/>
        <v>0.54987500000000011</v>
      </c>
      <c r="P512" s="13">
        <f t="shared" si="28"/>
        <v>0.54150000000000098</v>
      </c>
    </row>
    <row r="513" spans="1:16" x14ac:dyDescent="0.2">
      <c r="A513" s="48">
        <v>2013</v>
      </c>
      <c r="B513" s="13">
        <v>13.2125</v>
      </c>
      <c r="C513" s="13">
        <v>12.3</v>
      </c>
      <c r="D513" s="13">
        <v>12.327500000000001</v>
      </c>
      <c r="E513" s="13">
        <v>13.92</v>
      </c>
      <c r="F513" s="13">
        <v>14.875</v>
      </c>
      <c r="G513" s="13">
        <v>15.085000000000001</v>
      </c>
      <c r="H513" s="13">
        <v>14.57</v>
      </c>
      <c r="I513" s="13">
        <v>13.56</v>
      </c>
      <c r="J513" s="13">
        <v>13.977499999999999</v>
      </c>
      <c r="K513" s="13">
        <v>13.515000000000001</v>
      </c>
      <c r="L513" s="13">
        <v>14.045</v>
      </c>
      <c r="M513" s="13">
        <v>14.5</v>
      </c>
      <c r="O513" s="13">
        <f t="shared" si="28"/>
        <v>0.67488094999999859</v>
      </c>
      <c r="P513" s="13">
        <f t="shared" si="28"/>
        <v>0.55276315000000054</v>
      </c>
    </row>
    <row r="514" spans="1:16" x14ac:dyDescent="0.2">
      <c r="A514" s="48">
        <v>2014</v>
      </c>
      <c r="B514" s="13">
        <v>12.012499999999999</v>
      </c>
      <c r="C514" s="13">
        <v>12.135</v>
      </c>
      <c r="D514" s="13">
        <v>12.53</v>
      </c>
      <c r="E514" s="13">
        <v>12</v>
      </c>
      <c r="F514" s="13">
        <v>11.74</v>
      </c>
      <c r="G514" s="13">
        <v>12.6525</v>
      </c>
      <c r="H514" s="13">
        <v>12.477499999999999</v>
      </c>
      <c r="I514" s="13">
        <v>12.3325</v>
      </c>
      <c r="J514" s="13">
        <v>12.89</v>
      </c>
      <c r="K514" s="13">
        <v>12.6</v>
      </c>
      <c r="L514" s="13">
        <v>12.785</v>
      </c>
      <c r="M514" s="13">
        <v>13.635</v>
      </c>
      <c r="O514" s="13">
        <f t="shared" si="28"/>
        <v>0.25154761000000114</v>
      </c>
      <c r="P514" s="13">
        <f t="shared" si="28"/>
        <v>0.73565789000000059</v>
      </c>
    </row>
    <row r="515" spans="1:16" x14ac:dyDescent="0.2">
      <c r="A515" s="48">
        <v>2015</v>
      </c>
      <c r="B515" s="13">
        <v>11.94</v>
      </c>
      <c r="C515" s="13">
        <v>12.195</v>
      </c>
      <c r="D515" s="13">
        <v>11.647500000000001</v>
      </c>
      <c r="E515" s="13">
        <v>10.72</v>
      </c>
      <c r="F515" s="13">
        <v>10.345000000000001</v>
      </c>
      <c r="G515" s="13">
        <v>9.2225000000000001</v>
      </c>
      <c r="H515" s="13">
        <v>9.2074999999999996</v>
      </c>
      <c r="I515" s="13">
        <v>10.005000000000001</v>
      </c>
      <c r="J515" s="13">
        <v>9.91</v>
      </c>
      <c r="K515" s="13">
        <v>9.5500000000000007</v>
      </c>
      <c r="L515" s="13">
        <v>9.5649999999999995</v>
      </c>
      <c r="M515" s="13">
        <v>9.6824999999999992</v>
      </c>
      <c r="O515" s="13">
        <f t="shared" si="28"/>
        <v>0.47449999999999903</v>
      </c>
      <c r="P515" s="13">
        <f t="shared" si="28"/>
        <v>0.36157894000000113</v>
      </c>
    </row>
    <row r="516" spans="1:16" x14ac:dyDescent="0.2">
      <c r="A516" s="48">
        <v>2016</v>
      </c>
      <c r="B516" s="13">
        <v>9.4749999999999996</v>
      </c>
      <c r="C516" s="13">
        <v>9.1</v>
      </c>
      <c r="D516" s="13">
        <v>9.0749999999999993</v>
      </c>
      <c r="E516" s="13">
        <v>9.36</v>
      </c>
      <c r="F516" s="13">
        <v>8.5850000000000009</v>
      </c>
      <c r="G516" s="13">
        <v>8.5975000000000001</v>
      </c>
      <c r="H516" s="13">
        <v>8.7650000000000006</v>
      </c>
      <c r="I516" s="13">
        <v>8.4700000000000006</v>
      </c>
      <c r="J516" s="13">
        <v>8.5425000000000004</v>
      </c>
      <c r="K516" s="13">
        <v>8.52</v>
      </c>
      <c r="L516" s="13">
        <v>8.52</v>
      </c>
      <c r="M516" s="13">
        <v>8.49</v>
      </c>
      <c r="O516" s="13">
        <f t="shared" si="28"/>
        <v>0.21013156999999971</v>
      </c>
      <c r="P516" s="13">
        <f t="shared" si="28"/>
        <v>0.19250000000000078</v>
      </c>
    </row>
    <row r="517" spans="1:16" x14ac:dyDescent="0.2">
      <c r="A517" s="48">
        <v>2017</v>
      </c>
      <c r="B517" s="13">
        <v>9.2274999999999991</v>
      </c>
      <c r="C517" s="13">
        <v>9.8949999999999996</v>
      </c>
      <c r="D517" s="13">
        <v>10.2225</v>
      </c>
      <c r="E517" s="13">
        <v>9.5225000000000009</v>
      </c>
      <c r="F517" s="13">
        <v>9.3800000000000008</v>
      </c>
      <c r="G517" s="13">
        <v>9.43</v>
      </c>
      <c r="H517" s="13">
        <v>9.52</v>
      </c>
      <c r="I517" s="13">
        <v>9.8375000000000004</v>
      </c>
      <c r="J517" s="13">
        <v>9.9700000000000006</v>
      </c>
      <c r="K517" s="13">
        <v>9.9275000000000002</v>
      </c>
      <c r="L517" s="13">
        <v>10.06</v>
      </c>
      <c r="M517" s="13">
        <v>9.5850000000000009</v>
      </c>
      <c r="O517" s="13">
        <f t="shared" si="28"/>
        <v>0.43950000000000067</v>
      </c>
      <c r="P517" s="13">
        <f t="shared" si="28"/>
        <v>0.3056578899999991</v>
      </c>
    </row>
    <row r="518" spans="1:16" x14ac:dyDescent="0.2">
      <c r="A518" s="48">
        <v>2018</v>
      </c>
      <c r="B518" s="13">
        <v>9.5250000000000004</v>
      </c>
      <c r="C518" s="13">
        <v>9.3000000000000007</v>
      </c>
      <c r="D518" s="13">
        <v>9.2225000000000001</v>
      </c>
      <c r="E518" s="13">
        <v>9.6925000000000008</v>
      </c>
      <c r="F518" s="13">
        <v>9.375</v>
      </c>
      <c r="G518" s="13">
        <v>9.5649999999999995</v>
      </c>
      <c r="H518" s="13">
        <v>9.7249999999999996</v>
      </c>
      <c r="I518" s="13">
        <v>9.7825000000000006</v>
      </c>
      <c r="J518" s="13">
        <v>9.5474999999999994</v>
      </c>
      <c r="K518" s="13">
        <v>9.4450000000000003</v>
      </c>
      <c r="L518" s="13">
        <v>9.6775000000000002</v>
      </c>
      <c r="M518" s="13">
        <v>10.112500000000001</v>
      </c>
      <c r="O518" s="13">
        <f t="shared" si="28"/>
        <v>0.30880952380952387</v>
      </c>
      <c r="P518" s="13">
        <f t="shared" si="28"/>
        <v>0.42578947368421005</v>
      </c>
    </row>
    <row r="519" spans="1:16" x14ac:dyDescent="0.2">
      <c r="A519" s="48">
        <v>2019</v>
      </c>
      <c r="B519" s="13">
        <v>10.01</v>
      </c>
      <c r="C519" s="13">
        <v>9.9375</v>
      </c>
      <c r="D519" s="13">
        <v>8.8125</v>
      </c>
      <c r="E519" s="13">
        <v>8.4600000000000009</v>
      </c>
      <c r="F519" s="13">
        <v>8.5549999999999997</v>
      </c>
      <c r="G519" s="13">
        <v>8.3975000000000009</v>
      </c>
      <c r="H519" s="13">
        <v>8.58</v>
      </c>
      <c r="I519" s="13">
        <v>8.59</v>
      </c>
      <c r="J519" s="13">
        <v>8.8049999999999997</v>
      </c>
      <c r="K519" s="13">
        <v>8.9124999999999996</v>
      </c>
      <c r="L519" s="13">
        <v>8.9324999999999992</v>
      </c>
      <c r="M519" s="13">
        <v>9.3224999999999998</v>
      </c>
      <c r="O519" s="13">
        <f t="shared" ref="O519:P525" si="29">K403-K519</f>
        <v>0.22309523809523846</v>
      </c>
      <c r="P519" s="13">
        <f t="shared" si="29"/>
        <v>0.1711842105263166</v>
      </c>
    </row>
    <row r="520" spans="1:16" x14ac:dyDescent="0.2">
      <c r="A520" s="48">
        <v>2020</v>
      </c>
      <c r="B520" s="13">
        <v>8.9149999999999991</v>
      </c>
      <c r="C520" s="13">
        <v>8.4149999999999991</v>
      </c>
      <c r="D520" s="13">
        <v>8.9824999999999999</v>
      </c>
      <c r="E520" s="13">
        <v>9.07</v>
      </c>
      <c r="F520" s="13">
        <v>8.7949999999999999</v>
      </c>
      <c r="G520" s="13">
        <v>8.7925000000000004</v>
      </c>
      <c r="H520" s="13">
        <v>9.2750000000000004</v>
      </c>
      <c r="I520" s="13">
        <v>8.9049999999999994</v>
      </c>
      <c r="J520" s="13">
        <v>8.8249999999999993</v>
      </c>
      <c r="K520" s="13">
        <v>8.7225000000000001</v>
      </c>
      <c r="L520" s="13">
        <v>8.6675000000000004</v>
      </c>
      <c r="M520" s="13">
        <v>8.2874999999999996</v>
      </c>
      <c r="O520" s="13">
        <f t="shared" si="29"/>
        <v>0.49916666666666565</v>
      </c>
      <c r="P520" s="13">
        <f t="shared" si="29"/>
        <v>0.18921052631578839</v>
      </c>
    </row>
    <row r="521" spans="1:16" x14ac:dyDescent="0.2">
      <c r="A521" s="48">
        <v>2021</v>
      </c>
      <c r="B521" s="13">
        <v>8.2475000000000005</v>
      </c>
      <c r="C521" s="13">
        <v>8.2874999999999996</v>
      </c>
      <c r="D521" s="13">
        <v>8.4875000000000007</v>
      </c>
      <c r="E521" s="13">
        <v>8.7475000000000005</v>
      </c>
      <c r="F521" s="13">
        <v>8.75</v>
      </c>
      <c r="G521" s="13">
        <v>9.5050000000000008</v>
      </c>
      <c r="H521" s="13">
        <v>10.112500000000001</v>
      </c>
      <c r="I521" s="13">
        <v>10.385</v>
      </c>
      <c r="J521" s="13">
        <v>11.43</v>
      </c>
      <c r="K521" s="13">
        <v>12.98</v>
      </c>
      <c r="L521" s="13">
        <v>13.3725</v>
      </c>
      <c r="M521" s="13">
        <v>11.7075</v>
      </c>
      <c r="O521" s="13">
        <f t="shared" si="29"/>
        <v>0.72776315789473678</v>
      </c>
      <c r="P521" s="13">
        <f t="shared" si="29"/>
        <v>0.4480263157894715</v>
      </c>
    </row>
    <row r="522" spans="1:16" x14ac:dyDescent="0.2">
      <c r="A522" s="48">
        <v>2022</v>
      </c>
      <c r="B522" s="13">
        <v>12.154999999999999</v>
      </c>
      <c r="C522" s="13">
        <v>13.06</v>
      </c>
      <c r="D522" s="13">
        <v>12.295</v>
      </c>
      <c r="E522" s="13">
        <v>12.84</v>
      </c>
      <c r="F522" s="13">
        <v>12.842499999999999</v>
      </c>
      <c r="G522" s="13">
        <v>12.66</v>
      </c>
      <c r="H522" s="13">
        <v>12.06</v>
      </c>
      <c r="I522" s="13">
        <v>11.93</v>
      </c>
      <c r="J522" s="13">
        <v>12.234999999999999</v>
      </c>
      <c r="K522" s="13">
        <v>13.42</v>
      </c>
      <c r="L522" s="13">
        <v>14.85</v>
      </c>
      <c r="O522" s="13">
        <f t="shared" si="29"/>
        <v>0.63325000000000031</v>
      </c>
      <c r="P522" s="13">
        <f t="shared" si="29"/>
        <v>1.0355263157894736</v>
      </c>
    </row>
    <row r="523" spans="1:16" x14ac:dyDescent="0.2">
      <c r="A523" s="48">
        <v>2023</v>
      </c>
      <c r="K523" s="35">
        <f t="shared" ref="K523:L526" si="30">(SUM(K518:K522)-SUM(K402:K406))/5+K407</f>
        <v>14.623083082706769</v>
      </c>
      <c r="L523" s="35">
        <f t="shared" si="30"/>
        <v>14.822105263157896</v>
      </c>
      <c r="O523" s="13">
        <f t="shared" si="29"/>
        <v>0.47841691729323266</v>
      </c>
      <c r="P523" s="13">
        <f t="shared" si="29"/>
        <v>0.45394736842105132</v>
      </c>
    </row>
    <row r="524" spans="1:16" x14ac:dyDescent="0.2">
      <c r="A524" s="48">
        <v>2024</v>
      </c>
      <c r="K524" s="35">
        <f t="shared" si="30"/>
        <v>11.789209223057645</v>
      </c>
      <c r="L524" s="35">
        <f t="shared" si="30"/>
        <v>11.234296052631581</v>
      </c>
      <c r="O524" s="13">
        <f t="shared" si="29"/>
        <v>0.51233839598997477</v>
      </c>
      <c r="P524" s="13">
        <f t="shared" si="29"/>
        <v>0.45957894736841887</v>
      </c>
    </row>
    <row r="525" spans="1:16" x14ac:dyDescent="0.2">
      <c r="A525" s="48">
        <v>2025</v>
      </c>
      <c r="K525" s="35">
        <f t="shared" si="30"/>
        <v>9.2648129724310788</v>
      </c>
      <c r="L525" s="35">
        <f t="shared" si="30"/>
        <v>9.7778611528822044</v>
      </c>
      <c r="O525" s="13">
        <f t="shared" si="29"/>
        <v>0.57018702756892203</v>
      </c>
      <c r="P525" s="13">
        <f t="shared" si="29"/>
        <v>0.51725789473684358</v>
      </c>
    </row>
    <row r="526" spans="1:16" x14ac:dyDescent="0.2">
      <c r="A526" s="48">
        <v>2026</v>
      </c>
      <c r="K526" s="35">
        <f t="shared" si="30"/>
        <v>11.165608900250628</v>
      </c>
      <c r="L526" s="35">
        <f t="shared" si="30"/>
        <v>11.517132631578953</v>
      </c>
      <c r="O526" s="13"/>
      <c r="P526" s="13"/>
    </row>
    <row r="527" spans="1:16" ht="15.75" x14ac:dyDescent="0.25">
      <c r="A527" s="51" t="s">
        <v>164</v>
      </c>
    </row>
    <row r="528" spans="1:16" ht="13.5" x14ac:dyDescent="0.25">
      <c r="A528" s="42" t="s">
        <v>155</v>
      </c>
      <c r="B528" t="s">
        <v>84</v>
      </c>
      <c r="C528" t="s">
        <v>85</v>
      </c>
      <c r="D528" t="s">
        <v>86</v>
      </c>
      <c r="E528" t="s">
        <v>87</v>
      </c>
      <c r="F528" t="s">
        <v>88</v>
      </c>
      <c r="G528" t="s">
        <v>89</v>
      </c>
      <c r="H528" t="s">
        <v>90</v>
      </c>
      <c r="I528" t="s">
        <v>91</v>
      </c>
      <c r="J528" t="s">
        <v>92</v>
      </c>
      <c r="K528" t="s">
        <v>93</v>
      </c>
      <c r="L528" t="s">
        <v>94</v>
      </c>
      <c r="M528" t="s">
        <v>83</v>
      </c>
    </row>
    <row r="529" spans="1:13" x14ac:dyDescent="0.2">
      <c r="A529" s="48">
        <v>1971</v>
      </c>
      <c r="B529" s="13">
        <v>2.8404545400000001</v>
      </c>
      <c r="C529" s="13">
        <v>3.0570454499999999</v>
      </c>
      <c r="D529" s="13">
        <v>2.97880952</v>
      </c>
      <c r="E529" s="13">
        <v>2.9804761900000001</v>
      </c>
      <c r="F529" s="13">
        <v>3.0946590899999999</v>
      </c>
      <c r="G529" s="13">
        <v>3.1339473600000001</v>
      </c>
      <c r="H529" s="13">
        <v>3.0437500000000002</v>
      </c>
      <c r="I529" s="13">
        <v>3.1027499999999999</v>
      </c>
      <c r="J529" s="13">
        <v>3.0930263099999999</v>
      </c>
      <c r="K529" s="13">
        <v>3.0519565200000001</v>
      </c>
      <c r="L529" s="13">
        <v>2.9196428499999998</v>
      </c>
      <c r="M529" s="13">
        <v>2.9646153800000001</v>
      </c>
    </row>
    <row r="530" spans="1:13" x14ac:dyDescent="0.2">
      <c r="A530" s="48">
        <v>1972</v>
      </c>
      <c r="B530" s="13">
        <v>3.2223863599999998</v>
      </c>
      <c r="C530" s="13">
        <v>3.3867857099999998</v>
      </c>
      <c r="D530" s="13">
        <v>3.30375</v>
      </c>
      <c r="E530" s="13">
        <v>3.2535714200000001</v>
      </c>
      <c r="F530" s="13">
        <v>3.2904761900000001</v>
      </c>
      <c r="G530" s="13">
        <v>3.2295237999999999</v>
      </c>
      <c r="H530" s="13">
        <v>3.2304761900000001</v>
      </c>
      <c r="I530" s="13">
        <v>3.1811904700000002</v>
      </c>
      <c r="J530" s="13">
        <v>3.2446250000000001</v>
      </c>
      <c r="K530" s="13">
        <v>3.4185227199999999</v>
      </c>
      <c r="L530" s="13">
        <v>3.5216249999999998</v>
      </c>
      <c r="M530" s="13">
        <v>3.5034999999999998</v>
      </c>
    </row>
    <row r="531" spans="1:13" x14ac:dyDescent="0.2">
      <c r="A531" s="48">
        <v>1973</v>
      </c>
      <c r="B531" s="13">
        <v>3.3345454499999998</v>
      </c>
      <c r="C531" s="13">
        <v>3.3391250000000001</v>
      </c>
      <c r="D531" s="13">
        <v>3.4325000000000001</v>
      </c>
      <c r="E531" s="13">
        <v>3.5197500000000002</v>
      </c>
      <c r="F531" s="13">
        <v>3.5119318100000001</v>
      </c>
      <c r="G531" s="13">
        <v>3.7112500000000002</v>
      </c>
      <c r="H531" s="13">
        <v>4.1303947299999999</v>
      </c>
      <c r="I531" s="13">
        <v>4.3672618999999999</v>
      </c>
      <c r="J531" s="13">
        <v>5.5523684199999996</v>
      </c>
      <c r="K531" s="13">
        <v>6.0246590900000001</v>
      </c>
      <c r="L531" s="13">
        <v>6.3384999999999998</v>
      </c>
      <c r="M531" s="13">
        <v>8.5123333300000006</v>
      </c>
    </row>
    <row r="532" spans="1:13" x14ac:dyDescent="0.2">
      <c r="A532" s="48">
        <v>1974</v>
      </c>
      <c r="B532" s="13">
        <v>6.0668420999999997</v>
      </c>
      <c r="C532" s="13">
        <v>6.6879761899999997</v>
      </c>
      <c r="D532" s="13">
        <v>7.6726086899999997</v>
      </c>
      <c r="E532" s="13">
        <v>6.5565789399999996</v>
      </c>
      <c r="F532" s="13">
        <v>5.97</v>
      </c>
      <c r="G532" s="13">
        <v>5.7229761899999998</v>
      </c>
      <c r="H532" s="13">
        <v>6.1057894700000004</v>
      </c>
      <c r="I532" s="13">
        <v>6.3231818100000003</v>
      </c>
      <c r="J532" s="13">
        <v>6.5126388799999999</v>
      </c>
      <c r="K532" s="13">
        <v>6.3177380899999998</v>
      </c>
      <c r="L532" s="13">
        <v>5.5975000000000001</v>
      </c>
      <c r="M532" s="13">
        <v>5.4136666599999996</v>
      </c>
    </row>
    <row r="533" spans="1:13" x14ac:dyDescent="0.2">
      <c r="A533" s="48">
        <v>1975</v>
      </c>
      <c r="B533" s="13">
        <v>5.5839999999999996</v>
      </c>
      <c r="C533" s="13">
        <v>7.1447727199999997</v>
      </c>
      <c r="D533" s="13">
        <v>7.8747727200000002</v>
      </c>
      <c r="E533" s="13">
        <v>7.8879999999999999</v>
      </c>
      <c r="F533" s="13">
        <v>8.9181521700000008</v>
      </c>
      <c r="G533" s="13">
        <v>8.2055263099999998</v>
      </c>
      <c r="H533" s="13">
        <v>7.6533333299999997</v>
      </c>
      <c r="I533" s="13">
        <v>6.60511363</v>
      </c>
      <c r="J533" s="13">
        <v>5.7925000000000004</v>
      </c>
      <c r="K533" s="13">
        <v>5.5987499999999999</v>
      </c>
      <c r="L533" s="13">
        <v>5.7267045400000001</v>
      </c>
      <c r="M533" s="13">
        <v>5.23785714</v>
      </c>
    </row>
    <row r="534" spans="1:13" x14ac:dyDescent="0.2">
      <c r="A534" s="48">
        <v>1976</v>
      </c>
      <c r="B534" s="13">
        <v>5.1532142800000003</v>
      </c>
      <c r="C534" s="13">
        <v>5.7919318100000003</v>
      </c>
      <c r="D534" s="13">
        <v>6.3679761900000003</v>
      </c>
      <c r="E534" s="13">
        <v>5.9894047600000002</v>
      </c>
      <c r="F534" s="13">
        <v>5.5276086900000001</v>
      </c>
      <c r="G534" s="13">
        <v>5.0280263100000004</v>
      </c>
      <c r="H534" s="13">
        <v>4.8139285699999999</v>
      </c>
      <c r="I534" s="13">
        <v>4.8375000000000004</v>
      </c>
      <c r="J534" s="13">
        <v>4.8819736799999998</v>
      </c>
      <c r="K534" s="13">
        <v>4.8038043400000001</v>
      </c>
      <c r="L534" s="13">
        <v>4.8030952300000003</v>
      </c>
      <c r="M534" s="13">
        <v>5.0707692299999998</v>
      </c>
    </row>
    <row r="535" spans="1:13" x14ac:dyDescent="0.2">
      <c r="A535" s="48">
        <v>1977</v>
      </c>
      <c r="B535" s="13">
        <v>6.6248863599999996</v>
      </c>
      <c r="C535" s="13">
        <v>7.0911904699999999</v>
      </c>
      <c r="D535" s="13">
        <v>6.6630681799999998</v>
      </c>
      <c r="E535" s="13">
        <v>6.9198809499999996</v>
      </c>
      <c r="F535" s="13">
        <v>6.5657142799999999</v>
      </c>
      <c r="G535" s="13">
        <v>6.6675000000000004</v>
      </c>
      <c r="H535" s="13">
        <v>6.9258333299999997</v>
      </c>
      <c r="I535" s="13">
        <v>7.2154761900000004</v>
      </c>
      <c r="J535" s="13">
        <v>7.4514473600000004</v>
      </c>
      <c r="K535" s="13">
        <v>8.4590217299999999</v>
      </c>
      <c r="L535" s="13">
        <v>9.8885000000000005</v>
      </c>
      <c r="M535" s="13">
        <v>9.7373076899999997</v>
      </c>
    </row>
    <row r="536" spans="1:13" x14ac:dyDescent="0.2">
      <c r="A536" s="48">
        <v>1978</v>
      </c>
      <c r="B536" s="13">
        <v>7.3375000000000004</v>
      </c>
      <c r="C536" s="13">
        <v>6.141375</v>
      </c>
      <c r="D536" s="13">
        <v>5.5069565200000001</v>
      </c>
      <c r="E536" s="13">
        <v>5.4835714199999996</v>
      </c>
      <c r="F536" s="13">
        <v>5.53940476</v>
      </c>
      <c r="G536" s="13">
        <v>6.1298809500000004</v>
      </c>
      <c r="H536" s="13">
        <v>6.0996428500000004</v>
      </c>
      <c r="I536" s="13">
        <v>5.9015476099999997</v>
      </c>
      <c r="J536" s="13">
        <v>5.79421052</v>
      </c>
      <c r="K536" s="13">
        <v>6.7692045399999996</v>
      </c>
      <c r="L536" s="13">
        <v>7.0382499999999997</v>
      </c>
      <c r="M536" s="13">
        <v>7.2350000000000003</v>
      </c>
    </row>
    <row r="537" spans="1:13" x14ac:dyDescent="0.2">
      <c r="A537" s="48">
        <v>1979</v>
      </c>
      <c r="B537" s="13">
        <v>6.47693181</v>
      </c>
      <c r="C537" s="13">
        <v>6.248875</v>
      </c>
      <c r="D537" s="13">
        <v>6.4166304299999997</v>
      </c>
      <c r="E537" s="13">
        <v>6.6928749999999999</v>
      </c>
      <c r="F537" s="13">
        <v>7.0354545399999999</v>
      </c>
      <c r="G537" s="13">
        <v>6.9867499999999998</v>
      </c>
      <c r="H537" s="13">
        <v>7.0508749999999996</v>
      </c>
      <c r="I537" s="13">
        <v>7.0855681800000001</v>
      </c>
      <c r="J537" s="13">
        <v>7.6018420999999998</v>
      </c>
      <c r="K537" s="13">
        <v>7.6511363599999997</v>
      </c>
      <c r="L537" s="13">
        <v>7.4043749999999999</v>
      </c>
      <c r="M537" s="13">
        <v>7.2051666599999997</v>
      </c>
    </row>
    <row r="538" spans="1:13" x14ac:dyDescent="0.2">
      <c r="A538" s="48">
        <v>1980</v>
      </c>
      <c r="B538" s="13">
        <v>8.0471428500000002</v>
      </c>
      <c r="C538" s="13">
        <v>7.81011904</v>
      </c>
      <c r="D538" s="13">
        <v>7.4924999999999997</v>
      </c>
      <c r="E538" s="13">
        <v>7.5719736800000002</v>
      </c>
      <c r="F538" s="13">
        <v>7.3104347799999996</v>
      </c>
      <c r="G538" s="13">
        <v>7.1951190399999998</v>
      </c>
      <c r="H538" s="13">
        <v>7.0692105200000004</v>
      </c>
      <c r="I538" s="13">
        <v>6.8410000000000002</v>
      </c>
      <c r="J538" s="13">
        <v>6.8006250000000001</v>
      </c>
      <c r="K538" s="13">
        <v>6.3165476099999998</v>
      </c>
      <c r="L538" s="13">
        <v>5.9378571400000002</v>
      </c>
      <c r="M538" s="13">
        <v>6.0774999999999997</v>
      </c>
    </row>
    <row r="539" spans="1:13" x14ac:dyDescent="0.2">
      <c r="A539" s="48">
        <v>1981</v>
      </c>
      <c r="B539" s="13">
        <v>7.0722619</v>
      </c>
      <c r="C539" s="13">
        <v>8.0293181800000006</v>
      </c>
      <c r="D539" s="13">
        <v>8.1209523800000003</v>
      </c>
      <c r="E539" s="13">
        <v>8.8544047599999995</v>
      </c>
      <c r="F539" s="13">
        <v>9.2342391300000006</v>
      </c>
      <c r="G539" s="13">
        <v>9.7751388800000001</v>
      </c>
      <c r="H539" s="13">
        <v>8.6032142799999995</v>
      </c>
      <c r="I539" s="13">
        <v>8.1245238000000004</v>
      </c>
      <c r="J539" s="13">
        <v>7.7685526300000003</v>
      </c>
      <c r="K539" s="13">
        <v>7.5554545400000004</v>
      </c>
      <c r="L539" s="13">
        <v>7.8446428499999996</v>
      </c>
      <c r="M539" s="13">
        <v>7.5461538399999997</v>
      </c>
    </row>
    <row r="540" spans="1:13" x14ac:dyDescent="0.2">
      <c r="A540" s="48">
        <v>1982</v>
      </c>
      <c r="B540" s="13">
        <v>8.0325000000000006</v>
      </c>
      <c r="C540" s="13">
        <v>8.1875</v>
      </c>
      <c r="D540" s="13">
        <v>7.6415476099999999</v>
      </c>
      <c r="E540" s="13">
        <v>7.2935714200000001</v>
      </c>
      <c r="F540" s="13">
        <v>7.2017045399999997</v>
      </c>
      <c r="G540" s="13">
        <v>6.9050000000000002</v>
      </c>
      <c r="H540" s="13">
        <v>6.5603408999999999</v>
      </c>
      <c r="I540" s="13">
        <v>6.5516249999999996</v>
      </c>
      <c r="J540" s="13">
        <v>6.45578947</v>
      </c>
      <c r="K540" s="13">
        <v>6.2726086900000002</v>
      </c>
      <c r="L540" s="13">
        <v>6.5332142800000002</v>
      </c>
      <c r="M540" s="13">
        <v>6.5821153800000003</v>
      </c>
    </row>
    <row r="541" spans="1:13" x14ac:dyDescent="0.2">
      <c r="A541" s="48">
        <v>1983</v>
      </c>
      <c r="B541" s="13">
        <v>6.8579545399999997</v>
      </c>
      <c r="C541" s="13">
        <v>6.6426190399999996</v>
      </c>
      <c r="D541" s="13">
        <v>6.21318181</v>
      </c>
      <c r="E541" s="13">
        <v>5.90666666</v>
      </c>
      <c r="F541" s="13">
        <v>5.7097619000000002</v>
      </c>
      <c r="G541" s="13">
        <v>5.9335000000000004</v>
      </c>
      <c r="H541" s="13">
        <v>5.8505952299999997</v>
      </c>
      <c r="I541" s="13">
        <v>6.00559523</v>
      </c>
      <c r="J541" s="13">
        <v>6.0538157799999999</v>
      </c>
      <c r="K541" s="13">
        <v>6.0533695600000001</v>
      </c>
      <c r="L541" s="13">
        <v>6.3621249999999998</v>
      </c>
      <c r="M541" s="13">
        <v>6.2357142799999998</v>
      </c>
    </row>
    <row r="542" spans="1:13" x14ac:dyDescent="0.2">
      <c r="A542" s="48">
        <v>1984</v>
      </c>
      <c r="B542" s="13">
        <v>6.5417045399999996</v>
      </c>
      <c r="C542" s="13">
        <v>7.2516249999999998</v>
      </c>
      <c r="D542" s="13">
        <v>8.8670652099999998</v>
      </c>
      <c r="E542" s="13">
        <v>9.2876190399999992</v>
      </c>
      <c r="F542" s="13">
        <v>8.7369047599999998</v>
      </c>
      <c r="G542" s="13">
        <v>8.5083333299999993</v>
      </c>
      <c r="H542" s="13">
        <v>8.1394047599999997</v>
      </c>
      <c r="I542" s="13">
        <v>7.7601190400000002</v>
      </c>
      <c r="J542" s="13">
        <v>7.3882500000000002</v>
      </c>
      <c r="K542" s="13">
        <v>7.8906818100000002</v>
      </c>
      <c r="L542" s="13">
        <v>7.8737500000000002</v>
      </c>
      <c r="M542" s="13">
        <v>8.3763333299999996</v>
      </c>
    </row>
    <row r="543" spans="1:13" x14ac:dyDescent="0.2">
      <c r="A543" s="48">
        <v>1985</v>
      </c>
      <c r="B543" s="13">
        <v>7.5995238000000001</v>
      </c>
      <c r="C543" s="13">
        <v>6.7485714200000002</v>
      </c>
      <c r="D543" s="13">
        <v>6.7340217300000003</v>
      </c>
      <c r="E543" s="13">
        <v>6.4542105200000002</v>
      </c>
      <c r="F543" s="13">
        <v>6.5149999999999997</v>
      </c>
      <c r="G543" s="13">
        <v>6.49940476</v>
      </c>
      <c r="H543" s="13">
        <v>6.1696249999999999</v>
      </c>
      <c r="I543" s="13">
        <v>6.05613636</v>
      </c>
      <c r="J543" s="13">
        <v>5.9452631499999997</v>
      </c>
      <c r="K543" s="13">
        <v>5.9397618999999997</v>
      </c>
      <c r="L543" s="13">
        <v>5.9850000000000003</v>
      </c>
      <c r="M543" s="13">
        <v>5.8135000000000003</v>
      </c>
    </row>
    <row r="544" spans="1:13" x14ac:dyDescent="0.2">
      <c r="A544" s="48">
        <v>1986</v>
      </c>
      <c r="B544" s="13">
        <v>5.9480000000000004</v>
      </c>
      <c r="C544" s="13">
        <v>5.8163636299999997</v>
      </c>
      <c r="D544" s="13">
        <v>5.4234090899999998</v>
      </c>
      <c r="E544" s="13">
        <v>5.4476250000000004</v>
      </c>
      <c r="F544" s="13">
        <v>5.4092391299999996</v>
      </c>
      <c r="G544" s="13">
        <v>5.2818750000000003</v>
      </c>
      <c r="H544" s="13">
        <v>5.4296428499999996</v>
      </c>
      <c r="I544" s="13">
        <v>5.5260227200000003</v>
      </c>
      <c r="J544" s="13">
        <v>5.3310526300000003</v>
      </c>
      <c r="K544" s="13">
        <v>5.3579999999999997</v>
      </c>
      <c r="L544" s="13">
        <v>5.2813636300000004</v>
      </c>
      <c r="M544" s="13">
        <v>5.3496428500000004</v>
      </c>
    </row>
    <row r="545" spans="1:13" x14ac:dyDescent="0.2">
      <c r="A545" s="48">
        <v>1987</v>
      </c>
      <c r="B545" s="13">
        <v>5.2675000000000001</v>
      </c>
      <c r="C545" s="13">
        <v>5.2263636299999998</v>
      </c>
      <c r="D545" s="13">
        <v>5.0098809500000003</v>
      </c>
      <c r="E545" s="13">
        <v>5.0260714200000001</v>
      </c>
      <c r="F545" s="13">
        <v>5.0217391300000003</v>
      </c>
      <c r="G545" s="13">
        <v>5.0742105200000003</v>
      </c>
      <c r="H545" s="13">
        <v>4.9828409000000002</v>
      </c>
      <c r="I545" s="13">
        <v>4.9770238000000004</v>
      </c>
      <c r="J545" s="13">
        <v>4.8832894700000002</v>
      </c>
      <c r="K545" s="13">
        <v>4.9074999999999998</v>
      </c>
      <c r="L545" s="13">
        <v>5.1315476100000001</v>
      </c>
      <c r="M545" s="13">
        <v>5.5324999999999998</v>
      </c>
    </row>
    <row r="546" spans="1:13" x14ac:dyDescent="0.2">
      <c r="A546" s="48">
        <v>1988</v>
      </c>
      <c r="B546" s="13">
        <v>5.9893181799999997</v>
      </c>
      <c r="C546" s="13">
        <v>5.5261363599999997</v>
      </c>
      <c r="D546" s="13">
        <v>5.22630952</v>
      </c>
      <c r="E546" s="13">
        <v>5.42178571</v>
      </c>
      <c r="F546" s="13">
        <v>5.5994318099999996</v>
      </c>
      <c r="G546" s="13">
        <v>5.7967500000000003</v>
      </c>
      <c r="H546" s="13">
        <v>6.12181818</v>
      </c>
      <c r="I546" s="13">
        <v>6.3220000000000001</v>
      </c>
      <c r="J546" s="13">
        <v>6.2771249999999998</v>
      </c>
      <c r="K546" s="13">
        <v>6.3321739099999999</v>
      </c>
      <c r="L546" s="13">
        <v>6.719875</v>
      </c>
      <c r="M546" s="13">
        <v>7.1594642799999999</v>
      </c>
    </row>
    <row r="547" spans="1:13" x14ac:dyDescent="0.2">
      <c r="A547" s="48">
        <v>1989</v>
      </c>
      <c r="B547" s="13">
        <v>9.0992045400000006</v>
      </c>
      <c r="C547" s="13">
        <v>8.5495000000000001</v>
      </c>
      <c r="D547" s="13">
        <v>8.5223913000000007</v>
      </c>
      <c r="E547" s="13">
        <v>8.6553571399999996</v>
      </c>
      <c r="F547" s="13">
        <v>8.1473809500000005</v>
      </c>
      <c r="G547" s="13">
        <v>7.8570238000000003</v>
      </c>
      <c r="H547" s="13">
        <v>8.0134523800000004</v>
      </c>
      <c r="I547" s="13">
        <v>7.9732142799999997</v>
      </c>
      <c r="J547" s="13">
        <v>7.6061842100000003</v>
      </c>
      <c r="K547" s="13">
        <v>7.7357954500000004</v>
      </c>
      <c r="L547" s="13">
        <v>7.3051250000000003</v>
      </c>
      <c r="M547" s="13">
        <v>7.4728333300000003</v>
      </c>
    </row>
    <row r="548" spans="1:13" x14ac:dyDescent="0.2">
      <c r="A548" s="48">
        <v>1990</v>
      </c>
      <c r="B548" s="13">
        <v>6.6386363599999996</v>
      </c>
      <c r="C548" s="13">
        <v>6.5662500000000001</v>
      </c>
      <c r="D548" s="13">
        <v>6.0668478199999996</v>
      </c>
      <c r="E548" s="13">
        <v>6.0766249999999999</v>
      </c>
      <c r="F548" s="13">
        <v>5.9554545399999999</v>
      </c>
      <c r="G548" s="13">
        <v>6.0805952300000001</v>
      </c>
      <c r="H548" s="13">
        <v>6.0168749999999998</v>
      </c>
      <c r="I548" s="13">
        <v>5.8423863599999999</v>
      </c>
      <c r="J548" s="13">
        <v>5.7743421000000001</v>
      </c>
      <c r="K548" s="13">
        <v>5.94</v>
      </c>
      <c r="L548" s="13">
        <v>6.0052500000000002</v>
      </c>
      <c r="M548" s="13">
        <v>6.2655000000000003</v>
      </c>
    </row>
    <row r="549" spans="1:13" x14ac:dyDescent="0.2">
      <c r="A549" s="48">
        <v>1991</v>
      </c>
      <c r="B549" s="13">
        <v>6.5171428499999999</v>
      </c>
      <c r="C549" s="13">
        <v>6.5559523799999999</v>
      </c>
      <c r="D549" s="13">
        <v>6.5158695599999996</v>
      </c>
      <c r="E549" s="13">
        <v>6.6110526299999997</v>
      </c>
      <c r="F549" s="13">
        <v>6.5095652099999999</v>
      </c>
      <c r="G549" s="13">
        <v>6.1323809499999999</v>
      </c>
      <c r="H549" s="13">
        <v>6.1121249999999998</v>
      </c>
      <c r="I549" s="13">
        <v>5.8486363600000004</v>
      </c>
      <c r="J549" s="13">
        <v>5.8542105199999996</v>
      </c>
      <c r="K549" s="13">
        <v>5.8636249999999999</v>
      </c>
      <c r="L549" s="13">
        <v>5.875</v>
      </c>
      <c r="M549" s="13">
        <v>5.7096666599999999</v>
      </c>
    </row>
    <row r="550" spans="1:13" x14ac:dyDescent="0.2">
      <c r="A550" s="48">
        <v>1992</v>
      </c>
      <c r="B550" s="13">
        <v>6.0817500000000004</v>
      </c>
      <c r="C550" s="13">
        <v>5.7582954500000003</v>
      </c>
      <c r="D550" s="13">
        <v>6.0682954499999999</v>
      </c>
      <c r="E550" s="13">
        <v>6.2178750000000003</v>
      </c>
      <c r="F550" s="13">
        <v>5.9043478199999999</v>
      </c>
      <c r="G550" s="13">
        <v>5.7558749999999996</v>
      </c>
      <c r="H550" s="13">
        <v>5.67238095</v>
      </c>
      <c r="I550" s="13">
        <v>5.7611363600000001</v>
      </c>
      <c r="J550" s="13">
        <v>5.8221052599999998</v>
      </c>
      <c r="K550" s="13">
        <v>5.9261363600000001</v>
      </c>
      <c r="L550" s="13">
        <v>5.7502631500000003</v>
      </c>
      <c r="M550" s="13">
        <v>5.9765384600000004</v>
      </c>
    </row>
    <row r="551" spans="1:13" x14ac:dyDescent="0.2">
      <c r="A551" s="48">
        <v>1993</v>
      </c>
      <c r="B551" s="13">
        <v>6.4526136300000001</v>
      </c>
      <c r="C551" s="13">
        <v>5.9603409000000003</v>
      </c>
      <c r="D551" s="13">
        <v>5.6536904699999999</v>
      </c>
      <c r="E551" s="13">
        <v>5.6929761900000004</v>
      </c>
      <c r="F551" s="13">
        <v>5.57545454</v>
      </c>
      <c r="G551" s="13">
        <v>5.7173749999999997</v>
      </c>
      <c r="H551" s="13">
        <v>5.7856818099999998</v>
      </c>
      <c r="I551" s="13">
        <v>5.827</v>
      </c>
      <c r="J551" s="13">
        <v>5.7332894699999999</v>
      </c>
      <c r="K551" s="13">
        <v>5.84282608</v>
      </c>
      <c r="L551" s="13">
        <v>5.9240476099999997</v>
      </c>
      <c r="M551" s="13">
        <v>6.0001923000000001</v>
      </c>
    </row>
    <row r="552" spans="1:13" x14ac:dyDescent="0.2">
      <c r="A552" s="48">
        <v>1994</v>
      </c>
      <c r="B552" s="13">
        <v>6.1690908999999996</v>
      </c>
      <c r="C552" s="13">
        <v>7.1209523800000003</v>
      </c>
      <c r="D552" s="13">
        <v>6.8188636300000001</v>
      </c>
      <c r="E552" s="13">
        <v>6.5336904699999998</v>
      </c>
      <c r="F552" s="13">
        <v>6.3339285700000003</v>
      </c>
      <c r="G552" s="13">
        <v>6.7663095200000001</v>
      </c>
      <c r="H552" s="13">
        <v>6.9635714200000001</v>
      </c>
      <c r="I552" s="13">
        <v>7.0528571400000004</v>
      </c>
      <c r="J552" s="13">
        <v>6.8506578899999999</v>
      </c>
      <c r="K552" s="13">
        <v>6.8385869499999998</v>
      </c>
      <c r="L552" s="13">
        <v>6.6057894700000004</v>
      </c>
      <c r="M552" s="13">
        <v>6.7474999999999996</v>
      </c>
    </row>
    <row r="553" spans="1:13" x14ac:dyDescent="0.2">
      <c r="A553" s="48">
        <v>1995</v>
      </c>
      <c r="B553" s="13">
        <v>6.6550000000000002</v>
      </c>
      <c r="C553" s="13">
        <v>5.9459999999999997</v>
      </c>
      <c r="D553" s="13">
        <v>5.8968478199999996</v>
      </c>
      <c r="E553" s="13">
        <v>5.8777380900000002</v>
      </c>
      <c r="F553" s="13">
        <v>5.7</v>
      </c>
      <c r="G553" s="13">
        <v>5.83</v>
      </c>
      <c r="H553" s="13">
        <v>5.7997619</v>
      </c>
      <c r="I553" s="13">
        <v>5.6403571399999999</v>
      </c>
      <c r="J553" s="13">
        <v>5.64065789</v>
      </c>
      <c r="K553" s="13">
        <v>5.7654347799999996</v>
      </c>
      <c r="L553" s="13">
        <v>5.7493420999999998</v>
      </c>
      <c r="M553" s="13">
        <v>5.6678333299999997</v>
      </c>
    </row>
    <row r="554" spans="1:13" x14ac:dyDescent="0.2">
      <c r="A554" s="48">
        <v>1996</v>
      </c>
      <c r="B554" s="13">
        <v>6.2706818100000001</v>
      </c>
      <c r="C554" s="13">
        <v>6.4775</v>
      </c>
      <c r="D554" s="13">
        <v>6.3219565199999996</v>
      </c>
      <c r="E554" s="13">
        <v>6.6375000000000002</v>
      </c>
      <c r="F554" s="13">
        <v>6.8039772699999999</v>
      </c>
      <c r="G554" s="13">
        <v>6.9522618999999999</v>
      </c>
      <c r="H554" s="13">
        <v>7.3155000000000001</v>
      </c>
      <c r="I554" s="13">
        <v>7.46477272</v>
      </c>
      <c r="J554" s="13">
        <v>7.3981250000000003</v>
      </c>
      <c r="K554" s="13">
        <v>7.2971428500000002</v>
      </c>
      <c r="L554" s="13">
        <v>7.9028571400000001</v>
      </c>
      <c r="M554" s="13">
        <v>8.0853333299999992</v>
      </c>
    </row>
    <row r="555" spans="1:13" x14ac:dyDescent="0.2">
      <c r="A555" s="48">
        <v>1997</v>
      </c>
      <c r="B555" s="13">
        <v>7.569</v>
      </c>
      <c r="C555" s="13">
        <v>7.6847727199999998</v>
      </c>
      <c r="D555" s="13">
        <v>7.8501136300000001</v>
      </c>
      <c r="E555" s="13">
        <v>8.0606249999999999</v>
      </c>
      <c r="F555" s="13">
        <v>7.2010869499999997</v>
      </c>
      <c r="G555" s="13">
        <v>6.9509999999999996</v>
      </c>
      <c r="H555" s="13">
        <v>6.9239285700000002</v>
      </c>
      <c r="I555" s="13">
        <v>7.3071590899999999</v>
      </c>
      <c r="J555" s="13">
        <v>7.6368421</v>
      </c>
      <c r="K555" s="13">
        <v>8.3558749999999993</v>
      </c>
      <c r="L555" s="13">
        <v>8.5272727199999991</v>
      </c>
      <c r="M555" s="13">
        <v>8.7980357100000006</v>
      </c>
    </row>
    <row r="556" spans="1:13" x14ac:dyDescent="0.2">
      <c r="A556" s="48">
        <v>1998</v>
      </c>
      <c r="B556" s="13">
        <v>6.7630952300000002</v>
      </c>
      <c r="C556" s="13">
        <v>6.2595454500000001</v>
      </c>
      <c r="D556" s="13">
        <v>6.4242857100000004</v>
      </c>
      <c r="E556" s="13">
        <v>6.5302380900000001</v>
      </c>
      <c r="F556" s="13">
        <v>7.0023913000000002</v>
      </c>
      <c r="G556" s="13">
        <v>7.2932894700000004</v>
      </c>
      <c r="H556" s="13">
        <v>6.9993181800000004</v>
      </c>
      <c r="I556" s="13">
        <v>6.7532500000000004</v>
      </c>
      <c r="J556" s="13">
        <v>6.76144736</v>
      </c>
      <c r="K556" s="13">
        <v>6.5572727200000003</v>
      </c>
      <c r="L556" s="13">
        <v>6.3972619000000002</v>
      </c>
      <c r="M556" s="13">
        <v>6.5184615299999997</v>
      </c>
    </row>
    <row r="557" spans="1:13" x14ac:dyDescent="0.2">
      <c r="A557" s="48">
        <v>1999</v>
      </c>
      <c r="B557" s="13">
        <v>6.1927272699999998</v>
      </c>
      <c r="C557" s="13">
        <v>6.0757954500000002</v>
      </c>
      <c r="D557" s="13">
        <v>5.6166666599999999</v>
      </c>
      <c r="E557" s="13">
        <v>5.5525000000000002</v>
      </c>
      <c r="F557" s="13">
        <v>5.7506818099999997</v>
      </c>
      <c r="G557" s="13">
        <v>5.9320000000000004</v>
      </c>
      <c r="H557" s="13">
        <v>5.7197727199999999</v>
      </c>
      <c r="I557" s="13">
        <v>5.3727631499999999</v>
      </c>
      <c r="J557" s="13">
        <v>4.9386842099999999</v>
      </c>
      <c r="K557" s="13">
        <v>4.8134782600000001</v>
      </c>
      <c r="L557" s="13">
        <v>4.8310714199999998</v>
      </c>
      <c r="M557" s="13">
        <v>4.7015384600000001</v>
      </c>
    </row>
    <row r="558" spans="1:13" x14ac:dyDescent="0.2">
      <c r="A558" s="48">
        <v>2000</v>
      </c>
      <c r="B558" s="13">
        <v>4.9717045400000002</v>
      </c>
      <c r="C558" s="13">
        <v>4.5923809499999999</v>
      </c>
      <c r="D558" s="13">
        <v>4.9710227199999997</v>
      </c>
      <c r="E558" s="13">
        <v>5.16440476</v>
      </c>
      <c r="F558" s="13">
        <v>5.0954761900000003</v>
      </c>
      <c r="G558" s="13">
        <v>4.8478571400000003</v>
      </c>
      <c r="H558" s="13">
        <v>4.7629761899999998</v>
      </c>
      <c r="I558" s="13">
        <v>5.0311250000000003</v>
      </c>
      <c r="J558" s="13">
        <v>5.1477500000000003</v>
      </c>
      <c r="K558" s="13">
        <v>5.23804347</v>
      </c>
      <c r="L558" s="13">
        <v>5.3639473600000001</v>
      </c>
      <c r="M558" s="13">
        <v>5.5490000000000004</v>
      </c>
    </row>
    <row r="559" spans="1:13" x14ac:dyDescent="0.2">
      <c r="A559" s="48">
        <v>2001</v>
      </c>
      <c r="B559" s="13">
        <v>5.2762500000000001</v>
      </c>
      <c r="C559" s="13">
        <v>4.8959999999999999</v>
      </c>
      <c r="D559" s="13">
        <v>4.9654347799999998</v>
      </c>
      <c r="E559" s="13">
        <v>5.2216250000000004</v>
      </c>
      <c r="F559" s="13">
        <v>5.0022727199999997</v>
      </c>
      <c r="G559" s="13">
        <v>5.0320238000000002</v>
      </c>
      <c r="H559" s="13">
        <v>5.211125</v>
      </c>
      <c r="I559" s="13">
        <v>4.8740476099999999</v>
      </c>
      <c r="J559" s="13">
        <v>4.585</v>
      </c>
      <c r="K559" s="13">
        <v>4.4906818099999999</v>
      </c>
      <c r="L559" s="13">
        <v>4.3159999999999998</v>
      </c>
      <c r="M559" s="13">
        <v>4.4617500000000003</v>
      </c>
    </row>
    <row r="560" spans="1:13" x14ac:dyDescent="0.2">
      <c r="A560" s="48">
        <v>2002</v>
      </c>
      <c r="B560" s="13">
        <v>4.6435714199999998</v>
      </c>
      <c r="C560" s="13">
        <v>5.0652380900000002</v>
      </c>
      <c r="D560" s="13">
        <v>5.0236956499999996</v>
      </c>
      <c r="E560" s="13">
        <v>4.85861111</v>
      </c>
      <c r="F560" s="13">
        <v>4.5360869499999996</v>
      </c>
      <c r="G560" s="13">
        <v>4.5147618999999999</v>
      </c>
      <c r="H560" s="13">
        <v>4.41578947</v>
      </c>
      <c r="I560" s="13">
        <v>4.3983333299999998</v>
      </c>
      <c r="J560" s="13">
        <v>4.3988157799999996</v>
      </c>
      <c r="K560" s="13">
        <v>4.6281249999999998</v>
      </c>
      <c r="L560" s="13">
        <v>4.6630681799999998</v>
      </c>
      <c r="M560" s="13">
        <v>4.6607500000000002</v>
      </c>
    </row>
    <row r="561" spans="1:13" x14ac:dyDescent="0.2">
      <c r="A561" s="48">
        <v>2003</v>
      </c>
      <c r="B561" s="13">
        <v>4.8354999999999997</v>
      </c>
      <c r="C561" s="13">
        <v>5.2293181799999999</v>
      </c>
      <c r="D561" s="13">
        <v>5.4210227199999999</v>
      </c>
      <c r="E561" s="13">
        <v>5.6687500000000002</v>
      </c>
      <c r="F561" s="13">
        <v>5.46782608</v>
      </c>
      <c r="G561" s="13">
        <v>5.5698749999999997</v>
      </c>
      <c r="H561" s="13">
        <v>5.5486250000000004</v>
      </c>
      <c r="I561" s="13">
        <v>5.6020238000000004</v>
      </c>
      <c r="J561" s="13">
        <v>5.6901315700000001</v>
      </c>
      <c r="K561" s="13">
        <v>5.7163095200000003</v>
      </c>
      <c r="L561" s="13">
        <v>6.0339285699999996</v>
      </c>
      <c r="M561" s="13">
        <v>6.3094999999999999</v>
      </c>
    </row>
    <row r="562" spans="1:13" x14ac:dyDescent="0.2">
      <c r="A562" s="48">
        <v>2004</v>
      </c>
      <c r="B562" s="13">
        <v>5.6785714199999999</v>
      </c>
      <c r="C562" s="13">
        <v>5.3277272699999996</v>
      </c>
      <c r="D562" s="13">
        <v>5.5384523799999998</v>
      </c>
      <c r="E562" s="13">
        <v>6.0732142800000002</v>
      </c>
      <c r="F562" s="13">
        <v>6.8468478199999998</v>
      </c>
      <c r="G562" s="13">
        <v>7.3219736800000002</v>
      </c>
      <c r="H562" s="13">
        <v>7.63375</v>
      </c>
      <c r="I562" s="13">
        <v>8.1962499999999991</v>
      </c>
      <c r="J562" s="13">
        <v>8.5989473600000004</v>
      </c>
      <c r="K562" s="13">
        <v>9.8220652099999999</v>
      </c>
      <c r="L562" s="13">
        <v>9.8929761900000006</v>
      </c>
      <c r="M562" s="13">
        <v>10.250249999999999</v>
      </c>
    </row>
    <row r="563" spans="1:13" x14ac:dyDescent="0.2">
      <c r="A563" s="48">
        <v>2005</v>
      </c>
      <c r="B563" s="13">
        <v>6.7758333300000002</v>
      </c>
      <c r="C563" s="13">
        <v>6.3733333300000004</v>
      </c>
      <c r="D563" s="13">
        <v>6.0165908999999997</v>
      </c>
      <c r="E563" s="13">
        <v>5.8278571399999999</v>
      </c>
      <c r="F563" s="13">
        <v>5.4507142799999997</v>
      </c>
      <c r="G563" s="13">
        <v>5.4373809499999997</v>
      </c>
      <c r="H563" s="13">
        <v>5.44845238</v>
      </c>
      <c r="I563" s="13">
        <v>5.2787499999999996</v>
      </c>
      <c r="J563" s="13">
        <v>5.4028947299999999</v>
      </c>
      <c r="K563" s="13">
        <v>6.3751136300000004</v>
      </c>
      <c r="L563" s="13">
        <v>6.2259523799999998</v>
      </c>
      <c r="M563" s="13">
        <v>6.2282500000000001</v>
      </c>
    </row>
    <row r="564" spans="1:13" x14ac:dyDescent="0.2">
      <c r="A564" s="48">
        <v>2006</v>
      </c>
      <c r="B564" s="13">
        <v>6.8517045400000001</v>
      </c>
      <c r="C564" s="13">
        <v>6.8493750000000002</v>
      </c>
      <c r="D564" s="13">
        <v>6.4485869500000002</v>
      </c>
      <c r="E564" s="13">
        <v>6.0235714199999997</v>
      </c>
      <c r="F564" s="13">
        <v>5.9974999999999996</v>
      </c>
      <c r="G564" s="13">
        <v>5.9192857099999996</v>
      </c>
      <c r="H564" s="13">
        <v>6.0635714199999997</v>
      </c>
      <c r="I564" s="13">
        <v>5.9721250000000001</v>
      </c>
      <c r="J564" s="13">
        <v>5.9657894699999998</v>
      </c>
      <c r="K564" s="13">
        <v>5.8425000000000002</v>
      </c>
      <c r="L564" s="13">
        <v>5.6853947299999996</v>
      </c>
      <c r="M564" s="13">
        <v>5.9362500000000002</v>
      </c>
    </row>
    <row r="565" spans="1:13" x14ac:dyDescent="0.2">
      <c r="A565" s="48">
        <v>2007</v>
      </c>
      <c r="B565" s="13">
        <v>6.3746590899999998</v>
      </c>
      <c r="C565" s="13">
        <v>6.398625</v>
      </c>
      <c r="D565" s="13">
        <v>6.0257608600000001</v>
      </c>
      <c r="E565" s="13">
        <v>5.8251249999999999</v>
      </c>
      <c r="F565" s="13">
        <v>6.2342045400000003</v>
      </c>
      <c r="G565" s="13">
        <v>6.9041666599999996</v>
      </c>
      <c r="H565" s="13">
        <v>6.8867500000000001</v>
      </c>
      <c r="I565" s="13">
        <v>7.1639999999999997</v>
      </c>
      <c r="J565" s="13">
        <v>7.7268420999999998</v>
      </c>
      <c r="K565" s="13">
        <v>7.6025</v>
      </c>
      <c r="L565" s="13">
        <v>7.3588750000000003</v>
      </c>
      <c r="M565" s="13">
        <v>7.3767500000000004</v>
      </c>
    </row>
    <row r="566" spans="1:13" x14ac:dyDescent="0.2">
      <c r="A566" s="48">
        <v>2008</v>
      </c>
      <c r="B566" s="13">
        <v>8.7472618999999998</v>
      </c>
      <c r="C566" s="13">
        <v>9.1074999999999999</v>
      </c>
      <c r="D566" s="13">
        <v>8.9169565199999994</v>
      </c>
      <c r="E566" s="13">
        <v>9.8003947300000007</v>
      </c>
      <c r="F566" s="13">
        <v>10.10195652</v>
      </c>
      <c r="G566" s="13">
        <v>10.8575</v>
      </c>
      <c r="H566" s="13">
        <v>11.829750000000001</v>
      </c>
      <c r="I566" s="13">
        <v>12.800476189999999</v>
      </c>
      <c r="J566" s="13">
        <v>14.012124999999999</v>
      </c>
      <c r="K566" s="13">
        <v>13.59625</v>
      </c>
      <c r="L566" s="13">
        <v>13.13943181</v>
      </c>
      <c r="M566" s="13">
        <v>13.11425</v>
      </c>
    </row>
    <row r="567" spans="1:13" x14ac:dyDescent="0.2">
      <c r="A567" s="48">
        <v>2009</v>
      </c>
      <c r="B567" s="13">
        <v>15.065</v>
      </c>
      <c r="C567" s="13">
        <v>15.16454545</v>
      </c>
      <c r="D567" s="13">
        <v>13.26059523</v>
      </c>
      <c r="E567" s="13">
        <v>12.1420238</v>
      </c>
      <c r="F567" s="13">
        <v>9.5584782599999993</v>
      </c>
      <c r="G567" s="13">
        <v>9.1964473600000005</v>
      </c>
      <c r="H567" s="13">
        <v>8.8297727199999994</v>
      </c>
      <c r="I567" s="13">
        <v>10.025124999999999</v>
      </c>
      <c r="J567" s="13">
        <v>9.3148684199999998</v>
      </c>
      <c r="K567" s="13">
        <v>9.0318181800000001</v>
      </c>
      <c r="L567" s="13">
        <v>10.191309520000001</v>
      </c>
      <c r="M567" s="13">
        <v>11.30475</v>
      </c>
    </row>
    <row r="568" spans="1:13" x14ac:dyDescent="0.2">
      <c r="A568" s="48">
        <v>2010</v>
      </c>
      <c r="B568" s="13">
        <v>10.249204539999999</v>
      </c>
      <c r="C568" s="13">
        <v>9.3297727199999994</v>
      </c>
      <c r="D568" s="13">
        <v>9.95083333</v>
      </c>
      <c r="E568" s="13">
        <v>9.3603571399999996</v>
      </c>
      <c r="F568" s="13">
        <v>9.6559090899999998</v>
      </c>
      <c r="G568" s="13">
        <v>10.18075</v>
      </c>
      <c r="H568" s="13">
        <v>10.4628409</v>
      </c>
      <c r="I568" s="13">
        <v>9.8848684200000001</v>
      </c>
      <c r="J568" s="13">
        <v>9.4755263099999993</v>
      </c>
      <c r="K568" s="13">
        <v>9.5271739100000001</v>
      </c>
      <c r="L568" s="13">
        <v>9.7333333300000007</v>
      </c>
      <c r="M568" s="13">
        <v>9.5967500000000001</v>
      </c>
    </row>
    <row r="569" spans="1:13" x14ac:dyDescent="0.2">
      <c r="A569" s="48">
        <v>2011</v>
      </c>
      <c r="B569" s="13">
        <v>9.3135227199999999</v>
      </c>
      <c r="C569" s="13">
        <v>9.7383333299999997</v>
      </c>
      <c r="D569" s="13">
        <v>10.301136359999999</v>
      </c>
      <c r="E569" s="13">
        <v>10.84059523</v>
      </c>
      <c r="F569" s="13">
        <v>11.83773809</v>
      </c>
      <c r="G569" s="13">
        <v>12.6445238</v>
      </c>
      <c r="H569" s="13">
        <v>13.31556818</v>
      </c>
      <c r="I569" s="13">
        <v>14.045249999999999</v>
      </c>
      <c r="J569" s="13">
        <v>14.05013157</v>
      </c>
      <c r="K569" s="13">
        <v>13.6047826</v>
      </c>
      <c r="L569" s="13">
        <v>13.64775</v>
      </c>
      <c r="M569" s="13">
        <v>13.435499999999999</v>
      </c>
    </row>
    <row r="570" spans="1:13" x14ac:dyDescent="0.2">
      <c r="A570" s="48">
        <v>2012</v>
      </c>
      <c r="B570" s="13">
        <v>13.60147727</v>
      </c>
      <c r="C570" s="13">
        <v>13.75625</v>
      </c>
      <c r="D570" s="13">
        <v>13.852499999999999</v>
      </c>
      <c r="E570" s="13">
        <v>13.612857139999999</v>
      </c>
      <c r="F570" s="13">
        <v>12.38428571</v>
      </c>
      <c r="G570" s="13">
        <v>11.90690476</v>
      </c>
      <c r="H570" s="13">
        <v>11.63309523</v>
      </c>
      <c r="I570" s="13">
        <v>12.141500000000001</v>
      </c>
      <c r="J570" s="13">
        <v>12.638999999999999</v>
      </c>
      <c r="K570" s="13">
        <v>13.52375</v>
      </c>
      <c r="L570" s="13">
        <v>14.4085</v>
      </c>
      <c r="M570" s="13">
        <v>14.49675</v>
      </c>
    </row>
    <row r="571" spans="1:13" x14ac:dyDescent="0.2">
      <c r="A571" s="48">
        <v>2013</v>
      </c>
      <c r="B571" s="13">
        <v>12.97988095</v>
      </c>
      <c r="C571" s="13">
        <v>14.29559523</v>
      </c>
      <c r="D571" s="13">
        <v>14.919021730000001</v>
      </c>
      <c r="E571" s="13">
        <v>15.61565789</v>
      </c>
      <c r="F571" s="13">
        <v>14.637499999999999</v>
      </c>
      <c r="G571" s="13">
        <v>14.09928571</v>
      </c>
      <c r="H571" s="13">
        <v>14.361000000000001</v>
      </c>
      <c r="I571" s="13">
        <v>14.07595238</v>
      </c>
      <c r="J571" s="13">
        <v>14.46368421</v>
      </c>
      <c r="K571" s="13">
        <v>14.454124999999999</v>
      </c>
      <c r="L571" s="13">
        <v>14.09193181</v>
      </c>
      <c r="M571" s="13">
        <v>14.7455</v>
      </c>
    </row>
    <row r="572" spans="1:13" x14ac:dyDescent="0.2">
      <c r="A572" s="48">
        <v>2014</v>
      </c>
      <c r="B572" s="13">
        <v>12.982374999999999</v>
      </c>
      <c r="C572" s="13">
        <v>12.55045454</v>
      </c>
      <c r="D572" s="13">
        <v>12.42795454</v>
      </c>
      <c r="E572" s="13">
        <v>12.976625</v>
      </c>
      <c r="F572" s="13">
        <v>12.51097826</v>
      </c>
      <c r="G572" s="13">
        <v>12.630125</v>
      </c>
      <c r="H572" s="13">
        <v>12.999285710000001</v>
      </c>
      <c r="I572" s="13">
        <v>12.68785714</v>
      </c>
      <c r="J572" s="13">
        <v>13.4018421</v>
      </c>
      <c r="K572" s="13">
        <v>14.222023800000001</v>
      </c>
      <c r="L572" s="13">
        <v>14.8920238</v>
      </c>
      <c r="M572" s="13">
        <v>14.79875</v>
      </c>
    </row>
    <row r="573" spans="1:13" x14ac:dyDescent="0.2">
      <c r="A573" s="48">
        <v>2015</v>
      </c>
      <c r="B573" s="13">
        <v>12.346785710000001</v>
      </c>
      <c r="C573" s="13">
        <v>11.1975</v>
      </c>
      <c r="D573" s="13">
        <v>10.74321428</v>
      </c>
      <c r="E573" s="13">
        <v>9.93333333</v>
      </c>
      <c r="F573" s="13">
        <v>9.8711956500000007</v>
      </c>
      <c r="G573" s="13">
        <v>10.43236842</v>
      </c>
      <c r="H573" s="13">
        <v>10.4428409</v>
      </c>
      <c r="I573" s="13">
        <v>10.086499999999999</v>
      </c>
      <c r="J573" s="13">
        <v>9.9689473599999996</v>
      </c>
      <c r="K573" s="13">
        <v>9.8074999999999992</v>
      </c>
      <c r="L573" s="13">
        <v>9.7139285700000002</v>
      </c>
      <c r="M573" s="13">
        <v>9.7895000000000003</v>
      </c>
    </row>
    <row r="574" spans="1:13" x14ac:dyDescent="0.2">
      <c r="A574" s="48">
        <v>2016</v>
      </c>
      <c r="B574" s="13">
        <v>9.4748863599999993</v>
      </c>
      <c r="C574" s="13">
        <v>9.8586363600000002</v>
      </c>
      <c r="D574" s="13">
        <v>9.1804761900000003</v>
      </c>
      <c r="E574" s="13">
        <v>8.8514285699999995</v>
      </c>
      <c r="F574" s="13">
        <v>9.0163636300000007</v>
      </c>
      <c r="G574" s="13">
        <v>8.7396250000000002</v>
      </c>
      <c r="H574" s="13">
        <v>8.8585227199999999</v>
      </c>
      <c r="I574" s="13">
        <v>8.7497368400000006</v>
      </c>
      <c r="J574" s="13">
        <v>8.7526250000000001</v>
      </c>
      <c r="K574" s="13">
        <v>8.9313636299999999</v>
      </c>
      <c r="L574" s="13">
        <v>9.6289285699999994</v>
      </c>
      <c r="M574" s="13">
        <v>10.395250000000001</v>
      </c>
    </row>
    <row r="575" spans="1:13" x14ac:dyDescent="0.2">
      <c r="A575" s="48">
        <v>2017</v>
      </c>
      <c r="B575" s="13">
        <v>10.715113629999999</v>
      </c>
      <c r="C575" s="13">
        <v>10.124874999999999</v>
      </c>
      <c r="D575" s="13">
        <v>9.7698912999999994</v>
      </c>
      <c r="E575" s="13">
        <v>9.7461904700000002</v>
      </c>
      <c r="F575" s="13">
        <v>9.9658333300000006</v>
      </c>
      <c r="G575" s="13">
        <v>10.22166666</v>
      </c>
      <c r="H575" s="13">
        <v>10.39380952</v>
      </c>
      <c r="I575" s="13">
        <v>10.456875</v>
      </c>
      <c r="J575" s="13">
        <v>10.47276315</v>
      </c>
      <c r="K575" s="13">
        <v>10.00956521</v>
      </c>
      <c r="L575" s="13">
        <v>9.46723684</v>
      </c>
      <c r="M575" s="13">
        <v>9.7006818181818186</v>
      </c>
    </row>
    <row r="576" spans="1:13" x14ac:dyDescent="0.2">
      <c r="A576" s="48">
        <v>2018</v>
      </c>
      <c r="B576" s="13">
        <v>9.5144318181818193</v>
      </c>
      <c r="C576" s="13">
        <v>10.224625</v>
      </c>
      <c r="D576" s="13">
        <v>9.7132608695652181</v>
      </c>
      <c r="E576" s="13">
        <v>9.9365000000000006</v>
      </c>
      <c r="F576" s="13">
        <v>10.046022727272728</v>
      </c>
      <c r="G576" s="13">
        <v>10.088809523809523</v>
      </c>
      <c r="H576" s="13">
        <v>9.942124999999999</v>
      </c>
      <c r="I576" s="13">
        <v>9.8654761904761905</v>
      </c>
      <c r="J576" s="13">
        <v>10.214210526315789</v>
      </c>
      <c r="K576" s="13">
        <v>10.437261904761904</v>
      </c>
      <c r="L576" s="13">
        <v>10.376428571428571</v>
      </c>
      <c r="M576" s="13">
        <v>10.196022727272727</v>
      </c>
    </row>
    <row r="577" spans="1:16" x14ac:dyDescent="0.2">
      <c r="A577" s="48">
        <v>2019</v>
      </c>
      <c r="B577" s="13">
        <v>9.607857142857144</v>
      </c>
      <c r="C577" s="13">
        <v>8.956785714285715</v>
      </c>
      <c r="D577" s="13">
        <v>9.097282608695652</v>
      </c>
      <c r="E577" s="13">
        <v>8.786184210526315</v>
      </c>
      <c r="F577" s="13">
        <v>8.9949999999999992</v>
      </c>
      <c r="G577" s="13">
        <v>9.0935714285714297</v>
      </c>
      <c r="H577" s="13">
        <v>9.2516250000000007</v>
      </c>
      <c r="I577" s="13">
        <v>9.2698809523809516</v>
      </c>
      <c r="J577" s="13">
        <v>9.2413157894736848</v>
      </c>
      <c r="K577" s="13">
        <v>9.0170238095238098</v>
      </c>
      <c r="L577" s="13">
        <v>8.824761904761905</v>
      </c>
      <c r="M577" s="13">
        <v>8.92</v>
      </c>
    </row>
    <row r="578" spans="1:16" x14ac:dyDescent="0.2">
      <c r="A578" s="48">
        <v>2020</v>
      </c>
      <c r="B578" s="13">
        <v>9.402000000000001</v>
      </c>
      <c r="C578" s="13">
        <v>9.3671590909090909</v>
      </c>
      <c r="D578" s="13">
        <v>9.0862499999999997</v>
      </c>
      <c r="E578" s="13">
        <v>9.2016249999999999</v>
      </c>
      <c r="F578" s="13">
        <v>9.6005434782608692</v>
      </c>
      <c r="G578" s="13">
        <v>9.3846249999999998</v>
      </c>
      <c r="H578" s="13">
        <v>9.3807142857142853</v>
      </c>
      <c r="I578" s="13">
        <v>9.3570238095238096</v>
      </c>
      <c r="J578" s="13">
        <v>8.9644736842105264</v>
      </c>
      <c r="K578" s="13">
        <v>8.721477272727272</v>
      </c>
      <c r="L578" s="13">
        <v>8.4333749999999998</v>
      </c>
      <c r="M578" s="13">
        <v>8.423</v>
      </c>
    </row>
    <row r="579" spans="1:16" x14ac:dyDescent="0.2">
      <c r="A579" s="48">
        <v>2021</v>
      </c>
      <c r="B579" s="13">
        <v>8.7388636363636358</v>
      </c>
      <c r="C579" s="13">
        <v>8.9465909090909079</v>
      </c>
      <c r="D579" s="13">
        <v>9.1417857142857137</v>
      </c>
      <c r="E579" s="13">
        <v>9.9661904761904765</v>
      </c>
      <c r="F579" s="13">
        <v>10.377386363636363</v>
      </c>
      <c r="G579" s="13">
        <v>11.407375</v>
      </c>
      <c r="H579" s="13">
        <v>12.095909090909091</v>
      </c>
      <c r="I579" s="13">
        <v>13.688289473684211</v>
      </c>
      <c r="J579" s="13" t="e">
        <v>#REF!</v>
      </c>
      <c r="K579" s="13">
        <v>14.137282608695653</v>
      </c>
      <c r="L579" s="13">
        <v>14.654999999999999</v>
      </c>
      <c r="M579" s="13">
        <v>13.503625</v>
      </c>
    </row>
    <row r="580" spans="1:16" x14ac:dyDescent="0.2">
      <c r="A580" s="48">
        <v>2022</v>
      </c>
      <c r="B580" s="13">
        <v>13.459431818181818</v>
      </c>
      <c r="C580" s="13">
        <v>13.452142857142858</v>
      </c>
      <c r="D580" s="13">
        <v>13.350681818181817</v>
      </c>
      <c r="E580" s="13">
        <v>13.011547619047619</v>
      </c>
      <c r="F580" s="13">
        <v>12.589404761904762</v>
      </c>
      <c r="G580" s="13">
        <v>12.636547619047619</v>
      </c>
      <c r="H580" s="13">
        <v>13.033409090909091</v>
      </c>
      <c r="I580" s="13">
        <v>14.13625</v>
      </c>
      <c r="J580" s="13">
        <v>15.89842105263158</v>
      </c>
      <c r="K580" s="13">
        <v>16.733152173913041</v>
      </c>
      <c r="L580" s="39">
        <v>16.823</v>
      </c>
    </row>
    <row r="581" spans="1:16" x14ac:dyDescent="0.2">
      <c r="A581" s="48">
        <v>2023</v>
      </c>
      <c r="K581" s="39">
        <f>[3]Prices!$B$641</f>
        <v>14.89304347826087</v>
      </c>
      <c r="L581" s="39">
        <f>[3]Prices!$B$642</f>
        <v>14.881315789473684</v>
      </c>
    </row>
    <row r="582" spans="1:16" x14ac:dyDescent="0.2">
      <c r="A582" s="48">
        <v>2024</v>
      </c>
      <c r="K582" s="39">
        <f>[3]Prices!$B$653</f>
        <v>11.792874999999999</v>
      </c>
      <c r="L582" s="39">
        <f>[3]Prices!$B$654</f>
        <v>11.646136363636362</v>
      </c>
    </row>
    <row r="583" spans="1:16" x14ac:dyDescent="0.2">
      <c r="A583" s="48">
        <v>2025</v>
      </c>
      <c r="K583" s="39">
        <f>[3]Prices!$B$665</f>
        <v>9.9499999999999975</v>
      </c>
      <c r="L583" s="39">
        <f>[3]Prices!$B$666</f>
        <v>9.9000000000000021</v>
      </c>
    </row>
    <row r="584" spans="1:16" x14ac:dyDescent="0.2">
      <c r="A584" s="48"/>
      <c r="K584" s="39">
        <f>[3]Prices!$B$677</f>
        <v>12.200000000000001</v>
      </c>
      <c r="L584" s="39">
        <f>[3]Prices!$B$678</f>
        <v>12.25</v>
      </c>
    </row>
    <row r="585" spans="1:16" ht="15.75" x14ac:dyDescent="0.25">
      <c r="A585" s="51" t="s">
        <v>165</v>
      </c>
    </row>
    <row r="586" spans="1:16" ht="13.5" x14ac:dyDescent="0.25">
      <c r="A586" s="42" t="s">
        <v>155</v>
      </c>
      <c r="B586" t="s">
        <v>84</v>
      </c>
      <c r="C586" t="s">
        <v>85</v>
      </c>
      <c r="D586" t="s">
        <v>86</v>
      </c>
      <c r="E586" t="s">
        <v>87</v>
      </c>
      <c r="F586" t="s">
        <v>88</v>
      </c>
      <c r="G586" t="s">
        <v>89</v>
      </c>
      <c r="H586" t="s">
        <v>90</v>
      </c>
      <c r="I586" t="s">
        <v>91</v>
      </c>
      <c r="J586" t="s">
        <v>92</v>
      </c>
      <c r="K586" t="s">
        <v>93</v>
      </c>
      <c r="L586" t="s">
        <v>94</v>
      </c>
      <c r="M586" t="s">
        <v>83</v>
      </c>
      <c r="O586" t="str">
        <f>_xlfn.CONCAT(K586," ","Error")</f>
        <v>Mar Error</v>
      </c>
      <c r="P586" t="str">
        <f>_xlfn.CONCAT(L586," ","Error")</f>
        <v>Apr Error</v>
      </c>
    </row>
    <row r="587" spans="1:16" x14ac:dyDescent="0.2">
      <c r="A587" s="48">
        <v>1971</v>
      </c>
      <c r="B587" s="13">
        <v>3.0825</v>
      </c>
      <c r="C587" s="13">
        <v>3.145</v>
      </c>
      <c r="D587" s="13">
        <v>3.14</v>
      </c>
      <c r="E587" s="13">
        <v>3.0575000000000001</v>
      </c>
      <c r="F587" s="13">
        <v>3.2250000000000001</v>
      </c>
      <c r="G587" s="13">
        <v>3.1875</v>
      </c>
      <c r="H587" s="13">
        <v>3.0874999999999999</v>
      </c>
      <c r="I587" s="13">
        <v>3.17</v>
      </c>
      <c r="J587" s="13">
        <v>3.14</v>
      </c>
      <c r="K587" s="13">
        <v>3.0924999999999998</v>
      </c>
      <c r="L587" s="13">
        <v>2.9950000000000001</v>
      </c>
      <c r="M587" s="13">
        <v>2.9975000000000001</v>
      </c>
      <c r="O587" s="13">
        <f t="shared" ref="O587:O618" si="31">K587-K529</f>
        <v>4.0543479999999743E-2</v>
      </c>
      <c r="P587" s="13">
        <f t="shared" ref="P587:P618" si="32">L587-L529</f>
        <v>7.5357150000000317E-2</v>
      </c>
    </row>
    <row r="588" spans="1:16" x14ac:dyDescent="0.2">
      <c r="A588" s="48">
        <v>1972</v>
      </c>
      <c r="B588" s="13">
        <v>3.3250000000000002</v>
      </c>
      <c r="C588" s="13">
        <v>3.5125000000000002</v>
      </c>
      <c r="D588" s="13">
        <v>3.43</v>
      </c>
      <c r="E588" s="13">
        <v>3.3849999999999998</v>
      </c>
      <c r="F588" s="13">
        <v>3.4</v>
      </c>
      <c r="G588" s="13">
        <v>3.3475000000000001</v>
      </c>
      <c r="H588" s="13">
        <v>3.2875000000000001</v>
      </c>
      <c r="I588" s="13">
        <v>3.2549999999999999</v>
      </c>
      <c r="J588" s="13">
        <v>3.3650000000000002</v>
      </c>
      <c r="K588" s="13">
        <v>3.49</v>
      </c>
      <c r="L588" s="13">
        <v>3.6124999999999998</v>
      </c>
      <c r="M588" s="13">
        <v>3.6</v>
      </c>
      <c r="O588" s="13">
        <f t="shared" si="31"/>
        <v>7.1477280000000309E-2</v>
      </c>
      <c r="P588" s="13">
        <f t="shared" si="32"/>
        <v>9.0875000000000039E-2</v>
      </c>
    </row>
    <row r="589" spans="1:16" x14ac:dyDescent="0.2">
      <c r="A589" s="48">
        <v>1973</v>
      </c>
      <c r="B589" s="13">
        <v>3.39</v>
      </c>
      <c r="C589" s="13">
        <v>3.4350000000000001</v>
      </c>
      <c r="D589" s="13">
        <v>3.52</v>
      </c>
      <c r="E589" s="13">
        <v>3.6025</v>
      </c>
      <c r="F589" s="13">
        <v>3.645</v>
      </c>
      <c r="G589" s="13">
        <v>3.9024999999999999</v>
      </c>
      <c r="H589" s="13">
        <v>4.375</v>
      </c>
      <c r="I589" s="13">
        <v>4.6900000000000004</v>
      </c>
      <c r="J589" s="13">
        <v>6.35</v>
      </c>
      <c r="K589" s="13">
        <v>6.65</v>
      </c>
      <c r="L589" s="13">
        <v>7.49</v>
      </c>
      <c r="M589" s="13">
        <v>10.199999999999999</v>
      </c>
      <c r="O589" s="13">
        <f t="shared" si="31"/>
        <v>0.62534091000000025</v>
      </c>
      <c r="P589" s="13">
        <f t="shared" si="32"/>
        <v>1.1515000000000004</v>
      </c>
    </row>
    <row r="590" spans="1:16" x14ac:dyDescent="0.2">
      <c r="A590" s="48">
        <v>1974</v>
      </c>
      <c r="B590" s="13">
        <v>6.84</v>
      </c>
      <c r="C590" s="13">
        <v>7.94</v>
      </c>
      <c r="D590" s="13">
        <v>9.06</v>
      </c>
      <c r="E590" s="13">
        <v>7.02</v>
      </c>
      <c r="F590" s="13">
        <v>6.7649999999999997</v>
      </c>
      <c r="G590" s="13">
        <v>6.3949999999999996</v>
      </c>
      <c r="H590" s="13">
        <v>6.5125000000000002</v>
      </c>
      <c r="I590" s="13">
        <v>6.65</v>
      </c>
      <c r="J590" s="13">
        <v>6.9</v>
      </c>
      <c r="K590" s="13">
        <v>6.55</v>
      </c>
      <c r="L590" s="13">
        <v>6.17</v>
      </c>
      <c r="M590" s="13">
        <v>5.63</v>
      </c>
      <c r="O590" s="13">
        <f t="shared" si="31"/>
        <v>0.23226191000000007</v>
      </c>
      <c r="P590" s="13">
        <f t="shared" si="32"/>
        <v>0.57249999999999979</v>
      </c>
    </row>
    <row r="591" spans="1:16" x14ac:dyDescent="0.2">
      <c r="A591" s="48">
        <v>1975</v>
      </c>
      <c r="B591" s="13">
        <v>6.03</v>
      </c>
      <c r="C591" s="13">
        <v>8.8699999999999992</v>
      </c>
      <c r="D591" s="13">
        <v>8.8000000000000007</v>
      </c>
      <c r="E591" s="13">
        <v>8.9700000000000006</v>
      </c>
      <c r="F591" s="13">
        <v>9.7100000000000009</v>
      </c>
      <c r="G591" s="13">
        <v>9.07</v>
      </c>
      <c r="H591" s="13">
        <v>8.16</v>
      </c>
      <c r="I591" s="13">
        <v>7.42</v>
      </c>
      <c r="J591" s="13">
        <v>6.2450000000000001</v>
      </c>
      <c r="K591" s="13">
        <v>6.1550000000000002</v>
      </c>
      <c r="L591" s="13">
        <v>6.14</v>
      </c>
      <c r="M591" s="13">
        <v>5.44</v>
      </c>
      <c r="O591" s="13">
        <f t="shared" si="31"/>
        <v>0.55625000000000036</v>
      </c>
      <c r="P591" s="13">
        <f t="shared" si="32"/>
        <v>0.41329545999999961</v>
      </c>
    </row>
    <row r="592" spans="1:16" x14ac:dyDescent="0.2">
      <c r="A592" s="48">
        <v>1976</v>
      </c>
      <c r="B592" s="13">
        <v>5.38</v>
      </c>
      <c r="C592" s="13">
        <v>6.61</v>
      </c>
      <c r="D592" s="13">
        <v>6.8</v>
      </c>
      <c r="E592" s="13">
        <v>6.37</v>
      </c>
      <c r="F592" s="13">
        <v>6.04</v>
      </c>
      <c r="G592" s="13">
        <v>5.26</v>
      </c>
      <c r="H592" s="13">
        <v>5.22</v>
      </c>
      <c r="I592" s="13">
        <v>5.05</v>
      </c>
      <c r="J592" s="13">
        <v>4.99</v>
      </c>
      <c r="K592" s="13">
        <v>4.9275000000000002</v>
      </c>
      <c r="L592" s="13">
        <v>4.93</v>
      </c>
      <c r="M592" s="13">
        <v>5.3650000000000002</v>
      </c>
      <c r="O592" s="13">
        <f t="shared" si="31"/>
        <v>0.1236956600000001</v>
      </c>
      <c r="P592" s="13">
        <f t="shared" si="32"/>
        <v>0.12690476999999944</v>
      </c>
    </row>
    <row r="593" spans="1:16" x14ac:dyDescent="0.2">
      <c r="A593" s="48">
        <v>1977</v>
      </c>
      <c r="B593" s="13">
        <v>7.11</v>
      </c>
      <c r="C593" s="13">
        <v>7.84</v>
      </c>
      <c r="D593" s="13">
        <v>7.09</v>
      </c>
      <c r="E593" s="13">
        <v>7.71</v>
      </c>
      <c r="F593" s="13">
        <v>6.9</v>
      </c>
      <c r="G593" s="13">
        <v>6.91</v>
      </c>
      <c r="H593" s="13">
        <v>7.12</v>
      </c>
      <c r="I593" s="13">
        <v>7.41</v>
      </c>
      <c r="J593" s="13">
        <v>7.93</v>
      </c>
      <c r="K593" s="13">
        <v>8.99</v>
      </c>
      <c r="L593" s="13">
        <v>10.765000000000001</v>
      </c>
      <c r="M593" s="13">
        <v>10.3</v>
      </c>
      <c r="O593" s="13">
        <f t="shared" si="31"/>
        <v>0.53097827000000031</v>
      </c>
      <c r="P593" s="13">
        <f t="shared" si="32"/>
        <v>0.87650000000000006</v>
      </c>
    </row>
    <row r="594" spans="1:16" x14ac:dyDescent="0.2">
      <c r="A594" s="48">
        <v>1978</v>
      </c>
      <c r="B594" s="13">
        <v>8.0749999999999993</v>
      </c>
      <c r="C594" s="13">
        <v>6.7</v>
      </c>
      <c r="D594" s="13">
        <v>5.98</v>
      </c>
      <c r="E594" s="13">
        <v>5.89</v>
      </c>
      <c r="F594" s="13">
        <v>5.8150000000000004</v>
      </c>
      <c r="G594" s="13">
        <v>6.5</v>
      </c>
      <c r="H594" s="13">
        <v>6.3049999999999997</v>
      </c>
      <c r="I594" s="13">
        <v>6.19</v>
      </c>
      <c r="J594" s="13">
        <v>5.96</v>
      </c>
      <c r="K594" s="13">
        <v>7.4749999999999996</v>
      </c>
      <c r="L594" s="13">
        <v>7.46</v>
      </c>
      <c r="M594" s="13">
        <v>7.45</v>
      </c>
      <c r="O594" s="13">
        <f t="shared" si="31"/>
        <v>0.70579546000000004</v>
      </c>
      <c r="P594" s="13">
        <f t="shared" si="32"/>
        <v>0.42175000000000029</v>
      </c>
    </row>
    <row r="595" spans="1:16" x14ac:dyDescent="0.2">
      <c r="A595" s="48">
        <v>1979</v>
      </c>
      <c r="B595" s="13">
        <v>6.91</v>
      </c>
      <c r="C595" s="13">
        <v>6.39</v>
      </c>
      <c r="D595" s="13">
        <v>6.7350000000000003</v>
      </c>
      <c r="E595" s="13">
        <v>6.97</v>
      </c>
      <c r="F595" s="13">
        <v>7.53</v>
      </c>
      <c r="G595" s="13">
        <v>7.36</v>
      </c>
      <c r="H595" s="13">
        <v>7.27</v>
      </c>
      <c r="I595" s="13">
        <v>7.33</v>
      </c>
      <c r="J595" s="13">
        <v>7.97</v>
      </c>
      <c r="K595" s="13">
        <v>7.85</v>
      </c>
      <c r="L595" s="13">
        <v>7.7549999999999999</v>
      </c>
      <c r="M595" s="13">
        <v>7.3849999999999998</v>
      </c>
      <c r="O595" s="13">
        <f t="shared" si="31"/>
        <v>0.1988636399999999</v>
      </c>
      <c r="P595" s="13">
        <f t="shared" si="32"/>
        <v>0.35062499999999996</v>
      </c>
    </row>
    <row r="596" spans="1:16" x14ac:dyDescent="0.2">
      <c r="A596" s="48">
        <v>1980</v>
      </c>
      <c r="B596" s="13">
        <v>8.59</v>
      </c>
      <c r="C596" s="13">
        <v>8.23</v>
      </c>
      <c r="D596" s="13">
        <v>7.73</v>
      </c>
      <c r="E596" s="13">
        <v>7.9</v>
      </c>
      <c r="F596" s="13">
        <v>7.88</v>
      </c>
      <c r="G596" s="13">
        <v>7.3949999999999996</v>
      </c>
      <c r="H596" s="13">
        <v>7.2649999999999997</v>
      </c>
      <c r="I596" s="13">
        <v>7.04</v>
      </c>
      <c r="J596" s="13">
        <v>7.1050000000000004</v>
      </c>
      <c r="K596" s="13">
        <v>6.6950000000000003</v>
      </c>
      <c r="L596" s="13">
        <v>6.11</v>
      </c>
      <c r="M596" s="13">
        <v>6.24</v>
      </c>
      <c r="O596" s="13">
        <f t="shared" si="31"/>
        <v>0.37845239000000053</v>
      </c>
      <c r="P596" s="13">
        <f t="shared" si="32"/>
        <v>0.17214286000000012</v>
      </c>
    </row>
    <row r="597" spans="1:16" x14ac:dyDescent="0.2">
      <c r="A597" s="48">
        <v>1981</v>
      </c>
      <c r="B597" s="13">
        <v>7.5</v>
      </c>
      <c r="C597" s="13">
        <v>8.59</v>
      </c>
      <c r="D597" s="13">
        <v>8.5549999999999997</v>
      </c>
      <c r="E597" s="13">
        <v>9.33</v>
      </c>
      <c r="F597" s="13">
        <v>9.9749999999999996</v>
      </c>
      <c r="G597" s="13">
        <v>10.06</v>
      </c>
      <c r="H597" s="13">
        <v>10.01</v>
      </c>
      <c r="I597" s="13">
        <v>8.82</v>
      </c>
      <c r="J597" s="13">
        <v>7.9850000000000003</v>
      </c>
      <c r="K597" s="13">
        <v>7.8849999999999998</v>
      </c>
      <c r="L597" s="13">
        <v>8.125</v>
      </c>
      <c r="M597" s="13">
        <v>7.85</v>
      </c>
      <c r="O597" s="13">
        <f t="shared" si="31"/>
        <v>0.3295454599999994</v>
      </c>
      <c r="P597" s="13">
        <f t="shared" si="32"/>
        <v>0.28035715000000039</v>
      </c>
    </row>
    <row r="598" spans="1:16" x14ac:dyDescent="0.2">
      <c r="A598" s="48">
        <v>1982</v>
      </c>
      <c r="B598" s="13">
        <v>8.3249999999999993</v>
      </c>
      <c r="C598" s="13">
        <v>8.5350000000000001</v>
      </c>
      <c r="D598" s="13">
        <v>8.07</v>
      </c>
      <c r="E598" s="13">
        <v>7.51</v>
      </c>
      <c r="F598" s="13">
        <v>7.39</v>
      </c>
      <c r="G598" s="13">
        <v>7.21</v>
      </c>
      <c r="H598" s="13">
        <v>6.9625000000000004</v>
      </c>
      <c r="I598" s="13">
        <v>6.77</v>
      </c>
      <c r="J598" s="13">
        <v>6.83</v>
      </c>
      <c r="K598" s="13">
        <v>6.42</v>
      </c>
      <c r="L598" s="13">
        <v>6.7074999999999996</v>
      </c>
      <c r="M598" s="13">
        <v>6.6950000000000003</v>
      </c>
      <c r="O598" s="13">
        <f t="shared" si="31"/>
        <v>0.14739130999999972</v>
      </c>
      <c r="P598" s="13">
        <f t="shared" si="32"/>
        <v>0.17428571999999942</v>
      </c>
    </row>
    <row r="599" spans="1:16" x14ac:dyDescent="0.2">
      <c r="A599" s="48">
        <v>1983</v>
      </c>
      <c r="B599" s="13">
        <v>7.0449999999999999</v>
      </c>
      <c r="C599" s="13">
        <v>6.7850000000000001</v>
      </c>
      <c r="D599" s="13">
        <v>6.6449999999999996</v>
      </c>
      <c r="E599" s="13">
        <v>6.1150000000000002</v>
      </c>
      <c r="F599" s="13">
        <v>5.88</v>
      </c>
      <c r="G599" s="13">
        <v>6.0774999999999997</v>
      </c>
      <c r="H599" s="13">
        <v>5.9550000000000001</v>
      </c>
      <c r="I599" s="13">
        <v>6.2</v>
      </c>
      <c r="J599" s="13">
        <v>6.22</v>
      </c>
      <c r="K599" s="13">
        <v>6.4349999999999996</v>
      </c>
      <c r="L599" s="13">
        <v>6.5549999999999997</v>
      </c>
      <c r="M599" s="13">
        <v>6.43</v>
      </c>
      <c r="O599" s="13">
        <f t="shared" si="31"/>
        <v>0.38163043999999946</v>
      </c>
      <c r="P599" s="13">
        <f t="shared" si="32"/>
        <v>0.19287499999999991</v>
      </c>
    </row>
    <row r="600" spans="1:16" x14ac:dyDescent="0.2">
      <c r="A600" s="48">
        <v>1984</v>
      </c>
      <c r="B600" s="13">
        <v>6.78</v>
      </c>
      <c r="C600" s="13">
        <v>7.94</v>
      </c>
      <c r="D600" s="13">
        <v>9.84</v>
      </c>
      <c r="E600" s="13">
        <v>9.9600000000000009</v>
      </c>
      <c r="F600" s="13">
        <v>9.27</v>
      </c>
      <c r="G600" s="13">
        <v>9.0350000000000001</v>
      </c>
      <c r="H600" s="13">
        <v>8.5299999999999994</v>
      </c>
      <c r="I600" s="13">
        <v>8.25</v>
      </c>
      <c r="J600" s="13">
        <v>7.68</v>
      </c>
      <c r="K600" s="13">
        <v>8.15</v>
      </c>
      <c r="L600" s="13">
        <v>8.1300000000000008</v>
      </c>
      <c r="M600" s="13">
        <v>8.94</v>
      </c>
      <c r="O600" s="13">
        <f t="shared" si="31"/>
        <v>0.25931819000000011</v>
      </c>
      <c r="P600" s="13">
        <f t="shared" si="32"/>
        <v>0.25625000000000053</v>
      </c>
    </row>
    <row r="601" spans="1:16" x14ac:dyDescent="0.2">
      <c r="A601" s="48">
        <v>1985</v>
      </c>
      <c r="B601" s="13">
        <v>7.97</v>
      </c>
      <c r="C601" s="13">
        <v>7.64</v>
      </c>
      <c r="D601" s="13">
        <v>7</v>
      </c>
      <c r="E601" s="13">
        <v>6.75</v>
      </c>
      <c r="F601" s="13">
        <v>6.78</v>
      </c>
      <c r="G601" s="13">
        <v>6.7649999999999997</v>
      </c>
      <c r="H601" s="13">
        <v>6.4050000000000002</v>
      </c>
      <c r="I601" s="13">
        <v>6.24</v>
      </c>
      <c r="J601" s="13">
        <v>6.1950000000000003</v>
      </c>
      <c r="K601" s="13">
        <v>6.14</v>
      </c>
      <c r="L601" s="13">
        <v>6.0975000000000001</v>
      </c>
      <c r="M601" s="13">
        <v>5.9074999999999998</v>
      </c>
      <c r="O601" s="13">
        <f t="shared" si="31"/>
        <v>0.20023809999999997</v>
      </c>
      <c r="P601" s="13">
        <f t="shared" si="32"/>
        <v>0.11249999999999982</v>
      </c>
    </row>
    <row r="602" spans="1:16" x14ac:dyDescent="0.2">
      <c r="A602" s="48">
        <v>1986</v>
      </c>
      <c r="B602" s="13">
        <v>6.16</v>
      </c>
      <c r="C602" s="13">
        <v>6.18</v>
      </c>
      <c r="D602" s="13">
        <v>5.6050000000000004</v>
      </c>
      <c r="E602" s="13">
        <v>5.6050000000000004</v>
      </c>
      <c r="F602" s="13">
        <v>5.5149999999999997</v>
      </c>
      <c r="G602" s="13">
        <v>5.57</v>
      </c>
      <c r="H602" s="13">
        <v>5.67</v>
      </c>
      <c r="I602" s="13">
        <v>5.665</v>
      </c>
      <c r="J602" s="13">
        <v>5.45</v>
      </c>
      <c r="K602" s="13">
        <v>5.48</v>
      </c>
      <c r="L602" s="13">
        <v>5.63</v>
      </c>
      <c r="M602" s="13">
        <v>5.4249999999999998</v>
      </c>
      <c r="O602" s="13">
        <f t="shared" si="31"/>
        <v>0.12200000000000077</v>
      </c>
      <c r="P602" s="13">
        <f t="shared" si="32"/>
        <v>0.34863636999999947</v>
      </c>
    </row>
    <row r="603" spans="1:16" x14ac:dyDescent="0.2">
      <c r="A603" s="48">
        <v>1987</v>
      </c>
      <c r="B603" s="13">
        <v>5.36</v>
      </c>
      <c r="C603" s="13">
        <v>5.415</v>
      </c>
      <c r="D603" s="13">
        <v>5.2949999999999999</v>
      </c>
      <c r="E603" s="13">
        <v>5.1574999999999998</v>
      </c>
      <c r="F603" s="13">
        <v>5.14</v>
      </c>
      <c r="G603" s="13">
        <v>5.12</v>
      </c>
      <c r="H603" s="13">
        <v>5.1124999999999998</v>
      </c>
      <c r="I603" s="13">
        <v>5.0225</v>
      </c>
      <c r="J603" s="13">
        <v>5.0075000000000003</v>
      </c>
      <c r="K603" s="13">
        <v>4.9800000000000004</v>
      </c>
      <c r="L603" s="13">
        <v>5.36</v>
      </c>
      <c r="M603" s="13">
        <v>5.84</v>
      </c>
      <c r="O603" s="13">
        <f t="shared" si="31"/>
        <v>7.2500000000000675E-2</v>
      </c>
      <c r="P603" s="13">
        <f t="shared" si="32"/>
        <v>0.22845239000000017</v>
      </c>
    </row>
    <row r="604" spans="1:16" x14ac:dyDescent="0.2">
      <c r="A604" s="48">
        <v>1988</v>
      </c>
      <c r="B604" s="13">
        <v>6.5</v>
      </c>
      <c r="C604" s="13">
        <v>5.77</v>
      </c>
      <c r="D604" s="13">
        <v>5.39</v>
      </c>
      <c r="E604" s="13">
        <v>5.5425000000000004</v>
      </c>
      <c r="F604" s="13">
        <v>5.76</v>
      </c>
      <c r="G604" s="13">
        <v>6.2649999999999997</v>
      </c>
      <c r="H604" s="13">
        <v>6.2949999999999999</v>
      </c>
      <c r="I604" s="13">
        <v>6.51</v>
      </c>
      <c r="J604" s="13">
        <v>6.56</v>
      </c>
      <c r="K604" s="13">
        <v>6.56</v>
      </c>
      <c r="L604" s="13">
        <v>6.9</v>
      </c>
      <c r="M604" s="13">
        <v>7.84</v>
      </c>
      <c r="O604" s="13">
        <f t="shared" si="31"/>
        <v>0.22782608999999976</v>
      </c>
      <c r="P604" s="13">
        <f t="shared" si="32"/>
        <v>0.18012500000000031</v>
      </c>
    </row>
    <row r="605" spans="1:16" x14ac:dyDescent="0.2">
      <c r="A605" s="48">
        <v>1989</v>
      </c>
      <c r="B605" s="13">
        <v>10.029999999999999</v>
      </c>
      <c r="C605" s="13">
        <v>9.6</v>
      </c>
      <c r="D605" s="13">
        <v>8.82</v>
      </c>
      <c r="E605" s="13">
        <v>9.1199999999999992</v>
      </c>
      <c r="F605" s="13">
        <v>8.43</v>
      </c>
      <c r="G605" s="13">
        <v>8.26</v>
      </c>
      <c r="H605" s="13">
        <v>8.2799999999999994</v>
      </c>
      <c r="I605" s="13">
        <v>8.42</v>
      </c>
      <c r="J605" s="13">
        <v>7.88</v>
      </c>
      <c r="K605" s="13">
        <v>7.9450000000000003</v>
      </c>
      <c r="L605" s="13">
        <v>7.61</v>
      </c>
      <c r="M605" s="13">
        <v>7.71</v>
      </c>
      <c r="O605" s="13">
        <f t="shared" si="31"/>
        <v>0.20920454999999993</v>
      </c>
      <c r="P605" s="13">
        <f t="shared" si="32"/>
        <v>0.30487500000000001</v>
      </c>
    </row>
    <row r="606" spans="1:16" x14ac:dyDescent="0.2">
      <c r="A606" s="48">
        <v>1990</v>
      </c>
      <c r="B606" s="13">
        <v>7</v>
      </c>
      <c r="C606" s="13">
        <v>7.3</v>
      </c>
      <c r="D606" s="13">
        <v>6.28</v>
      </c>
      <c r="E606" s="13">
        <v>6.26</v>
      </c>
      <c r="F606" s="13">
        <v>6.24</v>
      </c>
      <c r="G606" s="13">
        <v>6.2149999999999999</v>
      </c>
      <c r="H606" s="13">
        <v>6.13</v>
      </c>
      <c r="I606" s="13">
        <v>5.9974999999999996</v>
      </c>
      <c r="J606" s="13">
        <v>5.8550000000000004</v>
      </c>
      <c r="K606" s="13">
        <v>6.0650000000000004</v>
      </c>
      <c r="L606" s="13">
        <v>6.39</v>
      </c>
      <c r="M606" s="13">
        <v>6.55</v>
      </c>
      <c r="O606" s="13">
        <f t="shared" si="31"/>
        <v>0.125</v>
      </c>
      <c r="P606" s="13">
        <f t="shared" si="32"/>
        <v>0.38474999999999948</v>
      </c>
    </row>
    <row r="607" spans="1:16" x14ac:dyDescent="0.2">
      <c r="A607" s="48">
        <v>1991</v>
      </c>
      <c r="B607" s="13">
        <v>6.8375000000000004</v>
      </c>
      <c r="C607" s="13">
        <v>7.11</v>
      </c>
      <c r="D607" s="13">
        <v>6.8049999999999997</v>
      </c>
      <c r="E607" s="13">
        <v>6.7649999999999997</v>
      </c>
      <c r="F607" s="13">
        <v>6.7149999999999999</v>
      </c>
      <c r="G607" s="13">
        <v>6.43</v>
      </c>
      <c r="H607" s="13">
        <v>6.335</v>
      </c>
      <c r="I607" s="13">
        <v>6.0374999999999996</v>
      </c>
      <c r="J607" s="13">
        <v>5.9649999999999999</v>
      </c>
      <c r="K607" s="13">
        <v>6.1050000000000004</v>
      </c>
      <c r="L607" s="13">
        <v>6.01</v>
      </c>
      <c r="M607" s="13">
        <v>5.8849999999999998</v>
      </c>
      <c r="O607" s="13">
        <f t="shared" si="31"/>
        <v>0.24137500000000056</v>
      </c>
      <c r="P607" s="13">
        <f t="shared" si="32"/>
        <v>0.13499999999999979</v>
      </c>
    </row>
    <row r="608" spans="1:16" x14ac:dyDescent="0.2">
      <c r="A608" s="48">
        <v>1992</v>
      </c>
      <c r="B608" s="13">
        <v>6.28</v>
      </c>
      <c r="C608" s="13">
        <v>6.42</v>
      </c>
      <c r="D608" s="13">
        <v>6.68</v>
      </c>
      <c r="E608" s="13">
        <v>6.4349999999999996</v>
      </c>
      <c r="F608" s="13">
        <v>6.21</v>
      </c>
      <c r="G608" s="13">
        <v>5.8849999999999998</v>
      </c>
      <c r="H608" s="13">
        <v>5.79</v>
      </c>
      <c r="I608" s="13">
        <v>5.9225000000000003</v>
      </c>
      <c r="J608" s="13">
        <v>5.9550000000000001</v>
      </c>
      <c r="K608" s="13">
        <v>6.0449999999999999</v>
      </c>
      <c r="L608" s="13">
        <v>5.8849999999999998</v>
      </c>
      <c r="M608" s="13">
        <v>6.1950000000000003</v>
      </c>
      <c r="O608" s="13">
        <f t="shared" si="31"/>
        <v>0.11886363999999983</v>
      </c>
      <c r="P608" s="13">
        <f t="shared" si="32"/>
        <v>0.13473684999999946</v>
      </c>
    </row>
    <row r="609" spans="1:16" x14ac:dyDescent="0.2">
      <c r="A609" s="48">
        <v>1993</v>
      </c>
      <c r="B609" s="13">
        <v>6.6849999999999996</v>
      </c>
      <c r="C609" s="13">
        <v>6.35</v>
      </c>
      <c r="D609" s="13">
        <v>5.7850000000000001</v>
      </c>
      <c r="E609" s="13">
        <v>5.835</v>
      </c>
      <c r="F609" s="13">
        <v>5.6749999999999998</v>
      </c>
      <c r="G609" s="13">
        <v>5.8075000000000001</v>
      </c>
      <c r="H609" s="13">
        <v>5.9</v>
      </c>
      <c r="I609" s="13">
        <v>5.91</v>
      </c>
      <c r="J609" s="13">
        <v>5.81</v>
      </c>
      <c r="K609" s="13">
        <v>5.95</v>
      </c>
      <c r="L609" s="13">
        <v>5.98</v>
      </c>
      <c r="M609" s="13">
        <v>6.1</v>
      </c>
      <c r="O609" s="13">
        <f t="shared" si="31"/>
        <v>0.10717392000000014</v>
      </c>
      <c r="P609" s="13">
        <f t="shared" si="32"/>
        <v>5.595239000000074E-2</v>
      </c>
    </row>
    <row r="610" spans="1:16" x14ac:dyDescent="0.2">
      <c r="A610" s="48">
        <v>1994</v>
      </c>
      <c r="B610" s="13">
        <v>6.66</v>
      </c>
      <c r="C610" s="13">
        <v>7.51</v>
      </c>
      <c r="D610" s="13">
        <v>7.1150000000000002</v>
      </c>
      <c r="E610" s="13">
        <v>6.77</v>
      </c>
      <c r="F610" s="13">
        <v>6.4550000000000001</v>
      </c>
      <c r="G610" s="13">
        <v>6.9974999999999996</v>
      </c>
      <c r="H610" s="13">
        <v>7.165</v>
      </c>
      <c r="I610" s="13">
        <v>7.26</v>
      </c>
      <c r="J610" s="13">
        <v>6.9474999999999998</v>
      </c>
      <c r="K610" s="13">
        <v>6.97</v>
      </c>
      <c r="L610" s="13">
        <v>6.78</v>
      </c>
      <c r="M610" s="13">
        <v>7.12</v>
      </c>
      <c r="O610" s="13">
        <f t="shared" si="31"/>
        <v>0.13141304999999992</v>
      </c>
      <c r="P610" s="13">
        <f t="shared" si="32"/>
        <v>0.17421052999999986</v>
      </c>
    </row>
    <row r="611" spans="1:16" x14ac:dyDescent="0.2">
      <c r="A611" s="48">
        <v>1995</v>
      </c>
      <c r="B611" s="13">
        <v>7.0549999999999997</v>
      </c>
      <c r="C611" s="13">
        <v>6.37</v>
      </c>
      <c r="D611" s="13">
        <v>6.0225</v>
      </c>
      <c r="E611" s="13">
        <v>6.07</v>
      </c>
      <c r="F611" s="13">
        <v>5.8449999999999998</v>
      </c>
      <c r="G611" s="13">
        <v>5.93</v>
      </c>
      <c r="H611" s="13">
        <v>5.875</v>
      </c>
      <c r="I611" s="13">
        <v>5.7249999999999996</v>
      </c>
      <c r="J611" s="13">
        <v>5.7149999999999999</v>
      </c>
      <c r="K611" s="13">
        <v>5.9074999999999998</v>
      </c>
      <c r="L611" s="13">
        <v>5.92</v>
      </c>
      <c r="M611" s="13">
        <v>5.8</v>
      </c>
      <c r="O611" s="13">
        <f t="shared" si="31"/>
        <v>0.1420652200000001</v>
      </c>
      <c r="P611" s="13">
        <f t="shared" si="32"/>
        <v>0.17065790000000014</v>
      </c>
    </row>
    <row r="612" spans="1:16" x14ac:dyDescent="0.2">
      <c r="A612" s="48">
        <v>1996</v>
      </c>
      <c r="B612" s="13">
        <v>6.5</v>
      </c>
      <c r="C612" s="13">
        <v>6.75</v>
      </c>
      <c r="D612" s="13">
        <v>6.5</v>
      </c>
      <c r="E612" s="13">
        <v>6.9450000000000003</v>
      </c>
      <c r="F612" s="13">
        <v>6.9850000000000003</v>
      </c>
      <c r="G612" s="13">
        <v>7.08</v>
      </c>
      <c r="H612" s="13">
        <v>7.55</v>
      </c>
      <c r="I612" s="13">
        <v>7.75</v>
      </c>
      <c r="J612" s="13">
        <v>7.5549999999999997</v>
      </c>
      <c r="K612" s="13">
        <v>7.56</v>
      </c>
      <c r="L612" s="13">
        <v>8.39</v>
      </c>
      <c r="M612" s="13">
        <v>8.27</v>
      </c>
      <c r="O612" s="13">
        <f t="shared" si="31"/>
        <v>0.26285714999999943</v>
      </c>
      <c r="P612" s="13">
        <f t="shared" si="32"/>
        <v>0.48714286000000051</v>
      </c>
    </row>
    <row r="613" spans="1:16" x14ac:dyDescent="0.2">
      <c r="A613" s="48">
        <v>1997</v>
      </c>
      <c r="B613" s="13">
        <v>7.76</v>
      </c>
      <c r="C613" s="13">
        <v>8.2799999999999994</v>
      </c>
      <c r="D613" s="13">
        <v>8.11</v>
      </c>
      <c r="E613" s="13">
        <v>8.25</v>
      </c>
      <c r="F613" s="13">
        <v>7.7549999999999999</v>
      </c>
      <c r="G613" s="13">
        <v>7.13</v>
      </c>
      <c r="H613" s="13">
        <v>7.08</v>
      </c>
      <c r="I613" s="13">
        <v>7.54</v>
      </c>
      <c r="J613" s="13">
        <v>7.9749999999999996</v>
      </c>
      <c r="K613" s="13">
        <v>8.68</v>
      </c>
      <c r="L613" s="13">
        <v>8.93</v>
      </c>
      <c r="M613" s="13">
        <v>9.0350000000000001</v>
      </c>
      <c r="O613" s="13">
        <f t="shared" si="31"/>
        <v>0.32412500000000044</v>
      </c>
      <c r="P613" s="13">
        <f t="shared" si="32"/>
        <v>0.40272728000000058</v>
      </c>
    </row>
    <row r="614" spans="1:16" x14ac:dyDescent="0.2">
      <c r="A614" s="48">
        <v>1998</v>
      </c>
      <c r="B614" s="13">
        <v>7.0650000000000004</v>
      </c>
      <c r="C614" s="13">
        <v>6.76</v>
      </c>
      <c r="D614" s="13">
        <v>6.8250000000000002</v>
      </c>
      <c r="E614" s="13">
        <v>6.6550000000000002</v>
      </c>
      <c r="F614" s="13">
        <v>7.44</v>
      </c>
      <c r="G614" s="13">
        <v>7.52</v>
      </c>
      <c r="H614" s="13">
        <v>7.2949999999999999</v>
      </c>
      <c r="I614" s="13">
        <v>6.94</v>
      </c>
      <c r="J614" s="13">
        <v>6.98</v>
      </c>
      <c r="K614" s="13">
        <v>6.79</v>
      </c>
      <c r="L614" s="13">
        <v>6.5350000000000001</v>
      </c>
      <c r="M614" s="13">
        <v>6.6174999999999997</v>
      </c>
      <c r="O614" s="13">
        <f t="shared" si="31"/>
        <v>0.23272727999999976</v>
      </c>
      <c r="P614" s="13">
        <f t="shared" si="32"/>
        <v>0.13773809999999997</v>
      </c>
    </row>
    <row r="615" spans="1:16" x14ac:dyDescent="0.2">
      <c r="A615" s="48">
        <v>1999</v>
      </c>
      <c r="B615" s="13">
        <v>6.69</v>
      </c>
      <c r="C615" s="13">
        <v>6.54</v>
      </c>
      <c r="D615" s="13">
        <v>5.835</v>
      </c>
      <c r="E615" s="13">
        <v>5.67</v>
      </c>
      <c r="F615" s="13">
        <v>5.9950000000000001</v>
      </c>
      <c r="G615" s="13">
        <v>6.11</v>
      </c>
      <c r="H615" s="13">
        <v>6.09</v>
      </c>
      <c r="I615" s="13">
        <v>5.65</v>
      </c>
      <c r="J615" s="13">
        <v>5.2350000000000003</v>
      </c>
      <c r="K615" s="13">
        <v>5.0599999999999996</v>
      </c>
      <c r="L615" s="13">
        <v>4.9850000000000003</v>
      </c>
      <c r="M615" s="13">
        <v>4.83</v>
      </c>
      <c r="O615" s="13">
        <f t="shared" si="31"/>
        <v>0.24652173999999949</v>
      </c>
      <c r="P615" s="13">
        <f t="shared" si="32"/>
        <v>0.15392858000000054</v>
      </c>
    </row>
    <row r="616" spans="1:16" x14ac:dyDescent="0.2">
      <c r="A616" s="48">
        <v>2000</v>
      </c>
      <c r="B616" s="13">
        <v>5.0999999999999996</v>
      </c>
      <c r="C616" s="13">
        <v>5.04</v>
      </c>
      <c r="D616" s="13">
        <v>5.2</v>
      </c>
      <c r="E616" s="13">
        <v>5.4</v>
      </c>
      <c r="F616" s="13">
        <v>5.3</v>
      </c>
      <c r="G616" s="13">
        <v>5.0049999999999999</v>
      </c>
      <c r="H616" s="13">
        <v>4.95</v>
      </c>
      <c r="I616" s="13">
        <v>5.3849999999999998</v>
      </c>
      <c r="J616" s="13">
        <v>5.29</v>
      </c>
      <c r="K616" s="13">
        <v>5.4850000000000003</v>
      </c>
      <c r="L616" s="13">
        <v>5.54</v>
      </c>
      <c r="M616" s="13">
        <v>5.7050000000000001</v>
      </c>
      <c r="O616" s="13">
        <f t="shared" si="31"/>
        <v>0.24695653000000028</v>
      </c>
      <c r="P616" s="13">
        <f t="shared" si="32"/>
        <v>0.17605263999999998</v>
      </c>
    </row>
    <row r="617" spans="1:16" x14ac:dyDescent="0.2">
      <c r="A617" s="48">
        <v>2001</v>
      </c>
      <c r="B617" s="13">
        <v>5.62</v>
      </c>
      <c r="C617" s="13">
        <v>5.0449999999999999</v>
      </c>
      <c r="D617" s="13">
        <v>5.31</v>
      </c>
      <c r="E617" s="13">
        <v>5.4</v>
      </c>
      <c r="F617" s="13">
        <v>5.2</v>
      </c>
      <c r="G617" s="13">
        <v>5.2450000000000001</v>
      </c>
      <c r="H617" s="13">
        <v>5.2949999999999999</v>
      </c>
      <c r="I617" s="13">
        <v>5.1749999999999998</v>
      </c>
      <c r="J617" s="13">
        <v>4.7750000000000004</v>
      </c>
      <c r="K617" s="13">
        <v>4.7</v>
      </c>
      <c r="L617" s="13">
        <v>4.4400000000000004</v>
      </c>
      <c r="M617" s="13">
        <v>4.6399999999999997</v>
      </c>
      <c r="O617" s="13">
        <f t="shared" si="31"/>
        <v>0.20931819000000029</v>
      </c>
      <c r="P617" s="13">
        <f t="shared" si="32"/>
        <v>0.12400000000000055</v>
      </c>
    </row>
    <row r="618" spans="1:16" x14ac:dyDescent="0.2">
      <c r="A618" s="48">
        <v>2002</v>
      </c>
      <c r="B618" s="13">
        <v>4.82</v>
      </c>
      <c r="C618" s="13">
        <v>5.335</v>
      </c>
      <c r="D618" s="13">
        <v>5.2</v>
      </c>
      <c r="E618" s="13">
        <v>4.9950000000000001</v>
      </c>
      <c r="F618" s="13">
        <v>4.74</v>
      </c>
      <c r="G618" s="13">
        <v>4.6150000000000002</v>
      </c>
      <c r="H618" s="13">
        <v>4.5650000000000004</v>
      </c>
      <c r="I618" s="13">
        <v>4.5949999999999998</v>
      </c>
      <c r="J618" s="13">
        <v>4.4974999999999996</v>
      </c>
      <c r="K618" s="13">
        <v>4.8049999999999997</v>
      </c>
      <c r="L618" s="13">
        <v>4.8075000000000001</v>
      </c>
      <c r="M618" s="13">
        <v>4.79</v>
      </c>
      <c r="O618" s="13">
        <f t="shared" si="31"/>
        <v>0.17687499999999989</v>
      </c>
      <c r="P618" s="13">
        <f t="shared" si="32"/>
        <v>0.14443182000000032</v>
      </c>
    </row>
    <row r="619" spans="1:16" x14ac:dyDescent="0.2">
      <c r="A619" s="48">
        <v>2003</v>
      </c>
      <c r="B619" s="13">
        <v>5.09</v>
      </c>
      <c r="C619" s="13">
        <v>5.54</v>
      </c>
      <c r="D619" s="13">
        <v>5.68</v>
      </c>
      <c r="E619" s="13">
        <v>5.88</v>
      </c>
      <c r="F619" s="13">
        <v>5.5650000000000004</v>
      </c>
      <c r="G619" s="13">
        <v>5.6749999999999998</v>
      </c>
      <c r="H619" s="13">
        <v>5.7175000000000002</v>
      </c>
      <c r="I619" s="13">
        <v>5.7850000000000001</v>
      </c>
      <c r="J619" s="13">
        <v>5.8375000000000004</v>
      </c>
      <c r="K619" s="13">
        <v>5.8150000000000004</v>
      </c>
      <c r="L619" s="13">
        <v>6.3150000000000004</v>
      </c>
      <c r="M619" s="13">
        <v>6.4950000000000001</v>
      </c>
      <c r="O619" s="13">
        <f t="shared" ref="O619:O638" si="33">K619-K561</f>
        <v>9.8690480000000136E-2</v>
      </c>
      <c r="P619" s="13">
        <f t="shared" ref="P619:P638" si="34">L619-L561</f>
        <v>0.28107143000000079</v>
      </c>
    </row>
    <row r="620" spans="1:16" x14ac:dyDescent="0.2">
      <c r="A620" s="48">
        <v>2004</v>
      </c>
      <c r="B620" s="13">
        <v>5.86</v>
      </c>
      <c r="C620" s="13">
        <v>5.65</v>
      </c>
      <c r="D620" s="13">
        <v>5.84</v>
      </c>
      <c r="E620" s="13">
        <v>6.5750000000000002</v>
      </c>
      <c r="F620" s="13">
        <v>7.55</v>
      </c>
      <c r="G620" s="13">
        <v>7.61</v>
      </c>
      <c r="H620" s="13">
        <v>7.96</v>
      </c>
      <c r="I620" s="13">
        <v>8.5350000000000001</v>
      </c>
      <c r="J620" s="13">
        <v>9.4550000000000001</v>
      </c>
      <c r="K620" s="13">
        <v>10.637499999999999</v>
      </c>
      <c r="L620" s="13">
        <v>10.64</v>
      </c>
      <c r="M620" s="13">
        <v>10.63</v>
      </c>
      <c r="O620" s="13">
        <f t="shared" si="33"/>
        <v>0.81543478999999941</v>
      </c>
      <c r="P620" s="13">
        <f t="shared" si="34"/>
        <v>0.74702380999999995</v>
      </c>
    </row>
    <row r="621" spans="1:16" x14ac:dyDescent="0.2">
      <c r="A621" s="48">
        <v>2005</v>
      </c>
      <c r="B621" s="13">
        <v>7.27</v>
      </c>
      <c r="C621" s="13">
        <v>6.81</v>
      </c>
      <c r="D621" s="13">
        <v>6.4</v>
      </c>
      <c r="E621" s="13">
        <v>6.58</v>
      </c>
      <c r="F621" s="13">
        <v>5.61</v>
      </c>
      <c r="G621" s="13">
        <v>5.71</v>
      </c>
      <c r="H621" s="13">
        <v>5.5949999999999998</v>
      </c>
      <c r="I621" s="13">
        <v>5.54</v>
      </c>
      <c r="J621" s="13">
        <v>6.24</v>
      </c>
      <c r="K621" s="13">
        <v>6.9175000000000004</v>
      </c>
      <c r="L621" s="13">
        <v>6.4950000000000001</v>
      </c>
      <c r="M621" s="13">
        <v>6.4249999999999998</v>
      </c>
      <c r="O621" s="13">
        <f t="shared" si="33"/>
        <v>0.54238637000000001</v>
      </c>
      <c r="P621" s="13">
        <f t="shared" si="34"/>
        <v>0.26904762000000026</v>
      </c>
    </row>
    <row r="622" spans="1:16" x14ac:dyDescent="0.2">
      <c r="A622" s="48">
        <v>2006</v>
      </c>
      <c r="B622" s="13">
        <v>7.42</v>
      </c>
      <c r="C622" s="13">
        <v>7.21</v>
      </c>
      <c r="D622" s="13">
        <v>7.02</v>
      </c>
      <c r="E622" s="13">
        <v>6.35</v>
      </c>
      <c r="F622" s="13">
        <v>6.2225000000000001</v>
      </c>
      <c r="G622" s="13">
        <v>6.165</v>
      </c>
      <c r="H622" s="13">
        <v>6.4050000000000002</v>
      </c>
      <c r="I622" s="13">
        <v>6.43</v>
      </c>
      <c r="J622" s="13">
        <v>6.17</v>
      </c>
      <c r="K622" s="13">
        <v>6.0750000000000002</v>
      </c>
      <c r="L622" s="13">
        <v>5.98</v>
      </c>
      <c r="M622" s="13">
        <v>6.1</v>
      </c>
      <c r="O622" s="13">
        <f t="shared" si="33"/>
        <v>0.23249999999999993</v>
      </c>
      <c r="P622" s="13">
        <f t="shared" si="34"/>
        <v>0.29460527000000081</v>
      </c>
    </row>
    <row r="623" spans="1:16" x14ac:dyDescent="0.2">
      <c r="A623" s="48">
        <v>2007</v>
      </c>
      <c r="B623" s="13">
        <v>6.5049999999999999</v>
      </c>
      <c r="C623" s="13">
        <v>6.57</v>
      </c>
      <c r="D623" s="13">
        <v>6.37</v>
      </c>
      <c r="E623" s="13">
        <v>5.9749999999999996</v>
      </c>
      <c r="F623" s="13">
        <v>6.7</v>
      </c>
      <c r="G623" s="13">
        <v>7.1574999999999998</v>
      </c>
      <c r="H623" s="13">
        <v>7.1150000000000002</v>
      </c>
      <c r="I623" s="13">
        <v>7.49</v>
      </c>
      <c r="J623" s="13">
        <v>8.0775000000000006</v>
      </c>
      <c r="K623" s="13">
        <v>7.89</v>
      </c>
      <c r="L623" s="13">
        <v>7.87</v>
      </c>
      <c r="M623" s="13">
        <v>7.6224999999999996</v>
      </c>
      <c r="O623" s="13">
        <f t="shared" si="33"/>
        <v>0.28749999999999964</v>
      </c>
      <c r="P623" s="13">
        <f t="shared" si="34"/>
        <v>0.51112499999999983</v>
      </c>
    </row>
    <row r="624" spans="1:16" x14ac:dyDescent="0.2">
      <c r="A624" s="48">
        <v>2008</v>
      </c>
      <c r="B624" s="13">
        <v>9.14</v>
      </c>
      <c r="C624" s="13">
        <v>9.7249999999999996</v>
      </c>
      <c r="D624" s="13">
        <v>9.2650000000000006</v>
      </c>
      <c r="E624" s="13">
        <v>10.387499999999999</v>
      </c>
      <c r="F624" s="13">
        <v>10.515000000000001</v>
      </c>
      <c r="G624" s="13">
        <v>11.35</v>
      </c>
      <c r="H624" s="13">
        <v>12.645</v>
      </c>
      <c r="I624" s="13">
        <v>13.605</v>
      </c>
      <c r="J624" s="13">
        <v>15.3925</v>
      </c>
      <c r="K624" s="13">
        <v>15.865</v>
      </c>
      <c r="L624" s="13">
        <v>13.98</v>
      </c>
      <c r="M624" s="13">
        <v>13.815</v>
      </c>
      <c r="O624" s="13">
        <f t="shared" si="33"/>
        <v>2.2687500000000007</v>
      </c>
      <c r="P624" s="13">
        <f t="shared" si="34"/>
        <v>0.84056819000000083</v>
      </c>
    </row>
    <row r="625" spans="1:16" x14ac:dyDescent="0.2">
      <c r="A625" s="48">
        <v>2009</v>
      </c>
      <c r="B625" s="13">
        <v>15.89</v>
      </c>
      <c r="C625" s="13">
        <v>16.445</v>
      </c>
      <c r="D625" s="13">
        <v>14.5</v>
      </c>
      <c r="E625" s="13">
        <v>13.46</v>
      </c>
      <c r="F625" s="13">
        <v>11.092499999999999</v>
      </c>
      <c r="G625" s="13">
        <v>10.050000000000001</v>
      </c>
      <c r="H625" s="13">
        <v>9.9450000000000003</v>
      </c>
      <c r="I625" s="13">
        <v>10.69</v>
      </c>
      <c r="J625" s="13">
        <v>10.24</v>
      </c>
      <c r="K625" s="13">
        <v>9.8125</v>
      </c>
      <c r="L625" s="13">
        <v>10.73</v>
      </c>
      <c r="M625" s="13">
        <v>11.66</v>
      </c>
      <c r="O625" s="13">
        <f t="shared" si="33"/>
        <v>0.78068181999999986</v>
      </c>
      <c r="P625" s="13">
        <f t="shared" si="34"/>
        <v>0.53869047999999964</v>
      </c>
    </row>
    <row r="626" spans="1:16" x14ac:dyDescent="0.2">
      <c r="A626" s="48">
        <v>2010</v>
      </c>
      <c r="B626" s="13">
        <v>10.835000000000001</v>
      </c>
      <c r="C626" s="13">
        <v>10.045</v>
      </c>
      <c r="D626" s="13">
        <v>10.52</v>
      </c>
      <c r="E626" s="13">
        <v>9.8025000000000002</v>
      </c>
      <c r="F626" s="13">
        <v>10.19</v>
      </c>
      <c r="G626" s="13">
        <v>10.76</v>
      </c>
      <c r="H626" s="13">
        <v>10.875</v>
      </c>
      <c r="I626" s="13">
        <v>10.78</v>
      </c>
      <c r="J626" s="13">
        <v>9.85</v>
      </c>
      <c r="K626" s="13">
        <v>9.7750000000000004</v>
      </c>
      <c r="L626" s="13">
        <v>10.095000000000001</v>
      </c>
      <c r="M626" s="13">
        <v>9.92</v>
      </c>
      <c r="O626" s="13">
        <f t="shared" si="33"/>
        <v>0.24782609000000022</v>
      </c>
      <c r="P626" s="13">
        <f t="shared" si="34"/>
        <v>0.36166666999999997</v>
      </c>
    </row>
    <row r="627" spans="1:16" x14ac:dyDescent="0.2">
      <c r="A627" s="48">
        <v>2011</v>
      </c>
      <c r="B627" s="13">
        <v>9.59</v>
      </c>
      <c r="C627" s="13">
        <v>10.125</v>
      </c>
      <c r="D627" s="13">
        <v>10.535</v>
      </c>
      <c r="E627" s="13">
        <v>11.6175</v>
      </c>
      <c r="F627" s="13">
        <v>12.54</v>
      </c>
      <c r="G627" s="13">
        <v>13.56</v>
      </c>
      <c r="H627" s="13">
        <v>14.105</v>
      </c>
      <c r="I627" s="13">
        <v>14.42</v>
      </c>
      <c r="J627" s="13">
        <v>14.675000000000001</v>
      </c>
      <c r="K627" s="13">
        <v>14.32</v>
      </c>
      <c r="L627" s="13">
        <v>14.164999999999999</v>
      </c>
      <c r="M627" s="13">
        <v>14</v>
      </c>
      <c r="O627" s="13">
        <f t="shared" si="33"/>
        <v>0.71521740000000023</v>
      </c>
      <c r="P627" s="13">
        <f t="shared" si="34"/>
        <v>0.51724999999999888</v>
      </c>
    </row>
    <row r="628" spans="1:16" x14ac:dyDescent="0.2">
      <c r="A628" s="48">
        <v>2012</v>
      </c>
      <c r="B628" s="13">
        <v>14.02</v>
      </c>
      <c r="C628" s="13">
        <v>14.154999999999999</v>
      </c>
      <c r="D628" s="13">
        <v>14.685</v>
      </c>
      <c r="E628" s="13">
        <v>14.66</v>
      </c>
      <c r="F628" s="13">
        <v>12.92</v>
      </c>
      <c r="G628" s="13">
        <v>12.487500000000001</v>
      </c>
      <c r="H628" s="13">
        <v>12.2775</v>
      </c>
      <c r="I628" s="13">
        <v>12.5375</v>
      </c>
      <c r="J628" s="13">
        <v>13.2425</v>
      </c>
      <c r="K628" s="13">
        <v>14.16</v>
      </c>
      <c r="L628" s="13">
        <v>15.09</v>
      </c>
      <c r="M628" s="13">
        <v>15.0825</v>
      </c>
      <c r="O628" s="13">
        <f t="shared" si="33"/>
        <v>0.63625000000000043</v>
      </c>
      <c r="P628" s="13">
        <f t="shared" si="34"/>
        <v>0.68149999999999977</v>
      </c>
    </row>
    <row r="629" spans="1:16" x14ac:dyDescent="0.2">
      <c r="A629" s="48">
        <v>2013</v>
      </c>
      <c r="B629" s="13">
        <v>13.645</v>
      </c>
      <c r="C629" s="13">
        <v>14.965</v>
      </c>
      <c r="D629" s="13">
        <v>15.9</v>
      </c>
      <c r="E629" s="13">
        <v>16.395</v>
      </c>
      <c r="F629" s="13">
        <v>15.22</v>
      </c>
      <c r="G629" s="13">
        <v>14.9925</v>
      </c>
      <c r="H629" s="13">
        <v>14.81</v>
      </c>
      <c r="I629" s="13">
        <v>14.734999999999999</v>
      </c>
      <c r="J629" s="13">
        <v>14.97</v>
      </c>
      <c r="K629" s="13">
        <v>14.8475</v>
      </c>
      <c r="L629" s="13">
        <v>14.887499999999999</v>
      </c>
      <c r="M629" s="13">
        <v>15.45</v>
      </c>
      <c r="O629" s="13">
        <f t="shared" si="33"/>
        <v>0.3933750000000007</v>
      </c>
      <c r="P629" s="13">
        <f t="shared" si="34"/>
        <v>0.79556818999999912</v>
      </c>
    </row>
    <row r="630" spans="1:16" x14ac:dyDescent="0.2">
      <c r="A630" s="48">
        <v>2014</v>
      </c>
      <c r="B630" s="13">
        <v>13.3225</v>
      </c>
      <c r="C630" s="13">
        <v>12.922499999999999</v>
      </c>
      <c r="D630" s="13">
        <v>13.3575</v>
      </c>
      <c r="E630" s="13">
        <v>13.49</v>
      </c>
      <c r="F630" s="13">
        <v>12.737500000000001</v>
      </c>
      <c r="G630" s="13">
        <v>13.012499999999999</v>
      </c>
      <c r="H630" s="13">
        <v>13.2425</v>
      </c>
      <c r="I630" s="13">
        <v>13.095000000000001</v>
      </c>
      <c r="J630" s="13">
        <v>14.455</v>
      </c>
      <c r="K630" s="13">
        <v>14.664999999999999</v>
      </c>
      <c r="L630" s="13">
        <v>15.32</v>
      </c>
      <c r="M630" s="13">
        <v>15.297499999999999</v>
      </c>
      <c r="O630" s="13">
        <f t="shared" si="33"/>
        <v>0.4429761999999986</v>
      </c>
      <c r="P630" s="13">
        <f t="shared" si="34"/>
        <v>0.42797619999999981</v>
      </c>
    </row>
    <row r="631" spans="1:16" x14ac:dyDescent="0.2">
      <c r="A631" s="48">
        <v>2015</v>
      </c>
      <c r="B631" s="13">
        <v>12.5875</v>
      </c>
      <c r="C631" s="13">
        <v>11.765000000000001</v>
      </c>
      <c r="D631" s="13">
        <v>11.1175</v>
      </c>
      <c r="E631" s="13">
        <v>10.577500000000001</v>
      </c>
      <c r="F631" s="13">
        <v>10.725</v>
      </c>
      <c r="G631" s="13">
        <v>10.9275</v>
      </c>
      <c r="H631" s="13">
        <v>10.75</v>
      </c>
      <c r="I631" s="13">
        <v>10.67</v>
      </c>
      <c r="J631" s="13">
        <v>10.38</v>
      </c>
      <c r="K631" s="13">
        <v>10.39</v>
      </c>
      <c r="L631" s="13">
        <v>9.9725000000000001</v>
      </c>
      <c r="M631" s="13">
        <v>10.005000000000001</v>
      </c>
      <c r="O631" s="13">
        <f t="shared" si="33"/>
        <v>0.58250000000000135</v>
      </c>
      <c r="P631" s="13">
        <f t="shared" si="34"/>
        <v>0.25857142999999994</v>
      </c>
    </row>
    <row r="632" spans="1:16" x14ac:dyDescent="0.2">
      <c r="A632" s="48">
        <v>2016</v>
      </c>
      <c r="B632" s="13">
        <v>10.1875</v>
      </c>
      <c r="C632" s="13">
        <v>10.34</v>
      </c>
      <c r="D632" s="13">
        <v>9.8475000000000001</v>
      </c>
      <c r="E632" s="13">
        <v>9.1</v>
      </c>
      <c r="F632" s="13">
        <v>9.2925000000000004</v>
      </c>
      <c r="G632" s="13">
        <v>8.9849999999999994</v>
      </c>
      <c r="H632" s="13">
        <v>9.1750000000000007</v>
      </c>
      <c r="I632" s="13">
        <v>8.8699999999999992</v>
      </c>
      <c r="J632" s="13">
        <v>8.9049999999999994</v>
      </c>
      <c r="K632" s="13">
        <v>9.17</v>
      </c>
      <c r="L632" s="13">
        <v>10.3675</v>
      </c>
      <c r="M632" s="13">
        <v>10.8225</v>
      </c>
      <c r="O632" s="13">
        <f t="shared" si="33"/>
        <v>0.23863637000000004</v>
      </c>
      <c r="P632" s="13">
        <f t="shared" si="34"/>
        <v>0.73857143000000036</v>
      </c>
    </row>
    <row r="633" spans="1:16" x14ac:dyDescent="0.2">
      <c r="A633" s="48">
        <v>2017</v>
      </c>
      <c r="B633" s="13">
        <v>11.16</v>
      </c>
      <c r="C633" s="13">
        <v>10.9125</v>
      </c>
      <c r="D633" s="13">
        <v>10.11</v>
      </c>
      <c r="E633" s="13">
        <v>10.06</v>
      </c>
      <c r="F633" s="13">
        <v>10.425000000000001</v>
      </c>
      <c r="G633" s="13">
        <v>10.7925</v>
      </c>
      <c r="H633" s="13">
        <v>10.775</v>
      </c>
      <c r="I633" s="13">
        <v>10.8825</v>
      </c>
      <c r="J633" s="13">
        <v>10.744999999999999</v>
      </c>
      <c r="K633" s="13">
        <v>10.522500000000001</v>
      </c>
      <c r="L633" s="13">
        <v>9.6225000000000005</v>
      </c>
      <c r="M633" s="13">
        <v>9.9</v>
      </c>
      <c r="O633" s="13">
        <f t="shared" si="33"/>
        <v>0.51293479000000097</v>
      </c>
      <c r="P633" s="13">
        <f t="shared" si="34"/>
        <v>0.15526316000000051</v>
      </c>
    </row>
    <row r="634" spans="1:16" x14ac:dyDescent="0.2">
      <c r="A634" s="48">
        <v>2018</v>
      </c>
      <c r="B634" s="13">
        <v>9.7575000000000003</v>
      </c>
      <c r="C634" s="13">
        <v>10.53</v>
      </c>
      <c r="D634" s="13">
        <v>10.172499999999999</v>
      </c>
      <c r="E634" s="13">
        <v>10.137499999999999</v>
      </c>
      <c r="F634" s="13">
        <v>10.31</v>
      </c>
      <c r="G634" s="13">
        <v>10.275</v>
      </c>
      <c r="H634" s="13">
        <v>10.3725</v>
      </c>
      <c r="I634" s="13">
        <v>10.16</v>
      </c>
      <c r="J634" s="13">
        <v>10.595000000000001</v>
      </c>
      <c r="K634" s="13">
        <v>10.824999999999999</v>
      </c>
      <c r="L634" s="13">
        <v>10.672499999999999</v>
      </c>
      <c r="M634" s="13">
        <v>10.425000000000001</v>
      </c>
      <c r="O634" s="13">
        <f t="shared" si="33"/>
        <v>0.38773809523809533</v>
      </c>
      <c r="P634" s="13">
        <f t="shared" si="34"/>
        <v>0.29607142857142854</v>
      </c>
    </row>
    <row r="635" spans="1:16" x14ac:dyDescent="0.2">
      <c r="A635" s="48">
        <v>2019</v>
      </c>
      <c r="B635" s="13">
        <v>10.355</v>
      </c>
      <c r="C635" s="13">
        <v>9.5</v>
      </c>
      <c r="D635" s="13">
        <v>9.4499999999999993</v>
      </c>
      <c r="E635" s="13">
        <v>8.9924999999999997</v>
      </c>
      <c r="F635" s="13">
        <v>9.31</v>
      </c>
      <c r="G635" s="13">
        <v>9.2524999999999995</v>
      </c>
      <c r="H635" s="13">
        <v>9.5299999999999994</v>
      </c>
      <c r="I635" s="13">
        <v>9.4124999999999996</v>
      </c>
      <c r="J635" s="13">
        <v>9.4499999999999993</v>
      </c>
      <c r="K635" s="13">
        <v>9.2475000000000005</v>
      </c>
      <c r="L635" s="13">
        <v>9.0724999999999998</v>
      </c>
      <c r="M635" s="13">
        <v>9.4250000000000007</v>
      </c>
      <c r="O635" s="13">
        <f t="shared" si="33"/>
        <v>0.23047619047619072</v>
      </c>
      <c r="P635" s="13">
        <f t="shared" si="34"/>
        <v>0.24773809523809476</v>
      </c>
    </row>
    <row r="636" spans="1:16" x14ac:dyDescent="0.2">
      <c r="A636" s="48">
        <v>2020</v>
      </c>
      <c r="B636" s="13">
        <v>9.6575000000000006</v>
      </c>
      <c r="C636" s="13">
        <v>9.6274999999999995</v>
      </c>
      <c r="D636" s="13">
        <v>9.3324999999999996</v>
      </c>
      <c r="E636" s="13">
        <v>9.4</v>
      </c>
      <c r="F636" s="13">
        <v>9.7799999999999994</v>
      </c>
      <c r="G636" s="13">
        <v>9.6649999999999991</v>
      </c>
      <c r="H636" s="13">
        <v>9.69</v>
      </c>
      <c r="I636" s="13">
        <v>9.7349999999999994</v>
      </c>
      <c r="J636" s="13">
        <v>9.1024999999999991</v>
      </c>
      <c r="K636" s="13">
        <v>9.125</v>
      </c>
      <c r="L636" s="13">
        <v>8.8725000000000005</v>
      </c>
      <c r="M636" s="13">
        <v>8.5924999999999994</v>
      </c>
      <c r="O636" s="13">
        <f t="shared" si="33"/>
        <v>0.40352272727272798</v>
      </c>
      <c r="P636" s="13">
        <f t="shared" si="34"/>
        <v>0.43912500000000065</v>
      </c>
    </row>
    <row r="637" spans="1:16" x14ac:dyDescent="0.2">
      <c r="A637" s="48">
        <v>2021</v>
      </c>
      <c r="B637" s="13">
        <v>8.8825000000000003</v>
      </c>
      <c r="C637" s="13">
        <v>9.0824999999999996</v>
      </c>
      <c r="D637" s="13">
        <v>9.7174999999999994</v>
      </c>
      <c r="E637" s="13">
        <v>10.35</v>
      </c>
      <c r="F637" s="13">
        <v>10.6625</v>
      </c>
      <c r="G637" s="13">
        <v>11.984999999999999</v>
      </c>
      <c r="H637" s="13">
        <v>13.164999999999999</v>
      </c>
      <c r="I637" s="13">
        <v>14.33</v>
      </c>
      <c r="J637" s="13">
        <v>14.4575</v>
      </c>
      <c r="K637" s="13">
        <v>14.6</v>
      </c>
      <c r="L637" s="13">
        <v>16.087499999999999</v>
      </c>
      <c r="M637" s="13">
        <v>14.01</v>
      </c>
      <c r="O637" s="13">
        <f t="shared" si="33"/>
        <v>0.46271739130434675</v>
      </c>
      <c r="P637" s="13">
        <f t="shared" si="34"/>
        <v>1.4324999999999992</v>
      </c>
    </row>
    <row r="638" spans="1:16" x14ac:dyDescent="0.2">
      <c r="A638" s="48">
        <v>2022</v>
      </c>
      <c r="B638" s="13">
        <v>14.335000000000001</v>
      </c>
      <c r="C638" s="13">
        <v>13.9</v>
      </c>
      <c r="D638" s="13">
        <v>13.7225</v>
      </c>
      <c r="E638" s="13">
        <v>13.2475</v>
      </c>
      <c r="F638" s="13">
        <v>12.922499999999999</v>
      </c>
      <c r="G638" s="13">
        <v>13.085000000000001</v>
      </c>
      <c r="H638" s="13">
        <v>13.91</v>
      </c>
      <c r="I638" s="13">
        <v>15.015000000000001</v>
      </c>
      <c r="J638" s="13">
        <v>17.592500000000001</v>
      </c>
      <c r="K638" s="13">
        <v>17.364999999999998</v>
      </c>
      <c r="L638" s="13">
        <f>[3]Prices!$B$630</f>
        <v>16.823</v>
      </c>
      <c r="O638" s="13">
        <f t="shared" si="33"/>
        <v>0.63184782608695755</v>
      </c>
      <c r="P638" s="13">
        <f t="shared" si="34"/>
        <v>0</v>
      </c>
    </row>
    <row r="639" spans="1:16" x14ac:dyDescent="0.2">
      <c r="A639" s="48">
        <v>2023</v>
      </c>
      <c r="K639" s="35">
        <f t="shared" ref="K639:L642" si="35">(SUM(K634:K638)-SUM(K576:K580))/5+K581</f>
        <v>15.316303924336532</v>
      </c>
      <c r="L639" s="35">
        <f t="shared" si="35"/>
        <v>15.364402694235588</v>
      </c>
    </row>
    <row r="640" spans="1:16" x14ac:dyDescent="0.2">
      <c r="A640" s="48">
        <v>2024</v>
      </c>
      <c r="K640" s="35">
        <f t="shared" si="35"/>
        <v>12.223239916243179</v>
      </c>
      <c r="L640" s="35">
        <f t="shared" si="35"/>
        <v>12.166626363636361</v>
      </c>
    </row>
    <row r="641" spans="1:16" x14ac:dyDescent="0.2">
      <c r="A641" s="48">
        <v>2025</v>
      </c>
      <c r="K641" s="35">
        <f t="shared" si="35"/>
        <v>10.420342661396573</v>
      </c>
      <c r="L641" s="35">
        <f t="shared" si="35"/>
        <v>10.475040380952384</v>
      </c>
    </row>
    <row r="642" spans="1:16" x14ac:dyDescent="0.2">
      <c r="K642" s="35">
        <f t="shared" si="35"/>
        <v>12.683706648221344</v>
      </c>
      <c r="L642" s="35">
        <f t="shared" si="35"/>
        <v>12.852223457142856</v>
      </c>
    </row>
    <row r="643" spans="1:16" ht="15.75" x14ac:dyDescent="0.25">
      <c r="A643" s="51" t="s">
        <v>166</v>
      </c>
    </row>
    <row r="644" spans="1:16" ht="13.5" x14ac:dyDescent="0.25">
      <c r="A644" s="42" t="s">
        <v>155</v>
      </c>
      <c r="B644" t="s">
        <v>84</v>
      </c>
      <c r="C644" t="s">
        <v>85</v>
      </c>
      <c r="D644" t="s">
        <v>86</v>
      </c>
      <c r="E644" t="s">
        <v>87</v>
      </c>
      <c r="F644" t="s">
        <v>88</v>
      </c>
      <c r="G644" t="s">
        <v>89</v>
      </c>
      <c r="H644" t="s">
        <v>90</v>
      </c>
      <c r="I644" t="s">
        <v>91</v>
      </c>
      <c r="J644" t="s">
        <v>92</v>
      </c>
      <c r="K644" t="s">
        <v>93</v>
      </c>
      <c r="L644" t="s">
        <v>94</v>
      </c>
      <c r="M644" t="s">
        <v>83</v>
      </c>
      <c r="O644" t="str">
        <f>_xlfn.CONCAT(K644," ","Error")</f>
        <v>Mar Error</v>
      </c>
      <c r="P644" t="str">
        <f>_xlfn.CONCAT(L644," ","Error")</f>
        <v>Apr Error</v>
      </c>
    </row>
    <row r="645" spans="1:16" x14ac:dyDescent="0.2">
      <c r="A645" s="48">
        <v>1971</v>
      </c>
      <c r="B645" s="13">
        <v>2.6924999999999999</v>
      </c>
      <c r="C645" s="13">
        <v>2.9550000000000001</v>
      </c>
      <c r="D645" s="13">
        <v>2.8975</v>
      </c>
      <c r="E645" s="13">
        <v>2.8849999999999998</v>
      </c>
      <c r="F645" s="13">
        <v>2.9849999999999999</v>
      </c>
      <c r="G645" s="13">
        <v>3.0449999999999999</v>
      </c>
      <c r="H645" s="13">
        <v>2.9824999999999999</v>
      </c>
      <c r="I645" s="13">
        <v>3.0150000000000001</v>
      </c>
      <c r="J645" s="13">
        <v>3.06</v>
      </c>
      <c r="K645" s="13">
        <v>2.9775</v>
      </c>
      <c r="L645" s="13">
        <v>2.8650000000000002</v>
      </c>
      <c r="M645" s="13">
        <v>2.9049999999999998</v>
      </c>
      <c r="O645" s="13">
        <f t="shared" ref="O645:O676" si="36">K529-K645</f>
        <v>7.4456520000000026E-2</v>
      </c>
      <c r="P645" s="13">
        <f t="shared" ref="P645:P676" si="37">L529-L645</f>
        <v>5.4642849999999576E-2</v>
      </c>
    </row>
    <row r="646" spans="1:16" x14ac:dyDescent="0.2">
      <c r="A646" s="48">
        <v>1972</v>
      </c>
      <c r="B646" s="13">
        <v>3.0950000000000002</v>
      </c>
      <c r="C646" s="13">
        <v>3.2875000000000001</v>
      </c>
      <c r="D646" s="13">
        <v>3.22</v>
      </c>
      <c r="E646" s="13">
        <v>3.15</v>
      </c>
      <c r="F646" s="13">
        <v>3.1724999999999999</v>
      </c>
      <c r="G646" s="13">
        <v>3.1225000000000001</v>
      </c>
      <c r="H646" s="13">
        <v>3.1875</v>
      </c>
      <c r="I646" s="13">
        <v>3.1</v>
      </c>
      <c r="J646" s="13">
        <v>3.1675</v>
      </c>
      <c r="K646" s="13">
        <v>3.33</v>
      </c>
      <c r="L646" s="13">
        <v>3.4175</v>
      </c>
      <c r="M646" s="13">
        <v>3.43</v>
      </c>
      <c r="O646" s="13">
        <f t="shared" si="36"/>
        <v>8.8522719999999833E-2</v>
      </c>
      <c r="P646" s="13">
        <f t="shared" si="37"/>
        <v>0.1041249999999998</v>
      </c>
    </row>
    <row r="647" spans="1:16" x14ac:dyDescent="0.2">
      <c r="A647" s="48">
        <v>1973</v>
      </c>
      <c r="B647" s="13">
        <v>3.2850000000000001</v>
      </c>
      <c r="C647" s="13">
        <v>3.28</v>
      </c>
      <c r="D647" s="13">
        <v>3.29</v>
      </c>
      <c r="E647" s="13">
        <v>3.4449999999999998</v>
      </c>
      <c r="F647" s="13">
        <v>3.43</v>
      </c>
      <c r="G647" s="13">
        <v>3.5575000000000001</v>
      </c>
      <c r="H647" s="13">
        <v>3.8774999999999999</v>
      </c>
      <c r="I647" s="13">
        <v>4.1375000000000002</v>
      </c>
      <c r="J647" s="13">
        <v>4.5999999999999996</v>
      </c>
      <c r="K647" s="13">
        <v>5.3</v>
      </c>
      <c r="L647" s="13">
        <v>5.43</v>
      </c>
      <c r="M647" s="13">
        <v>7.48</v>
      </c>
      <c r="O647" s="13">
        <f t="shared" si="36"/>
        <v>0.72465909000000028</v>
      </c>
      <c r="P647" s="13">
        <f t="shared" si="37"/>
        <v>0.90850000000000009</v>
      </c>
    </row>
    <row r="648" spans="1:16" x14ac:dyDescent="0.2">
      <c r="A648" s="48">
        <v>1974</v>
      </c>
      <c r="B648" s="13">
        <v>5.46</v>
      </c>
      <c r="C648" s="13">
        <v>5.45</v>
      </c>
      <c r="D648" s="13">
        <v>6.7</v>
      </c>
      <c r="E648" s="13">
        <v>6.1</v>
      </c>
      <c r="F648" s="13">
        <v>5.27</v>
      </c>
      <c r="G648" s="13">
        <v>5.21</v>
      </c>
      <c r="H648" s="13">
        <v>5.87</v>
      </c>
      <c r="I648" s="13">
        <v>5.84</v>
      </c>
      <c r="J648" s="13">
        <v>6.23</v>
      </c>
      <c r="K648" s="13">
        <v>5.9550000000000001</v>
      </c>
      <c r="L648" s="13">
        <v>5.3</v>
      </c>
      <c r="M648" s="13">
        <v>5.21</v>
      </c>
      <c r="O648" s="13">
        <f t="shared" si="36"/>
        <v>0.36273808999999968</v>
      </c>
      <c r="P648" s="13">
        <f t="shared" si="37"/>
        <v>0.29750000000000032</v>
      </c>
    </row>
    <row r="649" spans="1:16" x14ac:dyDescent="0.2">
      <c r="A649" s="48">
        <v>1975</v>
      </c>
      <c r="B649" s="13">
        <v>5.31</v>
      </c>
      <c r="C649" s="13">
        <v>5.94</v>
      </c>
      <c r="D649" s="13">
        <v>7.26</v>
      </c>
      <c r="E649" s="13">
        <v>7.1150000000000002</v>
      </c>
      <c r="F649" s="13">
        <v>7.98</v>
      </c>
      <c r="G649" s="13">
        <v>7.46</v>
      </c>
      <c r="H649" s="13">
        <v>7.0750000000000002</v>
      </c>
      <c r="I649" s="13">
        <v>5.75</v>
      </c>
      <c r="J649" s="13">
        <v>5.05</v>
      </c>
      <c r="K649" s="13">
        <v>4.8724999999999996</v>
      </c>
      <c r="L649" s="13">
        <v>5.3550000000000004</v>
      </c>
      <c r="M649" s="13">
        <v>5.03</v>
      </c>
      <c r="O649" s="13">
        <f t="shared" si="36"/>
        <v>0.72625000000000028</v>
      </c>
      <c r="P649" s="13">
        <f t="shared" si="37"/>
        <v>0.37170453999999964</v>
      </c>
    </row>
    <row r="650" spans="1:16" x14ac:dyDescent="0.2">
      <c r="A650" s="48">
        <v>1976</v>
      </c>
      <c r="B650" s="13">
        <v>4.9800000000000004</v>
      </c>
      <c r="C650" s="13">
        <v>5.12</v>
      </c>
      <c r="D650" s="13">
        <v>5.9249999999999998</v>
      </c>
      <c r="E650" s="13">
        <v>5.71</v>
      </c>
      <c r="F650" s="13">
        <v>5.0750000000000002</v>
      </c>
      <c r="G650" s="13">
        <v>4.7350000000000003</v>
      </c>
      <c r="H650" s="13">
        <v>4.5750000000000002</v>
      </c>
      <c r="I650" s="13">
        <v>4.6100000000000003</v>
      </c>
      <c r="J650" s="13">
        <v>4.7699999999999996</v>
      </c>
      <c r="K650" s="13">
        <v>4.6675000000000004</v>
      </c>
      <c r="L650" s="13">
        <v>4.665</v>
      </c>
      <c r="M650" s="13">
        <v>4.78</v>
      </c>
      <c r="O650" s="13">
        <f t="shared" si="36"/>
        <v>0.13630433999999969</v>
      </c>
      <c r="P650" s="13">
        <f t="shared" si="37"/>
        <v>0.13809523000000024</v>
      </c>
    </row>
    <row r="651" spans="1:16" x14ac:dyDescent="0.2">
      <c r="A651" s="48">
        <v>1977</v>
      </c>
      <c r="B651" s="13">
        <v>6.01</v>
      </c>
      <c r="C651" s="13">
        <v>6.38</v>
      </c>
      <c r="D651" s="13">
        <v>6.1</v>
      </c>
      <c r="E651" s="13">
        <v>6.32</v>
      </c>
      <c r="F651" s="13">
        <v>6.19</v>
      </c>
      <c r="G651" s="13">
        <v>6.24</v>
      </c>
      <c r="H651" s="13">
        <v>6.73</v>
      </c>
      <c r="I651" s="13">
        <v>6.9450000000000003</v>
      </c>
      <c r="J651" s="13">
        <v>7.1849999999999996</v>
      </c>
      <c r="K651" s="13">
        <v>7.76</v>
      </c>
      <c r="L651" s="13">
        <v>9.08</v>
      </c>
      <c r="M651" s="13">
        <v>9.1349999999999998</v>
      </c>
      <c r="O651" s="13">
        <f t="shared" si="36"/>
        <v>0.69902173000000012</v>
      </c>
      <c r="P651" s="13">
        <f t="shared" si="37"/>
        <v>0.80850000000000044</v>
      </c>
    </row>
    <row r="652" spans="1:16" x14ac:dyDescent="0.2">
      <c r="A652" s="48">
        <v>1978</v>
      </c>
      <c r="B652" s="13">
        <v>6.7</v>
      </c>
      <c r="C652" s="13">
        <v>5.8</v>
      </c>
      <c r="D652" s="13">
        <v>5.2</v>
      </c>
      <c r="E652" s="13">
        <v>5.2249999999999996</v>
      </c>
      <c r="F652" s="13">
        <v>5.3250000000000002</v>
      </c>
      <c r="G652" s="13">
        <v>5.73</v>
      </c>
      <c r="H652" s="13">
        <v>5.915</v>
      </c>
      <c r="I652" s="13">
        <v>5.65</v>
      </c>
      <c r="J652" s="13">
        <v>5.66</v>
      </c>
      <c r="K652" s="13">
        <v>5.93</v>
      </c>
      <c r="L652" s="13">
        <v>6.4749999999999996</v>
      </c>
      <c r="M652" s="13">
        <v>6.93</v>
      </c>
      <c r="O652" s="13">
        <f t="shared" si="36"/>
        <v>0.83920453999999989</v>
      </c>
      <c r="P652" s="13">
        <f t="shared" si="37"/>
        <v>0.56325000000000003</v>
      </c>
    </row>
    <row r="653" spans="1:16" x14ac:dyDescent="0.2">
      <c r="A653" s="48">
        <v>1979</v>
      </c>
      <c r="B653" s="13">
        <v>6.2024999999999997</v>
      </c>
      <c r="C653" s="13">
        <v>6.06</v>
      </c>
      <c r="D653" s="13">
        <v>6.06</v>
      </c>
      <c r="E653" s="13">
        <v>6.4649999999999999</v>
      </c>
      <c r="F653" s="13">
        <v>6.74</v>
      </c>
      <c r="G653" s="13">
        <v>6.69</v>
      </c>
      <c r="H653" s="13">
        <v>6.81</v>
      </c>
      <c r="I653" s="13">
        <v>6.85</v>
      </c>
      <c r="J653" s="13">
        <v>7.14</v>
      </c>
      <c r="K653" s="13">
        <v>7.38</v>
      </c>
      <c r="L653" s="13">
        <v>7.14</v>
      </c>
      <c r="M653" s="13">
        <v>7.0525000000000002</v>
      </c>
      <c r="O653" s="13">
        <f t="shared" si="36"/>
        <v>0.27113635999999985</v>
      </c>
      <c r="P653" s="13">
        <f t="shared" si="37"/>
        <v>0.26437500000000025</v>
      </c>
    </row>
    <row r="654" spans="1:16" x14ac:dyDescent="0.2">
      <c r="A654" s="48">
        <v>1980</v>
      </c>
      <c r="B654" s="13">
        <v>7.49</v>
      </c>
      <c r="C654" s="13">
        <v>7.3049999999999997</v>
      </c>
      <c r="D654" s="13">
        <v>7.2</v>
      </c>
      <c r="E654" s="13">
        <v>7.2949999999999999</v>
      </c>
      <c r="F654" s="13">
        <v>6.95</v>
      </c>
      <c r="G654" s="13">
        <v>7.02</v>
      </c>
      <c r="H654" s="13">
        <v>6.8650000000000002</v>
      </c>
      <c r="I654" s="13">
        <v>6.53</v>
      </c>
      <c r="J654" s="13">
        <v>6.5650000000000004</v>
      </c>
      <c r="K654" s="13">
        <v>5.8250000000000002</v>
      </c>
      <c r="L654" s="13">
        <v>5.6950000000000003</v>
      </c>
      <c r="M654" s="13">
        <v>5.8949999999999996</v>
      </c>
      <c r="O654" s="13">
        <f t="shared" si="36"/>
        <v>0.49154760999999958</v>
      </c>
      <c r="P654" s="13">
        <f t="shared" si="37"/>
        <v>0.24285713999999992</v>
      </c>
    </row>
    <row r="655" spans="1:16" x14ac:dyDescent="0.2">
      <c r="A655" s="48">
        <v>1981</v>
      </c>
      <c r="B655" s="13">
        <v>6.8</v>
      </c>
      <c r="C655" s="13">
        <v>7.44</v>
      </c>
      <c r="D655" s="13">
        <v>7.83</v>
      </c>
      <c r="E655" s="13">
        <v>8.42</v>
      </c>
      <c r="F655" s="13">
        <v>8.4749999999999996</v>
      </c>
      <c r="G655" s="13">
        <v>9.3699999999999992</v>
      </c>
      <c r="H655" s="13">
        <v>7.6550000000000002</v>
      </c>
      <c r="I655" s="13">
        <v>7.35</v>
      </c>
      <c r="J655" s="13">
        <v>7.5449999999999999</v>
      </c>
      <c r="K655" s="13">
        <v>7.1950000000000003</v>
      </c>
      <c r="L655" s="13">
        <v>7.5750000000000002</v>
      </c>
      <c r="M655" s="13">
        <v>7.33</v>
      </c>
      <c r="O655" s="13">
        <f t="shared" si="36"/>
        <v>0.3604545400000001</v>
      </c>
      <c r="P655" s="13">
        <f t="shared" si="37"/>
        <v>0.26964284999999943</v>
      </c>
    </row>
    <row r="656" spans="1:16" x14ac:dyDescent="0.2">
      <c r="A656" s="48">
        <v>1982</v>
      </c>
      <c r="B656" s="13">
        <v>7.72</v>
      </c>
      <c r="C656" s="13">
        <v>7.87</v>
      </c>
      <c r="D656" s="13">
        <v>7.22</v>
      </c>
      <c r="E656" s="13">
        <v>7.0350000000000001</v>
      </c>
      <c r="F656" s="13">
        <v>7.05</v>
      </c>
      <c r="G656" s="13">
        <v>6.7</v>
      </c>
      <c r="H656" s="13">
        <v>6.19</v>
      </c>
      <c r="I656" s="13">
        <v>6.37</v>
      </c>
      <c r="J656" s="13">
        <v>6.1749999999999998</v>
      </c>
      <c r="K656" s="13">
        <v>6.0549999999999997</v>
      </c>
      <c r="L656" s="13">
        <v>6.3949999999999996</v>
      </c>
      <c r="M656" s="13">
        <v>6.47</v>
      </c>
      <c r="O656" s="13">
        <f t="shared" si="36"/>
        <v>0.21760869000000049</v>
      </c>
      <c r="P656" s="13">
        <f t="shared" si="37"/>
        <v>0.13821428000000058</v>
      </c>
    </row>
    <row r="657" spans="1:16" x14ac:dyDescent="0.2">
      <c r="A657" s="48">
        <v>1983</v>
      </c>
      <c r="B657" s="13">
        <v>6.7</v>
      </c>
      <c r="C657" s="13">
        <v>6.51</v>
      </c>
      <c r="D657" s="13">
        <v>5.9349999999999996</v>
      </c>
      <c r="E657" s="13">
        <v>5.7249999999999996</v>
      </c>
      <c r="F657" s="13">
        <v>5.585</v>
      </c>
      <c r="G657" s="13">
        <v>5.7050000000000001</v>
      </c>
      <c r="H657" s="13">
        <v>5.7625000000000002</v>
      </c>
      <c r="I657" s="13">
        <v>5.77</v>
      </c>
      <c r="J657" s="13">
        <v>5.7249999999999996</v>
      </c>
      <c r="K657" s="13">
        <v>5.7750000000000004</v>
      </c>
      <c r="L657" s="13">
        <v>6.2024999999999997</v>
      </c>
      <c r="M657" s="13">
        <v>6.1025</v>
      </c>
      <c r="O657" s="13">
        <f t="shared" si="36"/>
        <v>0.27836955999999979</v>
      </c>
      <c r="P657" s="13">
        <f t="shared" si="37"/>
        <v>0.15962500000000013</v>
      </c>
    </row>
    <row r="658" spans="1:16" x14ac:dyDescent="0.2">
      <c r="A658" s="48">
        <v>1984</v>
      </c>
      <c r="B658" s="13">
        <v>6.3</v>
      </c>
      <c r="C658" s="13">
        <v>6.5750000000000002</v>
      </c>
      <c r="D658" s="13">
        <v>7.6</v>
      </c>
      <c r="E658" s="13">
        <v>8.5950000000000006</v>
      </c>
      <c r="F658" s="13">
        <v>8.31</v>
      </c>
      <c r="G658" s="13">
        <v>7.91</v>
      </c>
      <c r="H658" s="13">
        <v>7.7549999999999999</v>
      </c>
      <c r="I658" s="13">
        <v>7.38</v>
      </c>
      <c r="J658" s="13">
        <v>7.06</v>
      </c>
      <c r="K658" s="13">
        <v>7.62</v>
      </c>
      <c r="L658" s="13">
        <v>7.65</v>
      </c>
      <c r="M658" s="13">
        <v>7.6849999999999996</v>
      </c>
      <c r="O658" s="13">
        <f t="shared" si="36"/>
        <v>0.27068181000000013</v>
      </c>
      <c r="P658" s="13">
        <f t="shared" si="37"/>
        <v>0.22374999999999989</v>
      </c>
    </row>
    <row r="659" spans="1:16" x14ac:dyDescent="0.2">
      <c r="A659" s="48">
        <v>1985</v>
      </c>
      <c r="B659" s="13">
        <v>7.36</v>
      </c>
      <c r="C659" s="13">
        <v>6.4</v>
      </c>
      <c r="D659" s="13">
        <v>6.4349999999999996</v>
      </c>
      <c r="E659" s="13">
        <v>6.01</v>
      </c>
      <c r="F659" s="13">
        <v>6.23</v>
      </c>
      <c r="G659" s="13">
        <v>6.23</v>
      </c>
      <c r="H659" s="13">
        <v>5.9725000000000001</v>
      </c>
      <c r="I659" s="13">
        <v>5.8174999999999999</v>
      </c>
      <c r="J659" s="13">
        <v>5.72</v>
      </c>
      <c r="K659" s="13">
        <v>5.7074999999999996</v>
      </c>
      <c r="L659" s="13">
        <v>5.85</v>
      </c>
      <c r="M659" s="13">
        <v>5.68</v>
      </c>
      <c r="O659" s="13">
        <f t="shared" si="36"/>
        <v>0.23226190000000013</v>
      </c>
      <c r="P659" s="13">
        <f t="shared" si="37"/>
        <v>0.13500000000000068</v>
      </c>
    </row>
    <row r="660" spans="1:16" x14ac:dyDescent="0.2">
      <c r="A660" s="48">
        <v>1986</v>
      </c>
      <c r="B660" s="13">
        <v>5.77</v>
      </c>
      <c r="C660" s="13">
        <v>5.47</v>
      </c>
      <c r="D660" s="13">
        <v>5.3125</v>
      </c>
      <c r="E660" s="13">
        <v>5.32</v>
      </c>
      <c r="F660" s="13">
        <v>5.3425000000000002</v>
      </c>
      <c r="G660" s="13">
        <v>4.8899999999999997</v>
      </c>
      <c r="H660" s="13">
        <v>5.04</v>
      </c>
      <c r="I660" s="13">
        <v>5.37</v>
      </c>
      <c r="J660" s="13">
        <v>5.2324999999999999</v>
      </c>
      <c r="K660" s="13">
        <v>5.2725</v>
      </c>
      <c r="L660" s="13">
        <v>5.1950000000000003</v>
      </c>
      <c r="M660" s="13">
        <v>5.27</v>
      </c>
      <c r="O660" s="13">
        <f t="shared" si="36"/>
        <v>8.5499999999999687E-2</v>
      </c>
      <c r="P660" s="13">
        <f t="shared" si="37"/>
        <v>8.6363630000000136E-2</v>
      </c>
    </row>
    <row r="661" spans="1:16" x14ac:dyDescent="0.2">
      <c r="A661" s="48">
        <v>1987</v>
      </c>
      <c r="B661" s="13">
        <v>5.0949999999999998</v>
      </c>
      <c r="C661" s="13">
        <v>5.0449999999999999</v>
      </c>
      <c r="D661" s="13">
        <v>4.92</v>
      </c>
      <c r="E661" s="13">
        <v>4.9175000000000004</v>
      </c>
      <c r="F661" s="13">
        <v>4.9325000000000001</v>
      </c>
      <c r="G661" s="13">
        <v>5.01</v>
      </c>
      <c r="H661" s="13">
        <v>4.8899999999999997</v>
      </c>
      <c r="I661" s="13">
        <v>4.8899999999999997</v>
      </c>
      <c r="J661" s="13">
        <v>4.7850000000000001</v>
      </c>
      <c r="K661" s="13">
        <v>4.8250000000000002</v>
      </c>
      <c r="L661" s="13">
        <v>4.9649999999999999</v>
      </c>
      <c r="M661" s="13">
        <v>5.3125</v>
      </c>
      <c r="O661" s="13">
        <f t="shared" si="36"/>
        <v>8.2499999999999574E-2</v>
      </c>
      <c r="P661" s="13">
        <f t="shared" si="37"/>
        <v>0.16654761000000029</v>
      </c>
    </row>
    <row r="662" spans="1:16" x14ac:dyDescent="0.2">
      <c r="A662" s="48">
        <v>1988</v>
      </c>
      <c r="B662" s="13">
        <v>5.66</v>
      </c>
      <c r="C662" s="13">
        <v>5.32</v>
      </c>
      <c r="D662" s="13">
        <v>5.09</v>
      </c>
      <c r="E662" s="13">
        <v>5.2050000000000001</v>
      </c>
      <c r="F662" s="13">
        <v>5.4050000000000002</v>
      </c>
      <c r="G662" s="13">
        <v>5.3849999999999998</v>
      </c>
      <c r="H662" s="13">
        <v>5.9225000000000003</v>
      </c>
      <c r="I662" s="13">
        <v>6.1</v>
      </c>
      <c r="J662" s="13">
        <v>6.0350000000000001</v>
      </c>
      <c r="K662" s="13">
        <v>6.08</v>
      </c>
      <c r="L662" s="13">
        <v>6.56</v>
      </c>
      <c r="M662" s="13">
        <v>6.82</v>
      </c>
      <c r="O662" s="13">
        <f t="shared" si="36"/>
        <v>0.25217390999999978</v>
      </c>
      <c r="P662" s="13">
        <f t="shared" si="37"/>
        <v>0.15987500000000043</v>
      </c>
    </row>
    <row r="663" spans="1:16" x14ac:dyDescent="0.2">
      <c r="A663" s="48">
        <v>1989</v>
      </c>
      <c r="B663" s="13">
        <v>8.14</v>
      </c>
      <c r="C663" s="13">
        <v>7.47</v>
      </c>
      <c r="D663" s="13">
        <v>8.06</v>
      </c>
      <c r="E663" s="13">
        <v>8.1649999999999991</v>
      </c>
      <c r="F663" s="13">
        <v>7.82</v>
      </c>
      <c r="G663" s="13">
        <v>7.48</v>
      </c>
      <c r="H663" s="13">
        <v>7.6749999999999998</v>
      </c>
      <c r="I663" s="13">
        <v>7.52</v>
      </c>
      <c r="J663" s="13">
        <v>7.3250000000000002</v>
      </c>
      <c r="K663" s="13">
        <v>7.33</v>
      </c>
      <c r="L663" s="13">
        <v>7.0449999999999999</v>
      </c>
      <c r="M663" s="13">
        <v>7.2350000000000003</v>
      </c>
      <c r="O663" s="13">
        <f t="shared" si="36"/>
        <v>0.40579545000000028</v>
      </c>
      <c r="P663" s="13">
        <f t="shared" si="37"/>
        <v>0.26012500000000038</v>
      </c>
    </row>
    <row r="664" spans="1:16" x14ac:dyDescent="0.2">
      <c r="A664" s="48">
        <v>1990</v>
      </c>
      <c r="B664" s="13">
        <v>6.41</v>
      </c>
      <c r="C664" s="13">
        <v>6.0149999999999997</v>
      </c>
      <c r="D664" s="13">
        <v>5.89</v>
      </c>
      <c r="E664" s="13">
        <v>5.97</v>
      </c>
      <c r="F664" s="13">
        <v>5.7350000000000003</v>
      </c>
      <c r="G664" s="13">
        <v>5.9325000000000001</v>
      </c>
      <c r="H664" s="13">
        <v>5.9249999999999998</v>
      </c>
      <c r="I664" s="13">
        <v>5.6624999999999996</v>
      </c>
      <c r="J664" s="13">
        <v>5.7024999999999997</v>
      </c>
      <c r="K664" s="13">
        <v>5.7750000000000004</v>
      </c>
      <c r="L664" s="13">
        <v>5.8150000000000004</v>
      </c>
      <c r="M664" s="13">
        <v>6.02</v>
      </c>
      <c r="O664" s="13">
        <f t="shared" si="36"/>
        <v>0.16500000000000004</v>
      </c>
      <c r="P664" s="13">
        <f t="shared" si="37"/>
        <v>0.19024999999999981</v>
      </c>
    </row>
    <row r="665" spans="1:16" x14ac:dyDescent="0.2">
      <c r="A665" s="48">
        <v>1991</v>
      </c>
      <c r="B665" s="13">
        <v>6.335</v>
      </c>
      <c r="C665" s="13">
        <v>6.22</v>
      </c>
      <c r="D665" s="13">
        <v>6.1749999999999998</v>
      </c>
      <c r="E665" s="13">
        <v>6.4349999999999996</v>
      </c>
      <c r="F665" s="13">
        <v>6.34</v>
      </c>
      <c r="G665" s="13">
        <v>5.92</v>
      </c>
      <c r="H665" s="13">
        <v>5.85</v>
      </c>
      <c r="I665" s="13">
        <v>5.61</v>
      </c>
      <c r="J665" s="13">
        <v>5.7649999999999997</v>
      </c>
      <c r="K665" s="13">
        <v>5.665</v>
      </c>
      <c r="L665" s="13">
        <v>5.7549999999999999</v>
      </c>
      <c r="M665" s="13">
        <v>5.59</v>
      </c>
      <c r="O665" s="13">
        <f t="shared" si="36"/>
        <v>0.19862499999999983</v>
      </c>
      <c r="P665" s="13">
        <f t="shared" si="37"/>
        <v>0.12000000000000011</v>
      </c>
    </row>
    <row r="666" spans="1:16" x14ac:dyDescent="0.2">
      <c r="A666" s="48">
        <v>1992</v>
      </c>
      <c r="B666" s="13">
        <v>5.61</v>
      </c>
      <c r="C666" s="13">
        <v>5.47</v>
      </c>
      <c r="D666" s="13">
        <v>5.5949999999999998</v>
      </c>
      <c r="E666" s="13">
        <v>6.07</v>
      </c>
      <c r="F666" s="13">
        <v>5.7050000000000001</v>
      </c>
      <c r="G666" s="13">
        <v>5.6150000000000002</v>
      </c>
      <c r="H666" s="13">
        <v>5.58</v>
      </c>
      <c r="I666" s="13">
        <v>5.5449999999999999</v>
      </c>
      <c r="J666" s="13">
        <v>5.71</v>
      </c>
      <c r="K666" s="13">
        <v>5.82</v>
      </c>
      <c r="L666" s="13">
        <v>5.66</v>
      </c>
      <c r="M666" s="13">
        <v>5.73</v>
      </c>
      <c r="O666" s="13">
        <f t="shared" si="36"/>
        <v>0.10613635999999982</v>
      </c>
      <c r="P666" s="13">
        <f t="shared" si="37"/>
        <v>9.0263150000000181E-2</v>
      </c>
    </row>
    <row r="667" spans="1:16" x14ac:dyDescent="0.2">
      <c r="A667" s="48">
        <v>1993</v>
      </c>
      <c r="B667" s="13">
        <v>6.27</v>
      </c>
      <c r="C667" s="13">
        <v>5.7149999999999999</v>
      </c>
      <c r="D667" s="13">
        <v>5.46</v>
      </c>
      <c r="E667" s="13">
        <v>5.5750000000000002</v>
      </c>
      <c r="F667" s="13">
        <v>5.4649999999999999</v>
      </c>
      <c r="G667" s="13">
        <v>5.56</v>
      </c>
      <c r="H667" s="13">
        <v>5.67</v>
      </c>
      <c r="I667" s="13">
        <v>5.7350000000000003</v>
      </c>
      <c r="J667" s="13">
        <v>5.65</v>
      </c>
      <c r="K667" s="13">
        <v>5.7549999999999999</v>
      </c>
      <c r="L667" s="13">
        <v>5.86</v>
      </c>
      <c r="M667" s="13">
        <v>5.8674999999999997</v>
      </c>
      <c r="O667" s="13">
        <f t="shared" si="36"/>
        <v>8.782608000000014E-2</v>
      </c>
      <c r="P667" s="13">
        <f t="shared" si="37"/>
        <v>6.4047609999999366E-2</v>
      </c>
    </row>
    <row r="668" spans="1:16" x14ac:dyDescent="0.2">
      <c r="A668" s="48">
        <v>1994</v>
      </c>
      <c r="B668" s="13">
        <v>5.9249999999999998</v>
      </c>
      <c r="C668" s="13">
        <v>6.57</v>
      </c>
      <c r="D668" s="13">
        <v>6.58</v>
      </c>
      <c r="E668" s="13">
        <v>6.3049999999999997</v>
      </c>
      <c r="F668" s="13">
        <v>6.24</v>
      </c>
      <c r="G668" s="13">
        <v>6.335</v>
      </c>
      <c r="H668" s="13">
        <v>6.7350000000000003</v>
      </c>
      <c r="I668" s="13">
        <v>6.85</v>
      </c>
      <c r="J668" s="13">
        <v>6.75</v>
      </c>
      <c r="K668" s="13">
        <v>6.66</v>
      </c>
      <c r="L668" s="13">
        <v>6.48</v>
      </c>
      <c r="M668" s="13">
        <v>6.5625</v>
      </c>
      <c r="O668" s="13">
        <f t="shared" si="36"/>
        <v>0.17858694999999969</v>
      </c>
      <c r="P668" s="13">
        <f t="shared" si="37"/>
        <v>0.12578946999999996</v>
      </c>
    </row>
    <row r="669" spans="1:16" x14ac:dyDescent="0.2">
      <c r="A669" s="48">
        <v>1995</v>
      </c>
      <c r="B669" s="13">
        <v>6.415</v>
      </c>
      <c r="C669" s="13">
        <v>5.7549999999999999</v>
      </c>
      <c r="D669" s="13">
        <v>5.77</v>
      </c>
      <c r="E669" s="13">
        <v>5.64</v>
      </c>
      <c r="F669" s="13">
        <v>5.56</v>
      </c>
      <c r="G669" s="13">
        <v>5.7074999999999996</v>
      </c>
      <c r="H669" s="13">
        <v>5.7024999999999997</v>
      </c>
      <c r="I669" s="13">
        <v>5.56</v>
      </c>
      <c r="J669" s="13">
        <v>5.5324999999999998</v>
      </c>
      <c r="K669" s="13">
        <v>5.6150000000000002</v>
      </c>
      <c r="L669" s="13">
        <v>5.62</v>
      </c>
      <c r="M669" s="13">
        <v>5.5650000000000004</v>
      </c>
      <c r="O669" s="13">
        <f t="shared" si="36"/>
        <v>0.15043477999999944</v>
      </c>
      <c r="P669" s="13">
        <f t="shared" si="37"/>
        <v>0.12934209999999968</v>
      </c>
    </row>
    <row r="670" spans="1:16" x14ac:dyDescent="0.2">
      <c r="A670" s="48">
        <v>1996</v>
      </c>
      <c r="B670" s="13">
        <v>6.12</v>
      </c>
      <c r="C670" s="13">
        <v>6.21</v>
      </c>
      <c r="D670" s="13">
        <v>6.13</v>
      </c>
      <c r="E670" s="13">
        <v>6.45</v>
      </c>
      <c r="F670" s="13">
        <v>6.58</v>
      </c>
      <c r="G670" s="13">
        <v>6.8375000000000004</v>
      </c>
      <c r="H670" s="13">
        <v>7</v>
      </c>
      <c r="I670" s="13">
        <v>7.2750000000000004</v>
      </c>
      <c r="J670" s="13">
        <v>7.25</v>
      </c>
      <c r="K670" s="13">
        <v>7.1349999999999998</v>
      </c>
      <c r="L670" s="13">
        <v>7.49</v>
      </c>
      <c r="M670" s="13">
        <v>7.9249999999999998</v>
      </c>
      <c r="O670" s="13">
        <f t="shared" si="36"/>
        <v>0.16214285000000039</v>
      </c>
      <c r="P670" s="13">
        <f t="shared" si="37"/>
        <v>0.41285713999999984</v>
      </c>
    </row>
    <row r="671" spans="1:16" x14ac:dyDescent="0.2">
      <c r="A671" s="48">
        <v>1997</v>
      </c>
      <c r="B671" s="13">
        <v>7.3849999999999998</v>
      </c>
      <c r="C671" s="13">
        <v>7.41</v>
      </c>
      <c r="D671" s="13">
        <v>7.4</v>
      </c>
      <c r="E671" s="13">
        <v>7.72</v>
      </c>
      <c r="F671" s="13">
        <v>6.77</v>
      </c>
      <c r="G671" s="13">
        <v>6.65</v>
      </c>
      <c r="H671" s="13">
        <v>6.76</v>
      </c>
      <c r="I671" s="13">
        <v>6.86</v>
      </c>
      <c r="J671" s="13">
        <v>7.2750000000000004</v>
      </c>
      <c r="K671" s="13">
        <v>7.9625000000000004</v>
      </c>
      <c r="L671" s="13">
        <v>8.18</v>
      </c>
      <c r="M671" s="13">
        <v>8.5549999999999997</v>
      </c>
      <c r="O671" s="13">
        <f t="shared" si="36"/>
        <v>0.39337499999999892</v>
      </c>
      <c r="P671" s="13">
        <f t="shared" si="37"/>
        <v>0.34727271999999942</v>
      </c>
    </row>
    <row r="672" spans="1:16" x14ac:dyDescent="0.2">
      <c r="A672" s="48">
        <v>1998</v>
      </c>
      <c r="B672" s="13">
        <v>6.31</v>
      </c>
      <c r="C672" s="13">
        <v>6.01</v>
      </c>
      <c r="D672" s="13">
        <v>6.24</v>
      </c>
      <c r="E672" s="13">
        <v>6.41</v>
      </c>
      <c r="F672" s="13">
        <v>6.37</v>
      </c>
      <c r="G672" s="13">
        <v>7.1150000000000002</v>
      </c>
      <c r="H672" s="13">
        <v>6.8150000000000004</v>
      </c>
      <c r="I672" s="13">
        <v>6.625</v>
      </c>
      <c r="J672" s="13">
        <v>6.5149999999999997</v>
      </c>
      <c r="K672" s="13">
        <v>6.41</v>
      </c>
      <c r="L672" s="13">
        <v>6.2675000000000001</v>
      </c>
      <c r="M672" s="13">
        <v>6.4050000000000002</v>
      </c>
      <c r="O672" s="13">
        <f t="shared" si="36"/>
        <v>0.14727272000000013</v>
      </c>
      <c r="P672" s="13">
        <f t="shared" si="37"/>
        <v>0.1297619000000001</v>
      </c>
    </row>
    <row r="673" spans="1:16" x14ac:dyDescent="0.2">
      <c r="A673" s="48">
        <v>1999</v>
      </c>
      <c r="B673" s="13">
        <v>5.9050000000000002</v>
      </c>
      <c r="C673" s="13">
        <v>5.87</v>
      </c>
      <c r="D673" s="13">
        <v>5.41</v>
      </c>
      <c r="E673" s="13">
        <v>5.3949999999999996</v>
      </c>
      <c r="F673" s="13">
        <v>5.46</v>
      </c>
      <c r="G673" s="13">
        <v>5.7549999999999999</v>
      </c>
      <c r="H673" s="13">
        <v>5.47</v>
      </c>
      <c r="I673" s="13">
        <v>5.1150000000000002</v>
      </c>
      <c r="J673" s="13">
        <v>4.57</v>
      </c>
      <c r="K673" s="13">
        <v>4.5750000000000002</v>
      </c>
      <c r="L673" s="13">
        <v>4.7050000000000001</v>
      </c>
      <c r="M673" s="13">
        <v>4.58</v>
      </c>
      <c r="O673" s="13">
        <f t="shared" si="36"/>
        <v>0.23847825999999994</v>
      </c>
      <c r="P673" s="13">
        <f t="shared" si="37"/>
        <v>0.12607141999999971</v>
      </c>
    </row>
    <row r="674" spans="1:16" x14ac:dyDescent="0.2">
      <c r="A674" s="48">
        <v>2000</v>
      </c>
      <c r="B674" s="13">
        <v>4.8150000000000004</v>
      </c>
      <c r="C674" s="13">
        <v>4.32</v>
      </c>
      <c r="D674" s="13">
        <v>4.6749999999999998</v>
      </c>
      <c r="E674" s="13">
        <v>4.99</v>
      </c>
      <c r="F674" s="13">
        <v>4.91</v>
      </c>
      <c r="G674" s="13">
        <v>4.7149999999999999</v>
      </c>
      <c r="H674" s="13">
        <v>4.5999999999999996</v>
      </c>
      <c r="I674" s="13">
        <v>4.71</v>
      </c>
      <c r="J674" s="13">
        <v>5.0049999999999999</v>
      </c>
      <c r="K674" s="13">
        <v>5.0149999999999997</v>
      </c>
      <c r="L674" s="13">
        <v>5.2249999999999996</v>
      </c>
      <c r="M674" s="13">
        <v>5.33</v>
      </c>
      <c r="O674" s="13">
        <f t="shared" si="36"/>
        <v>0.22304347000000035</v>
      </c>
      <c r="P674" s="13">
        <f t="shared" si="37"/>
        <v>0.13894736000000041</v>
      </c>
    </row>
    <row r="675" spans="1:16" x14ac:dyDescent="0.2">
      <c r="A675" s="48">
        <v>2001</v>
      </c>
      <c r="B675" s="13">
        <v>5.0049999999999999</v>
      </c>
      <c r="C675" s="13">
        <v>4.7450000000000001</v>
      </c>
      <c r="D675" s="13">
        <v>4.76</v>
      </c>
      <c r="E675" s="13">
        <v>5.0999999999999996</v>
      </c>
      <c r="F675" s="13">
        <v>4.8224999999999998</v>
      </c>
      <c r="G675" s="13">
        <v>4.87</v>
      </c>
      <c r="H675" s="13">
        <v>5.1174999999999997</v>
      </c>
      <c r="I675" s="13">
        <v>4.6349999999999998</v>
      </c>
      <c r="J675" s="13">
        <v>4.4474999999999998</v>
      </c>
      <c r="K675" s="13">
        <v>4.28</v>
      </c>
      <c r="L675" s="13">
        <v>4.2149999999999999</v>
      </c>
      <c r="M675" s="13">
        <v>4.3174999999999999</v>
      </c>
      <c r="O675" s="13">
        <f t="shared" si="36"/>
        <v>0.21068180999999964</v>
      </c>
      <c r="P675" s="13">
        <f t="shared" si="37"/>
        <v>0.10099999999999998</v>
      </c>
    </row>
    <row r="676" spans="1:16" x14ac:dyDescent="0.2">
      <c r="A676" s="48">
        <v>2002</v>
      </c>
      <c r="B676" s="13">
        <v>4.4850000000000003</v>
      </c>
      <c r="C676" s="13">
        <v>4.7874999999999996</v>
      </c>
      <c r="D676" s="13">
        <v>4.8499999999999996</v>
      </c>
      <c r="E676" s="13">
        <v>4.7149999999999999</v>
      </c>
      <c r="F676" s="13">
        <v>4.37</v>
      </c>
      <c r="G676" s="13">
        <v>4.3849999999999998</v>
      </c>
      <c r="H676" s="13">
        <v>4.2424999999999997</v>
      </c>
      <c r="I676" s="13">
        <v>4.1974999999999998</v>
      </c>
      <c r="J676" s="13">
        <v>4.2949999999999999</v>
      </c>
      <c r="K676" s="13">
        <v>4.3949999999999996</v>
      </c>
      <c r="L676" s="13">
        <v>4.53</v>
      </c>
      <c r="M676" s="13">
        <v>4.5350000000000001</v>
      </c>
      <c r="O676" s="13">
        <f t="shared" si="36"/>
        <v>0.23312500000000025</v>
      </c>
      <c r="P676" s="13">
        <f t="shared" si="37"/>
        <v>0.13306817999999954</v>
      </c>
    </row>
    <row r="677" spans="1:16" x14ac:dyDescent="0.2">
      <c r="A677" s="48">
        <v>2003</v>
      </c>
      <c r="B677" s="13">
        <v>4.7300000000000004</v>
      </c>
      <c r="C677" s="13">
        <v>5.0049999999999999</v>
      </c>
      <c r="D677" s="13">
        <v>5.19</v>
      </c>
      <c r="E677" s="13">
        <v>5.46</v>
      </c>
      <c r="F677" s="13">
        <v>5.32</v>
      </c>
      <c r="G677" s="13">
        <v>5.42</v>
      </c>
      <c r="H677" s="13">
        <v>5.4349999999999996</v>
      </c>
      <c r="I677" s="13">
        <v>5.3849999999999998</v>
      </c>
      <c r="J677" s="13">
        <v>5.5250000000000004</v>
      </c>
      <c r="K677" s="13">
        <v>5.58</v>
      </c>
      <c r="L677" s="13">
        <v>5.73</v>
      </c>
      <c r="M677" s="13">
        <v>6.1349999999999998</v>
      </c>
      <c r="O677" s="13">
        <f t="shared" ref="O677:O696" si="38">K561-K677</f>
        <v>0.13630952000000018</v>
      </c>
      <c r="P677" s="13">
        <f t="shared" ref="P677:P696" si="39">L561-L677</f>
        <v>0.30392856999999918</v>
      </c>
    </row>
    <row r="678" spans="1:16" x14ac:dyDescent="0.2">
      <c r="A678" s="48">
        <v>2004</v>
      </c>
      <c r="B678" s="13">
        <v>5.53</v>
      </c>
      <c r="C678" s="13">
        <v>5.1550000000000002</v>
      </c>
      <c r="D678" s="13">
        <v>5.2024999999999997</v>
      </c>
      <c r="E678" s="13">
        <v>5.6349999999999998</v>
      </c>
      <c r="F678" s="13">
        <v>6.4649999999999999</v>
      </c>
      <c r="G678" s="13">
        <v>7.1</v>
      </c>
      <c r="H678" s="13">
        <v>7.27</v>
      </c>
      <c r="I678" s="13">
        <v>7.79</v>
      </c>
      <c r="J678" s="13">
        <v>7.93</v>
      </c>
      <c r="K678" s="13">
        <v>9.08</v>
      </c>
      <c r="L678" s="13">
        <v>9.26</v>
      </c>
      <c r="M678" s="13">
        <v>9.6</v>
      </c>
      <c r="O678" s="13">
        <f t="shared" si="38"/>
        <v>0.74206520999999981</v>
      </c>
      <c r="P678" s="13">
        <f t="shared" si="39"/>
        <v>0.63297619000000083</v>
      </c>
    </row>
    <row r="679" spans="1:16" x14ac:dyDescent="0.2">
      <c r="A679" s="48">
        <v>2005</v>
      </c>
      <c r="B679" s="13">
        <v>6.47</v>
      </c>
      <c r="C679" s="13">
        <v>5.9</v>
      </c>
      <c r="D679" s="13">
        <v>5.72</v>
      </c>
      <c r="E679" s="13">
        <v>5.46</v>
      </c>
      <c r="F679" s="13">
        <v>5.2750000000000004</v>
      </c>
      <c r="G679" s="13">
        <v>5.15</v>
      </c>
      <c r="H679" s="13">
        <v>5.25</v>
      </c>
      <c r="I679" s="13">
        <v>5.08</v>
      </c>
      <c r="J679" s="13">
        <v>5.01</v>
      </c>
      <c r="K679" s="13">
        <v>6.09</v>
      </c>
      <c r="L679" s="13">
        <v>6.02</v>
      </c>
      <c r="M679" s="13">
        <v>6.02</v>
      </c>
      <c r="O679" s="13">
        <f t="shared" si="38"/>
        <v>0.28511363000000056</v>
      </c>
      <c r="P679" s="13">
        <f t="shared" si="39"/>
        <v>0.20595238000000027</v>
      </c>
    </row>
    <row r="680" spans="1:16" x14ac:dyDescent="0.2">
      <c r="A680" s="48">
        <v>2006</v>
      </c>
      <c r="B680" s="13">
        <v>6.47</v>
      </c>
      <c r="C680" s="13">
        <v>6.4275000000000002</v>
      </c>
      <c r="D680" s="13">
        <v>6.1050000000000004</v>
      </c>
      <c r="E680" s="13">
        <v>5.7949999999999999</v>
      </c>
      <c r="F680" s="13">
        <v>5.8</v>
      </c>
      <c r="G680" s="13">
        <v>5.5650000000000004</v>
      </c>
      <c r="H680" s="13">
        <v>5.6624999999999996</v>
      </c>
      <c r="I680" s="13">
        <v>5.7249999999999996</v>
      </c>
      <c r="J680" s="13">
        <v>5.81</v>
      </c>
      <c r="K680" s="13">
        <v>5.7074999999999996</v>
      </c>
      <c r="L680" s="13">
        <v>5.5324999999999998</v>
      </c>
      <c r="M680" s="13">
        <v>5.8449999999999998</v>
      </c>
      <c r="O680" s="13">
        <f t="shared" si="38"/>
        <v>0.13500000000000068</v>
      </c>
      <c r="P680" s="13">
        <f t="shared" si="39"/>
        <v>0.15289472999999987</v>
      </c>
    </row>
    <row r="681" spans="1:16" x14ac:dyDescent="0.2">
      <c r="A681" s="48">
        <v>2007</v>
      </c>
      <c r="B681" s="13">
        <v>6.17</v>
      </c>
      <c r="C681" s="13">
        <v>6.23</v>
      </c>
      <c r="D681" s="13">
        <v>5.84</v>
      </c>
      <c r="E681" s="13">
        <v>5.7249999999999996</v>
      </c>
      <c r="F681" s="13">
        <v>5.76</v>
      </c>
      <c r="G681" s="13">
        <v>6.58</v>
      </c>
      <c r="H681" s="13">
        <v>6.7024999999999997</v>
      </c>
      <c r="I681" s="13">
        <v>6.7149999999999999</v>
      </c>
      <c r="J681" s="13">
        <v>7.33</v>
      </c>
      <c r="K681" s="13">
        <v>7.3949999999999996</v>
      </c>
      <c r="L681" s="13">
        <v>7.085</v>
      </c>
      <c r="M681" s="13">
        <v>7.22</v>
      </c>
      <c r="O681" s="13">
        <f t="shared" si="38"/>
        <v>0.20750000000000046</v>
      </c>
      <c r="P681" s="13">
        <f t="shared" si="39"/>
        <v>0.27387500000000031</v>
      </c>
    </row>
    <row r="682" spans="1:16" x14ac:dyDescent="0.2">
      <c r="A682" s="48">
        <v>2008</v>
      </c>
      <c r="B682" s="13">
        <v>8.4499999999999993</v>
      </c>
      <c r="C682" s="13">
        <v>8.7025000000000006</v>
      </c>
      <c r="D682" s="13">
        <v>8.3699999999999992</v>
      </c>
      <c r="E682" s="13">
        <v>9.18</v>
      </c>
      <c r="F682" s="13">
        <v>9.59</v>
      </c>
      <c r="G682" s="13">
        <v>10.01</v>
      </c>
      <c r="H682" s="13">
        <v>10.955</v>
      </c>
      <c r="I682" s="13">
        <v>12.07</v>
      </c>
      <c r="J682" s="13">
        <v>12.925000000000001</v>
      </c>
      <c r="K682" s="13">
        <v>11.9725</v>
      </c>
      <c r="L682" s="13">
        <v>11.065</v>
      </c>
      <c r="M682" s="13">
        <v>12.262499999999999</v>
      </c>
      <c r="O682" s="13">
        <f t="shared" si="38"/>
        <v>1.6237499999999994</v>
      </c>
      <c r="P682" s="13">
        <f t="shared" si="39"/>
        <v>2.0744318100000001</v>
      </c>
    </row>
    <row r="683" spans="1:16" x14ac:dyDescent="0.2">
      <c r="A683" s="48">
        <v>2009</v>
      </c>
      <c r="B683" s="13">
        <v>13.75</v>
      </c>
      <c r="C683" s="13">
        <v>13.9</v>
      </c>
      <c r="D683" s="13">
        <v>12.19</v>
      </c>
      <c r="E683" s="13">
        <v>10.85</v>
      </c>
      <c r="F683" s="13">
        <v>8.5950000000000006</v>
      </c>
      <c r="G683" s="13">
        <v>8.5449999999999999</v>
      </c>
      <c r="H683" s="13">
        <v>7.8650000000000002</v>
      </c>
      <c r="I683" s="13">
        <v>9.6624999999999996</v>
      </c>
      <c r="J683" s="13">
        <v>8.49</v>
      </c>
      <c r="K683" s="13">
        <v>8.3825000000000003</v>
      </c>
      <c r="L683" s="13">
        <v>9.43</v>
      </c>
      <c r="M683" s="13">
        <v>10.47</v>
      </c>
      <c r="O683" s="13">
        <f t="shared" si="38"/>
        <v>0.64931817999999986</v>
      </c>
      <c r="P683" s="13">
        <f t="shared" si="39"/>
        <v>0.76130952000000107</v>
      </c>
    </row>
    <row r="684" spans="1:16" x14ac:dyDescent="0.2">
      <c r="A684" s="48">
        <v>2010</v>
      </c>
      <c r="B684" s="13">
        <v>9.3149999999999995</v>
      </c>
      <c r="C684" s="13">
        <v>8.8249999999999993</v>
      </c>
      <c r="D684" s="13">
        <v>9.48</v>
      </c>
      <c r="E684" s="13">
        <v>9.07</v>
      </c>
      <c r="F684" s="13">
        <v>8.8774999999999995</v>
      </c>
      <c r="G684" s="13">
        <v>9.58</v>
      </c>
      <c r="H684" s="13">
        <v>9.9774999999999991</v>
      </c>
      <c r="I684" s="13">
        <v>9.2449999999999992</v>
      </c>
      <c r="J684" s="13">
        <v>9.11</v>
      </c>
      <c r="K684" s="13">
        <v>9.2174999999999994</v>
      </c>
      <c r="L684" s="13">
        <v>9.3249999999999993</v>
      </c>
      <c r="M684" s="13">
        <v>9.4</v>
      </c>
      <c r="O684" s="13">
        <f t="shared" si="38"/>
        <v>0.30967391000000077</v>
      </c>
      <c r="P684" s="13">
        <f t="shared" si="39"/>
        <v>0.40833333000000138</v>
      </c>
    </row>
    <row r="685" spans="1:16" x14ac:dyDescent="0.2">
      <c r="A685" s="48">
        <v>2011</v>
      </c>
      <c r="B685" s="13">
        <v>9.0924999999999994</v>
      </c>
      <c r="C685" s="13">
        <v>9.1300000000000008</v>
      </c>
      <c r="D685" s="13">
        <v>10.0525</v>
      </c>
      <c r="E685" s="13">
        <v>10.220000000000001</v>
      </c>
      <c r="F685" s="13">
        <v>10.6425</v>
      </c>
      <c r="G685" s="13">
        <v>11.83</v>
      </c>
      <c r="H685" s="13">
        <v>12.512499999999999</v>
      </c>
      <c r="I685" s="13">
        <v>13.645</v>
      </c>
      <c r="J685" s="13">
        <v>12.9625</v>
      </c>
      <c r="K685" s="13">
        <v>12.7</v>
      </c>
      <c r="L685" s="13">
        <v>13.164999999999999</v>
      </c>
      <c r="M685" s="13">
        <v>13.085000000000001</v>
      </c>
      <c r="O685" s="13">
        <f t="shared" si="38"/>
        <v>0.90478260000000077</v>
      </c>
      <c r="P685" s="13">
        <f t="shared" si="39"/>
        <v>0.48275000000000112</v>
      </c>
    </row>
    <row r="686" spans="1:16" x14ac:dyDescent="0.2">
      <c r="A686" s="48">
        <v>2012</v>
      </c>
      <c r="B686" s="13">
        <v>13.035</v>
      </c>
      <c r="C686" s="13">
        <v>13.12</v>
      </c>
      <c r="D686" s="13">
        <v>12.9925</v>
      </c>
      <c r="E686" s="13">
        <v>12.02</v>
      </c>
      <c r="F686" s="13">
        <v>11.815</v>
      </c>
      <c r="G686" s="13">
        <v>11.217499999999999</v>
      </c>
      <c r="H686" s="13">
        <v>11.154999999999999</v>
      </c>
      <c r="I686" s="13">
        <v>11.6</v>
      </c>
      <c r="J686" s="13">
        <v>12.112500000000001</v>
      </c>
      <c r="K686" s="13">
        <v>13.0625</v>
      </c>
      <c r="L686" s="13">
        <v>14.0375</v>
      </c>
      <c r="M686" s="13">
        <v>13.734999999999999</v>
      </c>
      <c r="O686" s="13">
        <f t="shared" si="38"/>
        <v>0.46124999999999972</v>
      </c>
      <c r="P686" s="13">
        <f t="shared" si="39"/>
        <v>0.37100000000000044</v>
      </c>
    </row>
    <row r="687" spans="1:16" x14ac:dyDescent="0.2">
      <c r="A687" s="48">
        <v>2013</v>
      </c>
      <c r="B687" s="13">
        <v>12.234999999999999</v>
      </c>
      <c r="C687" s="13">
        <v>13.45</v>
      </c>
      <c r="D687" s="13">
        <v>14.2</v>
      </c>
      <c r="E687" s="13">
        <v>14.645</v>
      </c>
      <c r="F687" s="13">
        <v>14.182499999999999</v>
      </c>
      <c r="G687" s="13">
        <v>13.3775</v>
      </c>
      <c r="H687" s="13">
        <v>13.8825</v>
      </c>
      <c r="I687" s="13">
        <v>13.44</v>
      </c>
      <c r="J687" s="13">
        <v>13.935</v>
      </c>
      <c r="K687" s="13">
        <v>13.97</v>
      </c>
      <c r="L687" s="13">
        <v>13.545</v>
      </c>
      <c r="M687" s="13">
        <v>14.2925</v>
      </c>
      <c r="O687" s="13">
        <f t="shared" si="38"/>
        <v>0.48412499999999881</v>
      </c>
      <c r="P687" s="13">
        <f t="shared" si="39"/>
        <v>0.54693181000000024</v>
      </c>
    </row>
    <row r="688" spans="1:16" x14ac:dyDescent="0.2">
      <c r="A688" s="48">
        <v>2014</v>
      </c>
      <c r="B688" s="13">
        <v>12.4725</v>
      </c>
      <c r="C688" s="13">
        <v>11.9975</v>
      </c>
      <c r="D688" s="13">
        <v>11.755000000000001</v>
      </c>
      <c r="E688" s="13">
        <v>12.4725</v>
      </c>
      <c r="F688" s="13">
        <v>12.2875</v>
      </c>
      <c r="G688" s="13">
        <v>12.24</v>
      </c>
      <c r="H688" s="13">
        <v>12.73</v>
      </c>
      <c r="I688" s="13">
        <v>12.475</v>
      </c>
      <c r="J688" s="13">
        <v>12.647500000000001</v>
      </c>
      <c r="K688" s="13">
        <v>13.654999999999999</v>
      </c>
      <c r="L688" s="13">
        <v>14.56</v>
      </c>
      <c r="M688" s="13">
        <v>14.4375</v>
      </c>
      <c r="O688" s="13">
        <f t="shared" si="38"/>
        <v>0.56702380000000119</v>
      </c>
      <c r="P688" s="13">
        <f t="shared" si="39"/>
        <v>0.33202379999999998</v>
      </c>
    </row>
    <row r="689" spans="1:16" x14ac:dyDescent="0.2">
      <c r="A689" s="48">
        <v>2015</v>
      </c>
      <c r="B689" s="13">
        <v>11.71</v>
      </c>
      <c r="C689" s="13">
        <v>10.8</v>
      </c>
      <c r="D689" s="13">
        <v>10.4</v>
      </c>
      <c r="E689" s="13">
        <v>9.3074999999999992</v>
      </c>
      <c r="F689" s="13">
        <v>9.2874999999999996</v>
      </c>
      <c r="G689" s="13">
        <v>10.06</v>
      </c>
      <c r="H689" s="13">
        <v>9.98</v>
      </c>
      <c r="I689" s="13">
        <v>9.6174999999999997</v>
      </c>
      <c r="J689" s="13">
        <v>9.6300000000000008</v>
      </c>
      <c r="K689" s="13">
        <v>9.5124999999999993</v>
      </c>
      <c r="L689" s="13">
        <v>9.4450000000000003</v>
      </c>
      <c r="M689" s="13">
        <v>9.6300000000000008</v>
      </c>
      <c r="O689" s="13">
        <f t="shared" si="38"/>
        <v>0.29499999999999993</v>
      </c>
      <c r="P689" s="13">
        <f t="shared" si="39"/>
        <v>0.26892856999999992</v>
      </c>
    </row>
    <row r="690" spans="1:16" x14ac:dyDescent="0.2">
      <c r="A690" s="48">
        <v>2016</v>
      </c>
      <c r="B690" s="13">
        <v>9.1024999999999991</v>
      </c>
      <c r="C690" s="13">
        <v>9.32</v>
      </c>
      <c r="D690" s="13">
        <v>8.61</v>
      </c>
      <c r="E690" s="13">
        <v>8.625</v>
      </c>
      <c r="F690" s="13">
        <v>8.8049999999999997</v>
      </c>
      <c r="G690" s="13">
        <v>8.5350000000000001</v>
      </c>
      <c r="H690" s="13">
        <v>8.5975000000000001</v>
      </c>
      <c r="I690" s="13">
        <v>8.56</v>
      </c>
      <c r="J690" s="13">
        <v>8.6</v>
      </c>
      <c r="K690" s="13">
        <v>8.56</v>
      </c>
      <c r="L690" s="13">
        <v>9.01</v>
      </c>
      <c r="M690" s="13">
        <v>10</v>
      </c>
      <c r="O690" s="13">
        <f t="shared" si="38"/>
        <v>0.37136362999999939</v>
      </c>
      <c r="P690" s="13">
        <f t="shared" si="39"/>
        <v>0.61892856999999957</v>
      </c>
    </row>
    <row r="691" spans="1:16" x14ac:dyDescent="0.2">
      <c r="A691" s="48">
        <v>2017</v>
      </c>
      <c r="B691" s="13">
        <v>10.18</v>
      </c>
      <c r="C691" s="13">
        <v>9.4774999999999991</v>
      </c>
      <c r="D691" s="13">
        <v>9.3725000000000005</v>
      </c>
      <c r="E691" s="13">
        <v>9.4600000000000009</v>
      </c>
      <c r="F691" s="13">
        <v>9.5924999999999994</v>
      </c>
      <c r="G691" s="13">
        <v>9.9149999999999991</v>
      </c>
      <c r="H691" s="13">
        <v>10.06</v>
      </c>
      <c r="I691" s="13">
        <v>10.012499999999999</v>
      </c>
      <c r="J691" s="13">
        <v>10.17</v>
      </c>
      <c r="K691" s="13">
        <v>9.4425000000000008</v>
      </c>
      <c r="L691" s="13">
        <v>9.2974999999999994</v>
      </c>
      <c r="M691" s="13">
        <v>9.3774999999999995</v>
      </c>
      <c r="O691" s="13">
        <f t="shared" si="38"/>
        <v>0.5670652099999991</v>
      </c>
      <c r="P691" s="13">
        <f t="shared" si="39"/>
        <v>0.16973684000000056</v>
      </c>
    </row>
    <row r="692" spans="1:16" x14ac:dyDescent="0.2">
      <c r="A692" s="48">
        <v>2018</v>
      </c>
      <c r="B692" s="13">
        <v>9.2874999999999996</v>
      </c>
      <c r="C692" s="13">
        <v>9.7624999999999993</v>
      </c>
      <c r="D692" s="13">
        <v>9.4525000000000006</v>
      </c>
      <c r="E692" s="13">
        <v>9.65</v>
      </c>
      <c r="F692" s="13">
        <v>9.8175000000000008</v>
      </c>
      <c r="G692" s="13">
        <v>9.8774999999999995</v>
      </c>
      <c r="H692" s="13">
        <v>9.66</v>
      </c>
      <c r="I692" s="13">
        <v>9.5574999999999992</v>
      </c>
      <c r="J692" s="13">
        <v>9.7925000000000004</v>
      </c>
      <c r="K692" s="13">
        <v>10.092499999999999</v>
      </c>
      <c r="L692" s="13">
        <v>9.8350000000000009</v>
      </c>
      <c r="M692" s="13">
        <v>9.9149999999999991</v>
      </c>
      <c r="O692" s="13">
        <f t="shared" si="38"/>
        <v>0.3447619047619046</v>
      </c>
      <c r="P692" s="13">
        <f t="shared" si="39"/>
        <v>0.54142857142857004</v>
      </c>
    </row>
    <row r="693" spans="1:16" x14ac:dyDescent="0.2">
      <c r="A693" s="48">
        <v>2019</v>
      </c>
      <c r="B693" s="13">
        <v>8.9</v>
      </c>
      <c r="C693" s="13">
        <v>8.5549999999999997</v>
      </c>
      <c r="D693" s="13">
        <v>8.6775000000000002</v>
      </c>
      <c r="E693" s="13">
        <v>8.5299999999999994</v>
      </c>
      <c r="F693" s="13">
        <v>8.7149999999999999</v>
      </c>
      <c r="G693" s="13">
        <v>8.73</v>
      </c>
      <c r="H693" s="13">
        <v>8.9350000000000005</v>
      </c>
      <c r="I693" s="13">
        <v>9.0474999999999994</v>
      </c>
      <c r="J693" s="13">
        <v>9.07</v>
      </c>
      <c r="K693" s="13">
        <v>8.83</v>
      </c>
      <c r="L693" s="13">
        <v>8.3849999999999998</v>
      </c>
      <c r="M693" s="13">
        <v>8.5399999999999991</v>
      </c>
      <c r="O693" s="13">
        <f t="shared" si="38"/>
        <v>0.1870238095238097</v>
      </c>
      <c r="P693" s="13">
        <f t="shared" si="39"/>
        <v>0.43976190476190524</v>
      </c>
    </row>
    <row r="694" spans="1:16" x14ac:dyDescent="0.2">
      <c r="A694" s="48">
        <v>2020</v>
      </c>
      <c r="B694" s="13">
        <v>9.08</v>
      </c>
      <c r="C694" s="13">
        <v>9.1925000000000008</v>
      </c>
      <c r="D694" s="13">
        <v>8.9075000000000006</v>
      </c>
      <c r="E694" s="13">
        <v>8.91</v>
      </c>
      <c r="F694" s="13">
        <v>9.3650000000000002</v>
      </c>
      <c r="G694" s="13">
        <v>9.0525000000000002</v>
      </c>
      <c r="H694" s="13">
        <v>8.98</v>
      </c>
      <c r="I694" s="13">
        <v>8.8650000000000002</v>
      </c>
      <c r="J694" s="13">
        <v>8.7825000000000006</v>
      </c>
      <c r="K694" s="13">
        <v>8.2100000000000009</v>
      </c>
      <c r="L694" s="13">
        <v>8.0824999999999996</v>
      </c>
      <c r="M694" s="13">
        <v>8.2575000000000003</v>
      </c>
      <c r="O694" s="13">
        <f t="shared" si="38"/>
        <v>0.51147727272727117</v>
      </c>
      <c r="P694" s="13">
        <f t="shared" si="39"/>
        <v>0.35087500000000027</v>
      </c>
    </row>
    <row r="695" spans="1:16" x14ac:dyDescent="0.2">
      <c r="A695" s="48">
        <v>2021</v>
      </c>
      <c r="B695" s="13">
        <v>8.4975000000000005</v>
      </c>
      <c r="C695" s="13">
        <v>8.7550000000000008</v>
      </c>
      <c r="D695" s="13">
        <v>8.7899999999999991</v>
      </c>
      <c r="E695" s="13">
        <v>9.52</v>
      </c>
      <c r="F695" s="13">
        <v>10.095000000000001</v>
      </c>
      <c r="G695" s="13">
        <v>10.36</v>
      </c>
      <c r="H695" s="13">
        <v>11.41</v>
      </c>
      <c r="I695" s="13">
        <v>12.97</v>
      </c>
      <c r="J695" s="13">
        <v>13.3675</v>
      </c>
      <c r="K695" s="13">
        <v>13.6425</v>
      </c>
      <c r="L695" s="13">
        <v>13.78</v>
      </c>
      <c r="M695" s="13">
        <v>13.032500000000001</v>
      </c>
      <c r="O695" s="13">
        <f t="shared" si="38"/>
        <v>0.49478260869565283</v>
      </c>
      <c r="P695" s="13">
        <f t="shared" si="39"/>
        <v>0.875</v>
      </c>
    </row>
    <row r="696" spans="1:16" x14ac:dyDescent="0.2">
      <c r="A696" s="48">
        <v>2022</v>
      </c>
      <c r="B696" s="13">
        <v>12.2875</v>
      </c>
      <c r="C696" s="13">
        <v>12.7675</v>
      </c>
      <c r="D696" s="13">
        <v>12.8675</v>
      </c>
      <c r="E696" s="13">
        <v>12.7325</v>
      </c>
      <c r="F696" s="13">
        <v>12.154999999999999</v>
      </c>
      <c r="G696" s="13">
        <v>12.045</v>
      </c>
      <c r="H696" s="13">
        <v>12.32</v>
      </c>
      <c r="I696" s="13">
        <v>13.5175</v>
      </c>
      <c r="J696" s="13">
        <v>14.9</v>
      </c>
      <c r="K696" s="13">
        <v>16.135000000000002</v>
      </c>
      <c r="L696" s="35">
        <f>(SUM(L691:L695)-SUM(L575:L579))/5+L580-0.35</f>
        <v>15.997639536761904</v>
      </c>
      <c r="O696" s="13">
        <f t="shared" si="38"/>
        <v>0.59815217391303932</v>
      </c>
      <c r="P696" s="13">
        <f t="shared" si="39"/>
        <v>0.82536046323809664</v>
      </c>
    </row>
    <row r="697" spans="1:16" x14ac:dyDescent="0.2">
      <c r="A697" s="48">
        <v>2023</v>
      </c>
      <c r="K697" s="35">
        <f t="shared" ref="K697:L700" si="40">(SUM(K692:K696)-SUM(K576:K580))/5+K581</f>
        <v>14.465803924336532</v>
      </c>
      <c r="L697" s="35">
        <f t="shared" si="40"/>
        <v>14.274830601587968</v>
      </c>
    </row>
    <row r="698" spans="1:16" x14ac:dyDescent="0.2">
      <c r="A698" s="48">
        <v>2024</v>
      </c>
      <c r="K698" s="35">
        <f t="shared" si="40"/>
        <v>11.349139916243175</v>
      </c>
      <c r="L698" s="35">
        <f t="shared" si="40"/>
        <v>11.026639852459219</v>
      </c>
    </row>
    <row r="699" spans="1:16" x14ac:dyDescent="0.2">
      <c r="A699" s="48">
        <v>2025</v>
      </c>
      <c r="K699" s="35">
        <f t="shared" si="40"/>
        <v>9.4549226613965711</v>
      </c>
      <c r="L699" s="35">
        <f t="shared" si="40"/>
        <v>9.2445565675398118</v>
      </c>
    </row>
    <row r="700" spans="1:16" x14ac:dyDescent="0.2">
      <c r="A700" s="48">
        <v>2026</v>
      </c>
      <c r="K700" s="35">
        <f t="shared" si="40"/>
        <v>11.708202648221347</v>
      </c>
      <c r="L700" s="35">
        <f t="shared" si="40"/>
        <v>11.533642881047772</v>
      </c>
    </row>
    <row r="701" spans="1:16" ht="15.75" x14ac:dyDescent="0.25">
      <c r="A701" s="51" t="s">
        <v>167</v>
      </c>
    </row>
    <row r="702" spans="1:16" ht="13.5" x14ac:dyDescent="0.25">
      <c r="A702" s="42" t="s">
        <v>155</v>
      </c>
      <c r="B702" t="s">
        <v>86</v>
      </c>
      <c r="C702" t="s">
        <v>87</v>
      </c>
      <c r="D702" t="s">
        <v>88</v>
      </c>
      <c r="E702" t="s">
        <v>89</v>
      </c>
      <c r="F702" t="s">
        <v>90</v>
      </c>
      <c r="G702" t="s">
        <v>91</v>
      </c>
      <c r="H702" t="s">
        <v>92</v>
      </c>
      <c r="I702" t="s">
        <v>93</v>
      </c>
      <c r="J702" t="s">
        <v>94</v>
      </c>
      <c r="K702" t="s">
        <v>83</v>
      </c>
      <c r="L702" t="s">
        <v>84</v>
      </c>
      <c r="M702" t="s">
        <v>85</v>
      </c>
    </row>
    <row r="703" spans="1:16" x14ac:dyDescent="0.2">
      <c r="A703" s="48">
        <v>1971</v>
      </c>
      <c r="B703" s="13">
        <v>2.9961904700000002</v>
      </c>
      <c r="C703" s="13">
        <v>2.9934523799999999</v>
      </c>
      <c r="D703" s="13">
        <v>3.09863636</v>
      </c>
      <c r="E703" s="13">
        <v>3.1401315699999999</v>
      </c>
      <c r="F703" s="13">
        <v>3.0703409000000002</v>
      </c>
      <c r="G703" s="13">
        <v>3.1321249999999998</v>
      </c>
      <c r="H703" s="13">
        <v>3.1192105200000002</v>
      </c>
      <c r="I703" s="13">
        <v>3.0826086899999998</v>
      </c>
      <c r="J703" s="13">
        <v>2.9541666599999998</v>
      </c>
      <c r="K703" s="13">
        <v>3.0218750000000001</v>
      </c>
      <c r="L703" s="13">
        <v>3.1957954499999999</v>
      </c>
      <c r="M703" s="13">
        <v>3.3687499999999999</v>
      </c>
    </row>
    <row r="704" spans="1:16" x14ac:dyDescent="0.2">
      <c r="A704" s="48">
        <v>1972</v>
      </c>
      <c r="B704" s="13">
        <v>3.3159090899999999</v>
      </c>
      <c r="C704" s="13">
        <v>3.26523809</v>
      </c>
      <c r="D704" s="13">
        <v>3.30166666</v>
      </c>
      <c r="E704" s="13">
        <v>3.2535714200000001</v>
      </c>
      <c r="F704" s="13">
        <v>3.2572619</v>
      </c>
      <c r="G704" s="13">
        <v>3.2121428500000002</v>
      </c>
      <c r="H704" s="13">
        <v>3.2777500000000002</v>
      </c>
      <c r="I704" s="13">
        <v>3.45670454</v>
      </c>
      <c r="J704" s="13">
        <v>3.569375</v>
      </c>
      <c r="K704" s="13">
        <v>3.5354545399999999</v>
      </c>
      <c r="L704" s="13">
        <v>3.47920454</v>
      </c>
      <c r="M704" s="13">
        <v>3.51903846</v>
      </c>
    </row>
    <row r="705" spans="1:13" x14ac:dyDescent="0.2">
      <c r="A705" s="48">
        <v>1973</v>
      </c>
      <c r="B705" s="13">
        <v>3.45363636</v>
      </c>
      <c r="C705" s="13">
        <v>3.5376249999999998</v>
      </c>
      <c r="D705" s="13">
        <v>3.5286363600000001</v>
      </c>
      <c r="E705" s="13">
        <v>3.7186249999999998</v>
      </c>
      <c r="F705" s="13">
        <v>4.0989473600000004</v>
      </c>
      <c r="G705" s="13">
        <v>4.2322619000000001</v>
      </c>
      <c r="H705" s="13">
        <v>5.2922368400000002</v>
      </c>
      <c r="I705" s="13">
        <v>5.6529545399999996</v>
      </c>
      <c r="J705" s="13">
        <v>6.008375</v>
      </c>
      <c r="K705" s="13">
        <v>8.3819318099999993</v>
      </c>
      <c r="L705" s="13">
        <v>10.98289473</v>
      </c>
      <c r="M705" s="13">
        <v>8.8964285699999994</v>
      </c>
    </row>
    <row r="706" spans="1:13" x14ac:dyDescent="0.2">
      <c r="A706" s="48">
        <v>1974</v>
      </c>
      <c r="B706" s="13">
        <v>7.6463043400000004</v>
      </c>
      <c r="C706" s="13">
        <v>6.5709210499999999</v>
      </c>
      <c r="D706" s="13">
        <v>5.9939772700000002</v>
      </c>
      <c r="E706" s="13">
        <v>5.72690476</v>
      </c>
      <c r="F706" s="13">
        <v>6.1380263099999999</v>
      </c>
      <c r="G706" s="13">
        <v>6.3568181800000003</v>
      </c>
      <c r="H706" s="13">
        <v>6.5577777700000004</v>
      </c>
      <c r="I706" s="13">
        <v>6.3548809500000001</v>
      </c>
      <c r="J706" s="13">
        <v>5.5682142800000003</v>
      </c>
      <c r="K706" s="13">
        <v>5.47272727</v>
      </c>
      <c r="L706" s="13">
        <v>5.5226249999999997</v>
      </c>
      <c r="M706" s="13">
        <v>6.5698333299999998</v>
      </c>
    </row>
    <row r="707" spans="1:13" x14ac:dyDescent="0.2">
      <c r="A707" s="48">
        <v>1975</v>
      </c>
      <c r="B707" s="13">
        <v>7.88</v>
      </c>
      <c r="C707" s="13">
        <v>7.9204999999999997</v>
      </c>
      <c r="D707" s="13">
        <v>8.9499999999999993</v>
      </c>
      <c r="E707" s="13">
        <v>8.2652631499999991</v>
      </c>
      <c r="F707" s="13">
        <v>7.72</v>
      </c>
      <c r="G707" s="13">
        <v>6.6765908999999999</v>
      </c>
      <c r="H707" s="13">
        <v>5.86776315</v>
      </c>
      <c r="I707" s="13">
        <v>5.6552499999999997</v>
      </c>
      <c r="J707" s="13">
        <v>5.6668181799999999</v>
      </c>
      <c r="K707" s="13">
        <v>5.1078571400000001</v>
      </c>
      <c r="L707" s="13">
        <v>5.0882142799999999</v>
      </c>
      <c r="M707" s="13">
        <v>5.4656666600000001</v>
      </c>
    </row>
    <row r="708" spans="1:13" x14ac:dyDescent="0.2">
      <c r="A708" s="48">
        <v>1976</v>
      </c>
      <c r="B708" s="13">
        <v>6.4052380900000001</v>
      </c>
      <c r="C708" s="13">
        <v>6.0338095200000001</v>
      </c>
      <c r="D708" s="13">
        <v>5.5778260800000004</v>
      </c>
      <c r="E708" s="13">
        <v>5.0864473600000002</v>
      </c>
      <c r="F708" s="13">
        <v>4.89809523</v>
      </c>
      <c r="G708" s="13">
        <v>4.9123809500000002</v>
      </c>
      <c r="H708" s="13">
        <v>4.9580263100000002</v>
      </c>
      <c r="I708" s="13">
        <v>4.8854347799999998</v>
      </c>
      <c r="J708" s="13">
        <v>4.88773809</v>
      </c>
      <c r="K708" s="13">
        <v>5.313625</v>
      </c>
      <c r="L708" s="13">
        <v>6.3502272700000004</v>
      </c>
      <c r="M708" s="13">
        <v>7.0707142799999998</v>
      </c>
    </row>
    <row r="709" spans="1:13" x14ac:dyDescent="0.2">
      <c r="A709" s="48">
        <v>1977</v>
      </c>
      <c r="B709" s="13">
        <v>6.6726136299999999</v>
      </c>
      <c r="C709" s="13">
        <v>6.9041666599999996</v>
      </c>
      <c r="D709" s="13">
        <v>6.5540476099999996</v>
      </c>
      <c r="E709" s="13">
        <v>6.5884999999999998</v>
      </c>
      <c r="F709" s="13">
        <v>6.8534523800000002</v>
      </c>
      <c r="G709" s="13">
        <v>7.2009523800000004</v>
      </c>
      <c r="H709" s="13">
        <v>7.4602631500000003</v>
      </c>
      <c r="I709" s="13">
        <v>8.4608695600000008</v>
      </c>
      <c r="J709" s="13">
        <v>9.8463750000000001</v>
      </c>
      <c r="K709" s="13">
        <v>9.5449999999999999</v>
      </c>
      <c r="L709" s="13">
        <v>8.2792045400000003</v>
      </c>
      <c r="M709" s="13">
        <v>6.4107692299999997</v>
      </c>
    </row>
    <row r="710" spans="1:13" x14ac:dyDescent="0.2">
      <c r="A710" s="48">
        <v>1978</v>
      </c>
      <c r="B710" s="13">
        <v>5.5580434700000003</v>
      </c>
      <c r="C710" s="13">
        <v>5.5330952299999998</v>
      </c>
      <c r="D710" s="13">
        <v>5.6054761900000001</v>
      </c>
      <c r="E710" s="13">
        <v>6.18273809</v>
      </c>
      <c r="F710" s="13">
        <v>6.1413095200000001</v>
      </c>
      <c r="G710" s="13">
        <v>5.9577380900000003</v>
      </c>
      <c r="H710" s="13">
        <v>5.85</v>
      </c>
      <c r="I710" s="13">
        <v>6.8204545400000001</v>
      </c>
      <c r="J710" s="13">
        <v>6.9429999999999996</v>
      </c>
      <c r="K710" s="13">
        <v>7.14</v>
      </c>
      <c r="L710" s="13">
        <v>6.86943181</v>
      </c>
      <c r="M710" s="13">
        <v>6.67865384</v>
      </c>
    </row>
    <row r="711" spans="1:13" x14ac:dyDescent="0.2">
      <c r="A711" s="48">
        <v>1979</v>
      </c>
      <c r="B711" s="13">
        <v>6.43521739</v>
      </c>
      <c r="C711" s="13">
        <v>6.6977500000000001</v>
      </c>
      <c r="D711" s="13">
        <v>7.0392045400000001</v>
      </c>
      <c r="E711" s="13">
        <v>7.0151250000000003</v>
      </c>
      <c r="F711" s="13">
        <v>7.0871250000000003</v>
      </c>
      <c r="G711" s="13">
        <v>7.1439772699999997</v>
      </c>
      <c r="H711" s="13">
        <v>7.6914473599999997</v>
      </c>
      <c r="I711" s="13">
        <v>7.7276136299999996</v>
      </c>
      <c r="J711" s="13">
        <v>7.5255000000000001</v>
      </c>
      <c r="K711" s="13">
        <v>7.37</v>
      </c>
      <c r="L711" s="13">
        <v>7.80714285</v>
      </c>
      <c r="M711" s="13">
        <v>7.7167857099999999</v>
      </c>
    </row>
    <row r="712" spans="1:13" x14ac:dyDescent="0.2">
      <c r="A712" s="48">
        <v>1980</v>
      </c>
      <c r="B712" s="13">
        <v>7.5523913</v>
      </c>
      <c r="C712" s="13">
        <v>7.65513157</v>
      </c>
      <c r="D712" s="13">
        <v>7.4555434700000003</v>
      </c>
      <c r="E712" s="13">
        <v>7.35190476</v>
      </c>
      <c r="F712" s="13">
        <v>7.2463157799999998</v>
      </c>
      <c r="G712" s="13">
        <v>7.039625</v>
      </c>
      <c r="H712" s="13">
        <v>7.0211249999999996</v>
      </c>
      <c r="I712" s="13">
        <v>6.5579761899999998</v>
      </c>
      <c r="J712" s="13">
        <v>6.1832142799999996</v>
      </c>
      <c r="K712" s="13">
        <v>6.2483333300000004</v>
      </c>
      <c r="L712" s="13">
        <v>6.3308333299999999</v>
      </c>
      <c r="M712" s="13">
        <v>7.4394999999999998</v>
      </c>
    </row>
    <row r="713" spans="1:13" x14ac:dyDescent="0.2">
      <c r="A713" s="48">
        <v>1981</v>
      </c>
      <c r="B713" s="13">
        <v>8.1053571400000006</v>
      </c>
      <c r="C713" s="13">
        <v>8.8561904699999996</v>
      </c>
      <c r="D713" s="13">
        <v>9.2934782600000005</v>
      </c>
      <c r="E713" s="13">
        <v>9.8922222200000007</v>
      </c>
      <c r="F713" s="13">
        <v>8.8061904700000007</v>
      </c>
      <c r="G713" s="13">
        <v>8.3307142800000005</v>
      </c>
      <c r="H713" s="13">
        <v>8.0064473599999992</v>
      </c>
      <c r="I713" s="13">
        <v>7.7877272700000004</v>
      </c>
      <c r="J713" s="13">
        <v>8.0921428500000001</v>
      </c>
      <c r="K713" s="13">
        <v>7.7051249999999998</v>
      </c>
      <c r="L713" s="13">
        <v>7.21079545</v>
      </c>
      <c r="M713" s="13">
        <v>7.2918333300000002</v>
      </c>
    </row>
    <row r="714" spans="1:13" x14ac:dyDescent="0.2">
      <c r="A714" s="48">
        <v>1982</v>
      </c>
      <c r="B714" s="13">
        <v>7.8152380900000002</v>
      </c>
      <c r="C714" s="13">
        <v>7.4664285699999997</v>
      </c>
      <c r="D714" s="13">
        <v>7.3752272699999999</v>
      </c>
      <c r="E714" s="13">
        <v>7.0558750000000003</v>
      </c>
      <c r="F714" s="13">
        <v>6.6881818099999997</v>
      </c>
      <c r="G714" s="13">
        <v>6.6817500000000001</v>
      </c>
      <c r="H714" s="13">
        <v>6.6132894699999998</v>
      </c>
      <c r="I714" s="13">
        <v>6.3698912999999999</v>
      </c>
      <c r="J714" s="13">
        <v>6.6519047599999999</v>
      </c>
      <c r="K714" s="13">
        <v>6.6353749999999998</v>
      </c>
      <c r="L714" s="13">
        <v>6.2869318099999996</v>
      </c>
      <c r="M714" s="13">
        <v>6.1808928500000002</v>
      </c>
    </row>
    <row r="715" spans="1:13" x14ac:dyDescent="0.2">
      <c r="A715" s="48">
        <v>1983</v>
      </c>
      <c r="B715" s="13">
        <v>6.3284090900000001</v>
      </c>
      <c r="C715" s="13">
        <v>6.0071428500000001</v>
      </c>
      <c r="D715" s="13">
        <v>5.7819047599999998</v>
      </c>
      <c r="E715" s="13">
        <v>6.0153749999999997</v>
      </c>
      <c r="F715" s="13">
        <v>5.9322619000000003</v>
      </c>
      <c r="G715" s="13">
        <v>6.0978571400000003</v>
      </c>
      <c r="H715" s="13">
        <v>6.1873684200000003</v>
      </c>
      <c r="I715" s="13">
        <v>6.1923912999999997</v>
      </c>
      <c r="J715" s="13">
        <v>6.5285000000000002</v>
      </c>
      <c r="K715" s="13">
        <v>6.3085714199999998</v>
      </c>
      <c r="L715" s="13">
        <v>6.0225</v>
      </c>
      <c r="M715" s="13">
        <v>6.36442307</v>
      </c>
    </row>
    <row r="716" spans="1:13" x14ac:dyDescent="0.2">
      <c r="A716" s="48">
        <v>1984</v>
      </c>
      <c r="B716" s="13">
        <v>8.8154347800000004</v>
      </c>
      <c r="C716" s="13">
        <v>9.2341666599999996</v>
      </c>
      <c r="D716" s="13">
        <v>8.6634523800000007</v>
      </c>
      <c r="E716" s="13">
        <v>8.49</v>
      </c>
      <c r="F716" s="13">
        <v>8.1713095199999994</v>
      </c>
      <c r="G716" s="13">
        <v>7.8550000000000004</v>
      </c>
      <c r="H716" s="13">
        <v>7.5056250000000002</v>
      </c>
      <c r="I716" s="13">
        <v>7.9859090899999998</v>
      </c>
      <c r="J716" s="13">
        <v>7.9852499999999997</v>
      </c>
      <c r="K716" s="13">
        <v>8.5365909000000002</v>
      </c>
      <c r="L716" s="13">
        <v>7.8202380900000001</v>
      </c>
      <c r="M716" s="13">
        <v>6.88</v>
      </c>
    </row>
    <row r="717" spans="1:13" x14ac:dyDescent="0.2">
      <c r="A717" s="48">
        <v>1985</v>
      </c>
      <c r="B717" s="13">
        <v>6.7872826000000002</v>
      </c>
      <c r="C717" s="13">
        <v>6.5064473600000001</v>
      </c>
      <c r="D717" s="13">
        <v>6.5814130400000002</v>
      </c>
      <c r="E717" s="13">
        <v>6.5986904700000002</v>
      </c>
      <c r="F717" s="13">
        <v>6.2678750000000001</v>
      </c>
      <c r="G717" s="13">
        <v>6.1481818099999996</v>
      </c>
      <c r="H717" s="13">
        <v>6.0507894699999998</v>
      </c>
      <c r="I717" s="13">
        <v>6.0344047600000001</v>
      </c>
      <c r="J717" s="13">
        <v>6.0621428499999999</v>
      </c>
      <c r="K717" s="13">
        <v>5.7646590900000003</v>
      </c>
      <c r="L717" s="13">
        <v>5.766</v>
      </c>
      <c r="M717" s="13">
        <v>5.63683333</v>
      </c>
    </row>
    <row r="718" spans="1:13" x14ac:dyDescent="0.2">
      <c r="A718" s="48">
        <v>1986</v>
      </c>
      <c r="B718" s="13">
        <v>5.4529545400000003</v>
      </c>
      <c r="C718" s="13">
        <v>5.5084999999999997</v>
      </c>
      <c r="D718" s="13">
        <v>5.4803260800000002</v>
      </c>
      <c r="E718" s="13">
        <v>5.3371250000000003</v>
      </c>
      <c r="F718" s="13">
        <v>5.5030952299999996</v>
      </c>
      <c r="G718" s="13">
        <v>5.6126136300000002</v>
      </c>
      <c r="H718" s="13">
        <v>5.3977631500000003</v>
      </c>
      <c r="I718" s="13">
        <v>5.3816249999999997</v>
      </c>
      <c r="J718" s="13">
        <v>5.2627272700000001</v>
      </c>
      <c r="K718" s="13">
        <v>5.3389285700000002</v>
      </c>
      <c r="L718" s="13">
        <v>5.28166666</v>
      </c>
      <c r="M718" s="13">
        <v>5.3010000000000002</v>
      </c>
    </row>
    <row r="719" spans="1:13" x14ac:dyDescent="0.2">
      <c r="A719" s="48">
        <v>1987</v>
      </c>
      <c r="B719" s="13">
        <v>5.0604761900000002</v>
      </c>
      <c r="C719" s="13">
        <v>5.0513095200000002</v>
      </c>
      <c r="D719" s="13">
        <v>5.0547826000000002</v>
      </c>
      <c r="E719" s="13">
        <v>5.0993421000000003</v>
      </c>
      <c r="F719" s="13">
        <v>5.0051136300000003</v>
      </c>
      <c r="G719" s="13">
        <v>4.98666666</v>
      </c>
      <c r="H719" s="13">
        <v>4.8707894700000001</v>
      </c>
      <c r="I719" s="13">
        <v>4.89113636</v>
      </c>
      <c r="J719" s="13">
        <v>5.1564285700000001</v>
      </c>
      <c r="K719" s="13">
        <v>5.5656249999999998</v>
      </c>
      <c r="L719" s="13">
        <v>5.6007954499999997</v>
      </c>
      <c r="M719" s="13">
        <v>5.4295</v>
      </c>
    </row>
    <row r="720" spans="1:13" x14ac:dyDescent="0.2">
      <c r="A720" s="48">
        <v>1988</v>
      </c>
      <c r="B720" s="13">
        <v>5.2308333300000003</v>
      </c>
      <c r="C720" s="13">
        <v>5.4364285700000003</v>
      </c>
      <c r="D720" s="13">
        <v>5.6336363599999997</v>
      </c>
      <c r="E720" s="13">
        <v>5.8152499999999998</v>
      </c>
      <c r="F720" s="13">
        <v>6.1592045400000002</v>
      </c>
      <c r="G720" s="13">
        <v>6.3813750000000002</v>
      </c>
      <c r="H720" s="13">
        <v>6.3583749999999997</v>
      </c>
      <c r="I720" s="13">
        <v>6.4152173899999996</v>
      </c>
      <c r="J720" s="13">
        <v>6.8163749999999999</v>
      </c>
      <c r="K720" s="13">
        <v>7.39809523</v>
      </c>
      <c r="L720" s="13">
        <v>9.3712499999999999</v>
      </c>
      <c r="M720" s="13">
        <v>9.2561538399999996</v>
      </c>
    </row>
    <row r="721" spans="1:13" x14ac:dyDescent="0.2">
      <c r="A721" s="48">
        <v>1989</v>
      </c>
      <c r="B721" s="13">
        <v>8.4317391300000004</v>
      </c>
      <c r="C721" s="13">
        <v>8.5627380899999999</v>
      </c>
      <c r="D721" s="13">
        <v>8.1076190399999994</v>
      </c>
      <c r="E721" s="13">
        <v>7.8515476099999999</v>
      </c>
      <c r="F721" s="13">
        <v>8.0217857099999996</v>
      </c>
      <c r="G721" s="13">
        <v>8.0377380899999995</v>
      </c>
      <c r="H721" s="13">
        <v>7.6728947300000003</v>
      </c>
      <c r="I721" s="13">
        <v>7.8276136300000001</v>
      </c>
      <c r="J721" s="13">
        <v>7.389875</v>
      </c>
      <c r="K721" s="13">
        <v>7.2817045399999998</v>
      </c>
      <c r="L721" s="13">
        <v>7.2202272699999996</v>
      </c>
      <c r="M721" s="13">
        <v>7.2267307599999997</v>
      </c>
    </row>
    <row r="722" spans="1:13" x14ac:dyDescent="0.2">
      <c r="A722" s="48">
        <v>1990</v>
      </c>
      <c r="B722" s="13">
        <v>6.1090217300000003</v>
      </c>
      <c r="C722" s="13">
        <v>6.1198750000000004</v>
      </c>
      <c r="D722" s="13">
        <v>6.0114772700000003</v>
      </c>
      <c r="E722" s="13">
        <v>6.15904761</v>
      </c>
      <c r="F722" s="13">
        <v>6.1165000000000003</v>
      </c>
      <c r="G722" s="13">
        <v>5.9586363599999999</v>
      </c>
      <c r="H722" s="13">
        <v>5.8897368400000003</v>
      </c>
      <c r="I722" s="13">
        <v>6.07068181</v>
      </c>
      <c r="J722" s="13">
        <v>6.1498749999999998</v>
      </c>
      <c r="K722" s="13">
        <v>6.2998863600000004</v>
      </c>
      <c r="L722" s="13">
        <v>6.0154761900000002</v>
      </c>
      <c r="M722" s="13">
        <v>6.1387499999999999</v>
      </c>
    </row>
    <row r="723" spans="1:13" x14ac:dyDescent="0.2">
      <c r="A723" s="48">
        <v>1991</v>
      </c>
      <c r="B723" s="13">
        <v>6.5743478199999998</v>
      </c>
      <c r="C723" s="13">
        <v>6.6764473600000001</v>
      </c>
      <c r="D723" s="13">
        <v>6.5965217300000001</v>
      </c>
      <c r="E723" s="13">
        <v>6.2438095200000001</v>
      </c>
      <c r="F723" s="13">
        <v>6.2367499999999998</v>
      </c>
      <c r="G723" s="13">
        <v>5.9776136299999996</v>
      </c>
      <c r="H723" s="13">
        <v>5.9840789399999998</v>
      </c>
      <c r="I723" s="13">
        <v>5.9941250000000004</v>
      </c>
      <c r="J723" s="13">
        <v>6.00079545</v>
      </c>
      <c r="K723" s="13">
        <v>5.7918181799999999</v>
      </c>
      <c r="L723" s="13">
        <v>5.6837499999999999</v>
      </c>
      <c r="M723" s="13">
        <v>5.3055000000000003</v>
      </c>
    </row>
    <row r="724" spans="1:13" x14ac:dyDescent="0.2">
      <c r="A724" s="48">
        <v>1992</v>
      </c>
      <c r="B724" s="13">
        <v>6.1076136300000003</v>
      </c>
      <c r="C724" s="13">
        <v>6.2608750000000004</v>
      </c>
      <c r="D724" s="13">
        <v>5.9767391300000003</v>
      </c>
      <c r="E724" s="13">
        <v>5.8271249999999997</v>
      </c>
      <c r="F724" s="13">
        <v>5.7489285700000003</v>
      </c>
      <c r="G724" s="13">
        <v>5.8481818099999998</v>
      </c>
      <c r="H724" s="13">
        <v>5.91</v>
      </c>
      <c r="I724" s="13">
        <v>6.0206818100000001</v>
      </c>
      <c r="J724" s="13">
        <v>5.8219736800000002</v>
      </c>
      <c r="K724" s="13">
        <v>6.032375</v>
      </c>
      <c r="L724" s="13">
        <v>6.1064772700000001</v>
      </c>
      <c r="M724" s="13">
        <v>5.7035</v>
      </c>
    </row>
    <row r="725" spans="1:13" x14ac:dyDescent="0.2">
      <c r="A725" s="48">
        <v>1993</v>
      </c>
      <c r="B725" s="13">
        <v>5.7091666600000002</v>
      </c>
      <c r="C725" s="13">
        <v>5.7601190400000002</v>
      </c>
      <c r="D725" s="13">
        <v>5.6444318100000004</v>
      </c>
      <c r="E725" s="13">
        <v>5.7771249999999998</v>
      </c>
      <c r="F725" s="13">
        <v>5.8457954499999998</v>
      </c>
      <c r="G725" s="13">
        <v>5.8767500000000004</v>
      </c>
      <c r="H725" s="13">
        <v>5.7778947299999999</v>
      </c>
      <c r="I725" s="13">
        <v>5.8935869500000004</v>
      </c>
      <c r="J725" s="13">
        <v>5.95940476</v>
      </c>
      <c r="K725" s="13">
        <v>6.0283749999999996</v>
      </c>
      <c r="L725" s="13">
        <v>6.0390908999999997</v>
      </c>
      <c r="M725" s="13">
        <v>7.0414285699999999</v>
      </c>
    </row>
    <row r="726" spans="1:13" x14ac:dyDescent="0.2">
      <c r="A726" s="48">
        <v>1994</v>
      </c>
      <c r="B726" s="13">
        <v>6.82704545</v>
      </c>
      <c r="C726" s="13">
        <v>6.5625</v>
      </c>
      <c r="D726" s="13">
        <v>6.3709523800000003</v>
      </c>
      <c r="E726" s="13">
        <v>6.7827380899999996</v>
      </c>
      <c r="F726" s="13">
        <v>6.9676190399999998</v>
      </c>
      <c r="G726" s="13">
        <v>7.0552380899999996</v>
      </c>
      <c r="H726" s="13">
        <v>6.8746052600000001</v>
      </c>
      <c r="I726" s="13">
        <v>6.8521739100000003</v>
      </c>
      <c r="J726" s="13">
        <v>6.5968420999999999</v>
      </c>
      <c r="K726" s="13">
        <v>6.7905952300000001</v>
      </c>
      <c r="L726" s="13">
        <v>6.7920454499999998</v>
      </c>
      <c r="M726" s="13">
        <v>6.1921153799999997</v>
      </c>
    </row>
    <row r="727" spans="1:13" x14ac:dyDescent="0.2">
      <c r="A727" s="48">
        <v>1995</v>
      </c>
      <c r="B727" s="13">
        <v>5.9384782600000001</v>
      </c>
      <c r="C727" s="13">
        <v>5.9326190399999996</v>
      </c>
      <c r="D727" s="13">
        <v>5.7675000000000001</v>
      </c>
      <c r="E727" s="13">
        <v>5.8840476099999997</v>
      </c>
      <c r="F727" s="13">
        <v>5.8521428499999999</v>
      </c>
      <c r="G727" s="13">
        <v>5.6995237999999997</v>
      </c>
      <c r="H727" s="13">
        <v>5.7203947299999998</v>
      </c>
      <c r="I727" s="13">
        <v>5.8695652100000002</v>
      </c>
      <c r="J727" s="13">
        <v>5.8672368400000003</v>
      </c>
      <c r="K727" s="13">
        <v>5.8271590900000003</v>
      </c>
      <c r="L727" s="13">
        <v>5.8954545400000002</v>
      </c>
      <c r="M727" s="13">
        <v>6.1438461499999999</v>
      </c>
    </row>
    <row r="728" spans="1:13" x14ac:dyDescent="0.2">
      <c r="A728" s="48">
        <v>1996</v>
      </c>
      <c r="B728" s="13">
        <v>6.3701086900000004</v>
      </c>
      <c r="C728" s="13">
        <v>6.6857499999999996</v>
      </c>
      <c r="D728" s="13">
        <v>6.8452272699999996</v>
      </c>
      <c r="E728" s="13">
        <v>6.9651190400000003</v>
      </c>
      <c r="F728" s="13">
        <v>7.312875</v>
      </c>
      <c r="G728" s="13">
        <v>7.4828409000000002</v>
      </c>
      <c r="H728" s="13">
        <v>7.4714999999999998</v>
      </c>
      <c r="I728" s="13">
        <v>7.37321428</v>
      </c>
      <c r="J728" s="13">
        <v>7.9920238000000001</v>
      </c>
      <c r="K728" s="13">
        <v>8.0888636300000005</v>
      </c>
      <c r="L728" s="13">
        <v>7.7447499999999998</v>
      </c>
      <c r="M728" s="13">
        <v>7.9406666599999998</v>
      </c>
    </row>
    <row r="729" spans="1:13" x14ac:dyDescent="0.2">
      <c r="A729" s="48">
        <v>1997</v>
      </c>
      <c r="B729" s="13">
        <v>7.8578409000000002</v>
      </c>
      <c r="C729" s="13">
        <v>8.0656250000000007</v>
      </c>
      <c r="D729" s="13">
        <v>7.2173913000000001</v>
      </c>
      <c r="E729" s="13">
        <v>6.9686250000000003</v>
      </c>
      <c r="F729" s="13">
        <v>6.9258333299999997</v>
      </c>
      <c r="G729" s="13">
        <v>7.3103408999999999</v>
      </c>
      <c r="H729" s="13">
        <v>7.6349999999999998</v>
      </c>
      <c r="I729" s="13">
        <v>8.3687500000000004</v>
      </c>
      <c r="J729" s="13">
        <v>8.5570454500000004</v>
      </c>
      <c r="K729" s="13">
        <v>8.6713095199999994</v>
      </c>
      <c r="L729" s="13">
        <v>8.2939285700000003</v>
      </c>
      <c r="M729" s="13">
        <v>7.6920000000000002</v>
      </c>
    </row>
    <row r="730" spans="1:13" x14ac:dyDescent="0.2">
      <c r="A730" s="48">
        <v>1998</v>
      </c>
      <c r="B730" s="13">
        <v>6.4932142800000001</v>
      </c>
      <c r="C730" s="13">
        <v>6.5921428500000001</v>
      </c>
      <c r="D730" s="13">
        <v>7.0611956500000002</v>
      </c>
      <c r="E730" s="13">
        <v>7.3203947300000003</v>
      </c>
      <c r="F730" s="13">
        <v>7.0348863599999998</v>
      </c>
      <c r="G730" s="13">
        <v>6.7853750000000002</v>
      </c>
      <c r="H730" s="13">
        <v>6.8102631499999999</v>
      </c>
      <c r="I730" s="13">
        <v>6.5912499999999996</v>
      </c>
      <c r="J730" s="13">
        <v>6.39928571</v>
      </c>
      <c r="K730" s="13">
        <v>6.3883749999999999</v>
      </c>
      <c r="L730" s="13">
        <v>6.2896590899999998</v>
      </c>
      <c r="M730" s="13">
        <v>6.4954999999999998</v>
      </c>
    </row>
    <row r="731" spans="1:13" x14ac:dyDescent="0.2">
      <c r="A731" s="48">
        <v>1999</v>
      </c>
      <c r="B731" s="13">
        <v>5.7101190400000004</v>
      </c>
      <c r="C731" s="13">
        <v>5.6460714200000002</v>
      </c>
      <c r="D731" s="13">
        <v>5.83420454</v>
      </c>
      <c r="E731" s="13">
        <v>6.0092499999999998</v>
      </c>
      <c r="F731" s="13">
        <v>5.7818181800000001</v>
      </c>
      <c r="G731" s="13">
        <v>5.4207894699999999</v>
      </c>
      <c r="H731" s="13">
        <v>4.9996052600000001</v>
      </c>
      <c r="I731" s="13">
        <v>4.8955434699999998</v>
      </c>
      <c r="J731" s="13">
        <v>4.9230952300000004</v>
      </c>
      <c r="K731" s="13">
        <v>4.7153749999999999</v>
      </c>
      <c r="L731" s="13">
        <v>4.6264772699999996</v>
      </c>
      <c r="M731" s="13">
        <v>4.2507142800000004</v>
      </c>
    </row>
    <row r="732" spans="1:13" x14ac:dyDescent="0.2">
      <c r="A732" s="48">
        <v>2000</v>
      </c>
      <c r="B732" s="13">
        <v>5.0234090900000004</v>
      </c>
      <c r="C732" s="13">
        <v>5.21059523</v>
      </c>
      <c r="D732" s="13">
        <v>5.14988095</v>
      </c>
      <c r="E732" s="13">
        <v>4.9023809500000004</v>
      </c>
      <c r="F732" s="13">
        <v>4.8223809500000003</v>
      </c>
      <c r="G732" s="13">
        <v>5.109</v>
      </c>
      <c r="H732" s="13">
        <v>5.2337499999999997</v>
      </c>
      <c r="I732" s="13">
        <v>5.3376086899999997</v>
      </c>
      <c r="J732" s="13">
        <v>5.4881578900000001</v>
      </c>
      <c r="K732" s="13">
        <v>5.5180681800000002</v>
      </c>
      <c r="L732" s="13">
        <v>5.0877272700000002</v>
      </c>
      <c r="M732" s="13">
        <v>4.70694444</v>
      </c>
    </row>
    <row r="733" spans="1:13" x14ac:dyDescent="0.2">
      <c r="A733" s="48">
        <v>2001</v>
      </c>
      <c r="B733" s="13">
        <v>5.0482608600000001</v>
      </c>
      <c r="C733" s="13">
        <v>5.2988749999999998</v>
      </c>
      <c r="D733" s="13">
        <v>5.0753408999999996</v>
      </c>
      <c r="E733" s="13">
        <v>5.1065476099999998</v>
      </c>
      <c r="F733" s="13">
        <v>5.2646249999999997</v>
      </c>
      <c r="G733" s="13">
        <v>4.9400000000000004</v>
      </c>
      <c r="H733" s="13">
        <v>4.6486842099999999</v>
      </c>
      <c r="I733" s="13">
        <v>4.5523863599999999</v>
      </c>
      <c r="J733" s="13">
        <v>4.3520000000000003</v>
      </c>
      <c r="K733" s="13">
        <v>4.4265908999999999</v>
      </c>
      <c r="L733" s="13">
        <v>4.6323809499999999</v>
      </c>
      <c r="M733" s="13">
        <v>5.04916666</v>
      </c>
    </row>
    <row r="734" spans="1:13" x14ac:dyDescent="0.2">
      <c r="A734" s="48">
        <v>2002</v>
      </c>
      <c r="B734" s="13">
        <v>5.0263043400000003</v>
      </c>
      <c r="C734" s="13">
        <v>4.8819444399999998</v>
      </c>
      <c r="D734" s="13">
        <v>4.5742391299999996</v>
      </c>
      <c r="E734" s="13">
        <v>4.5610714200000002</v>
      </c>
      <c r="F734" s="13">
        <v>4.46381578</v>
      </c>
      <c r="G734" s="13">
        <v>4.44309523</v>
      </c>
      <c r="H734" s="13">
        <v>4.44131578</v>
      </c>
      <c r="I734" s="13">
        <v>4.6745000000000001</v>
      </c>
      <c r="J734" s="13">
        <v>4.6919318099999998</v>
      </c>
      <c r="K734" s="13">
        <v>4.8204545400000001</v>
      </c>
      <c r="L734" s="13">
        <v>5.0445000000000002</v>
      </c>
      <c r="M734" s="13">
        <v>5.6888888800000004</v>
      </c>
    </row>
    <row r="735" spans="1:13" x14ac:dyDescent="0.2">
      <c r="A735" s="48">
        <v>2003</v>
      </c>
      <c r="B735" s="13">
        <v>5.4026136300000003</v>
      </c>
      <c r="C735" s="13">
        <v>5.6626250000000002</v>
      </c>
      <c r="D735" s="13">
        <v>5.45586956</v>
      </c>
      <c r="E735" s="13">
        <v>5.5238750000000003</v>
      </c>
      <c r="F735" s="13">
        <v>5.51525</v>
      </c>
      <c r="G735" s="13">
        <v>5.5695237999999998</v>
      </c>
      <c r="H735" s="13">
        <v>5.66921052</v>
      </c>
      <c r="I735" s="13">
        <v>5.6953571399999996</v>
      </c>
      <c r="J735" s="13">
        <v>6.0355952300000002</v>
      </c>
      <c r="K735" s="13">
        <v>6.3422618999999996</v>
      </c>
      <c r="L735" s="13">
        <v>6.2534523799999997</v>
      </c>
      <c r="M735" s="13">
        <v>6.2002777699999996</v>
      </c>
    </row>
    <row r="736" spans="1:13" x14ac:dyDescent="0.2">
      <c r="A736" s="48">
        <v>2004</v>
      </c>
      <c r="B736" s="13">
        <v>5.5544047599999997</v>
      </c>
      <c r="C736" s="13">
        <v>6.0315476099999996</v>
      </c>
      <c r="D736" s="13">
        <v>6.7119565200000002</v>
      </c>
      <c r="E736" s="13">
        <v>7.1767105200000003</v>
      </c>
      <c r="F736" s="13">
        <v>7.5020454499999998</v>
      </c>
      <c r="G736" s="13">
        <v>8.0991250000000008</v>
      </c>
      <c r="H736" s="13">
        <v>8.4324999999999992</v>
      </c>
      <c r="I736" s="13">
        <v>9.7249999999999996</v>
      </c>
      <c r="J736" s="13">
        <v>9.8502380899999995</v>
      </c>
      <c r="K736" s="13">
        <v>9.3506250000000009</v>
      </c>
      <c r="L736" s="13">
        <v>8.72690476</v>
      </c>
      <c r="M736" s="13">
        <v>9.39</v>
      </c>
    </row>
    <row r="737" spans="1:13" x14ac:dyDescent="0.2">
      <c r="A737" s="48">
        <v>2005</v>
      </c>
      <c r="B737" s="13">
        <v>6.0546590900000004</v>
      </c>
      <c r="C737" s="13">
        <v>5.8820237999999998</v>
      </c>
      <c r="D737" s="13">
        <v>5.5151190400000001</v>
      </c>
      <c r="E737" s="13">
        <v>5.5039285700000002</v>
      </c>
      <c r="F737" s="13">
        <v>5.5145238000000001</v>
      </c>
      <c r="G737" s="13">
        <v>5.3352500000000003</v>
      </c>
      <c r="H737" s="13">
        <v>5.4389473600000002</v>
      </c>
      <c r="I737" s="13">
        <v>6.4213636300000001</v>
      </c>
      <c r="J737" s="13">
        <v>6.2983333300000002</v>
      </c>
      <c r="K737" s="13">
        <v>6.3817857099999999</v>
      </c>
      <c r="L737" s="13">
        <v>6.9329545399999999</v>
      </c>
      <c r="M737" s="13">
        <v>6.96722222</v>
      </c>
    </row>
    <row r="738" spans="1:13" x14ac:dyDescent="0.2">
      <c r="A738" s="48">
        <v>2006</v>
      </c>
      <c r="B738" s="13">
        <v>6.4675000000000002</v>
      </c>
      <c r="C738" s="13">
        <v>6.0701190399999998</v>
      </c>
      <c r="D738" s="13">
        <v>6.04857142</v>
      </c>
      <c r="E738" s="13">
        <v>5.9765476099999999</v>
      </c>
      <c r="F738" s="13">
        <v>6.1276190399999999</v>
      </c>
      <c r="G738" s="13">
        <v>6.0662500000000001</v>
      </c>
      <c r="H738" s="13">
        <v>6.0684210500000004</v>
      </c>
      <c r="I738" s="13">
        <v>5.9634782599999996</v>
      </c>
      <c r="J738" s="13">
        <v>5.8268421000000004</v>
      </c>
      <c r="K738" s="13">
        <v>5.9723863599999998</v>
      </c>
      <c r="L738" s="13">
        <v>5.8922727200000002</v>
      </c>
      <c r="M738" s="13">
        <v>6.0211111099999997</v>
      </c>
    </row>
    <row r="739" spans="1:13" x14ac:dyDescent="0.2">
      <c r="A739" s="48">
        <v>2007</v>
      </c>
      <c r="B739" s="13">
        <v>6.1228260800000003</v>
      </c>
      <c r="C739" s="13">
        <v>5.9221250000000003</v>
      </c>
      <c r="D739" s="13">
        <v>6.32068181</v>
      </c>
      <c r="E739" s="13">
        <v>6.9822619000000001</v>
      </c>
      <c r="F739" s="13">
        <v>6.9926250000000003</v>
      </c>
      <c r="G739" s="13">
        <v>7.2934999999999999</v>
      </c>
      <c r="H739" s="13">
        <v>7.8636842099999997</v>
      </c>
      <c r="I739" s="13">
        <v>7.7595454500000001</v>
      </c>
      <c r="J739" s="13">
        <v>7.5271249999999998</v>
      </c>
      <c r="K739" s="13">
        <v>7.7672727200000002</v>
      </c>
      <c r="L739" s="13">
        <v>8.2416666599999999</v>
      </c>
      <c r="M739" s="13">
        <v>8.7863888800000005</v>
      </c>
    </row>
    <row r="740" spans="1:13" x14ac:dyDescent="0.2">
      <c r="A740" s="48">
        <v>2008</v>
      </c>
      <c r="B740" s="13">
        <v>9.0186956499999997</v>
      </c>
      <c r="C740" s="13">
        <v>9.8588157800000005</v>
      </c>
      <c r="D740" s="13">
        <v>10.1597826</v>
      </c>
      <c r="E740" s="13">
        <v>10.888809520000001</v>
      </c>
      <c r="F740" s="13">
        <v>11.86975</v>
      </c>
      <c r="G740" s="13">
        <v>12.93035714</v>
      </c>
      <c r="H740" s="13">
        <v>14.133625</v>
      </c>
      <c r="I740" s="13">
        <v>13.740125000000001</v>
      </c>
      <c r="J740" s="13">
        <v>13.298181810000001</v>
      </c>
      <c r="K740" s="13">
        <v>13.359761900000001</v>
      </c>
      <c r="L740" s="13">
        <v>15.035833330000001</v>
      </c>
      <c r="M740" s="13">
        <v>16.105277770000001</v>
      </c>
    </row>
    <row r="741" spans="1:13" x14ac:dyDescent="0.2">
      <c r="A741" s="48">
        <v>2009</v>
      </c>
      <c r="B741" s="13">
        <v>13.363095230000001</v>
      </c>
      <c r="C741" s="13">
        <v>12.230357140000001</v>
      </c>
      <c r="D741" s="13">
        <v>9.6393478199999993</v>
      </c>
      <c r="E741" s="13">
        <v>9.28315789</v>
      </c>
      <c r="F741" s="13">
        <v>8.9323863600000006</v>
      </c>
      <c r="G741" s="13">
        <v>10.118874999999999</v>
      </c>
      <c r="H741" s="13">
        <v>9.3682894700000006</v>
      </c>
      <c r="I741" s="13">
        <v>9.0130681799999994</v>
      </c>
      <c r="J741" s="13">
        <v>10.1370238</v>
      </c>
      <c r="K741" s="13">
        <v>11.41025</v>
      </c>
      <c r="L741" s="13">
        <v>12.113863630000001</v>
      </c>
      <c r="M741" s="13">
        <v>11.470277769999999</v>
      </c>
    </row>
    <row r="742" spans="1:13" x14ac:dyDescent="0.2">
      <c r="A742" s="48">
        <v>2010</v>
      </c>
      <c r="B742" s="13">
        <v>9.9570238</v>
      </c>
      <c r="C742" s="13">
        <v>9.3842857100000003</v>
      </c>
      <c r="D742" s="13">
        <v>9.6580681800000008</v>
      </c>
      <c r="E742" s="13">
        <v>10.223750000000001</v>
      </c>
      <c r="F742" s="13">
        <v>10.51511363</v>
      </c>
      <c r="G742" s="13">
        <v>9.94</v>
      </c>
      <c r="H742" s="13">
        <v>9.5530263099999999</v>
      </c>
      <c r="I742" s="13">
        <v>9.6054347799999995</v>
      </c>
      <c r="J742" s="13">
        <v>9.8288095200000001</v>
      </c>
      <c r="K742" s="13">
        <v>9.5392499999999991</v>
      </c>
      <c r="L742" s="13">
        <v>9.4849999999999994</v>
      </c>
      <c r="M742" s="13">
        <v>10.010833330000001</v>
      </c>
    </row>
    <row r="743" spans="1:13" x14ac:dyDescent="0.2">
      <c r="A743" s="48">
        <v>2011</v>
      </c>
      <c r="B743" s="13">
        <v>10.364204539999999</v>
      </c>
      <c r="C743" s="13">
        <v>10.887380950000001</v>
      </c>
      <c r="D743" s="13">
        <v>11.88678571</v>
      </c>
      <c r="E743" s="13">
        <v>12.67297619</v>
      </c>
      <c r="F743" s="13">
        <v>13.336704539999999</v>
      </c>
      <c r="G743" s="13">
        <v>14.092499999999999</v>
      </c>
      <c r="H743" s="13">
        <v>14.121578939999999</v>
      </c>
      <c r="I743" s="13">
        <v>13.693043469999999</v>
      </c>
      <c r="J743" s="13">
        <v>13.744999999999999</v>
      </c>
      <c r="K743" s="13">
        <v>13.57321428</v>
      </c>
      <c r="L743" s="13">
        <v>13.6015909</v>
      </c>
      <c r="M743" s="13">
        <v>13.532777769999999</v>
      </c>
    </row>
    <row r="744" spans="1:13" x14ac:dyDescent="0.2">
      <c r="A744" s="48">
        <v>2012</v>
      </c>
      <c r="B744" s="13">
        <v>13.878586950000001</v>
      </c>
      <c r="C744" s="13">
        <v>13.682738090000001</v>
      </c>
      <c r="D744" s="13">
        <v>12.461785709999999</v>
      </c>
      <c r="E744" s="13">
        <v>11.99547619</v>
      </c>
      <c r="F744" s="13">
        <v>11.731904760000001</v>
      </c>
      <c r="G744" s="13">
        <v>12.234375</v>
      </c>
      <c r="H744" s="13">
        <v>12.726000000000001</v>
      </c>
      <c r="I744" s="13">
        <v>13.588409090000001</v>
      </c>
      <c r="J744" s="13">
        <v>14.44125</v>
      </c>
      <c r="K744" s="13">
        <v>14.1890909</v>
      </c>
      <c r="L744" s="13">
        <v>14.21547619</v>
      </c>
      <c r="M744" s="13">
        <v>16.172499999999999</v>
      </c>
    </row>
    <row r="745" spans="1:13" x14ac:dyDescent="0.2">
      <c r="A745" s="48">
        <v>2013</v>
      </c>
      <c r="B745" s="13">
        <v>14.70043478</v>
      </c>
      <c r="C745" s="13">
        <v>15.360394729999999</v>
      </c>
      <c r="D745" s="13">
        <v>14.4897826</v>
      </c>
      <c r="E745" s="13">
        <v>13.994166659999999</v>
      </c>
      <c r="F745" s="13">
        <v>14.263999999999999</v>
      </c>
      <c r="G745" s="13">
        <v>14.01023809</v>
      </c>
      <c r="H745" s="13">
        <v>14.34855263</v>
      </c>
      <c r="I745" s="13">
        <v>14.253</v>
      </c>
      <c r="J745" s="13">
        <v>13.707727269999999</v>
      </c>
      <c r="K745" s="13">
        <v>14.37943181</v>
      </c>
      <c r="L745" s="13">
        <v>15.244999999999999</v>
      </c>
      <c r="M745" s="13">
        <v>15.88194444</v>
      </c>
    </row>
    <row r="746" spans="1:13" x14ac:dyDescent="0.2">
      <c r="A746" s="48">
        <v>2014</v>
      </c>
      <c r="B746" s="13">
        <v>12.43522727</v>
      </c>
      <c r="C746" s="13">
        <v>12.904249999999999</v>
      </c>
      <c r="D746" s="13">
        <v>12.46945652</v>
      </c>
      <c r="E746" s="13">
        <v>12.578625000000001</v>
      </c>
      <c r="F746" s="13">
        <v>12.88107142</v>
      </c>
      <c r="G746" s="13">
        <v>12.551428570000001</v>
      </c>
      <c r="H746" s="13">
        <v>13.2143421</v>
      </c>
      <c r="I746" s="13">
        <v>13.97119047</v>
      </c>
      <c r="J746" s="13">
        <v>14.75583333</v>
      </c>
      <c r="K746" s="13">
        <v>14.81023809</v>
      </c>
      <c r="L746" s="13">
        <v>14.369880950000001</v>
      </c>
      <c r="M746" s="13">
        <v>13.475555549999999</v>
      </c>
    </row>
    <row r="747" spans="1:13" x14ac:dyDescent="0.2">
      <c r="A747" s="48">
        <v>2015</v>
      </c>
      <c r="B747" s="13">
        <v>10.7925</v>
      </c>
      <c r="C747" s="13">
        <v>9.9920238000000001</v>
      </c>
      <c r="D747" s="13">
        <v>9.9329347800000001</v>
      </c>
      <c r="E747" s="13">
        <v>10.475657890000001</v>
      </c>
      <c r="F747" s="13">
        <v>10.496022719999999</v>
      </c>
      <c r="G747" s="13">
        <v>10.139625000000001</v>
      </c>
      <c r="H747" s="13">
        <v>10.016315779999999</v>
      </c>
      <c r="I747" s="13">
        <v>9.8542045399999996</v>
      </c>
      <c r="J747" s="13">
        <v>9.7401190399999997</v>
      </c>
      <c r="K747" s="13">
        <v>9.5353750000000002</v>
      </c>
      <c r="L747" s="13">
        <v>9.6567045399999998</v>
      </c>
      <c r="M747" s="13">
        <v>10.329722220000001</v>
      </c>
    </row>
    <row r="748" spans="1:13" x14ac:dyDescent="0.2">
      <c r="A748" s="48">
        <v>2016</v>
      </c>
      <c r="B748" s="13">
        <v>9.2144047600000007</v>
      </c>
      <c r="C748" s="13">
        <v>8.8916666600000003</v>
      </c>
      <c r="D748" s="13">
        <v>9.0704545400000001</v>
      </c>
      <c r="E748" s="13">
        <v>8.7971249999999994</v>
      </c>
      <c r="F748" s="13">
        <v>8.9251136300000002</v>
      </c>
      <c r="G748" s="13">
        <v>8.8081578900000004</v>
      </c>
      <c r="H748" s="13">
        <v>8.8091249999999999</v>
      </c>
      <c r="I748" s="13">
        <v>8.9942045400000001</v>
      </c>
      <c r="J748" s="13">
        <v>9.7160714200000005</v>
      </c>
      <c r="K748" s="13">
        <v>10.61416666</v>
      </c>
      <c r="L748" s="13">
        <v>11.463977270000001</v>
      </c>
      <c r="M748" s="13">
        <v>11.07277777</v>
      </c>
    </row>
    <row r="749" spans="1:13" x14ac:dyDescent="0.2">
      <c r="A749" s="48">
        <v>2017</v>
      </c>
      <c r="B749" s="13">
        <v>9.7809782599999995</v>
      </c>
      <c r="C749" s="13">
        <v>9.7905952299999992</v>
      </c>
      <c r="D749" s="13">
        <v>10.01880952</v>
      </c>
      <c r="E749" s="13">
        <v>10.27404761</v>
      </c>
      <c r="F749" s="13">
        <v>10.45047619</v>
      </c>
      <c r="G749" s="13">
        <v>10.521625</v>
      </c>
      <c r="H749" s="13">
        <v>10.557499999999999</v>
      </c>
      <c r="I749" s="13">
        <v>10.107717389999999</v>
      </c>
      <c r="J749" s="13">
        <v>9.5751315699999999</v>
      </c>
      <c r="K749" s="13">
        <v>9.57386363</v>
      </c>
      <c r="L749" s="13">
        <v>9.2459090899999996</v>
      </c>
      <c r="M749" s="13">
        <v>10.284000000000001</v>
      </c>
    </row>
    <row r="750" spans="1:13" x14ac:dyDescent="0.2">
      <c r="A750" s="48">
        <v>2018</v>
      </c>
      <c r="B750" s="13">
        <v>9.7767391304347822</v>
      </c>
      <c r="C750" s="13">
        <v>10.006625</v>
      </c>
      <c r="D750" s="13">
        <v>10.125454545454545</v>
      </c>
      <c r="E750" s="13">
        <v>10.171785714285715</v>
      </c>
      <c r="F750" s="13">
        <v>10.038500000000001</v>
      </c>
      <c r="G750" s="13">
        <v>9.961666666666666</v>
      </c>
      <c r="H750" s="13">
        <v>10.309078947368421</v>
      </c>
      <c r="I750" s="13">
        <v>10.5375</v>
      </c>
      <c r="J750" s="13">
        <v>10.487976190476191</v>
      </c>
      <c r="K750" s="13">
        <v>10.241931818181818</v>
      </c>
      <c r="L750" s="13">
        <v>9.2521428571428572</v>
      </c>
      <c r="M750" s="13">
        <v>9.0414285714285718</v>
      </c>
    </row>
    <row r="751" spans="1:13" x14ac:dyDescent="0.2">
      <c r="A751" s="48">
        <v>2019</v>
      </c>
      <c r="B751" s="13">
        <v>9.1875</v>
      </c>
      <c r="C751" s="13">
        <v>8.8868421052631579</v>
      </c>
      <c r="D751" s="13">
        <v>9.1069565217391304</v>
      </c>
      <c r="E751" s="13">
        <v>9.2189285714285703</v>
      </c>
      <c r="F751" s="13">
        <v>9.3722500000000011</v>
      </c>
      <c r="G751" s="13">
        <v>9.394047619047619</v>
      </c>
      <c r="H751" s="13">
        <v>9.3753947368421056</v>
      </c>
      <c r="I751" s="13">
        <v>9.1542857142857148</v>
      </c>
      <c r="J751" s="13">
        <v>8.9584523809523802</v>
      </c>
      <c r="K751" s="13">
        <v>8.3667045454545459</v>
      </c>
      <c r="L751" s="13">
        <v>8.8889999999999993</v>
      </c>
      <c r="M751" s="13">
        <v>9.4543181818181807</v>
      </c>
    </row>
    <row r="752" spans="1:13" x14ac:dyDescent="0.2">
      <c r="A752" s="48">
        <v>2020</v>
      </c>
      <c r="B752" s="13">
        <v>9.1932954545454546</v>
      </c>
      <c r="C752" s="13">
        <v>9.2938749999999999</v>
      </c>
      <c r="D752" s="13">
        <v>9.6892391304347818</v>
      </c>
      <c r="E752" s="13">
        <v>9.4956250000000004</v>
      </c>
      <c r="F752" s="13">
        <v>9.5029761904761898</v>
      </c>
      <c r="G752" s="13">
        <v>9.4847619047619052</v>
      </c>
      <c r="H752" s="13">
        <v>9.0818421052631582</v>
      </c>
      <c r="I752" s="13">
        <v>8.7821590909090919</v>
      </c>
      <c r="J752" s="13">
        <v>8.5096428571428575</v>
      </c>
      <c r="K752" s="13">
        <v>8.4302499999999991</v>
      </c>
      <c r="L752" s="13">
        <v>8.6639285714285705</v>
      </c>
      <c r="M752" s="13">
        <v>9.006931818181819</v>
      </c>
    </row>
    <row r="753" spans="1:16" x14ac:dyDescent="0.2">
      <c r="A753" s="48">
        <v>2021</v>
      </c>
      <c r="B753" s="13">
        <v>9.1986904761904764</v>
      </c>
      <c r="C753" s="13">
        <v>9.9872619047619047</v>
      </c>
      <c r="D753" s="13">
        <v>10.387954545454544</v>
      </c>
      <c r="E753" s="13">
        <v>11.368875000000001</v>
      </c>
      <c r="F753" s="13">
        <v>12.057954545454544</v>
      </c>
      <c r="G753" s="13">
        <v>13.546184210526317</v>
      </c>
      <c r="H753" s="13">
        <v>13.666315789473684</v>
      </c>
      <c r="I753" s="13">
        <v>14.017608695652175</v>
      </c>
      <c r="J753" s="13">
        <v>14.493809523809523</v>
      </c>
      <c r="K753" s="13">
        <v>15.571875</v>
      </c>
      <c r="L753" s="13">
        <v>14.630357142857143</v>
      </c>
      <c r="M753" s="13">
        <v>13.428095238095239</v>
      </c>
    </row>
    <row r="754" spans="1:16" x14ac:dyDescent="0.2">
      <c r="A754" s="48">
        <v>2022</v>
      </c>
      <c r="B754" s="13">
        <v>13.345000000000001</v>
      </c>
      <c r="C754" s="13">
        <v>13.042857142857143</v>
      </c>
      <c r="D754" s="13">
        <v>12.644523809523809</v>
      </c>
      <c r="E754" s="13">
        <v>12.702142857142858</v>
      </c>
      <c r="F754" s="13">
        <v>13.090568181818183</v>
      </c>
      <c r="G754" s="13">
        <v>14.17625</v>
      </c>
      <c r="H754" s="13">
        <v>15.83407894736842</v>
      </c>
      <c r="I754" s="13">
        <v>16.495217391304347</v>
      </c>
      <c r="K754" s="39">
        <f>[3]Prices!$B$631</f>
        <v>16.770238095238096</v>
      </c>
      <c r="L754" s="39">
        <f>[3]Prices!$B$632</f>
        <v>16.900833333333331</v>
      </c>
    </row>
    <row r="755" spans="1:16" x14ac:dyDescent="0.2">
      <c r="A755" s="48">
        <v>2023</v>
      </c>
      <c r="K755" s="39">
        <f>[3]Prices!$B$643</f>
        <v>13.855909090909091</v>
      </c>
      <c r="L755" s="39">
        <f>[3]Prices!$B$644</f>
        <v>14.307142857142857</v>
      </c>
    </row>
    <row r="756" spans="1:16" x14ac:dyDescent="0.2">
      <c r="A756" s="48">
        <v>2024</v>
      </c>
      <c r="K756" s="39">
        <f>[3]Prices!$B$655</f>
        <v>12.165113636363637</v>
      </c>
      <c r="L756" s="39">
        <f>[3]Prices!$B$656</f>
        <v>11.728552631578948</v>
      </c>
    </row>
    <row r="757" spans="1:16" x14ac:dyDescent="0.2">
      <c r="A757" s="48">
        <v>2025</v>
      </c>
      <c r="K757" s="39">
        <f>[3]Prices!$B$667</f>
        <v>10.099999999999998</v>
      </c>
      <c r="L757" s="39">
        <f>[3]Prices!$B$668</f>
        <v>10.149999999999999</v>
      </c>
    </row>
    <row r="758" spans="1:16" x14ac:dyDescent="0.2">
      <c r="A758" s="48">
        <v>2026</v>
      </c>
      <c r="K758" s="39">
        <f>[3]Prices!$B$679</f>
        <v>12.4</v>
      </c>
      <c r="L758" s="39">
        <f>[3]Prices!$B$680</f>
        <v>12.200000000000001</v>
      </c>
    </row>
    <row r="759" spans="1:16" x14ac:dyDescent="0.2">
      <c r="K759" s="39"/>
      <c r="L759" s="39"/>
    </row>
    <row r="760" spans="1:16" ht="15.75" x14ac:dyDescent="0.25">
      <c r="A760" s="51" t="s">
        <v>168</v>
      </c>
    </row>
    <row r="761" spans="1:16" ht="13.5" x14ac:dyDescent="0.25">
      <c r="A761" s="42" t="s">
        <v>155</v>
      </c>
      <c r="B761" t="s">
        <v>86</v>
      </c>
      <c r="C761" t="s">
        <v>87</v>
      </c>
      <c r="D761" t="s">
        <v>88</v>
      </c>
      <c r="E761" t="s">
        <v>89</v>
      </c>
      <c r="F761" t="s">
        <v>90</v>
      </c>
      <c r="G761" t="s">
        <v>91</v>
      </c>
      <c r="H761" t="s">
        <v>92</v>
      </c>
      <c r="I761" t="s">
        <v>93</v>
      </c>
      <c r="J761" t="s">
        <v>94</v>
      </c>
      <c r="K761" t="s">
        <v>83</v>
      </c>
      <c r="L761" t="s">
        <v>84</v>
      </c>
      <c r="M761" t="s">
        <v>85</v>
      </c>
      <c r="O761" t="str">
        <f>_xlfn.CONCAT(K761," ","Error")</f>
        <v>May Error</v>
      </c>
      <c r="P761" t="str">
        <f>_xlfn.CONCAT(L761," ","Error")</f>
        <v>Jun Error</v>
      </c>
    </row>
    <row r="762" spans="1:16" x14ac:dyDescent="0.2">
      <c r="A762" s="48">
        <v>1971</v>
      </c>
      <c r="B762" s="13">
        <v>3.13</v>
      </c>
      <c r="C762" s="13">
        <v>3.07</v>
      </c>
      <c r="D762" s="13">
        <v>3.2250000000000001</v>
      </c>
      <c r="E762" s="13">
        <v>3.1924999999999999</v>
      </c>
      <c r="F762" s="13">
        <v>3.1150000000000002</v>
      </c>
      <c r="G762" s="13">
        <v>3.2</v>
      </c>
      <c r="H762" s="13">
        <v>3.165</v>
      </c>
      <c r="I762" s="13">
        <v>3.125</v>
      </c>
      <c r="J762" s="13">
        <v>3.0249999999999999</v>
      </c>
      <c r="K762" s="13">
        <v>3.1324999999999998</v>
      </c>
      <c r="L762" s="13">
        <v>3.2850000000000001</v>
      </c>
      <c r="M762" s="13">
        <v>3.5150000000000001</v>
      </c>
      <c r="O762" s="13">
        <f t="shared" ref="O762:O793" si="41">K762-K703</f>
        <v>0.11062499999999975</v>
      </c>
      <c r="P762" s="13">
        <f t="shared" ref="P762:P793" si="42">L762-L703</f>
        <v>8.9204550000000271E-2</v>
      </c>
    </row>
    <row r="763" spans="1:16" x14ac:dyDescent="0.2">
      <c r="A763" s="48">
        <v>1972</v>
      </c>
      <c r="B763" s="13">
        <v>3.44</v>
      </c>
      <c r="C763" s="13">
        <v>3.4049999999999998</v>
      </c>
      <c r="D763" s="13">
        <v>3.4175</v>
      </c>
      <c r="E763" s="13">
        <v>3.3675000000000002</v>
      </c>
      <c r="F763" s="13">
        <v>3.3174999999999999</v>
      </c>
      <c r="G763" s="13">
        <v>3.29</v>
      </c>
      <c r="H763" s="13">
        <v>3.395</v>
      </c>
      <c r="I763" s="13">
        <v>3.5325000000000002</v>
      </c>
      <c r="J763" s="13">
        <v>3.66</v>
      </c>
      <c r="K763" s="13">
        <v>3.63</v>
      </c>
      <c r="L763" s="13">
        <v>3.5575000000000001</v>
      </c>
      <c r="M763" s="13">
        <v>3.5975000000000001</v>
      </c>
      <c r="O763" s="13">
        <f t="shared" si="41"/>
        <v>9.454545999999997E-2</v>
      </c>
      <c r="P763" s="13">
        <f t="shared" si="42"/>
        <v>7.8295460000000094E-2</v>
      </c>
    </row>
    <row r="764" spans="1:16" x14ac:dyDescent="0.2">
      <c r="A764" s="48">
        <v>1973</v>
      </c>
      <c r="B764" s="13">
        <v>3.53</v>
      </c>
      <c r="C764" s="13">
        <v>3.62</v>
      </c>
      <c r="D764" s="13">
        <v>3.6524999999999999</v>
      </c>
      <c r="E764" s="13">
        <v>3.9075000000000002</v>
      </c>
      <c r="F764" s="13">
        <v>4.37</v>
      </c>
      <c r="G764" s="13">
        <v>4.53</v>
      </c>
      <c r="H764" s="13">
        <v>5.92</v>
      </c>
      <c r="I764" s="13">
        <v>6.2750000000000004</v>
      </c>
      <c r="J764" s="13">
        <v>6.7824999999999998</v>
      </c>
      <c r="K764" s="13">
        <v>10.58</v>
      </c>
      <c r="L764" s="13">
        <v>12.9</v>
      </c>
      <c r="M764" s="13">
        <v>11.87</v>
      </c>
      <c r="O764" s="13">
        <f t="shared" si="41"/>
        <v>2.1980681900000008</v>
      </c>
      <c r="P764" s="13">
        <f t="shared" si="42"/>
        <v>1.9171052700000004</v>
      </c>
    </row>
    <row r="765" spans="1:16" x14ac:dyDescent="0.2">
      <c r="A765" s="48">
        <v>1974</v>
      </c>
      <c r="B765" s="13">
        <v>9.0299999999999994</v>
      </c>
      <c r="C765" s="13">
        <v>7.04</v>
      </c>
      <c r="D765" s="13">
        <v>6.79</v>
      </c>
      <c r="E765" s="13">
        <v>6.37</v>
      </c>
      <c r="F765" s="13">
        <v>6.5324999999999998</v>
      </c>
      <c r="G765" s="13">
        <v>6.7</v>
      </c>
      <c r="H765" s="13">
        <v>6.96</v>
      </c>
      <c r="I765" s="13">
        <v>6.61</v>
      </c>
      <c r="J765" s="13">
        <v>6.11</v>
      </c>
      <c r="K765" s="13">
        <v>5.67</v>
      </c>
      <c r="L765" s="13">
        <v>5.8849999999999998</v>
      </c>
      <c r="M765" s="13">
        <v>7.57</v>
      </c>
      <c r="O765" s="13">
        <f t="shared" si="41"/>
        <v>0.1972727299999999</v>
      </c>
      <c r="P765" s="13">
        <f t="shared" si="42"/>
        <v>0.36237500000000011</v>
      </c>
    </row>
    <row r="766" spans="1:16" x14ac:dyDescent="0.2">
      <c r="A766" s="48">
        <v>1975</v>
      </c>
      <c r="B766" s="13">
        <v>8.7100000000000009</v>
      </c>
      <c r="C766" s="13">
        <v>9.0050000000000008</v>
      </c>
      <c r="D766" s="13">
        <v>9.7249999999999996</v>
      </c>
      <c r="E766" s="13">
        <v>9.09</v>
      </c>
      <c r="F766" s="13">
        <v>8.18</v>
      </c>
      <c r="G766" s="13">
        <v>7.5</v>
      </c>
      <c r="H766" s="13">
        <v>6.31</v>
      </c>
      <c r="I766" s="13">
        <v>6.1749999999999998</v>
      </c>
      <c r="J766" s="13">
        <v>6.16</v>
      </c>
      <c r="K766" s="13">
        <v>5.38</v>
      </c>
      <c r="L766" s="13">
        <v>5.29</v>
      </c>
      <c r="M766" s="13">
        <v>5.89</v>
      </c>
      <c r="O766" s="13">
        <f t="shared" si="41"/>
        <v>0.27214285999999976</v>
      </c>
      <c r="P766" s="13">
        <f t="shared" si="42"/>
        <v>0.20178572000000017</v>
      </c>
    </row>
    <row r="767" spans="1:16" x14ac:dyDescent="0.2">
      <c r="A767" s="48">
        <v>1976</v>
      </c>
      <c r="B767" s="13">
        <v>6.85</v>
      </c>
      <c r="C767" s="13">
        <v>6.41</v>
      </c>
      <c r="D767" s="13">
        <v>6.08</v>
      </c>
      <c r="E767" s="13">
        <v>5.3</v>
      </c>
      <c r="F767" s="13">
        <v>5.28</v>
      </c>
      <c r="G767" s="13">
        <v>5.125</v>
      </c>
      <c r="H767" s="13">
        <v>5.0650000000000004</v>
      </c>
      <c r="I767" s="13">
        <v>5.01</v>
      </c>
      <c r="J767" s="13">
        <v>5.0149999999999997</v>
      </c>
      <c r="K767" s="13">
        <v>5.87</v>
      </c>
      <c r="L767" s="13">
        <v>6.8</v>
      </c>
      <c r="M767" s="13">
        <v>7.57</v>
      </c>
      <c r="O767" s="13">
        <f t="shared" si="41"/>
        <v>0.55637500000000006</v>
      </c>
      <c r="P767" s="13">
        <f t="shared" si="42"/>
        <v>0.4497727299999994</v>
      </c>
    </row>
    <row r="768" spans="1:16" x14ac:dyDescent="0.2">
      <c r="A768" s="48">
        <v>1977</v>
      </c>
      <c r="B768" s="13">
        <v>7.1</v>
      </c>
      <c r="C768" s="13">
        <v>7.67</v>
      </c>
      <c r="D768" s="13">
        <v>6.87</v>
      </c>
      <c r="E768" s="13">
        <v>6.81</v>
      </c>
      <c r="F768" s="13">
        <v>7.0350000000000001</v>
      </c>
      <c r="G768" s="13">
        <v>7.415</v>
      </c>
      <c r="H768" s="13">
        <v>7.93</v>
      </c>
      <c r="I768" s="13">
        <v>9</v>
      </c>
      <c r="J768" s="13">
        <v>10.64</v>
      </c>
      <c r="K768" s="13">
        <v>10.28</v>
      </c>
      <c r="L768" s="13">
        <v>9.81</v>
      </c>
      <c r="M768" s="13">
        <v>7.31</v>
      </c>
      <c r="O768" s="13">
        <f t="shared" si="41"/>
        <v>0.73499999999999943</v>
      </c>
      <c r="P768" s="13">
        <f t="shared" si="42"/>
        <v>1.5307954600000002</v>
      </c>
    </row>
    <row r="769" spans="1:16" x14ac:dyDescent="0.2">
      <c r="A769" s="48">
        <v>1978</v>
      </c>
      <c r="B769" s="13">
        <v>6</v>
      </c>
      <c r="C769" s="13">
        <v>5.93</v>
      </c>
      <c r="D769" s="13">
        <v>5.87</v>
      </c>
      <c r="E769" s="13">
        <v>6.5350000000000001</v>
      </c>
      <c r="F769" s="13">
        <v>6.335</v>
      </c>
      <c r="G769" s="13">
        <v>6.2350000000000003</v>
      </c>
      <c r="H769" s="13">
        <v>5.99</v>
      </c>
      <c r="I769" s="13">
        <v>7.53</v>
      </c>
      <c r="J769" s="13">
        <v>7.41</v>
      </c>
      <c r="K769" s="13">
        <v>7.58</v>
      </c>
      <c r="L769" s="13">
        <v>7.4</v>
      </c>
      <c r="M769" s="13">
        <v>7.07</v>
      </c>
      <c r="O769" s="13">
        <f t="shared" si="41"/>
        <v>0.44000000000000039</v>
      </c>
      <c r="P769" s="13">
        <f t="shared" si="42"/>
        <v>0.53056819000000033</v>
      </c>
    </row>
    <row r="770" spans="1:16" x14ac:dyDescent="0.2">
      <c r="A770" s="48">
        <v>1979</v>
      </c>
      <c r="B770" s="13">
        <v>6.73</v>
      </c>
      <c r="C770" s="13">
        <v>6.97</v>
      </c>
      <c r="D770" s="13">
        <v>7.5250000000000004</v>
      </c>
      <c r="E770" s="13">
        <v>7.36</v>
      </c>
      <c r="F770" s="13">
        <v>7.2949999999999999</v>
      </c>
      <c r="G770" s="13">
        <v>7.39</v>
      </c>
      <c r="H770" s="13">
        <v>8.0549999999999997</v>
      </c>
      <c r="I770" s="13">
        <v>7.92</v>
      </c>
      <c r="J770" s="13">
        <v>7.84</v>
      </c>
      <c r="K770" s="13">
        <v>7.5549999999999997</v>
      </c>
      <c r="L770" s="13">
        <v>8.59</v>
      </c>
      <c r="M770" s="13">
        <v>7.98</v>
      </c>
      <c r="O770" s="13">
        <f t="shared" si="41"/>
        <v>0.18499999999999961</v>
      </c>
      <c r="P770" s="13">
        <f t="shared" si="42"/>
        <v>0.78285714999999989</v>
      </c>
    </row>
    <row r="771" spans="1:16" x14ac:dyDescent="0.2">
      <c r="A771" s="48">
        <v>1980</v>
      </c>
      <c r="B771" s="13">
        <v>7.8</v>
      </c>
      <c r="C771" s="13">
        <v>8</v>
      </c>
      <c r="D771" s="13">
        <v>7.99</v>
      </c>
      <c r="E771" s="13">
        <v>7.55</v>
      </c>
      <c r="F771" s="13">
        <v>7.42</v>
      </c>
      <c r="G771" s="13">
        <v>7.23</v>
      </c>
      <c r="H771" s="13">
        <v>7.3150000000000004</v>
      </c>
      <c r="I771" s="13">
        <v>6.9249999999999998</v>
      </c>
      <c r="J771" s="13">
        <v>6.3449999999999998</v>
      </c>
      <c r="K771" s="13">
        <v>6.3949999999999996</v>
      </c>
      <c r="L771" s="13">
        <v>6.7175000000000002</v>
      </c>
      <c r="M771" s="13">
        <v>8.16</v>
      </c>
      <c r="O771" s="13">
        <f t="shared" si="41"/>
        <v>0.14666666999999922</v>
      </c>
      <c r="P771" s="13">
        <f t="shared" si="42"/>
        <v>0.38666667000000032</v>
      </c>
    </row>
    <row r="772" spans="1:16" x14ac:dyDescent="0.2">
      <c r="A772" s="48">
        <v>1981</v>
      </c>
      <c r="B772" s="13">
        <v>8.51</v>
      </c>
      <c r="C772" s="13">
        <v>9.26</v>
      </c>
      <c r="D772" s="13">
        <v>10.02</v>
      </c>
      <c r="E772" s="13">
        <v>10.24</v>
      </c>
      <c r="F772" s="13">
        <v>10.23</v>
      </c>
      <c r="G772" s="13">
        <v>8.98</v>
      </c>
      <c r="H772" s="13">
        <v>8.2249999999999996</v>
      </c>
      <c r="I772" s="13">
        <v>8.11</v>
      </c>
      <c r="J772" s="13">
        <v>8.39</v>
      </c>
      <c r="K772" s="13">
        <v>8.09</v>
      </c>
      <c r="L772" s="13">
        <v>7.68</v>
      </c>
      <c r="M772" s="13">
        <v>7.585</v>
      </c>
      <c r="O772" s="13">
        <f t="shared" si="41"/>
        <v>0.38487500000000008</v>
      </c>
      <c r="P772" s="13">
        <f t="shared" si="42"/>
        <v>0.46920454999999972</v>
      </c>
    </row>
    <row r="773" spans="1:16" x14ac:dyDescent="0.2">
      <c r="A773" s="48">
        <v>1982</v>
      </c>
      <c r="B773" s="13">
        <v>8.2650000000000006</v>
      </c>
      <c r="C773" s="13">
        <v>7.68</v>
      </c>
      <c r="D773" s="13">
        <v>7.6</v>
      </c>
      <c r="E773" s="13">
        <v>7.37</v>
      </c>
      <c r="F773" s="13">
        <v>7.1050000000000004</v>
      </c>
      <c r="G773" s="13">
        <v>6.9249999999999998</v>
      </c>
      <c r="H773" s="13">
        <v>6.98</v>
      </c>
      <c r="I773" s="13">
        <v>6.52</v>
      </c>
      <c r="J773" s="13">
        <v>6.84</v>
      </c>
      <c r="K773" s="13">
        <v>6.77</v>
      </c>
      <c r="L773" s="13">
        <v>6.46</v>
      </c>
      <c r="M773" s="13">
        <v>6.31</v>
      </c>
      <c r="O773" s="13">
        <f t="shared" si="41"/>
        <v>0.13462499999999977</v>
      </c>
      <c r="P773" s="13">
        <f t="shared" si="42"/>
        <v>0.1730681900000004</v>
      </c>
    </row>
    <row r="774" spans="1:16" x14ac:dyDescent="0.2">
      <c r="A774" s="48">
        <v>1983</v>
      </c>
      <c r="B774" s="13">
        <v>6.7750000000000004</v>
      </c>
      <c r="C774" s="13">
        <v>6.22</v>
      </c>
      <c r="D774" s="13">
        <v>5.94</v>
      </c>
      <c r="E774" s="13">
        <v>6.18</v>
      </c>
      <c r="F774" s="13">
        <v>6.0449999999999999</v>
      </c>
      <c r="G774" s="13">
        <v>6.32</v>
      </c>
      <c r="H774" s="13">
        <v>6.34</v>
      </c>
      <c r="I774" s="13">
        <v>6.5975000000000001</v>
      </c>
      <c r="J774" s="13">
        <v>6.73</v>
      </c>
      <c r="K774" s="13">
        <v>6.6</v>
      </c>
      <c r="L774" s="13">
        <v>6.2374999999999998</v>
      </c>
      <c r="M774" s="13">
        <v>6.94</v>
      </c>
      <c r="O774" s="13">
        <f t="shared" si="41"/>
        <v>0.29142857999999983</v>
      </c>
      <c r="P774" s="13">
        <f t="shared" si="42"/>
        <v>0.21499999999999986</v>
      </c>
    </row>
    <row r="775" spans="1:16" x14ac:dyDescent="0.2">
      <c r="A775" s="48">
        <v>1984</v>
      </c>
      <c r="B775" s="13">
        <v>9.7100000000000009</v>
      </c>
      <c r="C775" s="13">
        <v>9.9250000000000007</v>
      </c>
      <c r="D775" s="13">
        <v>9.1649999999999991</v>
      </c>
      <c r="E775" s="13">
        <v>9</v>
      </c>
      <c r="F775" s="13">
        <v>8.5500000000000007</v>
      </c>
      <c r="G775" s="13">
        <v>8.34</v>
      </c>
      <c r="H775" s="13">
        <v>7.7750000000000004</v>
      </c>
      <c r="I775" s="13">
        <v>8.23</v>
      </c>
      <c r="J775" s="13">
        <v>8.26</v>
      </c>
      <c r="K775" s="13">
        <v>8.99</v>
      </c>
      <c r="L775" s="13">
        <v>8.52</v>
      </c>
      <c r="M775" s="13">
        <v>7.56</v>
      </c>
      <c r="O775" s="13">
        <f t="shared" si="41"/>
        <v>0.45340910000000001</v>
      </c>
      <c r="P775" s="13">
        <f t="shared" si="42"/>
        <v>0.69976190999999943</v>
      </c>
    </row>
    <row r="776" spans="1:16" x14ac:dyDescent="0.2">
      <c r="A776" s="48">
        <v>1985</v>
      </c>
      <c r="B776" s="13">
        <v>7.05</v>
      </c>
      <c r="C776" s="13">
        <v>6.81</v>
      </c>
      <c r="D776" s="13">
        <v>6.84</v>
      </c>
      <c r="E776" s="13">
        <v>6.8449999999999998</v>
      </c>
      <c r="F776" s="13">
        <v>6.4850000000000003</v>
      </c>
      <c r="G776" s="13">
        <v>6.33</v>
      </c>
      <c r="H776" s="13">
        <v>6.3049999999999997</v>
      </c>
      <c r="I776" s="13">
        <v>6.23</v>
      </c>
      <c r="J776" s="13">
        <v>6.1875</v>
      </c>
      <c r="K776" s="13">
        <v>5.97</v>
      </c>
      <c r="L776" s="13">
        <v>5.98</v>
      </c>
      <c r="M776" s="13">
        <v>5.81</v>
      </c>
      <c r="O776" s="13">
        <f t="shared" si="41"/>
        <v>0.20534090999999943</v>
      </c>
      <c r="P776" s="13">
        <f t="shared" si="42"/>
        <v>0.21400000000000041</v>
      </c>
    </row>
    <row r="777" spans="1:16" x14ac:dyDescent="0.2">
      <c r="A777" s="48">
        <v>1986</v>
      </c>
      <c r="B777" s="13">
        <v>5.6449999999999996</v>
      </c>
      <c r="C777" s="13">
        <v>5.6775000000000002</v>
      </c>
      <c r="D777" s="13">
        <v>5.5949999999999998</v>
      </c>
      <c r="E777" s="13">
        <v>5.6349999999999998</v>
      </c>
      <c r="F777" s="13">
        <v>5.7549999999999999</v>
      </c>
      <c r="G777" s="13">
        <v>5.7525000000000004</v>
      </c>
      <c r="H777" s="13">
        <v>5.52</v>
      </c>
      <c r="I777" s="13">
        <v>5.4850000000000003</v>
      </c>
      <c r="J777" s="13">
        <v>5.6349999999999998</v>
      </c>
      <c r="K777" s="13">
        <v>5.54</v>
      </c>
      <c r="L777" s="13">
        <v>5.3449999999999998</v>
      </c>
      <c r="M777" s="13">
        <v>5.5225</v>
      </c>
      <c r="O777" s="13">
        <f t="shared" si="41"/>
        <v>0.20107142999999983</v>
      </c>
      <c r="P777" s="13">
        <f t="shared" si="42"/>
        <v>6.3333339999999794E-2</v>
      </c>
    </row>
    <row r="778" spans="1:16" x14ac:dyDescent="0.2">
      <c r="A778" s="48">
        <v>1987</v>
      </c>
      <c r="B778" s="13">
        <v>5.33</v>
      </c>
      <c r="C778" s="13">
        <v>5.18</v>
      </c>
      <c r="D778" s="13">
        <v>5.1624999999999996</v>
      </c>
      <c r="E778" s="13">
        <v>5.1475</v>
      </c>
      <c r="F778" s="13">
        <v>5.1349999999999998</v>
      </c>
      <c r="G778" s="13">
        <v>5.0274999999999999</v>
      </c>
      <c r="H778" s="13">
        <v>4.9950000000000001</v>
      </c>
      <c r="I778" s="13">
        <v>4.9775</v>
      </c>
      <c r="J778" s="13">
        <v>5.3849999999999998</v>
      </c>
      <c r="K778" s="13">
        <v>5.9249999999999998</v>
      </c>
      <c r="L778" s="13">
        <v>6.04</v>
      </c>
      <c r="M778" s="13">
        <v>5.55</v>
      </c>
      <c r="O778" s="13">
        <f t="shared" si="41"/>
        <v>0.359375</v>
      </c>
      <c r="P778" s="13">
        <f t="shared" si="42"/>
        <v>0.43920455000000036</v>
      </c>
    </row>
    <row r="779" spans="1:16" x14ac:dyDescent="0.2">
      <c r="A779" s="48">
        <v>1988</v>
      </c>
      <c r="B779" s="13">
        <v>5.4</v>
      </c>
      <c r="C779" s="13">
        <v>5.5674999999999999</v>
      </c>
      <c r="D779" s="13">
        <v>5.82</v>
      </c>
      <c r="E779" s="13">
        <v>6.2949999999999999</v>
      </c>
      <c r="F779" s="13">
        <v>6.33</v>
      </c>
      <c r="G779" s="13">
        <v>6.57</v>
      </c>
      <c r="H779" s="13">
        <v>6.6349999999999998</v>
      </c>
      <c r="I779" s="13">
        <v>6.6475</v>
      </c>
      <c r="J779" s="13">
        <v>6.99</v>
      </c>
      <c r="K779" s="13">
        <v>7.98</v>
      </c>
      <c r="L779" s="13">
        <v>10.994999999999999</v>
      </c>
      <c r="M779" s="13">
        <v>10.199999999999999</v>
      </c>
      <c r="O779" s="13">
        <f t="shared" si="41"/>
        <v>0.5819047700000004</v>
      </c>
      <c r="P779" s="13">
        <f t="shared" si="42"/>
        <v>1.6237499999999994</v>
      </c>
    </row>
    <row r="780" spans="1:16" x14ac:dyDescent="0.2">
      <c r="A780" s="48">
        <v>1989</v>
      </c>
      <c r="B780" s="13">
        <v>8.77</v>
      </c>
      <c r="C780" s="13">
        <v>9.0500000000000007</v>
      </c>
      <c r="D780" s="13">
        <v>8.35</v>
      </c>
      <c r="E780" s="13">
        <v>8.23</v>
      </c>
      <c r="F780" s="13">
        <v>8.35</v>
      </c>
      <c r="G780" s="13">
        <v>8.4700000000000006</v>
      </c>
      <c r="H780" s="13">
        <v>7.9550000000000001</v>
      </c>
      <c r="I780" s="13">
        <v>8.0449999999999999</v>
      </c>
      <c r="J780" s="13">
        <v>7.68</v>
      </c>
      <c r="K780" s="13">
        <v>7.585</v>
      </c>
      <c r="L780" s="13">
        <v>7.6</v>
      </c>
      <c r="M780" s="13">
        <v>7.79</v>
      </c>
      <c r="O780" s="13">
        <f t="shared" si="41"/>
        <v>0.30329546000000018</v>
      </c>
      <c r="P780" s="13">
        <f t="shared" si="42"/>
        <v>0.37977273</v>
      </c>
    </row>
    <row r="781" spans="1:16" x14ac:dyDescent="0.2">
      <c r="A781" s="48">
        <v>1990</v>
      </c>
      <c r="B781" s="13">
        <v>6.32</v>
      </c>
      <c r="C781" s="13">
        <v>6.2850000000000001</v>
      </c>
      <c r="D781" s="13">
        <v>6.2750000000000004</v>
      </c>
      <c r="E781" s="13">
        <v>6.31</v>
      </c>
      <c r="F781" s="13">
        <v>6.22</v>
      </c>
      <c r="G781" s="13">
        <v>6.1150000000000002</v>
      </c>
      <c r="H781" s="13">
        <v>5.9649999999999999</v>
      </c>
      <c r="I781" s="13">
        <v>6.1924999999999999</v>
      </c>
      <c r="J781" s="13">
        <v>6.56</v>
      </c>
      <c r="K781" s="13">
        <v>6.7149999999999999</v>
      </c>
      <c r="L781" s="13">
        <v>6.24</v>
      </c>
      <c r="M781" s="13">
        <v>6.55</v>
      </c>
      <c r="O781" s="13">
        <f t="shared" si="41"/>
        <v>0.41511363999999951</v>
      </c>
      <c r="P781" s="13">
        <f t="shared" si="42"/>
        <v>0.22452380999999999</v>
      </c>
    </row>
    <row r="782" spans="1:16" x14ac:dyDescent="0.2">
      <c r="A782" s="48">
        <v>1991</v>
      </c>
      <c r="B782" s="13">
        <v>6.86</v>
      </c>
      <c r="C782" s="13">
        <v>6.8250000000000002</v>
      </c>
      <c r="D782" s="13">
        <v>6.7850000000000001</v>
      </c>
      <c r="E782" s="13">
        <v>6.5324999999999998</v>
      </c>
      <c r="F782" s="13">
        <v>6.4349999999999996</v>
      </c>
      <c r="G782" s="13">
        <v>6.1550000000000002</v>
      </c>
      <c r="H782" s="13">
        <v>6.1</v>
      </c>
      <c r="I782" s="13">
        <v>6.2350000000000003</v>
      </c>
      <c r="J782" s="13">
        <v>6.1325000000000003</v>
      </c>
      <c r="K782" s="13">
        <v>5.9675000000000002</v>
      </c>
      <c r="L782" s="13">
        <v>5.88</v>
      </c>
      <c r="M782" s="13">
        <v>5.5</v>
      </c>
      <c r="O782" s="13">
        <f t="shared" si="41"/>
        <v>0.17568182000000032</v>
      </c>
      <c r="P782" s="13">
        <f t="shared" si="42"/>
        <v>0.19625000000000004</v>
      </c>
    </row>
    <row r="783" spans="1:16" x14ac:dyDescent="0.2">
      <c r="A783" s="48">
        <v>1992</v>
      </c>
      <c r="B783" s="13">
        <v>6.68</v>
      </c>
      <c r="C783" s="13">
        <v>6.47</v>
      </c>
      <c r="D783" s="13">
        <v>6.26</v>
      </c>
      <c r="E783" s="13">
        <v>5.9524999999999997</v>
      </c>
      <c r="F783" s="13">
        <v>5.85</v>
      </c>
      <c r="G783" s="13">
        <v>6.01</v>
      </c>
      <c r="H783" s="13">
        <v>6.05</v>
      </c>
      <c r="I783" s="13">
        <v>6.1449999999999996</v>
      </c>
      <c r="J783" s="13">
        <v>5.9749999999999996</v>
      </c>
      <c r="K783" s="13">
        <v>6.25</v>
      </c>
      <c r="L783" s="13">
        <v>6.37</v>
      </c>
      <c r="M783" s="13">
        <v>5.99</v>
      </c>
      <c r="O783" s="13">
        <f t="shared" si="41"/>
        <v>0.21762499999999996</v>
      </c>
      <c r="P783" s="13">
        <f t="shared" si="42"/>
        <v>0.26352273000000004</v>
      </c>
    </row>
    <row r="784" spans="1:16" x14ac:dyDescent="0.2">
      <c r="A784" s="48">
        <v>1993</v>
      </c>
      <c r="B784" s="13">
        <v>5.8550000000000004</v>
      </c>
      <c r="C784" s="13">
        <v>5.9</v>
      </c>
      <c r="D784" s="13">
        <v>5.75</v>
      </c>
      <c r="E784" s="13">
        <v>5.8674999999999997</v>
      </c>
      <c r="F784" s="13">
        <v>5.9649999999999999</v>
      </c>
      <c r="G784" s="13">
        <v>5.96</v>
      </c>
      <c r="H784" s="13">
        <v>5.85</v>
      </c>
      <c r="I784" s="13">
        <v>6.0049999999999999</v>
      </c>
      <c r="J784" s="13">
        <v>6.04</v>
      </c>
      <c r="K784" s="13">
        <v>6.1375000000000002</v>
      </c>
      <c r="L784" s="13">
        <v>6.5449999999999999</v>
      </c>
      <c r="M784" s="13">
        <v>7.55</v>
      </c>
      <c r="O784" s="13">
        <f t="shared" si="41"/>
        <v>0.10912500000000058</v>
      </c>
      <c r="P784" s="13">
        <f t="shared" si="42"/>
        <v>0.50590910000000022</v>
      </c>
    </row>
    <row r="785" spans="1:16" x14ac:dyDescent="0.2">
      <c r="A785" s="48">
        <v>1994</v>
      </c>
      <c r="B785" s="13">
        <v>7.12</v>
      </c>
      <c r="C785" s="13">
        <v>6.8</v>
      </c>
      <c r="D785" s="13">
        <v>6.4950000000000001</v>
      </c>
      <c r="E785" s="13">
        <v>7</v>
      </c>
      <c r="F785" s="13">
        <v>7.165</v>
      </c>
      <c r="G785" s="13">
        <v>7.25</v>
      </c>
      <c r="H785" s="13">
        <v>6.9649999999999999</v>
      </c>
      <c r="I785" s="13">
        <v>6.98</v>
      </c>
      <c r="J785" s="13">
        <v>6.7949999999999999</v>
      </c>
      <c r="K785" s="13">
        <v>7.3250000000000002</v>
      </c>
      <c r="L785" s="13">
        <v>7.15</v>
      </c>
      <c r="M785" s="13">
        <v>6.55</v>
      </c>
      <c r="O785" s="13">
        <f t="shared" si="41"/>
        <v>0.53440477000000008</v>
      </c>
      <c r="P785" s="13">
        <f t="shared" si="42"/>
        <v>0.35795455000000054</v>
      </c>
    </row>
    <row r="786" spans="1:16" x14ac:dyDescent="0.2">
      <c r="A786" s="48">
        <v>1995</v>
      </c>
      <c r="B786" s="13">
        <v>6.07</v>
      </c>
      <c r="C786" s="13">
        <v>6.13</v>
      </c>
      <c r="D786" s="13">
        <v>5.91</v>
      </c>
      <c r="E786" s="13">
        <v>5.98</v>
      </c>
      <c r="F786" s="13">
        <v>5.93</v>
      </c>
      <c r="G786" s="13">
        <v>5.79</v>
      </c>
      <c r="H786" s="13">
        <v>5.8125</v>
      </c>
      <c r="I786" s="13">
        <v>6.0149999999999997</v>
      </c>
      <c r="J786" s="13">
        <v>6.04</v>
      </c>
      <c r="K786" s="13">
        <v>6.1849999999999996</v>
      </c>
      <c r="L786" s="13">
        <v>6.16</v>
      </c>
      <c r="M786" s="13">
        <v>6.4850000000000003</v>
      </c>
      <c r="O786" s="13">
        <f t="shared" si="41"/>
        <v>0.35784090999999929</v>
      </c>
      <c r="P786" s="13">
        <f t="shared" si="42"/>
        <v>0.2645454599999999</v>
      </c>
    </row>
    <row r="787" spans="1:16" x14ac:dyDescent="0.2">
      <c r="A787" s="48">
        <v>1996</v>
      </c>
      <c r="B787" s="13">
        <v>6.55</v>
      </c>
      <c r="C787" s="13">
        <v>6.9850000000000003</v>
      </c>
      <c r="D787" s="13">
        <v>7.0274999999999999</v>
      </c>
      <c r="E787" s="13">
        <v>7.09</v>
      </c>
      <c r="F787" s="13">
        <v>7.54</v>
      </c>
      <c r="G787" s="13">
        <v>7.75</v>
      </c>
      <c r="H787" s="13">
        <v>7.6425000000000001</v>
      </c>
      <c r="I787" s="13">
        <v>7.6050000000000004</v>
      </c>
      <c r="J787" s="13">
        <v>8.4700000000000006</v>
      </c>
      <c r="K787" s="13">
        <v>8.35</v>
      </c>
      <c r="L787" s="13">
        <v>7.95</v>
      </c>
      <c r="M787" s="13">
        <v>8.56</v>
      </c>
      <c r="O787" s="13">
        <f t="shared" si="41"/>
        <v>0.26113636999999912</v>
      </c>
      <c r="P787" s="13">
        <f t="shared" si="42"/>
        <v>0.20525000000000038</v>
      </c>
    </row>
    <row r="788" spans="1:16" x14ac:dyDescent="0.2">
      <c r="A788" s="48">
        <v>1997</v>
      </c>
      <c r="B788" s="13">
        <v>8.1150000000000002</v>
      </c>
      <c r="C788" s="13">
        <v>8.25</v>
      </c>
      <c r="D788" s="13">
        <v>7.77</v>
      </c>
      <c r="E788" s="13">
        <v>7.15</v>
      </c>
      <c r="F788" s="13">
        <v>7.09</v>
      </c>
      <c r="G788" s="13">
        <v>7.5449999999999999</v>
      </c>
      <c r="H788" s="13">
        <v>7.9749999999999996</v>
      </c>
      <c r="I788" s="13">
        <v>8.6999999999999993</v>
      </c>
      <c r="J788" s="13">
        <v>8.9275000000000002</v>
      </c>
      <c r="K788" s="13">
        <v>9.02</v>
      </c>
      <c r="L788" s="13">
        <v>8.875</v>
      </c>
      <c r="M788" s="13">
        <v>8.25</v>
      </c>
      <c r="O788" s="13">
        <f t="shared" si="41"/>
        <v>0.34869048000000014</v>
      </c>
      <c r="P788" s="13">
        <f t="shared" si="42"/>
        <v>0.58107142999999972</v>
      </c>
    </row>
    <row r="789" spans="1:16" x14ac:dyDescent="0.2">
      <c r="A789" s="48">
        <v>1998</v>
      </c>
      <c r="B789" s="13">
        <v>6.86</v>
      </c>
      <c r="C789" s="13">
        <v>6.7149999999999999</v>
      </c>
      <c r="D789" s="13">
        <v>7.5</v>
      </c>
      <c r="E789" s="13">
        <v>7.53</v>
      </c>
      <c r="F789" s="13">
        <v>7.31</v>
      </c>
      <c r="G789" s="13">
        <v>6.94</v>
      </c>
      <c r="H789" s="13">
        <v>7.03</v>
      </c>
      <c r="I789" s="13">
        <v>6.84</v>
      </c>
      <c r="J789" s="13">
        <v>6.54</v>
      </c>
      <c r="K789" s="13">
        <v>6.5975000000000001</v>
      </c>
      <c r="L789" s="13">
        <v>6.7249999999999996</v>
      </c>
      <c r="M789" s="13">
        <v>6.73</v>
      </c>
      <c r="O789" s="13">
        <f t="shared" si="41"/>
        <v>0.20912500000000023</v>
      </c>
      <c r="P789" s="13">
        <f t="shared" si="42"/>
        <v>0.43534090999999986</v>
      </c>
    </row>
    <row r="790" spans="1:16" x14ac:dyDescent="0.2">
      <c r="A790" s="48">
        <v>1999</v>
      </c>
      <c r="B790" s="13">
        <v>5.91</v>
      </c>
      <c r="C790" s="13">
        <v>5.7625000000000002</v>
      </c>
      <c r="D790" s="13">
        <v>6.08</v>
      </c>
      <c r="E790" s="13">
        <v>6.1749999999999998</v>
      </c>
      <c r="F790" s="13">
        <v>6.17</v>
      </c>
      <c r="G790" s="13">
        <v>5.6950000000000003</v>
      </c>
      <c r="H790" s="13">
        <v>5.2874999999999996</v>
      </c>
      <c r="I790" s="13">
        <v>5.15</v>
      </c>
      <c r="J790" s="13">
        <v>5.08</v>
      </c>
      <c r="K790" s="13">
        <v>4.9249999999999998</v>
      </c>
      <c r="L790" s="13">
        <v>4.8049999999999997</v>
      </c>
      <c r="M790" s="13">
        <v>4.5149999999999997</v>
      </c>
      <c r="O790" s="13">
        <f t="shared" si="41"/>
        <v>0.20962499999999995</v>
      </c>
      <c r="P790" s="13">
        <f t="shared" si="42"/>
        <v>0.17852273000000007</v>
      </c>
    </row>
    <row r="791" spans="1:16" x14ac:dyDescent="0.2">
      <c r="A791" s="48">
        <v>2000</v>
      </c>
      <c r="B791" s="13">
        <v>5.26</v>
      </c>
      <c r="C791" s="13">
        <v>5.45</v>
      </c>
      <c r="D791" s="13">
        <v>5.3650000000000002</v>
      </c>
      <c r="E791" s="13">
        <v>5.0549999999999997</v>
      </c>
      <c r="F791" s="13">
        <v>5.01</v>
      </c>
      <c r="G791" s="13">
        <v>5.4749999999999996</v>
      </c>
      <c r="H791" s="13">
        <v>5.38</v>
      </c>
      <c r="I791" s="13">
        <v>5.59</v>
      </c>
      <c r="J791" s="13">
        <v>5.66</v>
      </c>
      <c r="K791" s="13">
        <v>5.8250000000000002</v>
      </c>
      <c r="L791" s="13">
        <v>5.42</v>
      </c>
      <c r="M791" s="13">
        <v>4.8</v>
      </c>
      <c r="O791" s="13">
        <f t="shared" si="41"/>
        <v>0.30693181999999997</v>
      </c>
      <c r="P791" s="13">
        <f t="shared" si="42"/>
        <v>0.33227272999999968</v>
      </c>
    </row>
    <row r="792" spans="1:16" x14ac:dyDescent="0.2">
      <c r="A792" s="48">
        <v>2001</v>
      </c>
      <c r="B792" s="13">
        <v>5.3949999999999996</v>
      </c>
      <c r="C792" s="13">
        <v>5.4850000000000003</v>
      </c>
      <c r="D792" s="13">
        <v>5.28</v>
      </c>
      <c r="E792" s="13">
        <v>5.3150000000000004</v>
      </c>
      <c r="F792" s="13">
        <v>5.3525</v>
      </c>
      <c r="G792" s="13">
        <v>5.24</v>
      </c>
      <c r="H792" s="13">
        <v>4.8550000000000004</v>
      </c>
      <c r="I792" s="13">
        <v>4.7774999999999999</v>
      </c>
      <c r="J792" s="13">
        <v>4.49</v>
      </c>
      <c r="K792" s="13">
        <v>4.5374999999999996</v>
      </c>
      <c r="L792" s="13">
        <v>4.88</v>
      </c>
      <c r="M792" s="13">
        <v>5.28</v>
      </c>
      <c r="O792" s="13">
        <f t="shared" si="41"/>
        <v>0.11090909999999976</v>
      </c>
      <c r="P792" s="13">
        <f t="shared" si="42"/>
        <v>0.24761904999999995</v>
      </c>
    </row>
    <row r="793" spans="1:16" x14ac:dyDescent="0.2">
      <c r="A793" s="48">
        <v>2002</v>
      </c>
      <c r="B793" s="13">
        <v>5.2</v>
      </c>
      <c r="C793" s="13">
        <v>5.0049999999999999</v>
      </c>
      <c r="D793" s="13">
        <v>4.78</v>
      </c>
      <c r="E793" s="13">
        <v>4.66</v>
      </c>
      <c r="F793" s="13">
        <v>4.6150000000000002</v>
      </c>
      <c r="G793" s="13">
        <v>4.6449999999999996</v>
      </c>
      <c r="H793" s="13">
        <v>4.5449999999999999</v>
      </c>
      <c r="I793" s="13">
        <v>4.835</v>
      </c>
      <c r="J793" s="13">
        <v>4.8449999999999998</v>
      </c>
      <c r="K793" s="13">
        <v>5.1074999999999999</v>
      </c>
      <c r="L793" s="13">
        <v>5.43</v>
      </c>
      <c r="M793" s="13">
        <v>6</v>
      </c>
      <c r="O793" s="13">
        <f t="shared" si="41"/>
        <v>0.28704545999999986</v>
      </c>
      <c r="P793" s="13">
        <f t="shared" si="42"/>
        <v>0.38549999999999951</v>
      </c>
    </row>
    <row r="794" spans="1:16" x14ac:dyDescent="0.2">
      <c r="A794" s="48">
        <v>2003</v>
      </c>
      <c r="B794" s="13">
        <v>5.6349999999999998</v>
      </c>
      <c r="C794" s="13">
        <v>5.8650000000000002</v>
      </c>
      <c r="D794" s="13">
        <v>5.5549999999999997</v>
      </c>
      <c r="E794" s="13">
        <v>5.63</v>
      </c>
      <c r="F794" s="13">
        <v>5.66</v>
      </c>
      <c r="G794" s="13">
        <v>5.74</v>
      </c>
      <c r="H794" s="13">
        <v>5.8250000000000002</v>
      </c>
      <c r="I794" s="13">
        <v>5.79</v>
      </c>
      <c r="J794" s="13">
        <v>6.335</v>
      </c>
      <c r="K794" s="13">
        <v>6.58</v>
      </c>
      <c r="L794" s="13">
        <v>6.45</v>
      </c>
      <c r="M794" s="13">
        <v>6.335</v>
      </c>
      <c r="O794" s="13">
        <f t="shared" ref="O794:O813" si="43">K794-K735</f>
        <v>0.23773810000000051</v>
      </c>
      <c r="P794" s="13">
        <f t="shared" ref="P794:P813" si="44">L794-L735</f>
        <v>0.19654762000000048</v>
      </c>
    </row>
    <row r="795" spans="1:16" x14ac:dyDescent="0.2">
      <c r="A795" s="48">
        <v>2004</v>
      </c>
      <c r="B795" s="13">
        <v>5.83</v>
      </c>
      <c r="C795" s="13">
        <v>6.4950000000000001</v>
      </c>
      <c r="D795" s="13">
        <v>7.36</v>
      </c>
      <c r="E795" s="13">
        <v>7.39</v>
      </c>
      <c r="F795" s="13">
        <v>7.8</v>
      </c>
      <c r="G795" s="13">
        <v>8.42</v>
      </c>
      <c r="H795" s="13">
        <v>9.2725000000000009</v>
      </c>
      <c r="I795" s="13">
        <v>10.59</v>
      </c>
      <c r="J795" s="13">
        <v>10.64</v>
      </c>
      <c r="K795" s="13">
        <v>10.365</v>
      </c>
      <c r="L795" s="13">
        <v>9.4</v>
      </c>
      <c r="M795" s="13">
        <v>10.35</v>
      </c>
      <c r="O795" s="13">
        <f t="shared" si="43"/>
        <v>1.0143749999999994</v>
      </c>
      <c r="P795" s="13">
        <f t="shared" si="44"/>
        <v>0.67309524000000032</v>
      </c>
    </row>
    <row r="796" spans="1:16" x14ac:dyDescent="0.2">
      <c r="A796" s="48">
        <v>2005</v>
      </c>
      <c r="B796" s="13">
        <v>6.45</v>
      </c>
      <c r="C796" s="13">
        <v>6.59</v>
      </c>
      <c r="D796" s="13">
        <v>5.6849999999999996</v>
      </c>
      <c r="E796" s="13">
        <v>5.78</v>
      </c>
      <c r="F796" s="13">
        <v>5.66</v>
      </c>
      <c r="G796" s="13">
        <v>5.6</v>
      </c>
      <c r="H796" s="13">
        <v>6.2750000000000004</v>
      </c>
      <c r="I796" s="13">
        <v>6.96</v>
      </c>
      <c r="J796" s="13">
        <v>6.5674999999999999</v>
      </c>
      <c r="K796" s="13">
        <v>6.87</v>
      </c>
      <c r="L796" s="13">
        <v>7.5750000000000002</v>
      </c>
      <c r="M796" s="13">
        <v>7.38</v>
      </c>
      <c r="O796" s="13">
        <f t="shared" si="43"/>
        <v>0.48821429000000016</v>
      </c>
      <c r="P796" s="13">
        <f t="shared" si="44"/>
        <v>0.64204546000000029</v>
      </c>
    </row>
    <row r="797" spans="1:16" x14ac:dyDescent="0.2">
      <c r="A797" s="48">
        <v>2006</v>
      </c>
      <c r="B797" s="13">
        <v>7.02</v>
      </c>
      <c r="C797" s="13">
        <v>6.38</v>
      </c>
      <c r="D797" s="13">
        <v>6.2850000000000001</v>
      </c>
      <c r="E797" s="13">
        <v>6.21</v>
      </c>
      <c r="F797" s="13">
        <v>6.47</v>
      </c>
      <c r="G797" s="13">
        <v>6.5</v>
      </c>
      <c r="H797" s="13">
        <v>6.28</v>
      </c>
      <c r="I797" s="13">
        <v>6.1849999999999996</v>
      </c>
      <c r="J797" s="13">
        <v>6.14</v>
      </c>
      <c r="K797" s="13">
        <v>6.2</v>
      </c>
      <c r="L797" s="13">
        <v>6.11</v>
      </c>
      <c r="M797" s="13">
        <v>6.13</v>
      </c>
      <c r="O797" s="13">
        <f t="shared" si="43"/>
        <v>0.22761364000000039</v>
      </c>
      <c r="P797" s="13">
        <f t="shared" si="44"/>
        <v>0.21772728000000008</v>
      </c>
    </row>
    <row r="798" spans="1:16" x14ac:dyDescent="0.2">
      <c r="A798" s="48">
        <v>2007</v>
      </c>
      <c r="B798" s="13">
        <v>6.4649999999999999</v>
      </c>
      <c r="C798" s="13">
        <v>6.0750000000000002</v>
      </c>
      <c r="D798" s="13">
        <v>6.78</v>
      </c>
      <c r="E798" s="13">
        <v>7.23</v>
      </c>
      <c r="F798" s="13">
        <v>7.23</v>
      </c>
      <c r="G798" s="13">
        <v>7.67</v>
      </c>
      <c r="H798" s="13">
        <v>8.2200000000000006</v>
      </c>
      <c r="I798" s="13">
        <v>8.0325000000000006</v>
      </c>
      <c r="J798" s="13">
        <v>8.0175000000000001</v>
      </c>
      <c r="K798" s="13">
        <v>8.16</v>
      </c>
      <c r="L798" s="13">
        <v>8.7850000000000001</v>
      </c>
      <c r="M798" s="13">
        <v>9.15</v>
      </c>
      <c r="O798" s="13">
        <f t="shared" si="43"/>
        <v>0.3927272799999999</v>
      </c>
      <c r="P798" s="13">
        <f t="shared" si="44"/>
        <v>0.54333334000000022</v>
      </c>
    </row>
    <row r="799" spans="1:16" x14ac:dyDescent="0.2">
      <c r="A799" s="48">
        <v>2008</v>
      </c>
      <c r="B799" s="13">
        <v>9.3249999999999993</v>
      </c>
      <c r="C799" s="13">
        <v>10.432499999999999</v>
      </c>
      <c r="D799" s="13">
        <v>10.57</v>
      </c>
      <c r="E799" s="13">
        <v>11.38</v>
      </c>
      <c r="F799" s="13">
        <v>12.72</v>
      </c>
      <c r="G799" s="13">
        <v>13.7675</v>
      </c>
      <c r="H799" s="13">
        <v>15.4825</v>
      </c>
      <c r="I799" s="13">
        <v>15.96</v>
      </c>
      <c r="J799" s="13">
        <v>14.15</v>
      </c>
      <c r="K799" s="13">
        <v>14.02</v>
      </c>
      <c r="L799" s="13">
        <v>16.072500000000002</v>
      </c>
      <c r="M799" s="13">
        <v>16.63</v>
      </c>
      <c r="O799" s="13">
        <f t="shared" si="43"/>
        <v>0.66023809999999905</v>
      </c>
      <c r="P799" s="13">
        <f t="shared" si="44"/>
        <v>1.0366666700000007</v>
      </c>
    </row>
    <row r="800" spans="1:16" x14ac:dyDescent="0.2">
      <c r="A800" s="48">
        <v>2009</v>
      </c>
      <c r="B800" s="13">
        <v>14.547499999999999</v>
      </c>
      <c r="C800" s="13">
        <v>13.6</v>
      </c>
      <c r="D800" s="13">
        <v>11.18</v>
      </c>
      <c r="E800" s="13">
        <v>10.15</v>
      </c>
      <c r="F800" s="13">
        <v>10.055</v>
      </c>
      <c r="G800" s="13">
        <v>10.76</v>
      </c>
      <c r="H800" s="13">
        <v>10.297499999999999</v>
      </c>
      <c r="I800" s="13">
        <v>9.7850000000000001</v>
      </c>
      <c r="J800" s="13">
        <v>10.645</v>
      </c>
      <c r="K800" s="13">
        <v>12.0075</v>
      </c>
      <c r="L800" s="13">
        <v>12.9125</v>
      </c>
      <c r="M800" s="13">
        <v>12.654999999999999</v>
      </c>
      <c r="O800" s="13">
        <f t="shared" si="43"/>
        <v>0.59725000000000072</v>
      </c>
      <c r="P800" s="13">
        <f t="shared" si="44"/>
        <v>0.79863636999999876</v>
      </c>
    </row>
    <row r="801" spans="1:16" x14ac:dyDescent="0.2">
      <c r="A801" s="48">
        <v>2010</v>
      </c>
      <c r="B801" s="13">
        <v>10.455</v>
      </c>
      <c r="C801" s="13">
        <v>9.83</v>
      </c>
      <c r="D801" s="13">
        <v>10.157500000000001</v>
      </c>
      <c r="E801" s="13">
        <v>10.815</v>
      </c>
      <c r="F801" s="13">
        <v>10.92</v>
      </c>
      <c r="G801" s="13">
        <v>10.82</v>
      </c>
      <c r="H801" s="13">
        <v>9.9024999999999999</v>
      </c>
      <c r="I801" s="13">
        <v>9.84</v>
      </c>
      <c r="J801" s="13">
        <v>10.199999999999999</v>
      </c>
      <c r="K801" s="13">
        <v>10.0275</v>
      </c>
      <c r="L801" s="13">
        <v>9.73</v>
      </c>
      <c r="M801" s="13">
        <v>10.43</v>
      </c>
      <c r="O801" s="13">
        <f t="shared" si="43"/>
        <v>0.48825000000000074</v>
      </c>
      <c r="P801" s="13">
        <f t="shared" si="44"/>
        <v>0.24500000000000099</v>
      </c>
    </row>
    <row r="802" spans="1:16" x14ac:dyDescent="0.2">
      <c r="A802" s="48">
        <v>2011</v>
      </c>
      <c r="B802" s="13">
        <v>10.5825</v>
      </c>
      <c r="C802" s="13">
        <v>11.64</v>
      </c>
      <c r="D802" s="13">
        <v>12.57</v>
      </c>
      <c r="E802" s="13">
        <v>13.58</v>
      </c>
      <c r="F802" s="13">
        <v>14.1325</v>
      </c>
      <c r="G802" s="13">
        <v>14.465</v>
      </c>
      <c r="H802" s="13">
        <v>14.744999999999999</v>
      </c>
      <c r="I802" s="13">
        <v>14.422499999999999</v>
      </c>
      <c r="J802" s="13">
        <v>14.27</v>
      </c>
      <c r="K802" s="13">
        <v>14.025</v>
      </c>
      <c r="L802" s="13">
        <v>14.195</v>
      </c>
      <c r="M802" s="13">
        <v>13.967499999999999</v>
      </c>
      <c r="O802" s="13">
        <f t="shared" si="43"/>
        <v>0.45178572000000017</v>
      </c>
      <c r="P802" s="13">
        <f t="shared" si="44"/>
        <v>0.59340910000000058</v>
      </c>
    </row>
    <row r="803" spans="1:16" x14ac:dyDescent="0.2">
      <c r="A803" s="48">
        <v>2012</v>
      </c>
      <c r="B803" s="13">
        <v>14.7075</v>
      </c>
      <c r="C803" s="13">
        <v>14.7</v>
      </c>
      <c r="D803" s="13">
        <v>12.99</v>
      </c>
      <c r="E803" s="13">
        <v>12.574999999999999</v>
      </c>
      <c r="F803" s="13">
        <v>12.37</v>
      </c>
      <c r="G803" s="13">
        <v>12.63</v>
      </c>
      <c r="H803" s="13">
        <v>13.317500000000001</v>
      </c>
      <c r="I803" s="13">
        <v>14.22</v>
      </c>
      <c r="J803" s="13">
        <v>15.07</v>
      </c>
      <c r="K803" s="13">
        <v>15.125</v>
      </c>
      <c r="L803" s="13">
        <v>15.1775</v>
      </c>
      <c r="M803" s="13">
        <v>16.795000000000002</v>
      </c>
      <c r="O803" s="13">
        <f t="shared" si="43"/>
        <v>0.93590909999999994</v>
      </c>
      <c r="P803" s="13">
        <f t="shared" si="44"/>
        <v>0.96202380999999981</v>
      </c>
    </row>
    <row r="804" spans="1:16" x14ac:dyDescent="0.2">
      <c r="A804" s="48">
        <v>2013</v>
      </c>
      <c r="B804" s="13">
        <v>15.57</v>
      </c>
      <c r="C804" s="13">
        <v>16.057500000000001</v>
      </c>
      <c r="D804" s="13">
        <v>14.97</v>
      </c>
      <c r="E804" s="13">
        <v>14.805</v>
      </c>
      <c r="F804" s="13">
        <v>14.6225</v>
      </c>
      <c r="G804" s="13">
        <v>14.63</v>
      </c>
      <c r="H804" s="13">
        <v>14.835000000000001</v>
      </c>
      <c r="I804" s="13">
        <v>14.635</v>
      </c>
      <c r="J804" s="13">
        <v>14.237500000000001</v>
      </c>
      <c r="K804" s="13">
        <v>15.467499999999999</v>
      </c>
      <c r="L804" s="13">
        <v>15.744999999999999</v>
      </c>
      <c r="M804" s="13">
        <v>16.3</v>
      </c>
      <c r="O804" s="13">
        <f t="shared" si="43"/>
        <v>1.0880681899999995</v>
      </c>
      <c r="P804" s="13">
        <f t="shared" si="44"/>
        <v>0.5</v>
      </c>
    </row>
    <row r="805" spans="1:16" x14ac:dyDescent="0.2">
      <c r="A805" s="48">
        <v>2014</v>
      </c>
      <c r="B805" s="13">
        <v>13.3</v>
      </c>
      <c r="C805" s="13">
        <v>13.44</v>
      </c>
      <c r="D805" s="13">
        <v>12.69</v>
      </c>
      <c r="E805" s="13">
        <v>12.9275</v>
      </c>
      <c r="F805" s="13">
        <v>13.0975</v>
      </c>
      <c r="G805" s="13">
        <v>12.922499999999999</v>
      </c>
      <c r="H805" s="13">
        <v>14.1675</v>
      </c>
      <c r="I805" s="13">
        <v>14.32</v>
      </c>
      <c r="J805" s="13">
        <v>15.21</v>
      </c>
      <c r="K805" s="13">
        <v>15.3675</v>
      </c>
      <c r="L805" s="13">
        <v>15.1175</v>
      </c>
      <c r="M805" s="13">
        <v>14.1</v>
      </c>
      <c r="O805" s="13">
        <f t="shared" si="43"/>
        <v>0.55726190999999936</v>
      </c>
      <c r="P805" s="13">
        <f t="shared" si="44"/>
        <v>0.74761904999999906</v>
      </c>
    </row>
    <row r="806" spans="1:16" x14ac:dyDescent="0.2">
      <c r="A806" s="48">
        <v>2015</v>
      </c>
      <c r="B806" s="13">
        <v>11.17</v>
      </c>
      <c r="C806" s="13">
        <v>10.6275</v>
      </c>
      <c r="D806" s="13">
        <v>10.785</v>
      </c>
      <c r="E806" s="13">
        <v>10.97</v>
      </c>
      <c r="F806" s="13">
        <v>10.797499999999999</v>
      </c>
      <c r="G806" s="13">
        <v>10.7075</v>
      </c>
      <c r="H806" s="13">
        <v>10.41</v>
      </c>
      <c r="I806" s="13">
        <v>10.4275</v>
      </c>
      <c r="J806" s="13">
        <v>9.9749999999999996</v>
      </c>
      <c r="K806" s="13">
        <v>9.9049999999999994</v>
      </c>
      <c r="L806" s="13">
        <v>10.592499999999999</v>
      </c>
      <c r="M806" s="13">
        <v>10.602499999999999</v>
      </c>
      <c r="O806" s="13">
        <f t="shared" si="43"/>
        <v>0.3696249999999992</v>
      </c>
      <c r="P806" s="13">
        <f t="shared" si="44"/>
        <v>0.93579545999999958</v>
      </c>
    </row>
    <row r="807" spans="1:16" x14ac:dyDescent="0.2">
      <c r="A807" s="48">
        <v>2016</v>
      </c>
      <c r="B807" s="13">
        <v>9.8574999999999999</v>
      </c>
      <c r="C807" s="13">
        <v>9.1325000000000003</v>
      </c>
      <c r="D807" s="13">
        <v>9.3475000000000001</v>
      </c>
      <c r="E807" s="13">
        <v>9.0374999999999996</v>
      </c>
      <c r="F807" s="13">
        <v>9.2349999999999994</v>
      </c>
      <c r="G807" s="13">
        <v>8.9250000000000007</v>
      </c>
      <c r="H807" s="13">
        <v>8.9600000000000009</v>
      </c>
      <c r="I807" s="13">
        <v>9.2349999999999994</v>
      </c>
      <c r="J807" s="13">
        <v>10.4625</v>
      </c>
      <c r="K807" s="13">
        <v>10.98</v>
      </c>
      <c r="L807" s="13">
        <v>12.085000000000001</v>
      </c>
      <c r="M807" s="13">
        <v>11.765000000000001</v>
      </c>
      <c r="O807" s="13">
        <f t="shared" si="43"/>
        <v>0.36583334000000001</v>
      </c>
      <c r="P807" s="13">
        <f t="shared" si="44"/>
        <v>0.62102272999999997</v>
      </c>
    </row>
    <row r="808" spans="1:16" x14ac:dyDescent="0.2">
      <c r="A808" s="48">
        <v>2017</v>
      </c>
      <c r="B808" s="13">
        <v>10.102499999999999</v>
      </c>
      <c r="C808" s="13">
        <v>10.102499999999999</v>
      </c>
      <c r="D808" s="13">
        <v>10.465</v>
      </c>
      <c r="E808" s="13">
        <v>10.8325</v>
      </c>
      <c r="F808" s="13">
        <v>10.82</v>
      </c>
      <c r="G808" s="13">
        <v>10.925000000000001</v>
      </c>
      <c r="H808" s="13">
        <v>10.817500000000001</v>
      </c>
      <c r="I808" s="13">
        <v>10.605</v>
      </c>
      <c r="J808" s="13">
        <v>9.7249999999999996</v>
      </c>
      <c r="K808" s="13">
        <v>9.89</v>
      </c>
      <c r="L808" s="13">
        <v>9.4749999999999996</v>
      </c>
      <c r="M808" s="13">
        <v>10.577500000000001</v>
      </c>
      <c r="O808" s="13">
        <f t="shared" si="43"/>
        <v>0.31613637000000061</v>
      </c>
      <c r="P808" s="13">
        <f t="shared" si="44"/>
        <v>0.22909091000000004</v>
      </c>
    </row>
    <row r="809" spans="1:16" x14ac:dyDescent="0.2">
      <c r="A809" s="48">
        <v>2018</v>
      </c>
      <c r="B809" s="13">
        <v>10.2225</v>
      </c>
      <c r="C809" s="13">
        <v>10.199999999999999</v>
      </c>
      <c r="D809" s="13">
        <v>10.385</v>
      </c>
      <c r="E809" s="13">
        <v>10.35</v>
      </c>
      <c r="F809" s="13">
        <v>10.45</v>
      </c>
      <c r="G809" s="13">
        <v>10.2525</v>
      </c>
      <c r="H809" s="13">
        <v>10.68</v>
      </c>
      <c r="I809" s="13">
        <v>10.9025</v>
      </c>
      <c r="J809" s="13">
        <v>10.78</v>
      </c>
      <c r="K809" s="13">
        <v>10.555</v>
      </c>
      <c r="L809" s="13">
        <v>10.265000000000001</v>
      </c>
      <c r="M809" s="13">
        <v>9.5724999999999998</v>
      </c>
      <c r="O809" s="13">
        <f t="shared" si="43"/>
        <v>0.3130681818181813</v>
      </c>
      <c r="P809" s="13">
        <f t="shared" si="44"/>
        <v>1.0128571428571433</v>
      </c>
    </row>
    <row r="810" spans="1:16" x14ac:dyDescent="0.2">
      <c r="A810" s="48">
        <v>2019</v>
      </c>
      <c r="B810" s="13">
        <v>9.5250000000000004</v>
      </c>
      <c r="C810" s="13">
        <v>9.0975000000000001</v>
      </c>
      <c r="D810" s="13">
        <v>9.4175000000000004</v>
      </c>
      <c r="E810" s="13">
        <v>9.3699999999999992</v>
      </c>
      <c r="F810" s="13">
        <v>9.6425000000000001</v>
      </c>
      <c r="G810" s="13">
        <v>9.5299999999999994</v>
      </c>
      <c r="H810" s="13">
        <v>9.5724999999999998</v>
      </c>
      <c r="I810" s="13">
        <v>9.3825000000000003</v>
      </c>
      <c r="J810" s="13">
        <v>9.2025000000000006</v>
      </c>
      <c r="K810" s="13">
        <v>8.9275000000000002</v>
      </c>
      <c r="L810" s="13">
        <v>9.2149999999999999</v>
      </c>
      <c r="M810" s="13">
        <v>9.6974999999999998</v>
      </c>
      <c r="O810" s="13">
        <f t="shared" si="43"/>
        <v>0.56079545454545432</v>
      </c>
      <c r="P810" s="13">
        <f t="shared" si="44"/>
        <v>0.32600000000000051</v>
      </c>
    </row>
    <row r="811" spans="1:16" x14ac:dyDescent="0.2">
      <c r="A811" s="48">
        <v>2020</v>
      </c>
      <c r="B811" s="13">
        <v>9.4375</v>
      </c>
      <c r="C811" s="13">
        <v>9.4824999999999999</v>
      </c>
      <c r="D811" s="13">
        <v>9.8550000000000004</v>
      </c>
      <c r="E811" s="13">
        <v>9.7650000000000006</v>
      </c>
      <c r="F811" s="13">
        <v>9.8025000000000002</v>
      </c>
      <c r="G811" s="13">
        <v>9.8424999999999994</v>
      </c>
      <c r="H811" s="13">
        <v>9.2074999999999996</v>
      </c>
      <c r="I811" s="13">
        <v>9.2050000000000001</v>
      </c>
      <c r="J811" s="13">
        <v>8.9024999999999999</v>
      </c>
      <c r="K811" s="13">
        <v>8.6125000000000007</v>
      </c>
      <c r="L811" s="13">
        <v>8.8049999999999997</v>
      </c>
      <c r="M811" s="13">
        <v>9.1325000000000003</v>
      </c>
      <c r="O811" s="13">
        <f t="shared" si="43"/>
        <v>0.18225000000000158</v>
      </c>
      <c r="P811" s="13">
        <f t="shared" si="44"/>
        <v>0.14107142857142918</v>
      </c>
    </row>
    <row r="812" spans="1:16" x14ac:dyDescent="0.2">
      <c r="A812" s="48">
        <v>2021</v>
      </c>
      <c r="B812" s="13">
        <v>9.7375000000000007</v>
      </c>
      <c r="C812" s="13">
        <v>10.375</v>
      </c>
      <c r="D812" s="13">
        <v>10.647500000000001</v>
      </c>
      <c r="E812" s="13">
        <v>11.945</v>
      </c>
      <c r="F812" s="13">
        <v>13.08</v>
      </c>
      <c r="G812" s="13">
        <v>14.175000000000001</v>
      </c>
      <c r="H812" s="13">
        <v>14.3375</v>
      </c>
      <c r="I812" s="13">
        <v>14.442500000000001</v>
      </c>
      <c r="J812" s="13">
        <v>15.7475</v>
      </c>
      <c r="K812" s="13">
        <v>16.675000000000001</v>
      </c>
      <c r="L812" s="13">
        <v>16.234999999999999</v>
      </c>
      <c r="M812" s="13">
        <v>13.8825</v>
      </c>
      <c r="O812" s="13">
        <f t="shared" si="43"/>
        <v>1.1031250000000004</v>
      </c>
      <c r="P812" s="13">
        <f t="shared" si="44"/>
        <v>1.6046428571428564</v>
      </c>
    </row>
    <row r="813" spans="1:16" x14ac:dyDescent="0.2">
      <c r="A813" s="48">
        <v>2022</v>
      </c>
      <c r="B813" s="13">
        <v>13.68</v>
      </c>
      <c r="C813" s="13">
        <v>13.2875</v>
      </c>
      <c r="D813" s="13">
        <v>12.97</v>
      </c>
      <c r="E813" s="13">
        <v>13.1425</v>
      </c>
      <c r="F813" s="13">
        <v>13.93</v>
      </c>
      <c r="G813" s="13">
        <v>14.9825</v>
      </c>
      <c r="H813" s="13">
        <v>17.41</v>
      </c>
      <c r="I813" s="13">
        <v>17.13</v>
      </c>
      <c r="K813" s="35">
        <f>(SUM(K808:K812)-SUM(K749:K753))/5+K754+0.25</f>
        <v>17.515313096510823</v>
      </c>
      <c r="L813" s="35">
        <f>(SUM(L808:L812)-SUM(L749:L753))/5+L754+0.25</f>
        <v>17.81356580104762</v>
      </c>
      <c r="O813" s="13">
        <f t="shared" si="43"/>
        <v>0.74507500127272763</v>
      </c>
      <c r="P813" s="13">
        <f t="shared" si="44"/>
        <v>0.91273246771428873</v>
      </c>
    </row>
    <row r="814" spans="1:16" x14ac:dyDescent="0.2">
      <c r="A814" s="48">
        <v>2023</v>
      </c>
      <c r="K814" s="35">
        <f t="shared" ref="K814:L817" si="45">(SUM(K809:K813)-SUM(K750:K754))/5+K755</f>
        <v>14.436771818436364</v>
      </c>
      <c r="L814" s="35">
        <f t="shared" si="45"/>
        <v>15.106603636399999</v>
      </c>
    </row>
    <row r="815" spans="1:16" x14ac:dyDescent="0.2">
      <c r="A815" s="48">
        <v>2024</v>
      </c>
      <c r="K815" s="35">
        <f t="shared" si="45"/>
        <v>12.799535273032729</v>
      </c>
      <c r="L815" s="35">
        <f t="shared" si="45"/>
        <v>12.485334138116089</v>
      </c>
    </row>
    <row r="816" spans="1:16" x14ac:dyDescent="0.2">
      <c r="A816" s="48">
        <v>2025</v>
      </c>
      <c r="K816" s="35">
        <f t="shared" si="45"/>
        <v>10.749146873093816</v>
      </c>
      <c r="L816" s="35">
        <f t="shared" si="45"/>
        <v>10.992937807844571</v>
      </c>
    </row>
    <row r="817" spans="1:16" x14ac:dyDescent="0.2">
      <c r="A817" s="48">
        <v>2026</v>
      </c>
      <c r="K817" s="35">
        <f t="shared" si="45"/>
        <v>13.142526247712581</v>
      </c>
      <c r="L817" s="35">
        <f t="shared" si="45"/>
        <v>13.183311083699198</v>
      </c>
    </row>
    <row r="818" spans="1:16" x14ac:dyDescent="0.2">
      <c r="A818" s="48"/>
      <c r="K818" s="35"/>
      <c r="L818" s="35"/>
    </row>
    <row r="819" spans="1:16" ht="15.75" x14ac:dyDescent="0.25">
      <c r="A819" s="51" t="s">
        <v>169</v>
      </c>
    </row>
    <row r="820" spans="1:16" ht="13.5" x14ac:dyDescent="0.25">
      <c r="A820" s="42" t="s">
        <v>155</v>
      </c>
      <c r="B820" t="s">
        <v>86</v>
      </c>
      <c r="C820" t="s">
        <v>87</v>
      </c>
      <c r="D820" t="s">
        <v>88</v>
      </c>
      <c r="E820" t="s">
        <v>89</v>
      </c>
      <c r="F820" t="s">
        <v>90</v>
      </c>
      <c r="G820" t="s">
        <v>91</v>
      </c>
      <c r="H820" t="s">
        <v>92</v>
      </c>
      <c r="I820" t="s">
        <v>93</v>
      </c>
      <c r="J820" t="s">
        <v>94</v>
      </c>
      <c r="K820" t="s">
        <v>83</v>
      </c>
      <c r="L820" t="s">
        <v>84</v>
      </c>
      <c r="M820" t="s">
        <v>85</v>
      </c>
      <c r="O820" t="str">
        <f>_xlfn.CONCAT(K820," ","Error")</f>
        <v>May Error</v>
      </c>
      <c r="P820" t="str">
        <f>_xlfn.CONCAT(L820," ","Error")</f>
        <v>Jun Error</v>
      </c>
    </row>
    <row r="821" spans="1:16" x14ac:dyDescent="0.2">
      <c r="A821" s="48">
        <v>1971</v>
      </c>
      <c r="B821" s="13">
        <v>2.915</v>
      </c>
      <c r="C821" s="13">
        <v>2.89</v>
      </c>
      <c r="D821" s="13">
        <v>2.9950000000000001</v>
      </c>
      <c r="E821" s="13">
        <v>3.0625</v>
      </c>
      <c r="F821" s="13">
        <v>3.01</v>
      </c>
      <c r="G821" s="13">
        <v>3.0375000000000001</v>
      </c>
      <c r="H821" s="13">
        <v>3.0874999999999999</v>
      </c>
      <c r="I821" s="13">
        <v>3.01</v>
      </c>
      <c r="J821" s="13">
        <v>2.8975</v>
      </c>
      <c r="K821" s="13">
        <v>2.9424999999999999</v>
      </c>
      <c r="L821" s="13">
        <v>3.0924999999999998</v>
      </c>
      <c r="M821" s="13">
        <v>3.2149999999999999</v>
      </c>
      <c r="O821" s="13">
        <f t="shared" ref="O821:O852" si="46">K703-K821</f>
        <v>7.9375000000000195E-2</v>
      </c>
      <c r="P821" s="13">
        <f t="shared" ref="P821:P852" si="47">L703-L821</f>
        <v>0.10329545000000007</v>
      </c>
    </row>
    <row r="822" spans="1:16" x14ac:dyDescent="0.2">
      <c r="A822" s="48">
        <v>1972</v>
      </c>
      <c r="B822" s="13">
        <v>3.2349999999999999</v>
      </c>
      <c r="C822" s="13">
        <v>3.1575000000000002</v>
      </c>
      <c r="D822" s="13">
        <v>3.18</v>
      </c>
      <c r="E822" s="13">
        <v>3.1524999999999999</v>
      </c>
      <c r="F822" s="13">
        <v>3.2124999999999999</v>
      </c>
      <c r="G822" s="13">
        <v>3.13</v>
      </c>
      <c r="H822" s="13">
        <v>3.2025000000000001</v>
      </c>
      <c r="I822" s="13">
        <v>3.3650000000000002</v>
      </c>
      <c r="J822" s="13">
        <v>3.46</v>
      </c>
      <c r="K822" s="13">
        <v>3.46</v>
      </c>
      <c r="L822" s="13">
        <v>3.4024999999999999</v>
      </c>
      <c r="M822" s="13">
        <v>3.47</v>
      </c>
      <c r="O822" s="13">
        <f t="shared" si="46"/>
        <v>7.5454539999999959E-2</v>
      </c>
      <c r="P822" s="13">
        <f t="shared" si="47"/>
        <v>7.6704540000000154E-2</v>
      </c>
    </row>
    <row r="823" spans="1:16" x14ac:dyDescent="0.2">
      <c r="A823" s="48">
        <v>1973</v>
      </c>
      <c r="B823" s="13">
        <v>3.3174999999999999</v>
      </c>
      <c r="C823" s="13">
        <v>3.4649999999999999</v>
      </c>
      <c r="D823" s="13">
        <v>3.4474999999999998</v>
      </c>
      <c r="E823" s="13">
        <v>3.57</v>
      </c>
      <c r="F823" s="13">
        <v>3.88</v>
      </c>
      <c r="G823" s="13">
        <v>4.0549999999999997</v>
      </c>
      <c r="H823" s="13">
        <v>4.4400000000000004</v>
      </c>
      <c r="I823" s="13">
        <v>5.0599999999999996</v>
      </c>
      <c r="J823" s="13">
        <v>5.21</v>
      </c>
      <c r="K823" s="13">
        <v>6.9325000000000001</v>
      </c>
      <c r="L823" s="13">
        <v>9.5</v>
      </c>
      <c r="M823" s="13">
        <v>6.3</v>
      </c>
      <c r="O823" s="13">
        <f t="shared" si="46"/>
        <v>1.4494318099999992</v>
      </c>
      <c r="P823" s="13">
        <f t="shared" si="47"/>
        <v>1.4828947299999999</v>
      </c>
    </row>
    <row r="824" spans="1:16" x14ac:dyDescent="0.2">
      <c r="A824" s="48">
        <v>1974</v>
      </c>
      <c r="B824" s="13">
        <v>6.75</v>
      </c>
      <c r="C824" s="13">
        <v>6.13</v>
      </c>
      <c r="D824" s="13">
        <v>5.29</v>
      </c>
      <c r="E824" s="13">
        <v>5.22</v>
      </c>
      <c r="F824" s="13">
        <v>5.9</v>
      </c>
      <c r="G824" s="13">
        <v>5.89</v>
      </c>
      <c r="H824" s="13">
        <v>6.3049999999999997</v>
      </c>
      <c r="I824" s="13">
        <v>5.95</v>
      </c>
      <c r="J824" s="13">
        <v>5.2549999999999999</v>
      </c>
      <c r="K824" s="13">
        <v>5.2</v>
      </c>
      <c r="L824" s="13">
        <v>5.3</v>
      </c>
      <c r="M824" s="13">
        <v>5.72</v>
      </c>
      <c r="O824" s="13">
        <f t="shared" si="46"/>
        <v>0.27272726999999986</v>
      </c>
      <c r="P824" s="13">
        <f t="shared" si="47"/>
        <v>0.22262499999999985</v>
      </c>
    </row>
    <row r="825" spans="1:16" x14ac:dyDescent="0.2">
      <c r="A825" s="48">
        <v>1975</v>
      </c>
      <c r="B825" s="13">
        <v>7.29</v>
      </c>
      <c r="C825" s="13">
        <v>7.16</v>
      </c>
      <c r="D825" s="13">
        <v>8.0299999999999994</v>
      </c>
      <c r="E825" s="13">
        <v>7.55</v>
      </c>
      <c r="F825" s="13">
        <v>7.15</v>
      </c>
      <c r="G825" s="13">
        <v>5.85</v>
      </c>
      <c r="H825" s="13">
        <v>5.1449999999999996</v>
      </c>
      <c r="I825" s="13">
        <v>4.9749999999999996</v>
      </c>
      <c r="J825" s="13">
        <v>5.25</v>
      </c>
      <c r="K825" s="13">
        <v>4.915</v>
      </c>
      <c r="L825" s="13">
        <v>4.9000000000000004</v>
      </c>
      <c r="M825" s="13">
        <v>4.9800000000000004</v>
      </c>
      <c r="O825" s="13">
        <f t="shared" si="46"/>
        <v>0.19285714000000009</v>
      </c>
      <c r="P825" s="13">
        <f t="shared" si="47"/>
        <v>0.18821427999999951</v>
      </c>
    </row>
    <row r="826" spans="1:16" x14ac:dyDescent="0.2">
      <c r="A826" s="48">
        <v>1976</v>
      </c>
      <c r="B826" s="13">
        <v>5.9550000000000001</v>
      </c>
      <c r="C826" s="13">
        <v>5.7750000000000004</v>
      </c>
      <c r="D826" s="13">
        <v>5.15</v>
      </c>
      <c r="E826" s="13">
        <v>4.8</v>
      </c>
      <c r="F826" s="13">
        <v>4.66</v>
      </c>
      <c r="G826" s="13">
        <v>4.6849999999999996</v>
      </c>
      <c r="H826" s="13">
        <v>4.8449999999999998</v>
      </c>
      <c r="I826" s="13">
        <v>4.7350000000000003</v>
      </c>
      <c r="J826" s="13">
        <v>4.7450000000000001</v>
      </c>
      <c r="K826" s="13">
        <v>4.8674999999999997</v>
      </c>
      <c r="L826" s="13">
        <v>5.73</v>
      </c>
      <c r="M826" s="13">
        <v>6.55</v>
      </c>
      <c r="O826" s="13">
        <f t="shared" si="46"/>
        <v>0.44612500000000033</v>
      </c>
      <c r="P826" s="13">
        <f t="shared" si="47"/>
        <v>0.62022727</v>
      </c>
    </row>
    <row r="827" spans="1:16" x14ac:dyDescent="0.2">
      <c r="A827" s="48">
        <v>1977</v>
      </c>
      <c r="B827" s="13">
        <v>6.1</v>
      </c>
      <c r="C827" s="13">
        <v>6.3150000000000004</v>
      </c>
      <c r="D827" s="13">
        <v>6.19</v>
      </c>
      <c r="E827" s="13">
        <v>6.17</v>
      </c>
      <c r="F827" s="13">
        <v>6.65</v>
      </c>
      <c r="G827" s="13">
        <v>6.89</v>
      </c>
      <c r="H827" s="13">
        <v>7.19</v>
      </c>
      <c r="I827" s="13">
        <v>7.77</v>
      </c>
      <c r="J827" s="13">
        <v>9.11</v>
      </c>
      <c r="K827" s="13">
        <v>8.9600000000000009</v>
      </c>
      <c r="L827" s="13">
        <v>7.1050000000000004</v>
      </c>
      <c r="M827" s="13">
        <v>5.76</v>
      </c>
      <c r="O827" s="13">
        <f t="shared" si="46"/>
        <v>0.58499999999999908</v>
      </c>
      <c r="P827" s="13">
        <f t="shared" si="47"/>
        <v>1.1742045399999999</v>
      </c>
    </row>
    <row r="828" spans="1:16" x14ac:dyDescent="0.2">
      <c r="A828" s="48">
        <v>1978</v>
      </c>
      <c r="B828" s="13">
        <v>5.2649999999999997</v>
      </c>
      <c r="C828" s="13">
        <v>5.28</v>
      </c>
      <c r="D828" s="13">
        <v>5.39</v>
      </c>
      <c r="E828" s="13">
        <v>5.7949999999999999</v>
      </c>
      <c r="F828" s="13">
        <v>5.97</v>
      </c>
      <c r="G828" s="13">
        <v>5.71</v>
      </c>
      <c r="H828" s="13">
        <v>5.72</v>
      </c>
      <c r="I828" s="13">
        <v>5.98</v>
      </c>
      <c r="J828" s="13">
        <v>6.51</v>
      </c>
      <c r="K828" s="13">
        <v>6.8</v>
      </c>
      <c r="L828" s="13">
        <v>6.56</v>
      </c>
      <c r="M828" s="13">
        <v>6.2050000000000001</v>
      </c>
      <c r="O828" s="13">
        <f t="shared" si="46"/>
        <v>0.33999999999999986</v>
      </c>
      <c r="P828" s="13">
        <f t="shared" si="47"/>
        <v>0.30943181000000042</v>
      </c>
    </row>
    <row r="829" spans="1:16" x14ac:dyDescent="0.2">
      <c r="A829" s="48">
        <v>1979</v>
      </c>
      <c r="B829" s="13">
        <v>6.1</v>
      </c>
      <c r="C829" s="13">
        <v>6.47</v>
      </c>
      <c r="D829" s="13">
        <v>6.75</v>
      </c>
      <c r="E829" s="13">
        <v>6.73</v>
      </c>
      <c r="F829" s="13">
        <v>6.86</v>
      </c>
      <c r="G829" s="13">
        <v>6.91</v>
      </c>
      <c r="H829" s="13">
        <v>7.23</v>
      </c>
      <c r="I829" s="13">
        <v>7.47</v>
      </c>
      <c r="J829" s="13">
        <v>7.32</v>
      </c>
      <c r="K829" s="13">
        <v>7.21</v>
      </c>
      <c r="L829" s="13">
        <v>7.3150000000000004</v>
      </c>
      <c r="M829" s="13">
        <v>7.4</v>
      </c>
      <c r="O829" s="13">
        <f t="shared" si="46"/>
        <v>0.16000000000000014</v>
      </c>
      <c r="P829" s="13">
        <f t="shared" si="47"/>
        <v>0.49214284999999958</v>
      </c>
    </row>
    <row r="830" spans="1:16" x14ac:dyDescent="0.2">
      <c r="A830" s="48">
        <v>1980</v>
      </c>
      <c r="B830" s="13">
        <v>7.26</v>
      </c>
      <c r="C830" s="13">
        <v>7.375</v>
      </c>
      <c r="D830" s="13">
        <v>7.125</v>
      </c>
      <c r="E830" s="13">
        <v>7.18</v>
      </c>
      <c r="F830" s="13">
        <v>7.0750000000000002</v>
      </c>
      <c r="G830" s="13">
        <v>6.7249999999999996</v>
      </c>
      <c r="H830" s="13">
        <v>6.8</v>
      </c>
      <c r="I830" s="13">
        <v>6.08</v>
      </c>
      <c r="J830" s="13">
        <v>5.95</v>
      </c>
      <c r="K830" s="13">
        <v>6.08</v>
      </c>
      <c r="L830" s="13">
        <v>6.1</v>
      </c>
      <c r="M830" s="13">
        <v>6.67</v>
      </c>
      <c r="O830" s="13">
        <f t="shared" si="46"/>
        <v>0.16833333000000028</v>
      </c>
      <c r="P830" s="13">
        <f t="shared" si="47"/>
        <v>0.23083333000000028</v>
      </c>
    </row>
    <row r="831" spans="1:16" x14ac:dyDescent="0.2">
      <c r="A831" s="48">
        <v>1981</v>
      </c>
      <c r="B831" s="13">
        <v>7.83</v>
      </c>
      <c r="C831" s="13">
        <v>8.48</v>
      </c>
      <c r="D831" s="13">
        <v>8.5549999999999997</v>
      </c>
      <c r="E831" s="13">
        <v>9.49</v>
      </c>
      <c r="F831" s="13">
        <v>7.9050000000000002</v>
      </c>
      <c r="G831" s="13">
        <v>7.5750000000000002</v>
      </c>
      <c r="H831" s="13">
        <v>7.7549999999999999</v>
      </c>
      <c r="I831" s="13">
        <v>7.44</v>
      </c>
      <c r="J831" s="13">
        <v>7.8550000000000004</v>
      </c>
      <c r="K831" s="13">
        <v>7.45</v>
      </c>
      <c r="L831" s="13">
        <v>6.73</v>
      </c>
      <c r="M831" s="13">
        <v>6.8849999999999998</v>
      </c>
      <c r="O831" s="13">
        <f t="shared" si="46"/>
        <v>0.2551249999999996</v>
      </c>
      <c r="P831" s="13">
        <f t="shared" si="47"/>
        <v>0.48079544999999957</v>
      </c>
    </row>
    <row r="832" spans="1:16" x14ac:dyDescent="0.2">
      <c r="A832" s="48">
        <v>1982</v>
      </c>
      <c r="B832" s="13">
        <v>7.37</v>
      </c>
      <c r="C832" s="13">
        <v>7.2249999999999996</v>
      </c>
      <c r="D832" s="13">
        <v>7.2225000000000001</v>
      </c>
      <c r="E832" s="13">
        <v>6.84</v>
      </c>
      <c r="F832" s="13">
        <v>6.3</v>
      </c>
      <c r="G832" s="13">
        <v>6.5025000000000004</v>
      </c>
      <c r="H832" s="13">
        <v>6.3274999999999997</v>
      </c>
      <c r="I832" s="13">
        <v>6.15</v>
      </c>
      <c r="J832" s="13">
        <v>6.48</v>
      </c>
      <c r="K832" s="13">
        <v>6.35</v>
      </c>
      <c r="L832" s="13">
        <v>6.1</v>
      </c>
      <c r="M832" s="13">
        <v>6.02</v>
      </c>
      <c r="O832" s="13">
        <f t="shared" si="46"/>
        <v>0.28537500000000016</v>
      </c>
      <c r="P832" s="13">
        <f t="shared" si="47"/>
        <v>0.18693180999999992</v>
      </c>
    </row>
    <row r="833" spans="1:16" x14ac:dyDescent="0.2">
      <c r="A833" s="48">
        <v>1983</v>
      </c>
      <c r="B833" s="13">
        <v>6.0449999999999999</v>
      </c>
      <c r="C833" s="13">
        <v>5.8</v>
      </c>
      <c r="D833" s="13">
        <v>5.665</v>
      </c>
      <c r="E833" s="13">
        <v>5.7750000000000004</v>
      </c>
      <c r="F833" s="13">
        <v>5.84</v>
      </c>
      <c r="G833" s="13">
        <v>5.8449999999999998</v>
      </c>
      <c r="H833" s="13">
        <v>5.85</v>
      </c>
      <c r="I833" s="13">
        <v>5.9050000000000002</v>
      </c>
      <c r="J833" s="13">
        <v>6.36</v>
      </c>
      <c r="K833" s="13">
        <v>6.07</v>
      </c>
      <c r="L833" s="13">
        <v>5.7549999999999999</v>
      </c>
      <c r="M833" s="13">
        <v>5.97</v>
      </c>
      <c r="O833" s="13">
        <f t="shared" si="46"/>
        <v>0.23857141999999953</v>
      </c>
      <c r="P833" s="13">
        <f t="shared" si="47"/>
        <v>0.26750000000000007</v>
      </c>
    </row>
    <row r="834" spans="1:16" x14ac:dyDescent="0.2">
      <c r="A834" s="48">
        <v>1984</v>
      </c>
      <c r="B834" s="13">
        <v>7.64</v>
      </c>
      <c r="C834" s="13">
        <v>8.5050000000000008</v>
      </c>
      <c r="D834" s="13">
        <v>8.2799999999999994</v>
      </c>
      <c r="E834" s="13">
        <v>7.92</v>
      </c>
      <c r="F834" s="13">
        <v>7.82</v>
      </c>
      <c r="G834" s="13">
        <v>7.5149999999999997</v>
      </c>
      <c r="H834" s="13">
        <v>7.2</v>
      </c>
      <c r="I834" s="13">
        <v>7.7175000000000002</v>
      </c>
      <c r="J834" s="13">
        <v>7.75</v>
      </c>
      <c r="K834" s="13">
        <v>7.7850000000000001</v>
      </c>
      <c r="L834" s="13">
        <v>7.16</v>
      </c>
      <c r="M834" s="13">
        <v>6.49</v>
      </c>
      <c r="O834" s="13">
        <f t="shared" si="46"/>
        <v>0.75159090000000006</v>
      </c>
      <c r="P834" s="13">
        <f t="shared" si="47"/>
        <v>0.66023809</v>
      </c>
    </row>
    <row r="835" spans="1:16" x14ac:dyDescent="0.2">
      <c r="A835" s="48">
        <v>1985</v>
      </c>
      <c r="B835" s="13">
        <v>6.49</v>
      </c>
      <c r="C835" s="13">
        <v>6.07</v>
      </c>
      <c r="D835" s="13">
        <v>6.27</v>
      </c>
      <c r="E835" s="13">
        <v>6.3425000000000002</v>
      </c>
      <c r="F835" s="13">
        <v>6.0750000000000002</v>
      </c>
      <c r="G835" s="13">
        <v>5.915</v>
      </c>
      <c r="H835" s="13">
        <v>5.82</v>
      </c>
      <c r="I835" s="13">
        <v>5.8075000000000001</v>
      </c>
      <c r="J835" s="13">
        <v>5.9249999999999998</v>
      </c>
      <c r="K835" s="13">
        <v>5.5650000000000004</v>
      </c>
      <c r="L835" s="13">
        <v>5.6</v>
      </c>
      <c r="M835" s="13">
        <v>5.51</v>
      </c>
      <c r="O835" s="13">
        <f t="shared" si="46"/>
        <v>0.19965908999999993</v>
      </c>
      <c r="P835" s="13">
        <f t="shared" si="47"/>
        <v>0.16600000000000037</v>
      </c>
    </row>
    <row r="836" spans="1:16" x14ac:dyDescent="0.2">
      <c r="A836" s="48">
        <v>1986</v>
      </c>
      <c r="B836" s="13">
        <v>5.3624999999999998</v>
      </c>
      <c r="C836" s="13">
        <v>5.375</v>
      </c>
      <c r="D836" s="13">
        <v>5.4050000000000002</v>
      </c>
      <c r="E836" s="13">
        <v>4.97</v>
      </c>
      <c r="F836" s="13">
        <v>5.1050000000000004</v>
      </c>
      <c r="G836" s="13">
        <v>5.47</v>
      </c>
      <c r="H836" s="13">
        <v>5.29</v>
      </c>
      <c r="I836" s="13">
        <v>5.28</v>
      </c>
      <c r="J836" s="13">
        <v>5.1524999999999999</v>
      </c>
      <c r="K836" s="13">
        <v>5.25</v>
      </c>
      <c r="L836" s="13">
        <v>5.0999999999999996</v>
      </c>
      <c r="M836" s="13">
        <v>5.0549999999999997</v>
      </c>
      <c r="O836" s="13">
        <f t="shared" si="46"/>
        <v>8.8928570000000207E-2</v>
      </c>
      <c r="P836" s="13">
        <f t="shared" si="47"/>
        <v>0.18166666000000031</v>
      </c>
    </row>
    <row r="837" spans="1:16" x14ac:dyDescent="0.2">
      <c r="A837" s="48">
        <v>1987</v>
      </c>
      <c r="B837" s="13">
        <v>4.9625000000000004</v>
      </c>
      <c r="C837" s="13">
        <v>4.93</v>
      </c>
      <c r="D837" s="13">
        <v>4.9649999999999999</v>
      </c>
      <c r="E837" s="13">
        <v>5.0374999999999996</v>
      </c>
      <c r="F837" s="13">
        <v>4.91</v>
      </c>
      <c r="G837" s="13">
        <v>4.9225000000000003</v>
      </c>
      <c r="H837" s="13">
        <v>4.7699999999999996</v>
      </c>
      <c r="I837" s="13">
        <v>4.8125</v>
      </c>
      <c r="J837" s="13">
        <v>4.97</v>
      </c>
      <c r="K837" s="13">
        <v>5.335</v>
      </c>
      <c r="L837" s="13">
        <v>5.2949999999999999</v>
      </c>
      <c r="M837" s="13">
        <v>5.2725</v>
      </c>
      <c r="O837" s="13">
        <f t="shared" si="46"/>
        <v>0.23062499999999986</v>
      </c>
      <c r="P837" s="13">
        <f t="shared" si="47"/>
        <v>0.30579544999999975</v>
      </c>
    </row>
    <row r="838" spans="1:16" x14ac:dyDescent="0.2">
      <c r="A838" s="48">
        <v>1988</v>
      </c>
      <c r="B838" s="13">
        <v>5.0999999999999996</v>
      </c>
      <c r="C838" s="13">
        <v>5.22</v>
      </c>
      <c r="D838" s="13">
        <v>5.46</v>
      </c>
      <c r="E838" s="13">
        <v>5.4</v>
      </c>
      <c r="F838" s="13">
        <v>5.95</v>
      </c>
      <c r="G838" s="13">
        <v>6.1749999999999998</v>
      </c>
      <c r="H838" s="13">
        <v>6.12</v>
      </c>
      <c r="I838" s="13">
        <v>6.16</v>
      </c>
      <c r="J838" s="13">
        <v>6.64</v>
      </c>
      <c r="K838" s="13">
        <v>6.92</v>
      </c>
      <c r="L838" s="13">
        <v>7.9050000000000002</v>
      </c>
      <c r="M838" s="13">
        <v>8.18</v>
      </c>
      <c r="O838" s="13">
        <f t="shared" si="46"/>
        <v>0.47809523000000009</v>
      </c>
      <c r="P838" s="13">
        <f t="shared" si="47"/>
        <v>1.4662499999999996</v>
      </c>
    </row>
    <row r="839" spans="1:16" x14ac:dyDescent="0.2">
      <c r="A839" s="48">
        <v>1989</v>
      </c>
      <c r="B839" s="13">
        <v>7.97</v>
      </c>
      <c r="C839" s="13">
        <v>8.0649999999999995</v>
      </c>
      <c r="D839" s="13">
        <v>7.8</v>
      </c>
      <c r="E839" s="13">
        <v>7.5</v>
      </c>
      <c r="F839" s="13">
        <v>7.665</v>
      </c>
      <c r="G839" s="13">
        <v>7.6050000000000004</v>
      </c>
      <c r="H839" s="13">
        <v>7.4</v>
      </c>
      <c r="I839" s="13">
        <v>7.4249999999999998</v>
      </c>
      <c r="J839" s="13">
        <v>7.15</v>
      </c>
      <c r="K839" s="13">
        <v>6.8875000000000002</v>
      </c>
      <c r="L839" s="13">
        <v>6.89</v>
      </c>
      <c r="M839" s="13">
        <v>6.73</v>
      </c>
      <c r="O839" s="13">
        <f t="shared" si="46"/>
        <v>0.3942045399999996</v>
      </c>
      <c r="P839" s="13">
        <f t="shared" si="47"/>
        <v>0.33022726999999996</v>
      </c>
    </row>
    <row r="840" spans="1:16" x14ac:dyDescent="0.2">
      <c r="A840" s="48">
        <v>1990</v>
      </c>
      <c r="B840" s="13">
        <v>5.93</v>
      </c>
      <c r="C840" s="13">
        <v>6.0149999999999997</v>
      </c>
      <c r="D840" s="13">
        <v>5.7850000000000001</v>
      </c>
      <c r="E840" s="13">
        <v>5.9974999999999996</v>
      </c>
      <c r="F840" s="13">
        <v>6.04</v>
      </c>
      <c r="G840" s="13">
        <v>5.78</v>
      </c>
      <c r="H840" s="13">
        <v>5.8150000000000004</v>
      </c>
      <c r="I840" s="13">
        <v>5.8949999999999996</v>
      </c>
      <c r="J840" s="13">
        <v>5.95</v>
      </c>
      <c r="K840" s="13">
        <v>6.04</v>
      </c>
      <c r="L840" s="13">
        <v>5.83</v>
      </c>
      <c r="M840" s="13">
        <v>5.9450000000000003</v>
      </c>
      <c r="O840" s="13">
        <f t="shared" si="46"/>
        <v>0.25988636000000032</v>
      </c>
      <c r="P840" s="13">
        <f t="shared" si="47"/>
        <v>0.18547619000000015</v>
      </c>
    </row>
    <row r="841" spans="1:16" x14ac:dyDescent="0.2">
      <c r="A841" s="48">
        <v>1991</v>
      </c>
      <c r="B841" s="13">
        <v>6.25</v>
      </c>
      <c r="C841" s="13">
        <v>6.51</v>
      </c>
      <c r="D841" s="13">
        <v>6.44</v>
      </c>
      <c r="E841" s="13">
        <v>6.0350000000000001</v>
      </c>
      <c r="F841" s="13">
        <v>5.9950000000000001</v>
      </c>
      <c r="G841" s="13">
        <v>5.76</v>
      </c>
      <c r="H841" s="13">
        <v>5.8949999999999996</v>
      </c>
      <c r="I841" s="13">
        <v>5.7850000000000001</v>
      </c>
      <c r="J841" s="13">
        <v>5.88</v>
      </c>
      <c r="K841" s="13">
        <v>5.6749999999999998</v>
      </c>
      <c r="L841" s="13">
        <v>5.2249999999999996</v>
      </c>
      <c r="M841" s="13">
        <v>5.1849999999999996</v>
      </c>
      <c r="O841" s="13">
        <f t="shared" si="46"/>
        <v>0.1168181800000001</v>
      </c>
      <c r="P841" s="13">
        <f t="shared" si="47"/>
        <v>0.45875000000000021</v>
      </c>
    </row>
    <row r="842" spans="1:16" x14ac:dyDescent="0.2">
      <c r="A842" s="48">
        <v>1992</v>
      </c>
      <c r="B842" s="13">
        <v>5.625</v>
      </c>
      <c r="C842" s="13">
        <v>6.11</v>
      </c>
      <c r="D842" s="13">
        <v>5.7774999999999999</v>
      </c>
      <c r="E842" s="13">
        <v>5.6924999999999999</v>
      </c>
      <c r="F842" s="13">
        <v>5.66</v>
      </c>
      <c r="G842" s="13">
        <v>5.63</v>
      </c>
      <c r="H842" s="13">
        <v>5.79</v>
      </c>
      <c r="I842" s="13">
        <v>5.91</v>
      </c>
      <c r="J842" s="13">
        <v>5.7324999999999999</v>
      </c>
      <c r="K842" s="13">
        <v>5.7824999999999998</v>
      </c>
      <c r="L842" s="13">
        <v>5.9050000000000002</v>
      </c>
      <c r="M842" s="13">
        <v>5.5449999999999999</v>
      </c>
      <c r="O842" s="13">
        <f t="shared" si="46"/>
        <v>0.24987500000000029</v>
      </c>
      <c r="P842" s="13">
        <f t="shared" si="47"/>
        <v>0.20147726999999982</v>
      </c>
    </row>
    <row r="843" spans="1:16" x14ac:dyDescent="0.2">
      <c r="A843" s="48">
        <v>1993</v>
      </c>
      <c r="B843" s="13">
        <v>5.51</v>
      </c>
      <c r="C843" s="13">
        <v>5.6449999999999996</v>
      </c>
      <c r="D843" s="13">
        <v>5.5449999999999999</v>
      </c>
      <c r="E843" s="13">
        <v>5.62</v>
      </c>
      <c r="F843" s="13">
        <v>5.7324999999999999</v>
      </c>
      <c r="G843" s="13">
        <v>5.7850000000000001</v>
      </c>
      <c r="H843" s="13">
        <v>5.6950000000000003</v>
      </c>
      <c r="I843" s="13">
        <v>5.8</v>
      </c>
      <c r="J843" s="13">
        <v>5.87</v>
      </c>
      <c r="K843" s="13">
        <v>5.88</v>
      </c>
      <c r="L843" s="13">
        <v>5.8049999999999997</v>
      </c>
      <c r="M843" s="13">
        <v>6.42</v>
      </c>
      <c r="O843" s="13">
        <f t="shared" si="46"/>
        <v>0.1483749999999997</v>
      </c>
      <c r="P843" s="13">
        <f t="shared" si="47"/>
        <v>0.23409089999999999</v>
      </c>
    </row>
    <row r="844" spans="1:16" x14ac:dyDescent="0.2">
      <c r="A844" s="48">
        <v>1994</v>
      </c>
      <c r="B844" s="13">
        <v>6.6</v>
      </c>
      <c r="C844" s="13">
        <v>6.3250000000000002</v>
      </c>
      <c r="D844" s="13">
        <v>6.28</v>
      </c>
      <c r="E844" s="13">
        <v>6.38</v>
      </c>
      <c r="F844" s="13">
        <v>6.7424999999999997</v>
      </c>
      <c r="G844" s="13">
        <v>6.8449999999999998</v>
      </c>
      <c r="H844" s="13">
        <v>6.7649999999999997</v>
      </c>
      <c r="I844" s="13">
        <v>6.6749999999999998</v>
      </c>
      <c r="J844" s="13">
        <v>6.4924999999999997</v>
      </c>
      <c r="K844" s="13">
        <v>6.56</v>
      </c>
      <c r="L844" s="13">
        <v>6.5350000000000001</v>
      </c>
      <c r="M844" s="13">
        <v>5.9249999999999998</v>
      </c>
      <c r="O844" s="13">
        <f t="shared" si="46"/>
        <v>0.23059523000000048</v>
      </c>
      <c r="P844" s="13">
        <f t="shared" si="47"/>
        <v>0.25704544999999968</v>
      </c>
    </row>
    <row r="845" spans="1:16" x14ac:dyDescent="0.2">
      <c r="A845" s="48">
        <v>1995</v>
      </c>
      <c r="B845" s="13">
        <v>5.8</v>
      </c>
      <c r="C845" s="13">
        <v>5.7024999999999997</v>
      </c>
      <c r="D845" s="13">
        <v>5.6349999999999998</v>
      </c>
      <c r="E845" s="13">
        <v>5.7750000000000004</v>
      </c>
      <c r="F845" s="13">
        <v>5.76</v>
      </c>
      <c r="G845" s="13">
        <v>5.6150000000000002</v>
      </c>
      <c r="H845" s="13">
        <v>5.5925000000000002</v>
      </c>
      <c r="I845" s="13">
        <v>5.7149999999999999</v>
      </c>
      <c r="J845" s="13">
        <v>5.75</v>
      </c>
      <c r="K845" s="13">
        <v>5.66</v>
      </c>
      <c r="L845" s="13">
        <v>5.7</v>
      </c>
      <c r="M845" s="13">
        <v>5.8150000000000004</v>
      </c>
      <c r="O845" s="13">
        <f t="shared" si="46"/>
        <v>0.16715909000000018</v>
      </c>
      <c r="P845" s="13">
        <f t="shared" si="47"/>
        <v>0.19545454000000007</v>
      </c>
    </row>
    <row r="846" spans="1:16" x14ac:dyDescent="0.2">
      <c r="A846" s="48">
        <v>1996</v>
      </c>
      <c r="B846" s="13">
        <v>6.2050000000000001</v>
      </c>
      <c r="C846" s="13">
        <v>6.5049999999999999</v>
      </c>
      <c r="D846" s="13">
        <v>6.63</v>
      </c>
      <c r="E846" s="13">
        <v>6.8650000000000002</v>
      </c>
      <c r="F846" s="13">
        <v>7.02</v>
      </c>
      <c r="G846" s="13">
        <v>7.31</v>
      </c>
      <c r="H846" s="13">
        <v>7.335</v>
      </c>
      <c r="I846" s="13">
        <v>7.2149999999999999</v>
      </c>
      <c r="J846" s="13">
        <v>7.56</v>
      </c>
      <c r="K846" s="13">
        <v>7.7149999999999999</v>
      </c>
      <c r="L846" s="13">
        <v>7.56</v>
      </c>
      <c r="M846" s="13">
        <v>7.62</v>
      </c>
      <c r="O846" s="13">
        <f t="shared" si="46"/>
        <v>0.37386363000000067</v>
      </c>
      <c r="P846" s="13">
        <f t="shared" si="47"/>
        <v>0.18475000000000019</v>
      </c>
    </row>
    <row r="847" spans="1:16" x14ac:dyDescent="0.2">
      <c r="A847" s="48">
        <v>1997</v>
      </c>
      <c r="B847" s="13">
        <v>7.4249999999999998</v>
      </c>
      <c r="C847" s="13">
        <v>7.74</v>
      </c>
      <c r="D847" s="13">
        <v>6.81</v>
      </c>
      <c r="E847" s="13">
        <v>6.68</v>
      </c>
      <c r="F847" s="13">
        <v>6.77</v>
      </c>
      <c r="G847" s="13">
        <v>6.875</v>
      </c>
      <c r="H847" s="13">
        <v>7.2850000000000001</v>
      </c>
      <c r="I847" s="13">
        <v>7.9524999999999997</v>
      </c>
      <c r="J847" s="13">
        <v>8.25</v>
      </c>
      <c r="K847" s="13">
        <v>8.3049999999999997</v>
      </c>
      <c r="L847" s="13">
        <v>7.58</v>
      </c>
      <c r="M847" s="13">
        <v>7.0350000000000001</v>
      </c>
      <c r="O847" s="13">
        <f t="shared" si="46"/>
        <v>0.36630951999999972</v>
      </c>
      <c r="P847" s="13">
        <f t="shared" si="47"/>
        <v>0.71392857000000021</v>
      </c>
    </row>
    <row r="848" spans="1:16" x14ac:dyDescent="0.2">
      <c r="A848" s="48">
        <v>1998</v>
      </c>
      <c r="B848" s="13">
        <v>6.3150000000000004</v>
      </c>
      <c r="C848" s="13">
        <v>6.48</v>
      </c>
      <c r="D848" s="13">
        <v>6.4249999999999998</v>
      </c>
      <c r="E848" s="13">
        <v>7.1524999999999999</v>
      </c>
      <c r="F848" s="13">
        <v>6.8550000000000004</v>
      </c>
      <c r="G848" s="13">
        <v>6.64</v>
      </c>
      <c r="H848" s="13">
        <v>6.5650000000000004</v>
      </c>
      <c r="I848" s="13">
        <v>6.43</v>
      </c>
      <c r="J848" s="13">
        <v>6.28</v>
      </c>
      <c r="K848" s="13">
        <v>6.1425000000000001</v>
      </c>
      <c r="L848" s="13">
        <v>6.0650000000000004</v>
      </c>
      <c r="M848" s="13">
        <v>6.2</v>
      </c>
      <c r="O848" s="13">
        <f t="shared" si="46"/>
        <v>0.24587499999999984</v>
      </c>
      <c r="P848" s="13">
        <f t="shared" si="47"/>
        <v>0.2246590899999994</v>
      </c>
    </row>
    <row r="849" spans="1:16" x14ac:dyDescent="0.2">
      <c r="A849" s="48">
        <v>1999</v>
      </c>
      <c r="B849" s="13">
        <v>5.51</v>
      </c>
      <c r="C849" s="13">
        <v>5.49</v>
      </c>
      <c r="D849" s="13">
        <v>5.55</v>
      </c>
      <c r="E849" s="13">
        <v>5.83</v>
      </c>
      <c r="F849" s="13">
        <v>5.52</v>
      </c>
      <c r="G849" s="13">
        <v>5.16</v>
      </c>
      <c r="H849" s="13">
        <v>4.6550000000000002</v>
      </c>
      <c r="I849" s="13">
        <v>4.6550000000000002</v>
      </c>
      <c r="J849" s="13">
        <v>4.8</v>
      </c>
      <c r="K849" s="13">
        <v>4.5225</v>
      </c>
      <c r="L849" s="13">
        <v>4.43</v>
      </c>
      <c r="M849" s="13">
        <v>4.0149999999999997</v>
      </c>
      <c r="O849" s="13">
        <f t="shared" si="46"/>
        <v>0.19287499999999991</v>
      </c>
      <c r="P849" s="13">
        <f t="shared" si="47"/>
        <v>0.19647726999999993</v>
      </c>
    </row>
    <row r="850" spans="1:16" x14ac:dyDescent="0.2">
      <c r="A850" s="48">
        <v>2000</v>
      </c>
      <c r="B850" s="13">
        <v>4.74</v>
      </c>
      <c r="C850" s="13">
        <v>5.05</v>
      </c>
      <c r="D850" s="13">
        <v>4.97</v>
      </c>
      <c r="E850" s="13">
        <v>4.7699999999999996</v>
      </c>
      <c r="F850" s="13">
        <v>4.6500000000000004</v>
      </c>
      <c r="G850" s="13">
        <v>4.7750000000000004</v>
      </c>
      <c r="H850" s="13">
        <v>5.085</v>
      </c>
      <c r="I850" s="13">
        <v>5.1150000000000002</v>
      </c>
      <c r="J850" s="13">
        <v>5.33</v>
      </c>
      <c r="K850" s="13">
        <v>5.1224999999999996</v>
      </c>
      <c r="L850" s="13">
        <v>4.7699999999999996</v>
      </c>
      <c r="M850" s="13">
        <v>4.63</v>
      </c>
      <c r="O850" s="13">
        <f t="shared" si="46"/>
        <v>0.3955681800000006</v>
      </c>
      <c r="P850" s="13">
        <f t="shared" si="47"/>
        <v>0.31772727000000067</v>
      </c>
    </row>
    <row r="851" spans="1:16" x14ac:dyDescent="0.2">
      <c r="A851" s="48">
        <v>2001</v>
      </c>
      <c r="B851" s="13">
        <v>4.8499999999999996</v>
      </c>
      <c r="C851" s="13">
        <v>5.18</v>
      </c>
      <c r="D851" s="13">
        <v>4.9000000000000004</v>
      </c>
      <c r="E851" s="13">
        <v>4.9375</v>
      </c>
      <c r="F851" s="13">
        <v>5.1749999999999998</v>
      </c>
      <c r="G851" s="13">
        <v>4.7</v>
      </c>
      <c r="H851" s="13">
        <v>4.5025000000000004</v>
      </c>
      <c r="I851" s="13">
        <v>4.32</v>
      </c>
      <c r="J851" s="13">
        <v>4.2125000000000004</v>
      </c>
      <c r="K851" s="13">
        <v>4.34</v>
      </c>
      <c r="L851" s="13">
        <v>4.4874999999999998</v>
      </c>
      <c r="M851" s="13">
        <v>4.79</v>
      </c>
      <c r="O851" s="13">
        <f t="shared" si="46"/>
        <v>8.6590900000000026E-2</v>
      </c>
      <c r="P851" s="13">
        <f t="shared" si="47"/>
        <v>0.14488095000000012</v>
      </c>
    </row>
    <row r="852" spans="1:16" x14ac:dyDescent="0.2">
      <c r="A852" s="48">
        <v>2002</v>
      </c>
      <c r="B852" s="13">
        <v>4.8550000000000004</v>
      </c>
      <c r="C852" s="13">
        <v>4.7549999999999999</v>
      </c>
      <c r="D852" s="13">
        <v>4.415</v>
      </c>
      <c r="E852" s="13">
        <v>4.4400000000000004</v>
      </c>
      <c r="F852" s="13">
        <v>4.2925000000000004</v>
      </c>
      <c r="G852" s="13">
        <v>4.25</v>
      </c>
      <c r="H852" s="13">
        <v>4.3375000000000004</v>
      </c>
      <c r="I852" s="13">
        <v>4.4450000000000003</v>
      </c>
      <c r="J852" s="13">
        <v>4.5599999999999996</v>
      </c>
      <c r="K852" s="13">
        <v>4.57</v>
      </c>
      <c r="L852" s="13">
        <v>4.87</v>
      </c>
      <c r="M852" s="13">
        <v>5.37</v>
      </c>
      <c r="O852" s="13">
        <f t="shared" si="46"/>
        <v>0.25045453999999978</v>
      </c>
      <c r="P852" s="13">
        <f t="shared" si="47"/>
        <v>0.1745000000000001</v>
      </c>
    </row>
    <row r="853" spans="1:16" x14ac:dyDescent="0.2">
      <c r="A853" s="48">
        <v>2003</v>
      </c>
      <c r="B853" s="13">
        <v>5.2</v>
      </c>
      <c r="C853" s="13">
        <v>5.4574999999999996</v>
      </c>
      <c r="D853" s="13">
        <v>5.3049999999999997</v>
      </c>
      <c r="E853" s="13">
        <v>5.39</v>
      </c>
      <c r="F853" s="13">
        <v>5.4249999999999998</v>
      </c>
      <c r="G853" s="13">
        <v>5.36</v>
      </c>
      <c r="H853" s="13">
        <v>5.51</v>
      </c>
      <c r="I853" s="13">
        <v>5.56</v>
      </c>
      <c r="J853" s="13">
        <v>5.7125000000000004</v>
      </c>
      <c r="K853" s="13">
        <v>6.16</v>
      </c>
      <c r="L853" s="13">
        <v>6.1</v>
      </c>
      <c r="M853" s="13">
        <v>6.08</v>
      </c>
      <c r="O853" s="13">
        <f t="shared" ref="O853:O872" si="48">K735-K853</f>
        <v>0.18226189999999942</v>
      </c>
      <c r="P853" s="13">
        <f t="shared" ref="P853:P872" si="49">L735-L853</f>
        <v>0.15345238000000005</v>
      </c>
    </row>
    <row r="854" spans="1:16" x14ac:dyDescent="0.2">
      <c r="A854" s="48">
        <v>2004</v>
      </c>
      <c r="B854" s="13">
        <v>5.2450000000000001</v>
      </c>
      <c r="C854" s="13">
        <v>5.6349999999999998</v>
      </c>
      <c r="D854" s="13">
        <v>6.39</v>
      </c>
      <c r="E854" s="13">
        <v>6.98</v>
      </c>
      <c r="F854" s="13">
        <v>7.2</v>
      </c>
      <c r="G854" s="13">
        <v>7.65</v>
      </c>
      <c r="H854" s="13">
        <v>7.86</v>
      </c>
      <c r="I854" s="13">
        <v>8.99</v>
      </c>
      <c r="J854" s="13">
        <v>9.2100000000000009</v>
      </c>
      <c r="K854" s="13">
        <v>8.1199999999999992</v>
      </c>
      <c r="L854" s="13">
        <v>8.0075000000000003</v>
      </c>
      <c r="M854" s="13">
        <v>8.4</v>
      </c>
      <c r="O854" s="13">
        <f t="shared" si="48"/>
        <v>1.2306250000000016</v>
      </c>
      <c r="P854" s="13">
        <f t="shared" si="49"/>
        <v>0.71940475999999975</v>
      </c>
    </row>
    <row r="855" spans="1:16" x14ac:dyDescent="0.2">
      <c r="A855" s="48">
        <v>2005</v>
      </c>
      <c r="B855" s="13">
        <v>5.77</v>
      </c>
      <c r="C855" s="13">
        <v>5.5250000000000004</v>
      </c>
      <c r="D855" s="13">
        <v>5.34</v>
      </c>
      <c r="E855" s="13">
        <v>5.23</v>
      </c>
      <c r="F855" s="13">
        <v>5.32</v>
      </c>
      <c r="G855" s="13">
        <v>5.13</v>
      </c>
      <c r="H855" s="13">
        <v>5.0599999999999996</v>
      </c>
      <c r="I855" s="13">
        <v>6.12</v>
      </c>
      <c r="J855" s="13">
        <v>6.1050000000000004</v>
      </c>
      <c r="K855" s="13">
        <v>6.0650000000000004</v>
      </c>
      <c r="L855" s="13">
        <v>6.47</v>
      </c>
      <c r="M855" s="13">
        <v>6.5575000000000001</v>
      </c>
      <c r="O855" s="13">
        <f t="shared" si="48"/>
        <v>0.31678570999999955</v>
      </c>
      <c r="P855" s="13">
        <f t="shared" si="49"/>
        <v>0.46295454000000014</v>
      </c>
    </row>
    <row r="856" spans="1:16" x14ac:dyDescent="0.2">
      <c r="A856" s="48">
        <v>2006</v>
      </c>
      <c r="B856" s="13">
        <v>6.15</v>
      </c>
      <c r="C856" s="13">
        <v>5.84</v>
      </c>
      <c r="D856" s="13">
        <v>5.82</v>
      </c>
      <c r="E856" s="13">
        <v>5.6449999999999996</v>
      </c>
      <c r="F856" s="13">
        <v>5.72</v>
      </c>
      <c r="G856" s="13">
        <v>5.8125</v>
      </c>
      <c r="H856" s="13">
        <v>5.92</v>
      </c>
      <c r="I856" s="13">
        <v>5.84</v>
      </c>
      <c r="J856" s="13">
        <v>5.6725000000000003</v>
      </c>
      <c r="K856" s="13">
        <v>5.7750000000000004</v>
      </c>
      <c r="L856" s="13">
        <v>5.665</v>
      </c>
      <c r="M856" s="13">
        <v>5.92</v>
      </c>
      <c r="O856" s="13">
        <f t="shared" si="48"/>
        <v>0.19738635999999943</v>
      </c>
      <c r="P856" s="13">
        <f t="shared" si="49"/>
        <v>0.22727272000000021</v>
      </c>
    </row>
    <row r="857" spans="1:16" x14ac:dyDescent="0.2">
      <c r="A857" s="48">
        <v>2007</v>
      </c>
      <c r="B857" s="13">
        <v>5.95</v>
      </c>
      <c r="C857" s="13">
        <v>5.8224999999999998</v>
      </c>
      <c r="D857" s="13">
        <v>5.87</v>
      </c>
      <c r="E857" s="13">
        <v>6.65</v>
      </c>
      <c r="F857" s="13">
        <v>6.8250000000000002</v>
      </c>
      <c r="G857" s="13">
        <v>6.85</v>
      </c>
      <c r="H857" s="13">
        <v>7.4649999999999999</v>
      </c>
      <c r="I857" s="13">
        <v>7.54</v>
      </c>
      <c r="J857" s="13">
        <v>7.2450000000000001</v>
      </c>
      <c r="K857" s="13">
        <v>7.34</v>
      </c>
      <c r="L857" s="13">
        <v>7.9175000000000004</v>
      </c>
      <c r="M857" s="13">
        <v>8.49</v>
      </c>
      <c r="O857" s="13">
        <f t="shared" si="48"/>
        <v>0.42727272000000038</v>
      </c>
      <c r="P857" s="13">
        <f t="shared" si="49"/>
        <v>0.3241666599999995</v>
      </c>
    </row>
    <row r="858" spans="1:16" x14ac:dyDescent="0.2">
      <c r="A858" s="48">
        <v>2008</v>
      </c>
      <c r="B858" s="13">
        <v>8.4849999999999994</v>
      </c>
      <c r="C858" s="13">
        <v>9.31</v>
      </c>
      <c r="D858" s="13">
        <v>9.65</v>
      </c>
      <c r="E858" s="13">
        <v>10.065</v>
      </c>
      <c r="F858" s="13">
        <v>10.984999999999999</v>
      </c>
      <c r="G858" s="13">
        <v>12.2075</v>
      </c>
      <c r="H858" s="13">
        <v>13.07</v>
      </c>
      <c r="I858" s="13">
        <v>12.15</v>
      </c>
      <c r="J858" s="13">
        <v>11.215</v>
      </c>
      <c r="K858" s="13">
        <v>12.44</v>
      </c>
      <c r="L858" s="13">
        <v>13.465</v>
      </c>
      <c r="M858" s="13">
        <v>15.185</v>
      </c>
      <c r="O858" s="13">
        <f t="shared" si="48"/>
        <v>0.91976190000000102</v>
      </c>
      <c r="P858" s="13">
        <f t="shared" si="49"/>
        <v>1.570833330000001</v>
      </c>
    </row>
    <row r="859" spans="1:16" x14ac:dyDescent="0.2">
      <c r="A859" s="48">
        <v>2009</v>
      </c>
      <c r="B859" s="13">
        <v>12.27</v>
      </c>
      <c r="C859" s="13">
        <v>10.9475</v>
      </c>
      <c r="D859" s="13">
        <v>8.67</v>
      </c>
      <c r="E859" s="13">
        <v>8.58</v>
      </c>
      <c r="F859" s="13">
        <v>7.96</v>
      </c>
      <c r="G859" s="13">
        <v>9.76</v>
      </c>
      <c r="H859" s="13">
        <v>8.5374999999999996</v>
      </c>
      <c r="I859" s="13">
        <v>8.41</v>
      </c>
      <c r="J859" s="13">
        <v>9.4175000000000004</v>
      </c>
      <c r="K859" s="13">
        <v>10.44</v>
      </c>
      <c r="L859" s="13">
        <v>11.505000000000001</v>
      </c>
      <c r="M859" s="13">
        <v>10.5825</v>
      </c>
      <c r="O859" s="13">
        <f t="shared" si="48"/>
        <v>0.97025000000000006</v>
      </c>
      <c r="P859" s="13">
        <f t="shared" si="49"/>
        <v>0.6088636300000001</v>
      </c>
    </row>
    <row r="860" spans="1:16" x14ac:dyDescent="0.2">
      <c r="A860" s="48">
        <v>2010</v>
      </c>
      <c r="B860" s="13">
        <v>9.4875000000000007</v>
      </c>
      <c r="C860" s="13">
        <v>9.09</v>
      </c>
      <c r="D860" s="13">
        <v>8.91</v>
      </c>
      <c r="E860" s="13">
        <v>9.6150000000000002</v>
      </c>
      <c r="F860" s="13">
        <v>10.025</v>
      </c>
      <c r="G860" s="13">
        <v>9.3224999999999998</v>
      </c>
      <c r="H860" s="13">
        <v>9.1999999999999993</v>
      </c>
      <c r="I860" s="13">
        <v>9.3000000000000007</v>
      </c>
      <c r="J860" s="13">
        <v>9.4149999999999991</v>
      </c>
      <c r="K860" s="13">
        <v>9.2750000000000004</v>
      </c>
      <c r="L860" s="13">
        <v>9.26</v>
      </c>
      <c r="M860" s="13">
        <v>9.4324999999999992</v>
      </c>
      <c r="O860" s="13">
        <f t="shared" si="48"/>
        <v>0.26424999999999876</v>
      </c>
      <c r="P860" s="13">
        <f t="shared" si="49"/>
        <v>0.22499999999999964</v>
      </c>
    </row>
    <row r="861" spans="1:16" x14ac:dyDescent="0.2">
      <c r="A861" s="48">
        <v>2011</v>
      </c>
      <c r="B861" s="13">
        <v>10.125</v>
      </c>
      <c r="C861" s="13">
        <v>10.3</v>
      </c>
      <c r="D861" s="13">
        <v>10.69</v>
      </c>
      <c r="E861" s="13">
        <v>11.8575</v>
      </c>
      <c r="F861" s="13">
        <v>12.54</v>
      </c>
      <c r="G861" s="13">
        <v>13.6875</v>
      </c>
      <c r="H861" s="13">
        <v>13.05</v>
      </c>
      <c r="I861" s="13">
        <v>12.78</v>
      </c>
      <c r="J861" s="13">
        <v>13.282500000000001</v>
      </c>
      <c r="K861" s="13">
        <v>13.065</v>
      </c>
      <c r="L861" s="13">
        <v>12.9</v>
      </c>
      <c r="M861" s="13">
        <v>13.0725</v>
      </c>
      <c r="O861" s="13">
        <f t="shared" si="48"/>
        <v>0.50821428000000068</v>
      </c>
      <c r="P861" s="13">
        <f t="shared" si="49"/>
        <v>0.70159089999999935</v>
      </c>
    </row>
    <row r="862" spans="1:16" x14ac:dyDescent="0.2">
      <c r="A862" s="48">
        <v>2012</v>
      </c>
      <c r="B862" s="13">
        <v>13.0375</v>
      </c>
      <c r="C862" s="13">
        <v>12.1</v>
      </c>
      <c r="D862" s="13">
        <v>11.895</v>
      </c>
      <c r="E862" s="13">
        <v>11.297499999999999</v>
      </c>
      <c r="F862" s="13">
        <v>11.255000000000001</v>
      </c>
      <c r="G862" s="13">
        <v>11.705</v>
      </c>
      <c r="H862" s="13">
        <v>12.2075</v>
      </c>
      <c r="I862" s="13">
        <v>13.137499999999999</v>
      </c>
      <c r="J862" s="13">
        <v>14.095000000000001</v>
      </c>
      <c r="K862" s="13">
        <v>13.395</v>
      </c>
      <c r="L862" s="13">
        <v>13.175000000000001</v>
      </c>
      <c r="M862" s="13">
        <v>15.225</v>
      </c>
      <c r="O862" s="13">
        <f t="shared" si="48"/>
        <v>0.79409090000000049</v>
      </c>
      <c r="P862" s="13">
        <f t="shared" si="49"/>
        <v>1.0404761899999997</v>
      </c>
    </row>
    <row r="863" spans="1:16" x14ac:dyDescent="0.2">
      <c r="A863" s="48">
        <v>2013</v>
      </c>
      <c r="B863" s="13">
        <v>14.1</v>
      </c>
      <c r="C863" s="13">
        <v>14.4575</v>
      </c>
      <c r="D863" s="13">
        <v>14.105</v>
      </c>
      <c r="E863" s="13">
        <v>13.317500000000001</v>
      </c>
      <c r="F863" s="13">
        <v>13.835000000000001</v>
      </c>
      <c r="G863" s="13">
        <v>13.39</v>
      </c>
      <c r="H863" s="13">
        <v>13.845000000000001</v>
      </c>
      <c r="I863" s="13">
        <v>13.76</v>
      </c>
      <c r="J863" s="13">
        <v>13.365</v>
      </c>
      <c r="K863" s="13">
        <v>13.654999999999999</v>
      </c>
      <c r="L863" s="13">
        <v>14.855</v>
      </c>
      <c r="M863" s="13">
        <v>15.345000000000001</v>
      </c>
      <c r="O863" s="13">
        <f t="shared" si="48"/>
        <v>0.72443181000000045</v>
      </c>
      <c r="P863" s="13">
        <f t="shared" si="49"/>
        <v>0.38999999999999879</v>
      </c>
    </row>
    <row r="864" spans="1:16" x14ac:dyDescent="0.2">
      <c r="A864" s="48">
        <v>2014</v>
      </c>
      <c r="B864" s="13">
        <v>11.8</v>
      </c>
      <c r="C864" s="13">
        <v>12.4</v>
      </c>
      <c r="D864" s="13">
        <v>12.24</v>
      </c>
      <c r="E864" s="13">
        <v>12.21</v>
      </c>
      <c r="F864" s="13">
        <v>12.605</v>
      </c>
      <c r="G864" s="13">
        <v>12.34</v>
      </c>
      <c r="H864" s="13">
        <v>12.487500000000001</v>
      </c>
      <c r="I864" s="13">
        <v>13.5025</v>
      </c>
      <c r="J864" s="13">
        <v>14.27</v>
      </c>
      <c r="K864" s="13">
        <v>14.4175</v>
      </c>
      <c r="L864" s="13">
        <v>13.727499999999999</v>
      </c>
      <c r="M864" s="13">
        <v>12.4925</v>
      </c>
      <c r="O864" s="13">
        <f t="shared" si="48"/>
        <v>0.39273808999999993</v>
      </c>
      <c r="P864" s="13">
        <f t="shared" si="49"/>
        <v>0.6423809500000015</v>
      </c>
    </row>
    <row r="865" spans="1:16" x14ac:dyDescent="0.2">
      <c r="A865" s="48">
        <v>2015</v>
      </c>
      <c r="B865" s="13">
        <v>10.442500000000001</v>
      </c>
      <c r="C865" s="13">
        <v>9.3650000000000002</v>
      </c>
      <c r="D865" s="13">
        <v>9.3524999999999991</v>
      </c>
      <c r="E865" s="13">
        <v>10.105</v>
      </c>
      <c r="F865" s="13">
        <v>10.029999999999999</v>
      </c>
      <c r="G865" s="13">
        <v>9.67</v>
      </c>
      <c r="H865" s="13">
        <v>9.68</v>
      </c>
      <c r="I865" s="13">
        <v>9.5625</v>
      </c>
      <c r="J865" s="13">
        <v>9.49</v>
      </c>
      <c r="K865" s="13">
        <v>9.2050000000000001</v>
      </c>
      <c r="L865" s="13">
        <v>9.2149999999999999</v>
      </c>
      <c r="M865" s="13">
        <v>9.99</v>
      </c>
      <c r="O865" s="13">
        <f t="shared" si="48"/>
        <v>0.33037500000000009</v>
      </c>
      <c r="P865" s="13">
        <f t="shared" si="49"/>
        <v>0.44170453999999992</v>
      </c>
    </row>
    <row r="866" spans="1:16" x14ac:dyDescent="0.2">
      <c r="A866" s="48">
        <v>2016</v>
      </c>
      <c r="B866" s="13">
        <v>8.6649999999999991</v>
      </c>
      <c r="C866" s="13">
        <v>8.6649999999999991</v>
      </c>
      <c r="D866" s="13">
        <v>8.8524999999999991</v>
      </c>
      <c r="E866" s="13">
        <v>8.5950000000000006</v>
      </c>
      <c r="F866" s="13">
        <v>8.6624999999999996</v>
      </c>
      <c r="G866" s="13">
        <v>8.6300000000000008</v>
      </c>
      <c r="H866" s="13">
        <v>8.6649999999999991</v>
      </c>
      <c r="I866" s="13">
        <v>8.6199999999999992</v>
      </c>
      <c r="J866" s="13">
        <v>9.0875000000000004</v>
      </c>
      <c r="K866" s="13">
        <v>10.085000000000001</v>
      </c>
      <c r="L866" s="13">
        <v>10.68</v>
      </c>
      <c r="M866" s="13">
        <v>10.535</v>
      </c>
      <c r="O866" s="13">
        <f t="shared" si="48"/>
        <v>0.52916665999999957</v>
      </c>
      <c r="P866" s="13">
        <f t="shared" si="49"/>
        <v>0.78397727000000117</v>
      </c>
    </row>
    <row r="867" spans="1:16" x14ac:dyDescent="0.2">
      <c r="A867" s="48">
        <v>2017</v>
      </c>
      <c r="B867" s="13">
        <v>9.4024999999999999</v>
      </c>
      <c r="C867" s="13">
        <v>9.4849999999999994</v>
      </c>
      <c r="D867" s="13">
        <v>9.6524999999999999</v>
      </c>
      <c r="E867" s="13">
        <v>9.9725000000000001</v>
      </c>
      <c r="F867" s="13">
        <v>10.1275</v>
      </c>
      <c r="G867" s="13">
        <v>10.0825</v>
      </c>
      <c r="H867" s="13">
        <v>10.255000000000001</v>
      </c>
      <c r="I867" s="13">
        <v>9.5500000000000007</v>
      </c>
      <c r="J867" s="13">
        <v>9.4124999999999996</v>
      </c>
      <c r="K867" s="13">
        <v>9.0950000000000006</v>
      </c>
      <c r="L867" s="13">
        <v>9.0024999999999995</v>
      </c>
      <c r="M867" s="13">
        <v>9.8275000000000006</v>
      </c>
      <c r="O867" s="13">
        <f t="shared" si="48"/>
        <v>0.47886362999999932</v>
      </c>
      <c r="P867" s="13">
        <f t="shared" si="49"/>
        <v>0.24340909000000011</v>
      </c>
    </row>
    <row r="868" spans="1:16" x14ac:dyDescent="0.2">
      <c r="A868" s="48">
        <v>2018</v>
      </c>
      <c r="B868" s="13">
        <v>9.52</v>
      </c>
      <c r="C868" s="13">
        <v>9.7324999999999999</v>
      </c>
      <c r="D868" s="13">
        <v>9.89</v>
      </c>
      <c r="E868" s="13">
        <v>9.9649999999999999</v>
      </c>
      <c r="F868" s="13">
        <v>9.7675000000000001</v>
      </c>
      <c r="G868" s="13">
        <v>9.6524999999999999</v>
      </c>
      <c r="H868" s="13">
        <v>9.8874999999999993</v>
      </c>
      <c r="I868" s="13">
        <v>10.202500000000001</v>
      </c>
      <c r="J868" s="13">
        <v>9.9450000000000003</v>
      </c>
      <c r="K868" s="13">
        <v>9.9250000000000007</v>
      </c>
      <c r="L868" s="13">
        <v>8.4149999999999991</v>
      </c>
      <c r="M868" s="13">
        <v>8.6425000000000001</v>
      </c>
      <c r="O868" s="13">
        <f t="shared" si="48"/>
        <v>0.3169318181818177</v>
      </c>
      <c r="P868" s="13">
        <f t="shared" si="49"/>
        <v>0.83714285714285808</v>
      </c>
    </row>
    <row r="869" spans="1:16" x14ac:dyDescent="0.2">
      <c r="A869" s="48">
        <v>2019</v>
      </c>
      <c r="B869" s="13">
        <v>8.7825000000000006</v>
      </c>
      <c r="C869" s="13">
        <v>8.6325000000000003</v>
      </c>
      <c r="D869" s="13">
        <v>8.8375000000000004</v>
      </c>
      <c r="E869" s="13">
        <v>8.8524999999999991</v>
      </c>
      <c r="F869" s="13">
        <v>9.0649999999999995</v>
      </c>
      <c r="G869" s="13">
        <v>9.18</v>
      </c>
      <c r="H869" s="13">
        <v>9.2050000000000001</v>
      </c>
      <c r="I869" s="13">
        <v>8.9649999999999999</v>
      </c>
      <c r="J869" s="13">
        <v>8.5124999999999993</v>
      </c>
      <c r="K869" s="13">
        <v>7.91</v>
      </c>
      <c r="L869" s="13">
        <v>8.4824999999999999</v>
      </c>
      <c r="M869" s="13">
        <v>9.2974999999999994</v>
      </c>
      <c r="O869" s="13">
        <f t="shared" si="48"/>
        <v>0.45670454545454575</v>
      </c>
      <c r="P869" s="13">
        <f t="shared" si="49"/>
        <v>0.40649999999999942</v>
      </c>
    </row>
    <row r="870" spans="1:16" x14ac:dyDescent="0.2">
      <c r="A870" s="48">
        <v>2020</v>
      </c>
      <c r="B870" s="13">
        <v>9.0124999999999993</v>
      </c>
      <c r="C870" s="13">
        <v>9.0175000000000001</v>
      </c>
      <c r="D870" s="13">
        <v>9.4474999999999998</v>
      </c>
      <c r="E870" s="13">
        <v>9.18</v>
      </c>
      <c r="F870" s="13">
        <v>9.1125000000000007</v>
      </c>
      <c r="G870" s="13">
        <v>9.0024999999999995</v>
      </c>
      <c r="H870" s="13">
        <v>8.8975000000000009</v>
      </c>
      <c r="I870" s="13">
        <v>8.2899999999999991</v>
      </c>
      <c r="J870" s="13">
        <v>8.1850000000000005</v>
      </c>
      <c r="K870" s="13">
        <v>8.2850000000000001</v>
      </c>
      <c r="L870" s="13">
        <v>8.34</v>
      </c>
      <c r="M870" s="13">
        <v>8.8249999999999993</v>
      </c>
      <c r="O870" s="13">
        <f t="shared" si="48"/>
        <v>0.14524999999999899</v>
      </c>
      <c r="P870" s="13">
        <f t="shared" si="49"/>
        <v>0.32392857142857068</v>
      </c>
    </row>
    <row r="871" spans="1:16" x14ac:dyDescent="0.2">
      <c r="A871" s="48">
        <v>2021</v>
      </c>
      <c r="B871" s="13">
        <v>8.86</v>
      </c>
      <c r="C871" s="13">
        <v>9.5525000000000002</v>
      </c>
      <c r="D871" s="13">
        <v>10.135</v>
      </c>
      <c r="E871" s="13">
        <v>10.352499999999999</v>
      </c>
      <c r="F871" s="13">
        <v>11.385</v>
      </c>
      <c r="G871" s="13">
        <v>12.8225</v>
      </c>
      <c r="H871" s="13">
        <v>13.1975</v>
      </c>
      <c r="I871" s="13">
        <v>13.55</v>
      </c>
      <c r="J871" s="13">
        <v>13.7475</v>
      </c>
      <c r="K871" s="13">
        <v>14.8925</v>
      </c>
      <c r="L871" s="13">
        <v>13.234999999999999</v>
      </c>
      <c r="M871" s="13">
        <v>12.71</v>
      </c>
      <c r="O871" s="13">
        <f t="shared" si="48"/>
        <v>0.67937500000000028</v>
      </c>
      <c r="P871" s="13">
        <f t="shared" si="49"/>
        <v>1.3953571428571436</v>
      </c>
    </row>
    <row r="872" spans="1:16" x14ac:dyDescent="0.2">
      <c r="A872" s="48">
        <v>2022</v>
      </c>
      <c r="B872" s="13">
        <v>12.875</v>
      </c>
      <c r="C872" s="13">
        <v>12.7525</v>
      </c>
      <c r="D872" s="13">
        <v>12.227499999999999</v>
      </c>
      <c r="E872" s="13">
        <v>12.135</v>
      </c>
      <c r="F872" s="13">
        <v>12.3925</v>
      </c>
      <c r="G872" s="13">
        <v>13.574999999999999</v>
      </c>
      <c r="H872" s="13">
        <v>14.875</v>
      </c>
      <c r="I872" s="13">
        <v>15.942500000000001</v>
      </c>
      <c r="J872" s="13"/>
      <c r="K872" s="35">
        <f>(SUM(K867:K871)-SUM(K749:K753))/5+K754-0.25</f>
        <v>16.104813096510824</v>
      </c>
      <c r="L872" s="35">
        <f>(SUM(L867:L871)-SUM(L749:L753))/5+L754-0.25</f>
        <v>16.009565801047618</v>
      </c>
      <c r="O872" s="13">
        <f t="shared" si="48"/>
        <v>0.66542499872727134</v>
      </c>
      <c r="P872" s="13">
        <f t="shared" si="49"/>
        <v>0.89126753228571332</v>
      </c>
    </row>
    <row r="873" spans="1:16" x14ac:dyDescent="0.2">
      <c r="A873" s="48">
        <v>2023</v>
      </c>
      <c r="K873" s="35">
        <f t="shared" ref="K873:L876" si="50">(SUM(K868:K872)-SUM(K750:K754))/5+K755</f>
        <v>13.403171818436364</v>
      </c>
      <c r="L873" s="35">
        <f t="shared" si="50"/>
        <v>13.536303636399998</v>
      </c>
      <c r="O873" s="13">
        <f>K755-K873</f>
        <v>0.4527372724727261</v>
      </c>
      <c r="P873" s="13">
        <f t="shared" ref="P873" si="51">L755-L873</f>
        <v>0.77083922074285915</v>
      </c>
    </row>
    <row r="874" spans="1:16" x14ac:dyDescent="0.2">
      <c r="A874" s="48">
        <v>2024</v>
      </c>
      <c r="K874" s="35">
        <f t="shared" si="50"/>
        <v>11.685215273032727</v>
      </c>
      <c r="L874" s="35">
        <f t="shared" si="50"/>
        <v>10.970974138116091</v>
      </c>
    </row>
    <row r="875" spans="1:16" x14ac:dyDescent="0.2">
      <c r="A875" s="48">
        <v>2025</v>
      </c>
      <c r="K875" s="35">
        <f t="shared" si="50"/>
        <v>9.6154628730938168</v>
      </c>
      <c r="L875" s="35">
        <f t="shared" si="50"/>
        <v>9.322205807844572</v>
      </c>
    </row>
    <row r="876" spans="1:16" x14ac:dyDescent="0.2">
      <c r="A876" s="48">
        <v>2026</v>
      </c>
      <c r="K876" s="35">
        <f t="shared" si="50"/>
        <v>11.847605447712581</v>
      </c>
      <c r="L876" s="35">
        <f t="shared" si="50"/>
        <v>11.271432683699201</v>
      </c>
    </row>
    <row r="878" spans="1:16" ht="15.75" x14ac:dyDescent="0.25">
      <c r="A878" s="51" t="s">
        <v>170</v>
      </c>
    </row>
    <row r="879" spans="1:16" ht="13.5" x14ac:dyDescent="0.25">
      <c r="A879" s="42" t="s">
        <v>155</v>
      </c>
      <c r="B879" t="s">
        <v>87</v>
      </c>
      <c r="C879" t="s">
        <v>88</v>
      </c>
      <c r="D879" t="s">
        <v>89</v>
      </c>
      <c r="E879" t="s">
        <v>90</v>
      </c>
      <c r="F879" t="s">
        <v>91</v>
      </c>
      <c r="G879" t="s">
        <v>92</v>
      </c>
      <c r="H879" t="s">
        <v>93</v>
      </c>
      <c r="I879" t="s">
        <v>94</v>
      </c>
      <c r="J879" t="s">
        <v>83</v>
      </c>
      <c r="K879" t="s">
        <v>84</v>
      </c>
      <c r="L879" t="s">
        <v>85</v>
      </c>
      <c r="M879" t="s">
        <v>86</v>
      </c>
    </row>
    <row r="880" spans="1:16" x14ac:dyDescent="0.2">
      <c r="A880" s="48">
        <v>1971</v>
      </c>
      <c r="B880" s="13">
        <v>2.9501190400000001</v>
      </c>
      <c r="C880" s="13">
        <v>3.04806818</v>
      </c>
      <c r="D880" s="13">
        <v>3.10710526</v>
      </c>
      <c r="E880" s="13">
        <v>3.0414772700000001</v>
      </c>
      <c r="F880" s="13">
        <v>3.1034999999999999</v>
      </c>
      <c r="G880" s="13">
        <v>3.08973684</v>
      </c>
      <c r="H880" s="13">
        <v>3.0620652100000001</v>
      </c>
      <c r="I880" s="13">
        <v>2.95154761</v>
      </c>
      <c r="J880" s="13">
        <v>3.0147499999999998</v>
      </c>
      <c r="K880" s="13">
        <v>3.1992045400000002</v>
      </c>
      <c r="L880" s="13">
        <v>3.3713095200000001</v>
      </c>
      <c r="M880" s="13">
        <v>3.3021666600000001</v>
      </c>
    </row>
    <row r="881" spans="1:13" x14ac:dyDescent="0.2">
      <c r="A881" s="48">
        <v>1972</v>
      </c>
      <c r="B881" s="13">
        <v>3.2144047599999999</v>
      </c>
      <c r="C881" s="13">
        <v>3.2549999999999999</v>
      </c>
      <c r="D881" s="13">
        <v>3.2324999999999999</v>
      </c>
      <c r="E881" s="13">
        <v>3.2479761900000002</v>
      </c>
      <c r="F881" s="13">
        <v>3.2028571399999999</v>
      </c>
      <c r="G881" s="13">
        <v>3.2662499999999999</v>
      </c>
      <c r="H881" s="13">
        <v>3.4401136299999999</v>
      </c>
      <c r="I881" s="13">
        <v>3.5571250000000001</v>
      </c>
      <c r="J881" s="13">
        <v>3.5247727200000001</v>
      </c>
      <c r="K881" s="13">
        <v>3.4726136300000001</v>
      </c>
      <c r="L881" s="13">
        <v>3.507625</v>
      </c>
      <c r="M881" s="13">
        <v>3.5959374999999998</v>
      </c>
    </row>
    <row r="882" spans="1:13" x14ac:dyDescent="0.2">
      <c r="A882" s="48">
        <v>1973</v>
      </c>
      <c r="B882" s="13">
        <v>3.504</v>
      </c>
      <c r="C882" s="13">
        <v>3.4962499999999999</v>
      </c>
      <c r="D882" s="13">
        <v>3.6884999999999999</v>
      </c>
      <c r="E882" s="13">
        <v>4.05565789</v>
      </c>
      <c r="F882" s="13">
        <v>4.1471428499999998</v>
      </c>
      <c r="G882" s="13">
        <v>5.1176315700000004</v>
      </c>
      <c r="H882" s="13">
        <v>5.3660227200000001</v>
      </c>
      <c r="I882" s="13">
        <v>5.7370000000000001</v>
      </c>
      <c r="J882" s="13">
        <v>7.87579545</v>
      </c>
      <c r="K882" s="13">
        <v>10.50210526</v>
      </c>
      <c r="L882" s="13">
        <v>9.4023809499999995</v>
      </c>
      <c r="M882" s="13">
        <v>9.7251562499999995</v>
      </c>
    </row>
    <row r="883" spans="1:13" x14ac:dyDescent="0.2">
      <c r="A883" s="48">
        <v>1974</v>
      </c>
      <c r="B883" s="13">
        <v>6.49</v>
      </c>
      <c r="C883" s="13">
        <v>5.9713636299999999</v>
      </c>
      <c r="D883" s="13">
        <v>5.67119047</v>
      </c>
      <c r="E883" s="13">
        <v>6.09263157</v>
      </c>
      <c r="F883" s="13">
        <v>6.3384090899999999</v>
      </c>
      <c r="G883" s="13">
        <v>6.5268055499999997</v>
      </c>
      <c r="H883" s="13">
        <v>6.34416666</v>
      </c>
      <c r="I883" s="13">
        <v>5.5367857100000002</v>
      </c>
      <c r="J883" s="13">
        <v>5.4781818099999997</v>
      </c>
      <c r="K883" s="13">
        <v>5.5259999999999998</v>
      </c>
      <c r="L883" s="13">
        <v>7.0996590900000003</v>
      </c>
      <c r="M883" s="13">
        <v>7.9930000000000003</v>
      </c>
    </row>
    <row r="884" spans="1:13" x14ac:dyDescent="0.2">
      <c r="A884" s="48">
        <v>1975</v>
      </c>
      <c r="B884" s="13">
        <v>7.8747499999999997</v>
      </c>
      <c r="C884" s="13">
        <v>8.8786956499999992</v>
      </c>
      <c r="D884" s="13">
        <v>8.2213157799999994</v>
      </c>
      <c r="E884" s="13">
        <v>7.6683333300000003</v>
      </c>
      <c r="F884" s="13">
        <v>6.6613636300000003</v>
      </c>
      <c r="G884" s="13">
        <v>5.8867105200000003</v>
      </c>
      <c r="H884" s="13">
        <v>5.6743750000000004</v>
      </c>
      <c r="I884" s="13">
        <v>5.6496590900000001</v>
      </c>
      <c r="J884" s="13">
        <v>5.0539285700000001</v>
      </c>
      <c r="K884" s="13">
        <v>5.0097619</v>
      </c>
      <c r="L884" s="13">
        <v>5.5544318099999996</v>
      </c>
      <c r="M884" s="13">
        <v>6.1032142800000004</v>
      </c>
    </row>
    <row r="885" spans="1:13" x14ac:dyDescent="0.2">
      <c r="A885" s="48">
        <v>1976</v>
      </c>
      <c r="B885" s="13">
        <v>6.0321428499999996</v>
      </c>
      <c r="C885" s="13">
        <v>5.5817391299999999</v>
      </c>
      <c r="D885" s="13">
        <v>5.1005263100000002</v>
      </c>
      <c r="E885" s="13">
        <v>4.9359523799999998</v>
      </c>
      <c r="F885" s="13">
        <v>4.9432142800000003</v>
      </c>
      <c r="G885" s="13">
        <v>4.9934210500000002</v>
      </c>
      <c r="H885" s="13">
        <v>4.9190217299999999</v>
      </c>
      <c r="I885" s="13">
        <v>4.9279761899999999</v>
      </c>
      <c r="J885" s="13">
        <v>5.3501250000000002</v>
      </c>
      <c r="K885" s="13">
        <v>6.3810227199999998</v>
      </c>
      <c r="L885" s="13">
        <v>6.8270238000000001</v>
      </c>
      <c r="M885" s="13">
        <v>6.2480000000000002</v>
      </c>
    </row>
    <row r="886" spans="1:13" x14ac:dyDescent="0.2">
      <c r="A886" s="48">
        <v>1977</v>
      </c>
      <c r="B886" s="13">
        <v>6.4637500000000001</v>
      </c>
      <c r="C886" s="13">
        <v>6.5185714199999998</v>
      </c>
      <c r="D886" s="13">
        <v>6.5017500000000004</v>
      </c>
      <c r="E886" s="13">
        <v>6.7513095200000004</v>
      </c>
      <c r="F886" s="13">
        <v>7.1413095200000001</v>
      </c>
      <c r="G886" s="13">
        <v>7.4130263100000002</v>
      </c>
      <c r="H886" s="13">
        <v>8.3757608599999998</v>
      </c>
      <c r="I886" s="13">
        <v>9.6401249999999994</v>
      </c>
      <c r="J886" s="13">
        <v>9.3251249999999999</v>
      </c>
      <c r="K886" s="13">
        <v>8.2386363599999992</v>
      </c>
      <c r="L886" s="13">
        <v>6.3572499999999996</v>
      </c>
      <c r="M886" s="13">
        <v>5.8357812500000001</v>
      </c>
    </row>
    <row r="887" spans="1:13" x14ac:dyDescent="0.2">
      <c r="A887" s="48">
        <v>1978</v>
      </c>
      <c r="B887" s="13">
        <v>5.5488095199999998</v>
      </c>
      <c r="C887" s="13">
        <v>5.6255952300000001</v>
      </c>
      <c r="D887" s="13">
        <v>6.1832142799999996</v>
      </c>
      <c r="E887" s="13">
        <v>6.12</v>
      </c>
      <c r="F887" s="13">
        <v>5.9524999999999997</v>
      </c>
      <c r="G887" s="13">
        <v>5.8590789399999998</v>
      </c>
      <c r="H887" s="13">
        <v>6.7647727199999999</v>
      </c>
      <c r="I887" s="13">
        <v>6.7673750000000004</v>
      </c>
      <c r="J887" s="13">
        <v>6.9805681799999997</v>
      </c>
      <c r="K887" s="13">
        <v>6.7747727199999996</v>
      </c>
      <c r="L887" s="13">
        <v>6.5045000000000002</v>
      </c>
      <c r="M887" s="13">
        <v>6.3414062500000004</v>
      </c>
    </row>
    <row r="888" spans="1:13" x14ac:dyDescent="0.2">
      <c r="A888" s="48">
        <v>1979</v>
      </c>
      <c r="B888" s="13">
        <v>6.6387499999999999</v>
      </c>
      <c r="C888" s="13">
        <v>6.9542045400000001</v>
      </c>
      <c r="D888" s="13">
        <v>6.94625</v>
      </c>
      <c r="E888" s="13">
        <v>7.0179999999999998</v>
      </c>
      <c r="F888" s="13">
        <v>7.0971590899999999</v>
      </c>
      <c r="G888" s="13">
        <v>7.6156578899999996</v>
      </c>
      <c r="H888" s="13">
        <v>7.6654545399999998</v>
      </c>
      <c r="I888" s="13">
        <v>7.4911250000000003</v>
      </c>
      <c r="J888" s="13">
        <v>7.4097727200000003</v>
      </c>
      <c r="K888" s="13">
        <v>7.8642857099999999</v>
      </c>
      <c r="L888" s="13">
        <v>7.6385714199999999</v>
      </c>
      <c r="M888" s="13">
        <v>7.1368749999999999</v>
      </c>
    </row>
    <row r="889" spans="1:13" x14ac:dyDescent="0.2">
      <c r="A889" s="48">
        <v>1980</v>
      </c>
      <c r="B889" s="13">
        <v>7.66276315</v>
      </c>
      <c r="C889" s="13">
        <v>7.5086956499999999</v>
      </c>
      <c r="D889" s="13">
        <v>7.4172618999999997</v>
      </c>
      <c r="E889" s="13">
        <v>7.3182894699999999</v>
      </c>
      <c r="F889" s="13">
        <v>7.1251249999999997</v>
      </c>
      <c r="G889" s="13">
        <v>7.1050000000000004</v>
      </c>
      <c r="H889" s="13">
        <v>6.6604761899999998</v>
      </c>
      <c r="I889" s="13">
        <v>6.2867857100000002</v>
      </c>
      <c r="J889" s="13">
        <v>6.3335714200000002</v>
      </c>
      <c r="K889" s="13">
        <v>6.41023809</v>
      </c>
      <c r="L889" s="13">
        <v>7.4721590899999999</v>
      </c>
      <c r="M889" s="13">
        <v>7.5805357100000004</v>
      </c>
    </row>
    <row r="890" spans="1:13" x14ac:dyDescent="0.2">
      <c r="A890" s="48">
        <v>1981</v>
      </c>
      <c r="B890" s="13">
        <v>8.7717857099999996</v>
      </c>
      <c r="C890" s="13">
        <v>9.1489130400000001</v>
      </c>
      <c r="D890" s="13">
        <v>9.6306944399999992</v>
      </c>
      <c r="E890" s="13">
        <v>8.7261904700000006</v>
      </c>
      <c r="F890" s="13">
        <v>8.3658333299999992</v>
      </c>
      <c r="G890" s="13">
        <v>8.0826315700000002</v>
      </c>
      <c r="H890" s="13">
        <v>7.8677272699999996</v>
      </c>
      <c r="I890" s="13">
        <v>8.1897619000000006</v>
      </c>
      <c r="J890" s="13">
        <v>7.7651250000000003</v>
      </c>
      <c r="K890" s="13">
        <v>7.2730681800000001</v>
      </c>
      <c r="L890" s="13">
        <v>7.3395454500000001</v>
      </c>
      <c r="M890" s="13">
        <v>7.0339285699999996</v>
      </c>
    </row>
    <row r="891" spans="1:13" x14ac:dyDescent="0.2">
      <c r="A891" s="48">
        <v>1982</v>
      </c>
      <c r="B891" s="13">
        <v>7.5042857100000004</v>
      </c>
      <c r="C891" s="13">
        <v>7.4140908999999997</v>
      </c>
      <c r="D891" s="13">
        <v>7.0795000000000003</v>
      </c>
      <c r="E891" s="13">
        <v>6.7040908999999997</v>
      </c>
      <c r="F891" s="13">
        <v>6.7073749999999999</v>
      </c>
      <c r="G891" s="13">
        <v>6.6597368399999999</v>
      </c>
      <c r="H891" s="13">
        <v>6.4064130400000003</v>
      </c>
      <c r="I891" s="13">
        <v>6.6894047600000004</v>
      </c>
      <c r="J891" s="13">
        <v>6.6738749999999998</v>
      </c>
      <c r="K891" s="13">
        <v>6.3287500000000003</v>
      </c>
      <c r="L891" s="13">
        <v>6.1611904700000002</v>
      </c>
      <c r="M891" s="13">
        <v>5.8263333299999998</v>
      </c>
    </row>
    <row r="892" spans="1:13" x14ac:dyDescent="0.2">
      <c r="A892" s="48">
        <v>1983</v>
      </c>
      <c r="B892" s="13">
        <v>6.0197618999999998</v>
      </c>
      <c r="C892" s="13">
        <v>5.7847619000000003</v>
      </c>
      <c r="D892" s="13">
        <v>6.0157499999999997</v>
      </c>
      <c r="E892" s="13">
        <v>5.9410714200000001</v>
      </c>
      <c r="F892" s="13">
        <v>6.1147619000000004</v>
      </c>
      <c r="G892" s="13">
        <v>6.22486842</v>
      </c>
      <c r="H892" s="13">
        <v>6.2420652099999998</v>
      </c>
      <c r="I892" s="13">
        <v>6.5891250000000001</v>
      </c>
      <c r="J892" s="13">
        <v>6.3669047599999997</v>
      </c>
      <c r="K892" s="13">
        <v>6.07863636</v>
      </c>
      <c r="L892" s="13">
        <v>6.6191250000000004</v>
      </c>
      <c r="M892" s="13">
        <v>8.1968750000000004</v>
      </c>
    </row>
    <row r="893" spans="1:13" x14ac:dyDescent="0.2">
      <c r="A893" s="48">
        <v>1984</v>
      </c>
      <c r="B893" s="13">
        <v>8.9133333300000004</v>
      </c>
      <c r="C893" s="13">
        <v>8.3869047600000002</v>
      </c>
      <c r="D893" s="13">
        <v>8.2624999999999993</v>
      </c>
      <c r="E893" s="13">
        <v>8.0107142800000002</v>
      </c>
      <c r="F893" s="13">
        <v>7.7866666599999999</v>
      </c>
      <c r="G893" s="13">
        <v>7.4732500000000002</v>
      </c>
      <c r="H893" s="13">
        <v>7.8913636299999999</v>
      </c>
      <c r="I893" s="13">
        <v>7.9048749999999997</v>
      </c>
      <c r="J893" s="13">
        <v>8.4119318100000005</v>
      </c>
      <c r="K893" s="13">
        <v>7.82285714</v>
      </c>
      <c r="L893" s="13">
        <v>6.6502380900000002</v>
      </c>
      <c r="M893" s="13">
        <v>6.4456249999999997</v>
      </c>
    </row>
    <row r="894" spans="1:13" x14ac:dyDescent="0.2">
      <c r="A894" s="48">
        <v>1985</v>
      </c>
      <c r="B894" s="13">
        <v>6.4902631499999996</v>
      </c>
      <c r="C894" s="13">
        <v>6.58043478</v>
      </c>
      <c r="D894" s="13">
        <v>6.5984523800000003</v>
      </c>
      <c r="E894" s="13">
        <v>6.2858749999999999</v>
      </c>
      <c r="F894" s="13">
        <v>6.1615909000000002</v>
      </c>
      <c r="G894" s="13">
        <v>6.0724999999999998</v>
      </c>
      <c r="H894" s="13">
        <v>6.0471428500000002</v>
      </c>
      <c r="I894" s="13">
        <v>6.0778571399999999</v>
      </c>
      <c r="J894" s="13">
        <v>5.7647727199999999</v>
      </c>
      <c r="K894" s="13">
        <v>5.7037500000000003</v>
      </c>
      <c r="L894" s="13">
        <v>5.5181818099999997</v>
      </c>
      <c r="M894" s="13">
        <v>5.2296666600000004</v>
      </c>
    </row>
    <row r="895" spans="1:13" x14ac:dyDescent="0.2">
      <c r="A895" s="48">
        <v>1986</v>
      </c>
      <c r="B895" s="13">
        <v>5.4982499999999996</v>
      </c>
      <c r="C895" s="13">
        <v>5.4734782600000003</v>
      </c>
      <c r="D895" s="13">
        <v>5.3244999999999996</v>
      </c>
      <c r="E895" s="13">
        <v>5.4855952300000004</v>
      </c>
      <c r="F895" s="13">
        <v>5.5865909</v>
      </c>
      <c r="G895" s="13">
        <v>5.3769736799999999</v>
      </c>
      <c r="H895" s="13">
        <v>5.3607500000000003</v>
      </c>
      <c r="I895" s="13">
        <v>5.2415909000000003</v>
      </c>
      <c r="J895" s="13">
        <v>5.3027380900000001</v>
      </c>
      <c r="K895" s="13">
        <v>5.1957142799999998</v>
      </c>
      <c r="L895" s="13">
        <v>5.1485227199999999</v>
      </c>
      <c r="M895" s="13">
        <v>5.0917857099999999</v>
      </c>
    </row>
    <row r="896" spans="1:13" x14ac:dyDescent="0.2">
      <c r="A896" s="48">
        <v>1987</v>
      </c>
      <c r="B896" s="13">
        <v>5.0379761900000002</v>
      </c>
      <c r="C896" s="13">
        <v>5.0439130399999996</v>
      </c>
      <c r="D896" s="13">
        <v>5.0776315700000003</v>
      </c>
      <c r="E896" s="13">
        <v>4.9970454499999999</v>
      </c>
      <c r="F896" s="13">
        <v>4.97392857</v>
      </c>
      <c r="G896" s="13">
        <v>4.8490789400000001</v>
      </c>
      <c r="H896" s="13">
        <v>4.8697727200000003</v>
      </c>
      <c r="I896" s="13">
        <v>5.1539285699999997</v>
      </c>
      <c r="J896" s="13">
        <v>5.5963750000000001</v>
      </c>
      <c r="K896" s="13">
        <v>5.6472727200000001</v>
      </c>
      <c r="L896" s="13">
        <v>5.3525</v>
      </c>
      <c r="M896" s="13">
        <v>5.2249999999999996</v>
      </c>
    </row>
    <row r="897" spans="1:13" x14ac:dyDescent="0.2">
      <c r="A897" s="48">
        <v>1988</v>
      </c>
      <c r="B897" s="13">
        <v>5.4022619000000001</v>
      </c>
      <c r="C897" s="13">
        <v>5.5934090899999998</v>
      </c>
      <c r="D897" s="13">
        <v>5.7876250000000002</v>
      </c>
      <c r="E897" s="13">
        <v>6.1288636299999997</v>
      </c>
      <c r="F897" s="13">
        <v>6.3728749999999996</v>
      </c>
      <c r="G897" s="13">
        <v>6.3706250000000004</v>
      </c>
      <c r="H897" s="13">
        <v>6.4383695599999999</v>
      </c>
      <c r="I897" s="13">
        <v>6.8503749999999997</v>
      </c>
      <c r="J897" s="13">
        <v>7.4463095199999998</v>
      </c>
      <c r="K897" s="13">
        <v>9.4054545399999991</v>
      </c>
      <c r="L897" s="13">
        <v>8.8247499999999999</v>
      </c>
      <c r="M897" s="13">
        <v>8.5776562500000004</v>
      </c>
    </row>
    <row r="898" spans="1:13" x14ac:dyDescent="0.2">
      <c r="A898" s="48">
        <v>1989</v>
      </c>
      <c r="B898" s="13">
        <v>8.4104761900000007</v>
      </c>
      <c r="C898" s="13">
        <v>7.99404761</v>
      </c>
      <c r="D898" s="13">
        <v>7.7586904700000003</v>
      </c>
      <c r="E898" s="13">
        <v>7.9110714199999999</v>
      </c>
      <c r="F898" s="13">
        <v>7.9669047600000003</v>
      </c>
      <c r="G898" s="13">
        <v>7.6328947300000003</v>
      </c>
      <c r="H898" s="13">
        <v>7.7831818100000003</v>
      </c>
      <c r="I898" s="13">
        <v>7.3745000000000003</v>
      </c>
      <c r="J898" s="13">
        <v>7.1876136300000004</v>
      </c>
      <c r="K898" s="13">
        <v>6.9342045399999996</v>
      </c>
      <c r="L898" s="13">
        <v>6.8304999999999998</v>
      </c>
      <c r="M898" s="13">
        <v>6.0670312500000003</v>
      </c>
    </row>
    <row r="899" spans="1:13" x14ac:dyDescent="0.2">
      <c r="A899" s="48">
        <v>1990</v>
      </c>
      <c r="B899" s="13">
        <v>6.0425000000000004</v>
      </c>
      <c r="C899" s="13">
        <v>5.9987500000000002</v>
      </c>
      <c r="D899" s="13">
        <v>6.16380952</v>
      </c>
      <c r="E899" s="13">
        <v>6.1378750000000002</v>
      </c>
      <c r="F899" s="13">
        <v>5.9943181799999996</v>
      </c>
      <c r="G899" s="13">
        <v>5.9228947300000003</v>
      </c>
      <c r="H899" s="13">
        <v>6.1096590900000001</v>
      </c>
      <c r="I899" s="13">
        <v>6.2004999999999999</v>
      </c>
      <c r="J899" s="13">
        <v>6.36227272</v>
      </c>
      <c r="K899" s="13">
        <v>6.0770238000000001</v>
      </c>
      <c r="L899" s="13">
        <v>6.0769047599999997</v>
      </c>
      <c r="M899" s="13">
        <v>6.0207812499999998</v>
      </c>
    </row>
    <row r="900" spans="1:13" x14ac:dyDescent="0.2">
      <c r="A900" s="48">
        <v>1991</v>
      </c>
      <c r="B900" s="13">
        <v>6.6069736800000003</v>
      </c>
      <c r="C900" s="13">
        <v>6.5549999999999997</v>
      </c>
      <c r="D900" s="13">
        <v>6.2564285699999997</v>
      </c>
      <c r="E900" s="13">
        <v>6.2608750000000004</v>
      </c>
      <c r="F900" s="13">
        <v>6.0114772700000003</v>
      </c>
      <c r="G900" s="13">
        <v>6.03394736</v>
      </c>
      <c r="H900" s="13">
        <v>6.0475000000000003</v>
      </c>
      <c r="I900" s="13">
        <v>6.04977272</v>
      </c>
      <c r="J900" s="13">
        <v>5.8332954499999996</v>
      </c>
      <c r="K900" s="13">
        <v>5.7104999999999997</v>
      </c>
      <c r="L900" s="13">
        <v>5.3996590900000001</v>
      </c>
      <c r="M900" s="13">
        <v>5.6281666599999998</v>
      </c>
    </row>
    <row r="901" spans="1:13" x14ac:dyDescent="0.2">
      <c r="A901" s="48">
        <v>1992</v>
      </c>
      <c r="B901" s="13">
        <v>6.2193750000000003</v>
      </c>
      <c r="C901" s="13">
        <v>5.9816304300000001</v>
      </c>
      <c r="D901" s="13">
        <v>5.8438749999999997</v>
      </c>
      <c r="E901" s="13">
        <v>5.7773809500000004</v>
      </c>
      <c r="F901" s="13">
        <v>5.8815909</v>
      </c>
      <c r="G901" s="13">
        <v>5.9480263100000004</v>
      </c>
      <c r="H901" s="13">
        <v>6.0647727199999997</v>
      </c>
      <c r="I901" s="13">
        <v>5.8631578900000001</v>
      </c>
      <c r="J901" s="13">
        <v>6.0679999999999996</v>
      </c>
      <c r="K901" s="13">
        <v>6.1417045400000001</v>
      </c>
      <c r="L901" s="13">
        <v>5.6812500000000004</v>
      </c>
      <c r="M901" s="13">
        <v>5.5023214200000004</v>
      </c>
    </row>
    <row r="902" spans="1:13" x14ac:dyDescent="0.2">
      <c r="A902" s="48">
        <v>1993</v>
      </c>
      <c r="B902" s="13">
        <v>5.7670237999999996</v>
      </c>
      <c r="C902" s="13">
        <v>5.6721590900000001</v>
      </c>
      <c r="D902" s="13">
        <v>5.797625</v>
      </c>
      <c r="E902" s="13">
        <v>5.8651136299999997</v>
      </c>
      <c r="F902" s="13">
        <v>5.8905000000000003</v>
      </c>
      <c r="G902" s="13">
        <v>5.7955263099999996</v>
      </c>
      <c r="H902" s="13">
        <v>5.9182608600000002</v>
      </c>
      <c r="I902" s="13">
        <v>5.9804761900000001</v>
      </c>
      <c r="J902" s="13">
        <v>6.0227500000000003</v>
      </c>
      <c r="K902" s="13">
        <v>6.0340908999999998</v>
      </c>
      <c r="L902" s="13">
        <v>7.0463095200000003</v>
      </c>
      <c r="M902" s="13">
        <v>6.7279999999999998</v>
      </c>
    </row>
    <row r="903" spans="1:13" x14ac:dyDescent="0.2">
      <c r="A903" s="48">
        <v>1994</v>
      </c>
      <c r="B903" s="13">
        <v>6.5403571400000002</v>
      </c>
      <c r="C903" s="13">
        <v>6.3667857100000003</v>
      </c>
      <c r="D903" s="13">
        <v>6.7546428499999998</v>
      </c>
      <c r="E903" s="13">
        <v>6.9172618999999997</v>
      </c>
      <c r="F903" s="13">
        <v>6.9832142800000003</v>
      </c>
      <c r="G903" s="13">
        <v>6.8</v>
      </c>
      <c r="H903" s="13">
        <v>6.7795652100000003</v>
      </c>
      <c r="I903" s="13">
        <v>6.5401315699999998</v>
      </c>
      <c r="J903" s="13">
        <v>6.7455952300000002</v>
      </c>
      <c r="K903" s="13">
        <v>6.7678409000000004</v>
      </c>
      <c r="L903" s="13">
        <v>6.0398750000000003</v>
      </c>
      <c r="M903" s="13">
        <v>5.8510937500000004</v>
      </c>
    </row>
    <row r="904" spans="1:13" x14ac:dyDescent="0.2">
      <c r="A904" s="48">
        <v>1995</v>
      </c>
      <c r="B904" s="13">
        <v>5.9365476099999999</v>
      </c>
      <c r="C904" s="13">
        <v>5.7947619000000001</v>
      </c>
      <c r="D904" s="13">
        <v>5.90904761</v>
      </c>
      <c r="E904" s="13">
        <v>5.8772618999999997</v>
      </c>
      <c r="F904" s="13">
        <v>5.7286904700000001</v>
      </c>
      <c r="G904" s="13">
        <v>5.75078947</v>
      </c>
      <c r="H904" s="13">
        <v>5.9106521699999996</v>
      </c>
      <c r="I904" s="13">
        <v>5.9134210500000002</v>
      </c>
      <c r="J904" s="13">
        <v>5.8752272699999999</v>
      </c>
      <c r="K904" s="13">
        <v>5.9459090899999998</v>
      </c>
      <c r="L904" s="13">
        <v>6.1847500000000002</v>
      </c>
      <c r="M904" s="13">
        <v>5.9260937499999997</v>
      </c>
    </row>
    <row r="905" spans="1:13" x14ac:dyDescent="0.2">
      <c r="A905" s="48">
        <v>1996</v>
      </c>
      <c r="B905" s="13">
        <v>6.6501250000000001</v>
      </c>
      <c r="C905" s="13">
        <v>6.81965909</v>
      </c>
      <c r="D905" s="13">
        <v>6.9279761899999999</v>
      </c>
      <c r="E905" s="13">
        <v>7.2645</v>
      </c>
      <c r="F905" s="13">
        <v>7.4384090900000004</v>
      </c>
      <c r="G905" s="13">
        <v>7.4708750000000004</v>
      </c>
      <c r="H905" s="13">
        <v>7.3771428500000003</v>
      </c>
      <c r="I905" s="13">
        <v>7.9914285700000001</v>
      </c>
      <c r="J905" s="13">
        <v>8.0778409</v>
      </c>
      <c r="K905" s="13">
        <v>7.7012499999999999</v>
      </c>
      <c r="L905" s="13">
        <v>7.8359090900000004</v>
      </c>
      <c r="M905" s="13">
        <v>8.0235000000000003</v>
      </c>
    </row>
    <row r="906" spans="1:13" x14ac:dyDescent="0.2">
      <c r="A906" s="48">
        <v>1997</v>
      </c>
      <c r="B906" s="13">
        <v>7.9587500000000002</v>
      </c>
      <c r="C906" s="13">
        <v>7.1756521700000002</v>
      </c>
      <c r="D906" s="13">
        <v>6.944</v>
      </c>
      <c r="E906" s="13">
        <v>6.9080952299999998</v>
      </c>
      <c r="F906" s="13">
        <v>7.2729545399999997</v>
      </c>
      <c r="G906" s="13">
        <v>7.5855263099999997</v>
      </c>
      <c r="H906" s="13">
        <v>8.2416250000000009</v>
      </c>
      <c r="I906" s="13">
        <v>8.3753408999999994</v>
      </c>
      <c r="J906" s="13">
        <v>8.3466666600000003</v>
      </c>
      <c r="K906" s="13">
        <v>7.7448809499999998</v>
      </c>
      <c r="L906" s="13">
        <v>7.3855681799999999</v>
      </c>
      <c r="M906" s="13">
        <v>7.6074999999999999</v>
      </c>
    </row>
    <row r="907" spans="1:13" x14ac:dyDescent="0.2">
      <c r="A907" s="48">
        <v>1998</v>
      </c>
      <c r="B907" s="13">
        <v>6.5386904699999997</v>
      </c>
      <c r="C907" s="13">
        <v>7.0197826000000001</v>
      </c>
      <c r="D907" s="13">
        <v>7.2655263100000003</v>
      </c>
      <c r="E907" s="13">
        <v>7.0006818099999997</v>
      </c>
      <c r="F907" s="13">
        <v>6.7723750000000003</v>
      </c>
      <c r="G907" s="13">
        <v>6.8014473600000001</v>
      </c>
      <c r="H907" s="13">
        <v>6.5876136299999999</v>
      </c>
      <c r="I907" s="13">
        <v>6.3935714199999998</v>
      </c>
      <c r="J907" s="13">
        <v>6.3542500000000004</v>
      </c>
      <c r="K907" s="13">
        <v>6.1943181799999998</v>
      </c>
      <c r="L907" s="13">
        <v>6.1977272699999997</v>
      </c>
      <c r="M907" s="13">
        <v>5.6194642799999999</v>
      </c>
    </row>
    <row r="908" spans="1:13" x14ac:dyDescent="0.2">
      <c r="A908" s="48">
        <v>1999</v>
      </c>
      <c r="B908" s="13">
        <v>5.6558333300000001</v>
      </c>
      <c r="C908" s="13">
        <v>5.8387500000000001</v>
      </c>
      <c r="D908" s="13">
        <v>6.0158750000000003</v>
      </c>
      <c r="E908" s="13">
        <v>5.7923863600000001</v>
      </c>
      <c r="F908" s="13">
        <v>5.4303947299999997</v>
      </c>
      <c r="G908" s="13">
        <v>5.0198684199999999</v>
      </c>
      <c r="H908" s="13">
        <v>4.9238043400000002</v>
      </c>
      <c r="I908" s="13">
        <v>4.9520238000000001</v>
      </c>
      <c r="J908" s="13">
        <v>4.7453750000000001</v>
      </c>
      <c r="K908" s="13">
        <v>4.6372727200000003</v>
      </c>
      <c r="L908" s="13">
        <v>4.3072619000000003</v>
      </c>
      <c r="M908" s="13">
        <v>4.68483333</v>
      </c>
    </row>
    <row r="909" spans="1:13" x14ac:dyDescent="0.2">
      <c r="A909" s="48">
        <v>2000</v>
      </c>
      <c r="B909" s="13">
        <v>5.2133333300000002</v>
      </c>
      <c r="C909" s="13">
        <v>5.1495237999999999</v>
      </c>
      <c r="D909" s="13">
        <v>4.8976190400000004</v>
      </c>
      <c r="E909" s="13">
        <v>4.8241666600000004</v>
      </c>
      <c r="F909" s="13">
        <v>5.1132499999999999</v>
      </c>
      <c r="G909" s="13">
        <v>5.2457500000000001</v>
      </c>
      <c r="H909" s="13">
        <v>5.3590217300000003</v>
      </c>
      <c r="I909" s="13">
        <v>5.5201315700000002</v>
      </c>
      <c r="J909" s="13">
        <v>5.5460227199999999</v>
      </c>
      <c r="K909" s="13">
        <v>5.0604545400000003</v>
      </c>
      <c r="L909" s="13">
        <v>4.6111250000000004</v>
      </c>
      <c r="M909" s="13">
        <v>4.431</v>
      </c>
    </row>
    <row r="910" spans="1:13" x14ac:dyDescent="0.2">
      <c r="A910" s="48">
        <v>2001</v>
      </c>
      <c r="B910" s="13">
        <v>5.2931249999999999</v>
      </c>
      <c r="C910" s="13">
        <v>5.0769318099999996</v>
      </c>
      <c r="D910" s="13">
        <v>5.11166666</v>
      </c>
      <c r="E910" s="13">
        <v>5.2590000000000003</v>
      </c>
      <c r="F910" s="13">
        <v>4.9210714199999996</v>
      </c>
      <c r="G910" s="13">
        <v>4.6425000000000001</v>
      </c>
      <c r="H910" s="13">
        <v>4.5417045399999996</v>
      </c>
      <c r="I910" s="13">
        <v>4.3371250000000003</v>
      </c>
      <c r="J910" s="13">
        <v>4.3746590899999998</v>
      </c>
      <c r="K910" s="13">
        <v>4.5685714199999996</v>
      </c>
      <c r="L910" s="13">
        <v>5.0614285700000003</v>
      </c>
      <c r="M910" s="13">
        <v>5.0957499999999998</v>
      </c>
    </row>
    <row r="911" spans="1:13" x14ac:dyDescent="0.2">
      <c r="A911" s="48">
        <v>2002</v>
      </c>
      <c r="B911" s="13">
        <v>4.8724999999999996</v>
      </c>
      <c r="C911" s="13">
        <v>4.5732608600000004</v>
      </c>
      <c r="D911" s="13">
        <v>4.5516666600000004</v>
      </c>
      <c r="E911" s="13">
        <v>4.4611842099999999</v>
      </c>
      <c r="F911" s="13">
        <v>4.4397618999999997</v>
      </c>
      <c r="G911" s="13">
        <v>4.4422368399999996</v>
      </c>
      <c r="H911" s="13">
        <v>4.67</v>
      </c>
      <c r="I911" s="13">
        <v>4.6680681799999997</v>
      </c>
      <c r="J911" s="13">
        <v>4.7784090900000002</v>
      </c>
      <c r="K911" s="13">
        <v>4.9829999999999997</v>
      </c>
      <c r="L911" s="13">
        <v>5.5970454500000004</v>
      </c>
      <c r="M911" s="13">
        <v>5.72525</v>
      </c>
    </row>
    <row r="912" spans="1:13" x14ac:dyDescent="0.2">
      <c r="A912" s="48">
        <v>2003</v>
      </c>
      <c r="B912" s="13">
        <v>5.5982500000000002</v>
      </c>
      <c r="C912" s="13">
        <v>5.3947826000000001</v>
      </c>
      <c r="D912" s="13">
        <v>5.4406249999999998</v>
      </c>
      <c r="E912" s="13">
        <v>5.4303749999999997</v>
      </c>
      <c r="F912" s="13">
        <v>5.4980952299999997</v>
      </c>
      <c r="G912" s="13">
        <v>5.57736842</v>
      </c>
      <c r="H912" s="13">
        <v>5.5807142799999996</v>
      </c>
      <c r="I912" s="13">
        <v>5.9178571399999997</v>
      </c>
      <c r="J912" s="13">
        <v>6.2919047600000004</v>
      </c>
      <c r="K912" s="13">
        <v>6.2407142799999997</v>
      </c>
      <c r="L912" s="13">
        <v>5.7776136300000003</v>
      </c>
      <c r="M912" s="13">
        <v>5.5257500000000004</v>
      </c>
    </row>
    <row r="913" spans="1:13" x14ac:dyDescent="0.2">
      <c r="A913" s="48">
        <v>2004</v>
      </c>
      <c r="B913" s="13">
        <v>5.8936904700000001</v>
      </c>
      <c r="C913" s="13">
        <v>6.4910869499999997</v>
      </c>
      <c r="D913" s="13">
        <v>6.9181578899999998</v>
      </c>
      <c r="E913" s="13">
        <v>7.2474999999999996</v>
      </c>
      <c r="F913" s="13">
        <v>7.7869999999999999</v>
      </c>
      <c r="G913" s="13">
        <v>8.0706578899999997</v>
      </c>
      <c r="H913" s="13">
        <v>9.2997826000000003</v>
      </c>
      <c r="I913" s="13">
        <v>9.3005952300000008</v>
      </c>
      <c r="J913" s="13">
        <v>8.7662499999999994</v>
      </c>
      <c r="K913" s="13">
        <v>8.0910714200000005</v>
      </c>
      <c r="L913" s="13">
        <v>7.2982142799999998</v>
      </c>
      <c r="M913" s="13">
        <v>6.22525</v>
      </c>
    </row>
    <row r="914" spans="1:13" x14ac:dyDescent="0.2">
      <c r="A914" s="48">
        <v>2005</v>
      </c>
      <c r="B914" s="13">
        <v>5.8745238000000004</v>
      </c>
      <c r="C914" s="13">
        <v>5.5238095200000004</v>
      </c>
      <c r="D914" s="13">
        <v>5.5284523800000001</v>
      </c>
      <c r="E914" s="13">
        <v>5.5414285699999999</v>
      </c>
      <c r="F914" s="13">
        <v>5.358625</v>
      </c>
      <c r="G914" s="13">
        <v>5.4586842100000004</v>
      </c>
      <c r="H914" s="13">
        <v>6.3969318099999999</v>
      </c>
      <c r="I914" s="13">
        <v>6.28107142</v>
      </c>
      <c r="J914" s="13">
        <v>6.3791666600000001</v>
      </c>
      <c r="K914" s="13">
        <v>6.9675000000000002</v>
      </c>
      <c r="L914" s="13">
        <v>6.9035000000000002</v>
      </c>
      <c r="M914" s="13">
        <v>6.5932500000000003</v>
      </c>
    </row>
    <row r="915" spans="1:13" x14ac:dyDescent="0.2">
      <c r="A915" s="48">
        <v>2006</v>
      </c>
      <c r="B915" s="13">
        <v>6.0365476100000004</v>
      </c>
      <c r="C915" s="13">
        <v>6.0345237999999997</v>
      </c>
      <c r="D915" s="13">
        <v>5.9897619000000004</v>
      </c>
      <c r="E915" s="13">
        <v>6.13654761</v>
      </c>
      <c r="F915" s="13">
        <v>6.0892499999999998</v>
      </c>
      <c r="G915" s="13">
        <v>6.0951315700000004</v>
      </c>
      <c r="H915" s="13">
        <v>6.00826086</v>
      </c>
      <c r="I915" s="13">
        <v>5.8807894699999999</v>
      </c>
      <c r="J915" s="13">
        <v>6.0328409000000001</v>
      </c>
      <c r="K915" s="13">
        <v>5.9601136300000004</v>
      </c>
      <c r="L915" s="13">
        <v>5.9317500000000001</v>
      </c>
      <c r="M915" s="13">
        <v>5.6492500000000003</v>
      </c>
    </row>
    <row r="916" spans="1:13" x14ac:dyDescent="0.2">
      <c r="A916" s="48">
        <v>2007</v>
      </c>
      <c r="B916" s="13">
        <v>5.9602500000000003</v>
      </c>
      <c r="C916" s="13">
        <v>6.35988636</v>
      </c>
      <c r="D916" s="13">
        <v>7.0114285699999996</v>
      </c>
      <c r="E916" s="13">
        <v>7.0382499999999997</v>
      </c>
      <c r="F916" s="13">
        <v>7.3505000000000003</v>
      </c>
      <c r="G916" s="13">
        <v>7.9152631500000004</v>
      </c>
      <c r="H916" s="13">
        <v>7.8135227199999999</v>
      </c>
      <c r="I916" s="13">
        <v>7.5916249999999996</v>
      </c>
      <c r="J916" s="13">
        <v>7.8361363600000002</v>
      </c>
      <c r="K916" s="13">
        <v>8.3173809500000004</v>
      </c>
      <c r="L916" s="13">
        <v>8.5549999999999997</v>
      </c>
      <c r="M916" s="13">
        <v>8.4342500000000005</v>
      </c>
    </row>
    <row r="917" spans="1:13" x14ac:dyDescent="0.2">
      <c r="A917" s="48">
        <v>2008</v>
      </c>
      <c r="B917" s="13">
        <v>9.7484210499999993</v>
      </c>
      <c r="C917" s="13">
        <v>10.06021739</v>
      </c>
      <c r="D917" s="13">
        <v>10.71833333</v>
      </c>
      <c r="E917" s="13">
        <v>11.586499999999999</v>
      </c>
      <c r="F917" s="13">
        <v>12.79857142</v>
      </c>
      <c r="G917" s="13">
        <v>13.997</v>
      </c>
      <c r="H917" s="13">
        <v>13.618499999999999</v>
      </c>
      <c r="I917" s="13">
        <v>13.18420454</v>
      </c>
      <c r="J917" s="13">
        <v>13.34035714</v>
      </c>
      <c r="K917" s="13">
        <v>15.056309519999999</v>
      </c>
      <c r="L917" s="13">
        <v>15.04272727</v>
      </c>
      <c r="M917" s="13">
        <v>12.520250000000001</v>
      </c>
    </row>
    <row r="918" spans="1:13" x14ac:dyDescent="0.2">
      <c r="A918" s="48">
        <v>2009</v>
      </c>
      <c r="B918" s="13">
        <v>12.18642857</v>
      </c>
      <c r="C918" s="13">
        <v>9.6595652100000002</v>
      </c>
      <c r="D918" s="13">
        <v>9.3059210500000002</v>
      </c>
      <c r="E918" s="13">
        <v>8.9557954500000001</v>
      </c>
      <c r="F918" s="13">
        <v>10.087375</v>
      </c>
      <c r="G918" s="13">
        <v>9.2840789400000006</v>
      </c>
      <c r="H918" s="13">
        <v>8.8669318100000005</v>
      </c>
      <c r="I918" s="13">
        <v>9.9066666600000008</v>
      </c>
      <c r="J918" s="13">
        <v>11.014250000000001</v>
      </c>
      <c r="K918" s="13">
        <v>11.45352272</v>
      </c>
      <c r="L918" s="13">
        <v>10.526704540000001</v>
      </c>
      <c r="M918" s="13">
        <v>11.758749999999999</v>
      </c>
    </row>
    <row r="919" spans="1:13" x14ac:dyDescent="0.2">
      <c r="A919" s="48">
        <v>2010</v>
      </c>
      <c r="B919" s="13">
        <v>9.3266666600000008</v>
      </c>
      <c r="C919" s="13">
        <v>9.6290908999999996</v>
      </c>
      <c r="D919" s="13">
        <v>10.207375000000001</v>
      </c>
      <c r="E919" s="13">
        <v>10.47306818</v>
      </c>
      <c r="F919" s="13">
        <v>9.8839473600000005</v>
      </c>
      <c r="G919" s="13">
        <v>9.5122368399999999</v>
      </c>
      <c r="H919" s="13">
        <v>9.5629347800000009</v>
      </c>
      <c r="I919" s="13">
        <v>9.7904761899999997</v>
      </c>
      <c r="J919" s="13">
        <v>9.4806249999999999</v>
      </c>
      <c r="K919" s="13">
        <v>9.3403408999999993</v>
      </c>
      <c r="L919" s="13">
        <v>9.9755952299999997</v>
      </c>
      <c r="M919" s="13">
        <v>10.512</v>
      </c>
    </row>
    <row r="920" spans="1:13" x14ac:dyDescent="0.2">
      <c r="A920" s="48">
        <v>2011</v>
      </c>
      <c r="B920" s="13">
        <v>10.79833333</v>
      </c>
      <c r="C920" s="13">
        <v>11.76738095</v>
      </c>
      <c r="D920" s="13">
        <v>12.48011904</v>
      </c>
      <c r="E920" s="13">
        <v>13.08045454</v>
      </c>
      <c r="F920" s="13">
        <v>13.827999999999999</v>
      </c>
      <c r="G920" s="13">
        <v>13.921842099999999</v>
      </c>
      <c r="H920" s="13">
        <v>13.636304340000001</v>
      </c>
      <c r="I920" s="13">
        <v>13.750375</v>
      </c>
      <c r="J920" s="13">
        <v>13.53928571</v>
      </c>
      <c r="K920" s="13">
        <v>13.558522719999999</v>
      </c>
      <c r="L920" s="13">
        <v>13.6195</v>
      </c>
      <c r="M920" s="13">
        <v>13.346</v>
      </c>
    </row>
    <row r="921" spans="1:13" x14ac:dyDescent="0.2">
      <c r="A921" s="48">
        <v>2012</v>
      </c>
      <c r="B921" s="13">
        <v>13.57595238</v>
      </c>
      <c r="C921" s="13">
        <v>12.40690476</v>
      </c>
      <c r="D921" s="13">
        <v>11.977738090000001</v>
      </c>
      <c r="E921" s="13">
        <v>11.71690476</v>
      </c>
      <c r="F921" s="13">
        <v>12.202249999999999</v>
      </c>
      <c r="G921" s="13">
        <v>12.686125000000001</v>
      </c>
      <c r="H921" s="13">
        <v>13.496363629999999</v>
      </c>
      <c r="I921" s="13">
        <v>14.30625</v>
      </c>
      <c r="J921" s="13">
        <v>14.00113636</v>
      </c>
      <c r="K921" s="13">
        <v>14.012619040000001</v>
      </c>
      <c r="L921" s="13">
        <v>16.374404760000001</v>
      </c>
      <c r="M921" s="13">
        <v>16.5745</v>
      </c>
    </row>
    <row r="922" spans="1:13" x14ac:dyDescent="0.2">
      <c r="A922" s="48">
        <v>2013</v>
      </c>
      <c r="B922" s="13">
        <v>15.018157889999999</v>
      </c>
      <c r="C922" s="13">
        <v>14.223152170000001</v>
      </c>
      <c r="D922" s="13">
        <v>13.72821428</v>
      </c>
      <c r="E922" s="13">
        <v>13.982374999999999</v>
      </c>
      <c r="F922" s="13">
        <v>13.76333333</v>
      </c>
      <c r="G922" s="13">
        <v>13.98526315</v>
      </c>
      <c r="H922" s="13">
        <v>13.832875</v>
      </c>
      <c r="I922" s="13">
        <v>13.25886363</v>
      </c>
      <c r="J922" s="13">
        <v>13.688977270000001</v>
      </c>
      <c r="K922" s="13">
        <v>14.3775</v>
      </c>
      <c r="L922" s="13">
        <v>14.350340900000001</v>
      </c>
      <c r="M922" s="13">
        <v>13.468500000000001</v>
      </c>
    </row>
    <row r="923" spans="1:13" x14ac:dyDescent="0.2">
      <c r="A923" s="48">
        <v>2014</v>
      </c>
      <c r="B923" s="13">
        <v>12.705</v>
      </c>
      <c r="C923" s="13">
        <v>12.356630429999999</v>
      </c>
      <c r="D923" s="13">
        <v>12.384874999999999</v>
      </c>
      <c r="E923" s="13">
        <v>12.578571419999999</v>
      </c>
      <c r="F923" s="13">
        <v>12.1870238</v>
      </c>
      <c r="G923" s="13">
        <v>12.731052630000001</v>
      </c>
      <c r="H923" s="13">
        <v>13.458690470000001</v>
      </c>
      <c r="I923" s="13">
        <v>14.005595230000001</v>
      </c>
      <c r="J923" s="13">
        <v>14.158214279999999</v>
      </c>
      <c r="K923" s="13">
        <v>13.78083333</v>
      </c>
      <c r="L923" s="13">
        <v>12.24715909</v>
      </c>
      <c r="M923" s="13">
        <v>12.53575</v>
      </c>
    </row>
    <row r="924" spans="1:13" x14ac:dyDescent="0.2">
      <c r="A924" s="48">
        <v>2015</v>
      </c>
      <c r="B924" s="13">
        <v>10.01059523</v>
      </c>
      <c r="C924" s="13">
        <v>9.9470652099999999</v>
      </c>
      <c r="D924" s="13">
        <v>10.47605263</v>
      </c>
      <c r="E924" s="13">
        <v>10.478863629999999</v>
      </c>
      <c r="F924" s="13">
        <v>10.1295</v>
      </c>
      <c r="G924" s="13">
        <v>10.004342100000001</v>
      </c>
      <c r="H924" s="13">
        <v>9.8412500000000005</v>
      </c>
      <c r="I924" s="13">
        <v>9.7147618999999992</v>
      </c>
      <c r="J924" s="13">
        <v>9.4535</v>
      </c>
      <c r="K924" s="13">
        <v>9.5202272699999995</v>
      </c>
      <c r="L924" s="13">
        <v>10.098409090000001</v>
      </c>
      <c r="M924" s="13">
        <v>9.9209999999999994</v>
      </c>
    </row>
    <row r="925" spans="1:13" x14ac:dyDescent="0.2">
      <c r="A925" s="48">
        <v>2016</v>
      </c>
      <c r="B925" s="13">
        <v>8.8830952300000003</v>
      </c>
      <c r="C925" s="13">
        <v>9.0607954500000005</v>
      </c>
      <c r="D925" s="13">
        <v>8.8046249999999997</v>
      </c>
      <c r="E925" s="13">
        <v>8.9451136299999998</v>
      </c>
      <c r="F925" s="13">
        <v>8.8263157799999998</v>
      </c>
      <c r="G925" s="13">
        <v>8.8276249999999994</v>
      </c>
      <c r="H925" s="13">
        <v>9.0162499999999994</v>
      </c>
      <c r="I925" s="13">
        <v>9.7329761900000005</v>
      </c>
      <c r="J925" s="13">
        <v>10.61964285</v>
      </c>
      <c r="K925" s="13">
        <v>11.435</v>
      </c>
      <c r="L925" s="13">
        <v>10.589874999999999</v>
      </c>
      <c r="M925" s="13">
        <v>9.7208695652173915</v>
      </c>
    </row>
    <row r="926" spans="1:13" x14ac:dyDescent="0.2">
      <c r="A926" s="48">
        <v>2017</v>
      </c>
      <c r="B926" s="13">
        <v>9.7624999999999993</v>
      </c>
      <c r="C926" s="13">
        <v>10.005476190476191</v>
      </c>
      <c r="D926" s="13">
        <v>10.255833333333333</v>
      </c>
      <c r="E926" s="13">
        <v>10.421547619047619</v>
      </c>
      <c r="F926" s="13">
        <v>10.487500000000001</v>
      </c>
      <c r="G926" s="13">
        <v>10.53921052631579</v>
      </c>
      <c r="H926" s="13">
        <v>10.119999999999999</v>
      </c>
      <c r="I926" s="13">
        <v>9.5943421052631592</v>
      </c>
      <c r="J926" s="13">
        <v>9.5878409090909091</v>
      </c>
      <c r="K926" s="13">
        <v>9.2851136363636364</v>
      </c>
      <c r="L926" s="13">
        <v>9.9660000000000011</v>
      </c>
      <c r="M926" s="13">
        <v>9.7780434782608694</v>
      </c>
    </row>
    <row r="927" spans="1:13" x14ac:dyDescent="0.2">
      <c r="A927" s="48">
        <v>2018</v>
      </c>
      <c r="B927" s="13">
        <v>10.012</v>
      </c>
      <c r="C927" s="13">
        <v>10.131136363636363</v>
      </c>
      <c r="D927" s="13">
        <v>10.182619047619049</v>
      </c>
      <c r="E927" s="13">
        <v>10.055</v>
      </c>
      <c r="F927" s="13">
        <v>9.9847619047619052</v>
      </c>
      <c r="G927" s="13">
        <v>10.32</v>
      </c>
      <c r="H927" s="13">
        <v>10.544285714285714</v>
      </c>
      <c r="I927" s="13">
        <v>10.502023809523809</v>
      </c>
      <c r="J927" s="13">
        <v>10.27840909090909</v>
      </c>
      <c r="K927" s="13">
        <v>9.3060714285714283</v>
      </c>
      <c r="L927" s="13">
        <v>8.5234523809523814</v>
      </c>
      <c r="M927" s="13">
        <v>9.2102173913043472</v>
      </c>
    </row>
    <row r="928" spans="1:13" x14ac:dyDescent="0.2">
      <c r="A928" s="48">
        <v>2019</v>
      </c>
      <c r="B928" s="13">
        <v>8.9294736842105262</v>
      </c>
      <c r="C928" s="13">
        <v>9.1524999999999999</v>
      </c>
      <c r="D928" s="13">
        <v>9.2650000000000006</v>
      </c>
      <c r="E928" s="13">
        <v>9.4160000000000004</v>
      </c>
      <c r="F928" s="13">
        <v>9.4430952380952391</v>
      </c>
      <c r="G928" s="13">
        <v>9.4298684210526318</v>
      </c>
      <c r="H928" s="13">
        <v>9.2155952380952382</v>
      </c>
      <c r="I928" s="13">
        <v>9.0167857142857137</v>
      </c>
      <c r="J928" s="13">
        <v>8.4322727272727267</v>
      </c>
      <c r="K928" s="13">
        <v>8.9517499999999988</v>
      </c>
      <c r="L928" s="13">
        <v>8.8731818181818181</v>
      </c>
      <c r="M928" s="13">
        <v>9.2336363636363643</v>
      </c>
    </row>
    <row r="929" spans="1:15" x14ac:dyDescent="0.2">
      <c r="A929" s="48">
        <v>2020</v>
      </c>
      <c r="B929" s="13">
        <v>9.3337500000000002</v>
      </c>
      <c r="C929" s="13">
        <v>9.7179347826086957</v>
      </c>
      <c r="D929" s="13">
        <v>9.5314999999999994</v>
      </c>
      <c r="E929" s="13">
        <v>9.543452380952381</v>
      </c>
      <c r="F929" s="13">
        <v>9.5270238095238096</v>
      </c>
      <c r="G929" s="13">
        <v>9.1219736842105252</v>
      </c>
      <c r="H929" s="13">
        <v>8.798295454545455</v>
      </c>
      <c r="I929" s="13">
        <v>8.5289285714285707</v>
      </c>
      <c r="J929" s="13">
        <v>8.4501249999999999</v>
      </c>
      <c r="K929" s="13">
        <v>8.670454545454545</v>
      </c>
      <c r="L929" s="13">
        <v>8.9429761904761911</v>
      </c>
      <c r="M929" s="13">
        <v>9.206666666666667</v>
      </c>
    </row>
    <row r="930" spans="1:15" x14ac:dyDescent="0.2">
      <c r="A930" s="48">
        <v>2021</v>
      </c>
      <c r="B930" s="13">
        <v>9.9378571428571441</v>
      </c>
      <c r="C930" s="13">
        <v>10.298068181818183</v>
      </c>
      <c r="D930" s="13">
        <v>11.19125</v>
      </c>
      <c r="E930" s="13">
        <v>11.791136363636362</v>
      </c>
      <c r="F930" s="13">
        <v>13.082105263157894</v>
      </c>
      <c r="G930" s="13" t="e">
        <v>#REF!</v>
      </c>
      <c r="H930" s="13">
        <v>13.579891304347825</v>
      </c>
      <c r="I930" s="13">
        <v>14.0625</v>
      </c>
      <c r="J930" s="13"/>
      <c r="K930" s="13"/>
      <c r="L930" s="35">
        <v>14.249285714285714</v>
      </c>
      <c r="M930" s="13"/>
    </row>
    <row r="931" spans="1:15" x14ac:dyDescent="0.2">
      <c r="A931" s="48">
        <v>2022</v>
      </c>
      <c r="L931" s="39">
        <f>[3]Prices!$B$633</f>
        <v>15.504124999999998</v>
      </c>
    </row>
    <row r="932" spans="1:15" x14ac:dyDescent="0.2">
      <c r="A932" s="48">
        <v>2023</v>
      </c>
      <c r="L932" s="39">
        <f>[3]Prices!$B$645</f>
        <v>15.082125000000001</v>
      </c>
    </row>
    <row r="933" spans="1:15" x14ac:dyDescent="0.2">
      <c r="A933" s="48">
        <v>2024</v>
      </c>
      <c r="L933" s="39">
        <f>[3]Prices!$B$657</f>
        <v>11.16159090909091</v>
      </c>
    </row>
    <row r="934" spans="1:15" x14ac:dyDescent="0.2">
      <c r="A934" s="48">
        <v>2025</v>
      </c>
      <c r="L934" s="39">
        <f>[3]Prices!$B$670</f>
        <v>9.9499999999999993</v>
      </c>
    </row>
    <row r="935" spans="1:15" x14ac:dyDescent="0.2">
      <c r="A935" s="48">
        <v>2026</v>
      </c>
      <c r="L935" s="39">
        <f>[3]Prices!$B$681</f>
        <v>11.850000000000001</v>
      </c>
    </row>
    <row r="936" spans="1:15" x14ac:dyDescent="0.2">
      <c r="A936" s="48"/>
      <c r="L936" s="39"/>
    </row>
    <row r="937" spans="1:15" ht="15.75" x14ac:dyDescent="0.25">
      <c r="A937" s="51" t="s">
        <v>171</v>
      </c>
    </row>
    <row r="938" spans="1:15" ht="13.5" x14ac:dyDescent="0.25">
      <c r="A938" s="42" t="s">
        <v>155</v>
      </c>
      <c r="B938" t="s">
        <v>87</v>
      </c>
      <c r="C938" t="s">
        <v>88</v>
      </c>
      <c r="D938" t="s">
        <v>89</v>
      </c>
      <c r="E938" t="s">
        <v>90</v>
      </c>
      <c r="F938" t="s">
        <v>91</v>
      </c>
      <c r="G938" t="s">
        <v>92</v>
      </c>
      <c r="H938" t="s">
        <v>93</v>
      </c>
      <c r="I938" t="s">
        <v>94</v>
      </c>
      <c r="J938" t="s">
        <v>83</v>
      </c>
      <c r="K938" t="s">
        <v>84</v>
      </c>
      <c r="L938" t="s">
        <v>85</v>
      </c>
      <c r="M938" t="s">
        <v>86</v>
      </c>
      <c r="O938" t="str">
        <f>_xlfn.CONCAT(L938," ","Error")</f>
        <v>Jul Error</v>
      </c>
    </row>
    <row r="939" spans="1:15" x14ac:dyDescent="0.2">
      <c r="A939" s="48">
        <v>1971</v>
      </c>
      <c r="B939" s="13">
        <v>3.0350000000000001</v>
      </c>
      <c r="C939" s="13">
        <v>3.165</v>
      </c>
      <c r="D939" s="13">
        <v>3.1675</v>
      </c>
      <c r="E939" s="13">
        <v>3.0874999999999999</v>
      </c>
      <c r="F939" s="13">
        <v>3.18</v>
      </c>
      <c r="G939" s="13">
        <v>3.1375000000000002</v>
      </c>
      <c r="H939" s="13">
        <v>3.1</v>
      </c>
      <c r="I939" s="13">
        <v>3.0150000000000001</v>
      </c>
      <c r="J939" s="13">
        <v>3.1324999999999998</v>
      </c>
      <c r="K939" s="13">
        <v>3.2949999999999999</v>
      </c>
      <c r="L939" s="13">
        <v>3.5274999999999999</v>
      </c>
      <c r="M939" s="13">
        <v>3.4075000000000002</v>
      </c>
      <c r="O939" s="13">
        <f t="shared" ref="O939:O994" si="52">L939-L880</f>
        <v>0.1561904799999998</v>
      </c>
    </row>
    <row r="940" spans="1:15" x14ac:dyDescent="0.2">
      <c r="A940" s="48">
        <v>1972</v>
      </c>
      <c r="B940" s="13">
        <v>3.36</v>
      </c>
      <c r="C940" s="13">
        <v>3.3624999999999998</v>
      </c>
      <c r="D940" s="13">
        <v>3.3374999999999999</v>
      </c>
      <c r="E940" s="13">
        <v>3.3050000000000002</v>
      </c>
      <c r="F940" s="13">
        <v>3.2774999999999999</v>
      </c>
      <c r="G940" s="13">
        <v>3.3725000000000001</v>
      </c>
      <c r="H940" s="13">
        <v>3.5150000000000001</v>
      </c>
      <c r="I940" s="13">
        <v>3.6475</v>
      </c>
      <c r="J940" s="13">
        <v>3.6175000000000002</v>
      </c>
      <c r="K940" s="13">
        <v>3.55</v>
      </c>
      <c r="L940" s="13">
        <v>3.5924999999999998</v>
      </c>
      <c r="M940" s="13">
        <v>3.6850000000000001</v>
      </c>
      <c r="O940" s="13">
        <f t="shared" si="52"/>
        <v>8.4874999999999812E-2</v>
      </c>
    </row>
    <row r="941" spans="1:15" x14ac:dyDescent="0.2">
      <c r="A941" s="48">
        <v>1973</v>
      </c>
      <c r="B941" s="13">
        <v>3.59</v>
      </c>
      <c r="C941" s="13">
        <v>3.62</v>
      </c>
      <c r="D941" s="13">
        <v>3.88</v>
      </c>
      <c r="E941" s="13">
        <v>4.33</v>
      </c>
      <c r="F941" s="13">
        <v>4.42</v>
      </c>
      <c r="G941" s="13">
        <v>5.71</v>
      </c>
      <c r="H941" s="13">
        <v>5.96</v>
      </c>
      <c r="I941" s="13">
        <v>6.5274999999999999</v>
      </c>
      <c r="J941" s="13">
        <v>9.94</v>
      </c>
      <c r="K941" s="13">
        <v>11.37</v>
      </c>
      <c r="L941" s="13">
        <v>11.75</v>
      </c>
      <c r="M941" s="13">
        <v>11.05</v>
      </c>
      <c r="O941" s="13">
        <f t="shared" si="52"/>
        <v>2.3476190500000005</v>
      </c>
    </row>
    <row r="942" spans="1:15" x14ac:dyDescent="0.2">
      <c r="A942" s="48">
        <v>1974</v>
      </c>
      <c r="B942" s="13">
        <v>6.9</v>
      </c>
      <c r="C942" s="13">
        <v>6.7</v>
      </c>
      <c r="D942" s="13">
        <v>6.31</v>
      </c>
      <c r="E942" s="13">
        <v>6.48</v>
      </c>
      <c r="F942" s="13">
        <v>6.7</v>
      </c>
      <c r="G942" s="13">
        <v>6.94</v>
      </c>
      <c r="H942" s="13">
        <v>6.59</v>
      </c>
      <c r="I942" s="13">
        <v>6.08</v>
      </c>
      <c r="J942" s="13">
        <v>5.68</v>
      </c>
      <c r="K942" s="13">
        <v>5.9050000000000002</v>
      </c>
      <c r="L942" s="13">
        <v>8.9499999999999993</v>
      </c>
      <c r="M942" s="13">
        <v>8.9499999999999993</v>
      </c>
      <c r="O942" s="13">
        <f t="shared" si="52"/>
        <v>1.850340909999999</v>
      </c>
    </row>
    <row r="943" spans="1:15" x14ac:dyDescent="0.2">
      <c r="A943" s="48">
        <v>1975</v>
      </c>
      <c r="B943" s="13">
        <v>8.9600000000000009</v>
      </c>
      <c r="C943" s="13">
        <v>9.61</v>
      </c>
      <c r="D943" s="13">
        <v>8.9499999999999993</v>
      </c>
      <c r="E943" s="13">
        <v>8.1150000000000002</v>
      </c>
      <c r="F943" s="13">
        <v>7.45</v>
      </c>
      <c r="G943" s="13">
        <v>6.32</v>
      </c>
      <c r="H943" s="13">
        <v>6.18</v>
      </c>
      <c r="I943" s="13">
        <v>6.16</v>
      </c>
      <c r="J943" s="13">
        <v>5.2949999999999999</v>
      </c>
      <c r="K943" s="13">
        <v>5.25</v>
      </c>
      <c r="L943" s="13">
        <v>6.36</v>
      </c>
      <c r="M943" s="13">
        <v>6.49</v>
      </c>
      <c r="O943" s="13">
        <f t="shared" si="52"/>
        <v>0.80556819000000068</v>
      </c>
    </row>
    <row r="944" spans="1:15" x14ac:dyDescent="0.2">
      <c r="A944" s="48">
        <v>1976</v>
      </c>
      <c r="B944" s="13">
        <v>6.38</v>
      </c>
      <c r="C944" s="13">
        <v>6.08</v>
      </c>
      <c r="D944" s="13">
        <v>5.32</v>
      </c>
      <c r="E944" s="13">
        <v>5.32</v>
      </c>
      <c r="F944" s="13">
        <v>5.16</v>
      </c>
      <c r="G944" s="13">
        <v>5.09</v>
      </c>
      <c r="H944" s="13">
        <v>5.05</v>
      </c>
      <c r="I944" s="13">
        <v>5.0525000000000002</v>
      </c>
      <c r="J944" s="13">
        <v>5.89</v>
      </c>
      <c r="K944" s="13">
        <v>6.82</v>
      </c>
      <c r="L944" s="13">
        <v>7.6</v>
      </c>
      <c r="M944" s="13">
        <v>6.66</v>
      </c>
      <c r="O944" s="13">
        <f t="shared" si="52"/>
        <v>0.77297619999999956</v>
      </c>
    </row>
    <row r="945" spans="1:15" x14ac:dyDescent="0.2">
      <c r="A945" s="48">
        <v>1977</v>
      </c>
      <c r="B945" s="13">
        <v>6.55</v>
      </c>
      <c r="C945" s="13">
        <v>6.78</v>
      </c>
      <c r="D945" s="13">
        <v>6.72</v>
      </c>
      <c r="E945" s="13">
        <v>6.92</v>
      </c>
      <c r="F945" s="13">
        <v>7.3949999999999996</v>
      </c>
      <c r="G945" s="13">
        <v>7.8449999999999998</v>
      </c>
      <c r="H945" s="13">
        <v>8.9450000000000003</v>
      </c>
      <c r="I945" s="13">
        <v>10.365</v>
      </c>
      <c r="J945" s="13">
        <v>10.02</v>
      </c>
      <c r="K945" s="13">
        <v>9.66</v>
      </c>
      <c r="L945" s="13">
        <v>7.2850000000000001</v>
      </c>
      <c r="M945" s="13">
        <v>6.415</v>
      </c>
      <c r="O945" s="13">
        <f t="shared" si="52"/>
        <v>0.92775000000000052</v>
      </c>
    </row>
    <row r="946" spans="1:15" x14ac:dyDescent="0.2">
      <c r="A946" s="48">
        <v>1978</v>
      </c>
      <c r="B946" s="13">
        <v>5.94</v>
      </c>
      <c r="C946" s="13">
        <v>5.89</v>
      </c>
      <c r="D946" s="13">
        <v>6.52</v>
      </c>
      <c r="E946" s="13">
        <v>6.29</v>
      </c>
      <c r="F946" s="13">
        <v>6.21</v>
      </c>
      <c r="G946" s="13">
        <v>6</v>
      </c>
      <c r="H946" s="13">
        <v>7.37</v>
      </c>
      <c r="I946" s="13">
        <v>7.2350000000000003</v>
      </c>
      <c r="J946" s="13">
        <v>7.48</v>
      </c>
      <c r="K946" s="13">
        <v>7.32</v>
      </c>
      <c r="L946" s="13">
        <v>6.9</v>
      </c>
      <c r="M946" s="13">
        <v>6.78</v>
      </c>
      <c r="O946" s="13">
        <f t="shared" si="52"/>
        <v>0.39550000000000018</v>
      </c>
    </row>
    <row r="947" spans="1:15" x14ac:dyDescent="0.2">
      <c r="A947" s="48">
        <v>1979</v>
      </c>
      <c r="B947" s="13">
        <v>6.9</v>
      </c>
      <c r="C947" s="13">
        <v>7.41</v>
      </c>
      <c r="D947" s="13">
        <v>7.2549999999999999</v>
      </c>
      <c r="E947" s="13">
        <v>7.19</v>
      </c>
      <c r="F947" s="13">
        <v>7.32</v>
      </c>
      <c r="G947" s="13">
        <v>7.93</v>
      </c>
      <c r="H947" s="13">
        <v>7.84</v>
      </c>
      <c r="I947" s="13">
        <v>7.75</v>
      </c>
      <c r="J947" s="13">
        <v>7.5750000000000002</v>
      </c>
      <c r="K947" s="13">
        <v>8.5950000000000006</v>
      </c>
      <c r="L947" s="13">
        <v>8.0500000000000007</v>
      </c>
      <c r="M947" s="13">
        <v>7.34</v>
      </c>
      <c r="O947" s="13">
        <f t="shared" si="52"/>
        <v>0.41142858000000082</v>
      </c>
    </row>
    <row r="948" spans="1:15" x14ac:dyDescent="0.2">
      <c r="A948" s="48">
        <v>1980</v>
      </c>
      <c r="B948" s="13">
        <v>8</v>
      </c>
      <c r="C948" s="13">
        <v>8.0150000000000006</v>
      </c>
      <c r="D948" s="13">
        <v>7.6050000000000004</v>
      </c>
      <c r="E948" s="13">
        <v>7.4649999999999999</v>
      </c>
      <c r="F948" s="13">
        <v>7.32</v>
      </c>
      <c r="G948" s="13">
        <v>7.4</v>
      </c>
      <c r="H948" s="13">
        <v>7.0049999999999999</v>
      </c>
      <c r="I948" s="13">
        <v>6.4450000000000003</v>
      </c>
      <c r="J948" s="13">
        <v>6.4850000000000003</v>
      </c>
      <c r="K948" s="13">
        <v>6.8</v>
      </c>
      <c r="L948" s="13">
        <v>8.1950000000000003</v>
      </c>
      <c r="M948" s="13">
        <v>7.95</v>
      </c>
      <c r="O948" s="13">
        <f t="shared" si="52"/>
        <v>0.72284091000000039</v>
      </c>
    </row>
    <row r="949" spans="1:15" x14ac:dyDescent="0.2">
      <c r="A949" s="48">
        <v>1981</v>
      </c>
      <c r="B949" s="13">
        <v>9.1199999999999992</v>
      </c>
      <c r="C949" s="13">
        <v>9.73</v>
      </c>
      <c r="D949" s="13">
        <v>10.029999999999999</v>
      </c>
      <c r="E949" s="13">
        <v>10.015000000000001</v>
      </c>
      <c r="F949" s="13">
        <v>8.93</v>
      </c>
      <c r="G949" s="13">
        <v>8.2949999999999999</v>
      </c>
      <c r="H949" s="13">
        <v>8.18</v>
      </c>
      <c r="I949" s="13">
        <v>8.4849999999999994</v>
      </c>
      <c r="J949" s="13">
        <v>8.18</v>
      </c>
      <c r="K949" s="13">
        <v>7.7149999999999999</v>
      </c>
      <c r="L949" s="13">
        <v>7.67</v>
      </c>
      <c r="M949" s="13">
        <v>7.35</v>
      </c>
      <c r="O949" s="13">
        <f t="shared" si="52"/>
        <v>0.33045454999999979</v>
      </c>
    </row>
    <row r="950" spans="1:15" x14ac:dyDescent="0.2">
      <c r="A950" s="48">
        <v>1982</v>
      </c>
      <c r="B950" s="13">
        <v>7.73</v>
      </c>
      <c r="C950" s="13">
        <v>7.61</v>
      </c>
      <c r="D950" s="13">
        <v>7.4050000000000002</v>
      </c>
      <c r="E950" s="13">
        <v>7.14</v>
      </c>
      <c r="F950" s="13">
        <v>6.9550000000000001</v>
      </c>
      <c r="G950" s="13">
        <v>7.02</v>
      </c>
      <c r="H950" s="13">
        <v>6.59</v>
      </c>
      <c r="I950" s="13">
        <v>6.89</v>
      </c>
      <c r="J950" s="13">
        <v>6.8075000000000001</v>
      </c>
      <c r="K950" s="13">
        <v>6.5049999999999999</v>
      </c>
      <c r="L950" s="13">
        <v>6.31</v>
      </c>
      <c r="M950" s="13">
        <v>6.1349999999999998</v>
      </c>
      <c r="O950" s="13">
        <f t="shared" si="52"/>
        <v>0.14880952999999941</v>
      </c>
    </row>
    <row r="951" spans="1:15" x14ac:dyDescent="0.2">
      <c r="A951" s="48">
        <v>1983</v>
      </c>
      <c r="B951" s="13">
        <v>6.2</v>
      </c>
      <c r="C951" s="13">
        <v>5.9450000000000003</v>
      </c>
      <c r="D951" s="13">
        <v>6.1550000000000002</v>
      </c>
      <c r="E951" s="13">
        <v>6.05</v>
      </c>
      <c r="F951" s="13">
        <v>6.3449999999999998</v>
      </c>
      <c r="G951" s="13">
        <v>6.37</v>
      </c>
      <c r="H951" s="13">
        <v>6.6550000000000002</v>
      </c>
      <c r="I951" s="13">
        <v>6.78</v>
      </c>
      <c r="J951" s="13">
        <v>6.665</v>
      </c>
      <c r="K951" s="13">
        <v>6.29</v>
      </c>
      <c r="L951" s="13">
        <v>7.2675000000000001</v>
      </c>
      <c r="M951" s="13">
        <v>9.1300000000000008</v>
      </c>
      <c r="O951" s="13">
        <f t="shared" si="52"/>
        <v>0.6483749999999997</v>
      </c>
    </row>
    <row r="952" spans="1:15" x14ac:dyDescent="0.2">
      <c r="A952" s="48">
        <v>1984</v>
      </c>
      <c r="B952" s="13">
        <v>9.5675000000000008</v>
      </c>
      <c r="C952" s="13">
        <v>8.89</v>
      </c>
      <c r="D952" s="13">
        <v>8.7100000000000009</v>
      </c>
      <c r="E952" s="13">
        <v>8.3800000000000008</v>
      </c>
      <c r="F952" s="13">
        <v>8.1999999999999993</v>
      </c>
      <c r="G952" s="13">
        <v>7.72</v>
      </c>
      <c r="H952" s="13">
        <v>8.1</v>
      </c>
      <c r="I952" s="13">
        <v>8.1649999999999991</v>
      </c>
      <c r="J952" s="13">
        <v>8.8650000000000002</v>
      </c>
      <c r="K952" s="13">
        <v>8.48</v>
      </c>
      <c r="L952" s="13">
        <v>7.59</v>
      </c>
      <c r="M952" s="13">
        <v>6.84</v>
      </c>
      <c r="O952" s="13">
        <f t="shared" si="52"/>
        <v>0.93976190999999965</v>
      </c>
    </row>
    <row r="953" spans="1:15" x14ac:dyDescent="0.2">
      <c r="A953" s="48">
        <v>1985</v>
      </c>
      <c r="B953" s="13">
        <v>6.77</v>
      </c>
      <c r="C953" s="13">
        <v>6.835</v>
      </c>
      <c r="D953" s="13">
        <v>6.82</v>
      </c>
      <c r="E953" s="13">
        <v>6.4850000000000003</v>
      </c>
      <c r="F953" s="13">
        <v>6.32</v>
      </c>
      <c r="G953" s="13">
        <v>6.31</v>
      </c>
      <c r="H953" s="13">
        <v>6.24</v>
      </c>
      <c r="I953" s="13">
        <v>6.1974999999999998</v>
      </c>
      <c r="J953" s="13">
        <v>5.9950000000000001</v>
      </c>
      <c r="K953" s="13">
        <v>5.9</v>
      </c>
      <c r="L953" s="13">
        <v>5.81</v>
      </c>
      <c r="M953" s="13">
        <v>5.34</v>
      </c>
      <c r="O953" s="13">
        <f t="shared" si="52"/>
        <v>0.29181818999999987</v>
      </c>
    </row>
    <row r="954" spans="1:15" x14ac:dyDescent="0.2">
      <c r="A954" s="48">
        <v>1986</v>
      </c>
      <c r="B954" s="13">
        <v>5.66</v>
      </c>
      <c r="C954" s="13">
        <v>5.5650000000000004</v>
      </c>
      <c r="D954" s="13">
        <v>5.59</v>
      </c>
      <c r="E954" s="13">
        <v>5.72</v>
      </c>
      <c r="F954" s="13">
        <v>5.7249999999999996</v>
      </c>
      <c r="G954" s="13">
        <v>5.5</v>
      </c>
      <c r="H954" s="13">
        <v>5.45</v>
      </c>
      <c r="I954" s="13">
        <v>5.62</v>
      </c>
      <c r="J954" s="13">
        <v>5.53</v>
      </c>
      <c r="K954" s="13">
        <v>5.2625000000000002</v>
      </c>
      <c r="L954" s="13">
        <v>5.29</v>
      </c>
      <c r="M954" s="13">
        <v>5.3849999999999998</v>
      </c>
      <c r="O954" s="13">
        <f t="shared" si="52"/>
        <v>0.14147728000000015</v>
      </c>
    </row>
    <row r="955" spans="1:15" x14ac:dyDescent="0.2">
      <c r="A955" s="48">
        <v>1987</v>
      </c>
      <c r="B955" s="13">
        <v>5.1749999999999998</v>
      </c>
      <c r="C955" s="13">
        <v>5.15</v>
      </c>
      <c r="D955" s="13">
        <v>5.1349999999999998</v>
      </c>
      <c r="E955" s="13">
        <v>5.1224999999999996</v>
      </c>
      <c r="F955" s="13">
        <v>5.0149999999999997</v>
      </c>
      <c r="G955" s="13">
        <v>4.9800000000000004</v>
      </c>
      <c r="H955" s="13">
        <v>4.9649999999999999</v>
      </c>
      <c r="I955" s="13">
        <v>5.3849999999999998</v>
      </c>
      <c r="J955" s="13">
        <v>5.97</v>
      </c>
      <c r="K955" s="13">
        <v>6.0949999999999998</v>
      </c>
      <c r="L955" s="13">
        <v>5.5225</v>
      </c>
      <c r="M955" s="13">
        <v>5.43</v>
      </c>
      <c r="O955" s="13">
        <f t="shared" si="52"/>
        <v>0.16999999999999993</v>
      </c>
    </row>
    <row r="956" spans="1:15" x14ac:dyDescent="0.2">
      <c r="A956" s="48">
        <v>1988</v>
      </c>
      <c r="B956" s="13">
        <v>5.52</v>
      </c>
      <c r="C956" s="13">
        <v>5.8</v>
      </c>
      <c r="D956" s="13">
        <v>6.2750000000000004</v>
      </c>
      <c r="E956" s="13">
        <v>6.31</v>
      </c>
      <c r="F956" s="13">
        <v>6.56</v>
      </c>
      <c r="G956" s="13">
        <v>6.65</v>
      </c>
      <c r="H956" s="13">
        <v>6.69</v>
      </c>
      <c r="I956" s="13">
        <v>7.0250000000000004</v>
      </c>
      <c r="J956" s="13">
        <v>8.0374999999999996</v>
      </c>
      <c r="K956" s="13">
        <v>10.935</v>
      </c>
      <c r="L956" s="13">
        <v>10.11</v>
      </c>
      <c r="M956" s="13">
        <v>9.15</v>
      </c>
      <c r="O956" s="13">
        <f t="shared" si="52"/>
        <v>1.2852499999999996</v>
      </c>
    </row>
    <row r="957" spans="1:15" x14ac:dyDescent="0.2">
      <c r="A957" s="48">
        <v>1989</v>
      </c>
      <c r="B957" s="13">
        <v>8.83</v>
      </c>
      <c r="C957" s="13">
        <v>8.1999999999999993</v>
      </c>
      <c r="D957" s="13">
        <v>8.1199999999999992</v>
      </c>
      <c r="E957" s="13">
        <v>8.26</v>
      </c>
      <c r="F957" s="13">
        <v>8.35</v>
      </c>
      <c r="G957" s="13">
        <v>7.9</v>
      </c>
      <c r="H957" s="13">
        <v>8.0150000000000006</v>
      </c>
      <c r="I957" s="13">
        <v>7.65</v>
      </c>
      <c r="J957" s="13">
        <v>7.5449999999999999</v>
      </c>
      <c r="K957" s="13">
        <v>7.32</v>
      </c>
      <c r="L957" s="13">
        <v>7.5</v>
      </c>
      <c r="M957" s="13">
        <v>6.35</v>
      </c>
      <c r="O957" s="13">
        <f t="shared" si="52"/>
        <v>0.66950000000000021</v>
      </c>
    </row>
    <row r="958" spans="1:15" x14ac:dyDescent="0.2">
      <c r="A958" s="48">
        <v>1990</v>
      </c>
      <c r="B958" s="13">
        <v>6.14</v>
      </c>
      <c r="C958" s="13">
        <v>6.24</v>
      </c>
      <c r="D958" s="13">
        <v>6.3049999999999997</v>
      </c>
      <c r="E958" s="13">
        <v>6.24</v>
      </c>
      <c r="F958" s="13">
        <v>6.14</v>
      </c>
      <c r="G958" s="13">
        <v>5.99</v>
      </c>
      <c r="H958" s="13">
        <v>6.2350000000000003</v>
      </c>
      <c r="I958" s="13">
        <v>6.61</v>
      </c>
      <c r="J958" s="13">
        <v>6.77</v>
      </c>
      <c r="K958" s="13">
        <v>6.31</v>
      </c>
      <c r="L958" s="13">
        <v>6.6</v>
      </c>
      <c r="M958" s="13">
        <v>6.1849999999999996</v>
      </c>
      <c r="O958" s="13">
        <f t="shared" si="52"/>
        <v>0.52309523999999996</v>
      </c>
    </row>
    <row r="959" spans="1:15" x14ac:dyDescent="0.2">
      <c r="A959" s="48">
        <v>1991</v>
      </c>
      <c r="B959" s="13">
        <v>6.74</v>
      </c>
      <c r="C959" s="13">
        <v>6.72</v>
      </c>
      <c r="D959" s="13">
        <v>6.51</v>
      </c>
      <c r="E959" s="13">
        <v>6.44</v>
      </c>
      <c r="F959" s="13">
        <v>6.18</v>
      </c>
      <c r="G959" s="13">
        <v>6.1475</v>
      </c>
      <c r="H959" s="13">
        <v>6.2850000000000001</v>
      </c>
      <c r="I959" s="13">
        <v>6.1849999999999996</v>
      </c>
      <c r="J959" s="13">
        <v>6.0049999999999999</v>
      </c>
      <c r="K959" s="13">
        <v>5.9124999999999996</v>
      </c>
      <c r="L959" s="13">
        <v>6.02</v>
      </c>
      <c r="M959" s="13">
        <v>6.4</v>
      </c>
      <c r="O959" s="13">
        <f t="shared" si="52"/>
        <v>0.62034090999999947</v>
      </c>
    </row>
    <row r="960" spans="1:15" x14ac:dyDescent="0.2">
      <c r="A960" s="48">
        <v>1992</v>
      </c>
      <c r="B960" s="13">
        <v>6.42</v>
      </c>
      <c r="C960" s="13">
        <v>6.22</v>
      </c>
      <c r="D960" s="13">
        <v>5.96</v>
      </c>
      <c r="E960" s="13">
        <v>5.8650000000000002</v>
      </c>
      <c r="F960" s="13">
        <v>6.04</v>
      </c>
      <c r="G960" s="13">
        <v>6.09</v>
      </c>
      <c r="H960" s="13">
        <v>6.1950000000000003</v>
      </c>
      <c r="I960" s="13">
        <v>6.0149999999999997</v>
      </c>
      <c r="J960" s="13">
        <v>6.2850000000000001</v>
      </c>
      <c r="K960" s="13">
        <v>6.3849999999999998</v>
      </c>
      <c r="L960" s="13">
        <v>6.05</v>
      </c>
      <c r="M960" s="13">
        <v>5.64</v>
      </c>
      <c r="O960" s="13">
        <f t="shared" si="52"/>
        <v>0.36874999999999947</v>
      </c>
    </row>
    <row r="961" spans="1:15" x14ac:dyDescent="0.2">
      <c r="A961" s="48">
        <v>1993</v>
      </c>
      <c r="B961" s="13">
        <v>5.8875000000000002</v>
      </c>
      <c r="C961" s="13">
        <v>5.7649999999999997</v>
      </c>
      <c r="D961" s="13">
        <v>5.8849999999999998</v>
      </c>
      <c r="E961" s="13">
        <v>5.9850000000000003</v>
      </c>
      <c r="F961" s="13">
        <v>5.9649999999999999</v>
      </c>
      <c r="G961" s="13">
        <v>5.8724999999999996</v>
      </c>
      <c r="H961" s="13">
        <v>6.0274999999999999</v>
      </c>
      <c r="I961" s="13">
        <v>6.0650000000000004</v>
      </c>
      <c r="J961" s="13">
        <v>6.125</v>
      </c>
      <c r="K961" s="13">
        <v>6.5750000000000002</v>
      </c>
      <c r="L961" s="13">
        <v>7.5449999999999999</v>
      </c>
      <c r="M961" s="13">
        <v>7.09</v>
      </c>
      <c r="O961" s="13">
        <f t="shared" si="52"/>
        <v>0.4986904799999996</v>
      </c>
    </row>
    <row r="962" spans="1:15" x14ac:dyDescent="0.2">
      <c r="A962" s="48">
        <v>1994</v>
      </c>
      <c r="B962" s="13">
        <v>6.76</v>
      </c>
      <c r="C962" s="13">
        <v>6.47</v>
      </c>
      <c r="D962" s="13">
        <v>6.9550000000000001</v>
      </c>
      <c r="E962" s="13">
        <v>7.09</v>
      </c>
      <c r="F962" s="13">
        <v>7.17</v>
      </c>
      <c r="G962" s="13">
        <v>6.8925000000000001</v>
      </c>
      <c r="H962" s="13">
        <v>6.9</v>
      </c>
      <c r="I962" s="13">
        <v>6.71</v>
      </c>
      <c r="J962" s="13">
        <v>7.2850000000000001</v>
      </c>
      <c r="K962" s="13">
        <v>7.1349999999999998</v>
      </c>
      <c r="L962" s="13">
        <v>6.5149999999999997</v>
      </c>
      <c r="M962" s="13">
        <v>6.0449999999999999</v>
      </c>
      <c r="O962" s="13">
        <f t="shared" si="52"/>
        <v>0.47512499999999935</v>
      </c>
    </row>
    <row r="963" spans="1:15" x14ac:dyDescent="0.2">
      <c r="A963" s="48">
        <v>1995</v>
      </c>
      <c r="B963" s="13">
        <v>6.12</v>
      </c>
      <c r="C963" s="13">
        <v>5.9349999999999996</v>
      </c>
      <c r="D963" s="13">
        <v>6.01</v>
      </c>
      <c r="E963" s="13">
        <v>5.95</v>
      </c>
      <c r="F963" s="13">
        <v>5.82</v>
      </c>
      <c r="G963" s="13">
        <v>5.85</v>
      </c>
      <c r="H963" s="13">
        <v>6.0549999999999997</v>
      </c>
      <c r="I963" s="13">
        <v>6.08</v>
      </c>
      <c r="J963" s="13">
        <v>6.23</v>
      </c>
      <c r="K963" s="13">
        <v>6.2149999999999999</v>
      </c>
      <c r="L963" s="13">
        <v>6.5075000000000003</v>
      </c>
      <c r="M963" s="13">
        <v>6.0425000000000004</v>
      </c>
      <c r="O963" s="13">
        <f t="shared" si="52"/>
        <v>0.32275000000000009</v>
      </c>
    </row>
    <row r="964" spans="1:15" x14ac:dyDescent="0.2">
      <c r="A964" s="48">
        <v>1996</v>
      </c>
      <c r="B964" s="13">
        <v>6.92</v>
      </c>
      <c r="C964" s="13">
        <v>6.97</v>
      </c>
      <c r="D964" s="13">
        <v>7.0449999999999999</v>
      </c>
      <c r="E964" s="13">
        <v>7.4749999999999996</v>
      </c>
      <c r="F964" s="13">
        <v>7.68</v>
      </c>
      <c r="G964" s="13">
        <v>7.65</v>
      </c>
      <c r="H964" s="13">
        <v>7.59</v>
      </c>
      <c r="I964" s="13">
        <v>8.4499999999999993</v>
      </c>
      <c r="J964" s="13">
        <v>8.33</v>
      </c>
      <c r="K964" s="13">
        <v>7.9</v>
      </c>
      <c r="L964" s="13">
        <v>8.5299999999999994</v>
      </c>
      <c r="M964" s="13">
        <v>8.4</v>
      </c>
      <c r="O964" s="13">
        <f t="shared" si="52"/>
        <v>0.69409090999999901</v>
      </c>
    </row>
    <row r="965" spans="1:15" x14ac:dyDescent="0.2">
      <c r="A965" s="48">
        <v>1997</v>
      </c>
      <c r="B965" s="13">
        <v>8.1300000000000008</v>
      </c>
      <c r="C965" s="13">
        <v>7.68</v>
      </c>
      <c r="D965" s="13">
        <v>7.12</v>
      </c>
      <c r="E965" s="13">
        <v>7.0549999999999997</v>
      </c>
      <c r="F965" s="13">
        <v>7.4950000000000001</v>
      </c>
      <c r="G965" s="13">
        <v>7.8875000000000002</v>
      </c>
      <c r="H965" s="13">
        <v>8.5675000000000008</v>
      </c>
      <c r="I965" s="13">
        <v>8.6750000000000007</v>
      </c>
      <c r="J965" s="13">
        <v>8.6950000000000003</v>
      </c>
      <c r="K965" s="13">
        <v>8.3874999999999993</v>
      </c>
      <c r="L965" s="13">
        <v>7.82</v>
      </c>
      <c r="M965" s="13">
        <v>7.98</v>
      </c>
      <c r="O965" s="13">
        <f t="shared" si="52"/>
        <v>0.43443182000000036</v>
      </c>
    </row>
    <row r="966" spans="1:15" x14ac:dyDescent="0.2">
      <c r="A966" s="48">
        <v>1998</v>
      </c>
      <c r="B966" s="13">
        <v>6.64</v>
      </c>
      <c r="C966" s="13">
        <v>7.4</v>
      </c>
      <c r="D966" s="13">
        <v>7.45</v>
      </c>
      <c r="E966" s="13">
        <v>7.25</v>
      </c>
      <c r="F966" s="13">
        <v>6.93</v>
      </c>
      <c r="G966" s="13">
        <v>7.02</v>
      </c>
      <c r="H966" s="13">
        <v>6.83</v>
      </c>
      <c r="I966" s="13">
        <v>6.54</v>
      </c>
      <c r="J966" s="13">
        <v>6.59</v>
      </c>
      <c r="K966" s="13">
        <v>6.68</v>
      </c>
      <c r="L966" s="13">
        <v>6.62</v>
      </c>
      <c r="M966" s="13">
        <v>5.91</v>
      </c>
      <c r="O966" s="13">
        <f t="shared" si="52"/>
        <v>0.42227273000000043</v>
      </c>
    </row>
    <row r="967" spans="1:15" x14ac:dyDescent="0.2">
      <c r="A967" s="48">
        <v>1999</v>
      </c>
      <c r="B967" s="13">
        <v>5.74</v>
      </c>
      <c r="C967" s="13">
        <v>6.07</v>
      </c>
      <c r="D967" s="13">
        <v>6.1825000000000001</v>
      </c>
      <c r="E967" s="13">
        <v>6.1749999999999998</v>
      </c>
      <c r="F967" s="13">
        <v>5.7</v>
      </c>
      <c r="G967" s="13">
        <v>5.2949999999999999</v>
      </c>
      <c r="H967" s="13">
        <v>5.1749999999999998</v>
      </c>
      <c r="I967" s="13">
        <v>5.1100000000000003</v>
      </c>
      <c r="J967" s="13">
        <v>4.9550000000000001</v>
      </c>
      <c r="K967" s="13">
        <v>4.7925000000000004</v>
      </c>
      <c r="L967" s="13">
        <v>4.74</v>
      </c>
      <c r="M967" s="13">
        <v>4.9249999999999998</v>
      </c>
      <c r="O967" s="13">
        <f t="shared" si="52"/>
        <v>0.4327380999999999</v>
      </c>
    </row>
    <row r="968" spans="1:15" x14ac:dyDescent="0.2">
      <c r="A968" s="48">
        <v>2000</v>
      </c>
      <c r="B968" s="13">
        <v>5.4349999999999996</v>
      </c>
      <c r="C968" s="13">
        <v>5.33</v>
      </c>
      <c r="D968" s="13">
        <v>5.05</v>
      </c>
      <c r="E968" s="13">
        <v>5</v>
      </c>
      <c r="F968" s="13">
        <v>5.48</v>
      </c>
      <c r="G968" s="13">
        <v>5.3849999999999998</v>
      </c>
      <c r="H968" s="13">
        <v>5.61</v>
      </c>
      <c r="I968" s="13">
        <v>5.69</v>
      </c>
      <c r="J968" s="13">
        <v>5.8449999999999998</v>
      </c>
      <c r="K968" s="13">
        <v>5.4275000000000002</v>
      </c>
      <c r="L968" s="13">
        <v>4.8274999999999997</v>
      </c>
      <c r="M968" s="13">
        <v>4.5549999999999997</v>
      </c>
      <c r="O968" s="13">
        <f t="shared" si="52"/>
        <v>0.21637499999999932</v>
      </c>
    </row>
    <row r="969" spans="1:15" x14ac:dyDescent="0.2">
      <c r="A969" s="48">
        <v>2001</v>
      </c>
      <c r="B969" s="13">
        <v>5.49</v>
      </c>
      <c r="C969" s="13">
        <v>5.2549999999999999</v>
      </c>
      <c r="D969" s="13">
        <v>5.3250000000000002</v>
      </c>
      <c r="E969" s="13">
        <v>5.33</v>
      </c>
      <c r="F969" s="13">
        <v>5.21</v>
      </c>
      <c r="G969" s="13">
        <v>4.8550000000000004</v>
      </c>
      <c r="H969" s="13">
        <v>4.76</v>
      </c>
      <c r="I969" s="13">
        <v>4.4649999999999999</v>
      </c>
      <c r="J969" s="13">
        <v>4.47</v>
      </c>
      <c r="K969" s="13">
        <v>4.8099999999999996</v>
      </c>
      <c r="L969" s="13">
        <v>5.38</v>
      </c>
      <c r="M969" s="13">
        <v>5.25</v>
      </c>
      <c r="O969" s="13">
        <f t="shared" si="52"/>
        <v>0.31857142999999954</v>
      </c>
    </row>
    <row r="970" spans="1:15" x14ac:dyDescent="0.2">
      <c r="A970" s="48">
        <v>2002</v>
      </c>
      <c r="B970" s="13">
        <v>4.97</v>
      </c>
      <c r="C970" s="13">
        <v>4.7750000000000004</v>
      </c>
      <c r="D970" s="13">
        <v>4.6550000000000002</v>
      </c>
      <c r="E970" s="13">
        <v>4.6150000000000002</v>
      </c>
      <c r="F970" s="13">
        <v>4.6349999999999998</v>
      </c>
      <c r="G970" s="13">
        <v>4.5449999999999999</v>
      </c>
      <c r="H970" s="13">
        <v>4.82</v>
      </c>
      <c r="I970" s="13">
        <v>4.8099999999999996</v>
      </c>
      <c r="J970" s="13">
        <v>5.05</v>
      </c>
      <c r="K970" s="13">
        <v>5.4</v>
      </c>
      <c r="L970" s="13">
        <v>6.05</v>
      </c>
      <c r="M970" s="13">
        <v>6.25</v>
      </c>
      <c r="O970" s="13">
        <f t="shared" si="52"/>
        <v>0.4529545499999994</v>
      </c>
    </row>
    <row r="971" spans="1:15" x14ac:dyDescent="0.2">
      <c r="A971" s="48">
        <v>2003</v>
      </c>
      <c r="B971" s="13">
        <v>5.8</v>
      </c>
      <c r="C971" s="13">
        <v>5.4950000000000001</v>
      </c>
      <c r="D971" s="13">
        <v>5.51</v>
      </c>
      <c r="E971" s="13">
        <v>5.56</v>
      </c>
      <c r="F971" s="13">
        <v>5.66</v>
      </c>
      <c r="G971" s="13">
        <v>5.71</v>
      </c>
      <c r="H971" s="13">
        <v>5.68</v>
      </c>
      <c r="I971" s="13">
        <v>6.2549999999999999</v>
      </c>
      <c r="J971" s="13">
        <v>6.5350000000000001</v>
      </c>
      <c r="K971" s="13">
        <v>6.41</v>
      </c>
      <c r="L971" s="13">
        <v>6.2249999999999996</v>
      </c>
      <c r="M971" s="13">
        <v>5.83</v>
      </c>
      <c r="O971" s="13">
        <f t="shared" si="52"/>
        <v>0.44738636999999937</v>
      </c>
    </row>
    <row r="972" spans="1:15" x14ac:dyDescent="0.2">
      <c r="A972" s="48">
        <v>2004</v>
      </c>
      <c r="B972" s="13">
        <v>6.36</v>
      </c>
      <c r="C972" s="13">
        <v>7.14</v>
      </c>
      <c r="D972" s="13">
        <v>7.16</v>
      </c>
      <c r="E972" s="13">
        <v>7.53</v>
      </c>
      <c r="F972" s="13">
        <v>8.0399999999999991</v>
      </c>
      <c r="G972" s="13">
        <v>8.84</v>
      </c>
      <c r="H972" s="13">
        <v>10.26</v>
      </c>
      <c r="I972" s="13">
        <v>10.14</v>
      </c>
      <c r="J972" s="13">
        <v>9.7200000000000006</v>
      </c>
      <c r="K972" s="13">
        <v>8.6999999999999993</v>
      </c>
      <c r="L972" s="13">
        <v>8.6950000000000003</v>
      </c>
      <c r="M972" s="13">
        <v>7.12</v>
      </c>
      <c r="O972" s="13">
        <f t="shared" si="52"/>
        <v>1.3967857200000005</v>
      </c>
    </row>
    <row r="973" spans="1:15" x14ac:dyDescent="0.2">
      <c r="A973" s="48">
        <v>2005</v>
      </c>
      <c r="B973" s="13">
        <v>6.5</v>
      </c>
      <c r="C973" s="13">
        <v>5.66</v>
      </c>
      <c r="D973" s="13">
        <v>5.8</v>
      </c>
      <c r="E973" s="13">
        <v>5.67</v>
      </c>
      <c r="F973" s="13">
        <v>5.61</v>
      </c>
      <c r="G973" s="13">
        <v>6.2949999999999999</v>
      </c>
      <c r="H973" s="13">
        <v>6.9249999999999998</v>
      </c>
      <c r="I973" s="13">
        <v>6.55</v>
      </c>
      <c r="J973" s="13">
        <v>6.8650000000000002</v>
      </c>
      <c r="K973" s="13">
        <v>7.6550000000000002</v>
      </c>
      <c r="L973" s="13">
        <v>7.4</v>
      </c>
      <c r="M973" s="13">
        <v>6.94</v>
      </c>
      <c r="O973" s="13">
        <f t="shared" si="52"/>
        <v>0.49650000000000016</v>
      </c>
    </row>
    <row r="974" spans="1:15" x14ac:dyDescent="0.2">
      <c r="A974" s="48">
        <v>2006</v>
      </c>
      <c r="B974" s="13">
        <v>6.34</v>
      </c>
      <c r="C974" s="13">
        <v>6.27</v>
      </c>
      <c r="D974" s="13">
        <v>6.1849999999999996</v>
      </c>
      <c r="E974" s="13">
        <v>6.4175000000000004</v>
      </c>
      <c r="F974" s="13">
        <v>6.5</v>
      </c>
      <c r="G974" s="13">
        <v>6.2549999999999999</v>
      </c>
      <c r="H974" s="13">
        <v>6.22</v>
      </c>
      <c r="I974" s="13">
        <v>6.16</v>
      </c>
      <c r="J974" s="13">
        <v>6.2549999999999999</v>
      </c>
      <c r="K974" s="13">
        <v>6.1725000000000003</v>
      </c>
      <c r="L974" s="13">
        <v>6.19</v>
      </c>
      <c r="M974" s="13">
        <v>5.87</v>
      </c>
      <c r="O974" s="13">
        <f t="shared" si="52"/>
        <v>0.25825000000000031</v>
      </c>
    </row>
    <row r="975" spans="1:15" x14ac:dyDescent="0.2">
      <c r="A975" s="48">
        <v>2007</v>
      </c>
      <c r="B975" s="13">
        <v>6.0475000000000003</v>
      </c>
      <c r="C975" s="13">
        <v>6.7949999999999999</v>
      </c>
      <c r="D975" s="13">
        <v>7.2450000000000001</v>
      </c>
      <c r="E975" s="13">
        <v>7.25</v>
      </c>
      <c r="F975" s="13">
        <v>7.62</v>
      </c>
      <c r="G975" s="13">
        <v>8.2624999999999993</v>
      </c>
      <c r="H975" s="13">
        <v>8.0525000000000002</v>
      </c>
      <c r="I975" s="13">
        <v>8.07</v>
      </c>
      <c r="J975" s="13">
        <v>8.2324999999999999</v>
      </c>
      <c r="K975" s="13">
        <v>8.7025000000000006</v>
      </c>
      <c r="L975" s="13">
        <v>9.23</v>
      </c>
      <c r="M975" s="13">
        <v>8.66</v>
      </c>
      <c r="O975" s="13">
        <f t="shared" si="52"/>
        <v>0.67500000000000071</v>
      </c>
    </row>
    <row r="976" spans="1:15" x14ac:dyDescent="0.2">
      <c r="A976" s="48">
        <v>2008</v>
      </c>
      <c r="B976" s="13">
        <v>10.27</v>
      </c>
      <c r="C976" s="13">
        <v>10.4</v>
      </c>
      <c r="D976" s="13">
        <v>11.15</v>
      </c>
      <c r="E976" s="13">
        <v>12.37</v>
      </c>
      <c r="F976" s="13">
        <v>13.64</v>
      </c>
      <c r="G976" s="13">
        <v>15.28</v>
      </c>
      <c r="H976" s="13">
        <v>15.69</v>
      </c>
      <c r="I976" s="13">
        <v>14.02</v>
      </c>
      <c r="J976" s="13">
        <v>14</v>
      </c>
      <c r="K976" s="13">
        <v>16.010000000000002</v>
      </c>
      <c r="L976" s="13">
        <v>16.54</v>
      </c>
      <c r="M976" s="13">
        <v>14.045</v>
      </c>
      <c r="O976" s="13">
        <f t="shared" si="52"/>
        <v>1.4972727299999988</v>
      </c>
    </row>
    <row r="977" spans="1:15" x14ac:dyDescent="0.2">
      <c r="A977" s="48">
        <v>2009</v>
      </c>
      <c r="B977" s="13">
        <v>13.335000000000001</v>
      </c>
      <c r="C977" s="13">
        <v>11.14</v>
      </c>
      <c r="D977" s="13">
        <v>9.9499999999999993</v>
      </c>
      <c r="E977" s="13">
        <v>10.050000000000001</v>
      </c>
      <c r="F977" s="13">
        <v>10.65</v>
      </c>
      <c r="G977" s="13">
        <v>10.199999999999999</v>
      </c>
      <c r="H977" s="13">
        <v>9.61</v>
      </c>
      <c r="I977" s="13">
        <v>10.36</v>
      </c>
      <c r="J977" s="13">
        <v>11.612500000000001</v>
      </c>
      <c r="K977" s="13">
        <v>12.05</v>
      </c>
      <c r="L977" s="13">
        <v>11.71</v>
      </c>
      <c r="M977" s="13">
        <v>12.4125</v>
      </c>
      <c r="O977" s="13">
        <f t="shared" si="52"/>
        <v>1.1832954600000001</v>
      </c>
    </row>
    <row r="978" spans="1:15" x14ac:dyDescent="0.2">
      <c r="A978" s="48">
        <v>2010</v>
      </c>
      <c r="B978" s="13">
        <v>9.6225000000000005</v>
      </c>
      <c r="C978" s="13">
        <v>10.095000000000001</v>
      </c>
      <c r="D978" s="13">
        <v>10.765000000000001</v>
      </c>
      <c r="E978" s="13">
        <v>10.8475</v>
      </c>
      <c r="F978" s="13">
        <v>10.7425</v>
      </c>
      <c r="G978" s="13">
        <v>9.8424999999999994</v>
      </c>
      <c r="H978" s="13">
        <v>9.7899999999999991</v>
      </c>
      <c r="I978" s="13">
        <v>10.157500000000001</v>
      </c>
      <c r="J978" s="13">
        <v>10.01</v>
      </c>
      <c r="K978" s="13">
        <v>9.6449999999999996</v>
      </c>
      <c r="L978" s="13">
        <v>10.547499999999999</v>
      </c>
      <c r="M978" s="13">
        <v>10.81</v>
      </c>
      <c r="O978" s="13">
        <f t="shared" si="52"/>
        <v>0.57190476999999973</v>
      </c>
    </row>
    <row r="979" spans="1:15" x14ac:dyDescent="0.2">
      <c r="A979" s="48">
        <v>2011</v>
      </c>
      <c r="B979" s="13">
        <v>11.5075</v>
      </c>
      <c r="C979" s="13">
        <v>12.3825</v>
      </c>
      <c r="D979" s="13">
        <v>13.342499999999999</v>
      </c>
      <c r="E979" s="13">
        <v>13.82</v>
      </c>
      <c r="F979" s="13">
        <v>14.1675</v>
      </c>
      <c r="G979" s="13">
        <v>14.505000000000001</v>
      </c>
      <c r="H979" s="13">
        <v>14.38</v>
      </c>
      <c r="I979" s="13">
        <v>14.2075</v>
      </c>
      <c r="J979" s="13">
        <v>13.99</v>
      </c>
      <c r="K979" s="13">
        <v>14.12</v>
      </c>
      <c r="L979" s="13">
        <v>14.08</v>
      </c>
      <c r="M979" s="13">
        <v>13.775</v>
      </c>
      <c r="O979" s="13">
        <f t="shared" si="52"/>
        <v>0.46049999999999969</v>
      </c>
    </row>
    <row r="980" spans="1:15" x14ac:dyDescent="0.2">
      <c r="A980" s="48">
        <v>2012</v>
      </c>
      <c r="B980" s="13">
        <v>14.46</v>
      </c>
      <c r="C980" s="13">
        <v>12.8475</v>
      </c>
      <c r="D980" s="13">
        <v>12.512499999999999</v>
      </c>
      <c r="E980" s="13">
        <v>12.28</v>
      </c>
      <c r="F980" s="13">
        <v>12.522500000000001</v>
      </c>
      <c r="G980" s="13">
        <v>13.2125</v>
      </c>
      <c r="H980" s="13">
        <v>14.13</v>
      </c>
      <c r="I980" s="13">
        <v>14.8375</v>
      </c>
      <c r="J980" s="13">
        <v>14.92</v>
      </c>
      <c r="K980" s="13">
        <v>14.865</v>
      </c>
      <c r="L980" s="13">
        <v>17.7775</v>
      </c>
      <c r="M980" s="13">
        <v>17.385000000000002</v>
      </c>
      <c r="O980" s="13">
        <f t="shared" si="52"/>
        <v>1.403095239999999</v>
      </c>
    </row>
    <row r="981" spans="1:15" x14ac:dyDescent="0.2">
      <c r="A981" s="48">
        <v>2013</v>
      </c>
      <c r="B981" s="13">
        <v>15.7</v>
      </c>
      <c r="C981" s="13">
        <v>14.592499999999999</v>
      </c>
      <c r="D981" s="13">
        <v>14.4275</v>
      </c>
      <c r="E981" s="13">
        <v>14.305</v>
      </c>
      <c r="F981" s="13">
        <v>14.307499999999999</v>
      </c>
      <c r="G981" s="13">
        <v>14.5</v>
      </c>
      <c r="H981" s="13">
        <v>14.2125</v>
      </c>
      <c r="I981" s="13">
        <v>13.5875</v>
      </c>
      <c r="J981" s="13">
        <v>14.49</v>
      </c>
      <c r="K981" s="13">
        <v>14.6675</v>
      </c>
      <c r="L981" s="13">
        <v>15.262499999999999</v>
      </c>
      <c r="M981" s="13">
        <v>13.87</v>
      </c>
      <c r="O981" s="13">
        <f t="shared" si="52"/>
        <v>0.91215909999999845</v>
      </c>
    </row>
    <row r="982" spans="1:15" x14ac:dyDescent="0.2">
      <c r="A982" s="48">
        <v>2014</v>
      </c>
      <c r="B982" s="13">
        <v>13.005000000000001</v>
      </c>
      <c r="C982" s="13">
        <v>12.555</v>
      </c>
      <c r="D982" s="13">
        <v>12.637499999999999</v>
      </c>
      <c r="E982" s="13">
        <v>12.7525</v>
      </c>
      <c r="F982" s="13">
        <v>12.467499999999999</v>
      </c>
      <c r="G982" s="13">
        <v>13.545</v>
      </c>
      <c r="H982" s="13">
        <v>13.7675</v>
      </c>
      <c r="I982" s="13">
        <v>14.4625</v>
      </c>
      <c r="J982" s="13">
        <v>14.59</v>
      </c>
      <c r="K982" s="13">
        <v>14.3475</v>
      </c>
      <c r="L982" s="13">
        <v>13.35</v>
      </c>
      <c r="M982" s="13">
        <v>13.362500000000001</v>
      </c>
      <c r="O982" s="13">
        <f t="shared" si="52"/>
        <v>1.1028409099999994</v>
      </c>
    </row>
    <row r="983" spans="1:15" x14ac:dyDescent="0.2">
      <c r="A983" s="48">
        <v>2015</v>
      </c>
      <c r="B983" s="13">
        <v>10.62</v>
      </c>
      <c r="C983" s="13">
        <v>10.7125</v>
      </c>
      <c r="D983" s="13">
        <v>10.942500000000001</v>
      </c>
      <c r="E983" s="13">
        <v>10.77</v>
      </c>
      <c r="F983" s="13">
        <v>10.672499999999999</v>
      </c>
      <c r="G983" s="13">
        <v>10.3725</v>
      </c>
      <c r="H983" s="13">
        <v>10.385</v>
      </c>
      <c r="I983" s="13">
        <v>9.9700000000000006</v>
      </c>
      <c r="J983" s="13">
        <v>9.83</v>
      </c>
      <c r="K983" s="13">
        <v>10.512499999999999</v>
      </c>
      <c r="L983" s="13">
        <v>10.547499999999999</v>
      </c>
      <c r="M983" s="13">
        <v>10.4575</v>
      </c>
      <c r="O983" s="13">
        <f t="shared" si="52"/>
        <v>0.4490909099999989</v>
      </c>
    </row>
    <row r="984" spans="1:15" x14ac:dyDescent="0.2">
      <c r="A984" s="48">
        <v>2016</v>
      </c>
      <c r="B984" s="13">
        <v>9.0950000000000006</v>
      </c>
      <c r="C984" s="13">
        <v>9.2949999999999999</v>
      </c>
      <c r="D984" s="13">
        <v>9.0175000000000001</v>
      </c>
      <c r="E984" s="13">
        <v>9.2225000000000001</v>
      </c>
      <c r="F984" s="13">
        <v>8.94</v>
      </c>
      <c r="G984" s="13">
        <v>8.9725000000000001</v>
      </c>
      <c r="H984" s="13">
        <v>9.2524999999999995</v>
      </c>
      <c r="I984" s="13">
        <v>10.4575</v>
      </c>
      <c r="J984" s="13">
        <v>10.9375</v>
      </c>
      <c r="K984" s="13">
        <v>12.05</v>
      </c>
      <c r="L984" s="13">
        <v>11.785</v>
      </c>
      <c r="M984" s="13">
        <v>10.035</v>
      </c>
      <c r="O984" s="13">
        <f t="shared" si="52"/>
        <v>1.1951250000000009</v>
      </c>
    </row>
    <row r="985" spans="1:15" x14ac:dyDescent="0.2">
      <c r="A985" s="48">
        <v>2017</v>
      </c>
      <c r="B985" s="13">
        <v>10.057499999999999</v>
      </c>
      <c r="C985" s="13">
        <v>10.425000000000001</v>
      </c>
      <c r="D985" s="13">
        <v>10.755000000000001</v>
      </c>
      <c r="E985" s="13">
        <v>10.77</v>
      </c>
      <c r="F985" s="13">
        <v>10.852499999999999</v>
      </c>
      <c r="G985" s="13">
        <v>10.785</v>
      </c>
      <c r="H985" s="13">
        <v>10.6</v>
      </c>
      <c r="I985" s="13">
        <v>9.74</v>
      </c>
      <c r="J985" s="13">
        <v>9.8874999999999993</v>
      </c>
      <c r="K985" s="13">
        <v>9.5175000000000001</v>
      </c>
      <c r="L985" s="13">
        <v>10.324999999999999</v>
      </c>
      <c r="M985" s="13">
        <v>10.095000000000001</v>
      </c>
      <c r="O985" s="13">
        <f t="shared" si="52"/>
        <v>0.35899999999999821</v>
      </c>
    </row>
    <row r="986" spans="1:15" x14ac:dyDescent="0.2">
      <c r="A986" s="48">
        <v>2018</v>
      </c>
      <c r="B986" s="13">
        <v>10.192500000000001</v>
      </c>
      <c r="C986" s="13">
        <v>10.3675</v>
      </c>
      <c r="D986" s="13">
        <v>10.355</v>
      </c>
      <c r="E986" s="13">
        <v>10.45</v>
      </c>
      <c r="F986" s="13">
        <v>10.265000000000001</v>
      </c>
      <c r="G986" s="13">
        <v>10.6675</v>
      </c>
      <c r="H986" s="13">
        <v>10.86</v>
      </c>
      <c r="I986" s="13">
        <v>10.762499999999999</v>
      </c>
      <c r="J986" s="13">
        <v>10.58</v>
      </c>
      <c r="K986" s="13">
        <v>10.305</v>
      </c>
      <c r="L986" s="13">
        <v>9.06</v>
      </c>
      <c r="M986" s="13">
        <v>9.51</v>
      </c>
      <c r="O986" s="13">
        <f t="shared" si="52"/>
        <v>0.53654761904761905</v>
      </c>
    </row>
    <row r="987" spans="1:15" x14ac:dyDescent="0.2">
      <c r="A987" s="48">
        <v>2019</v>
      </c>
      <c r="B987" s="13">
        <v>9.1425000000000001</v>
      </c>
      <c r="C987" s="13">
        <v>9.4574999999999996</v>
      </c>
      <c r="D987" s="13">
        <v>9.4024999999999999</v>
      </c>
      <c r="E987" s="13">
        <v>9.68</v>
      </c>
      <c r="F987" s="13">
        <v>9.5824999999999996</v>
      </c>
      <c r="G987" s="13">
        <v>9.6199999999999992</v>
      </c>
      <c r="H987" s="13">
        <v>9.44</v>
      </c>
      <c r="I987" s="13">
        <v>9.26</v>
      </c>
      <c r="J987" s="13">
        <v>8.9924999999999997</v>
      </c>
      <c r="K987" s="13">
        <v>9.2799999999999994</v>
      </c>
      <c r="L987" s="13">
        <v>9.18</v>
      </c>
      <c r="M987" s="13">
        <v>9.3949999999999996</v>
      </c>
      <c r="O987" s="13">
        <f t="shared" si="52"/>
        <v>0.30681818181818166</v>
      </c>
    </row>
    <row r="988" spans="1:15" x14ac:dyDescent="0.2">
      <c r="A988" s="48">
        <v>2020</v>
      </c>
      <c r="B988" s="13">
        <v>9.5124999999999993</v>
      </c>
      <c r="C988" s="13">
        <v>9.8725000000000005</v>
      </c>
      <c r="D988" s="13">
        <v>9.7899999999999991</v>
      </c>
      <c r="E988" s="13">
        <v>9.8324999999999996</v>
      </c>
      <c r="F988" s="13">
        <v>9.875</v>
      </c>
      <c r="G988" s="13">
        <v>9.2349999999999994</v>
      </c>
      <c r="H988" s="13">
        <v>9.2149999999999999</v>
      </c>
      <c r="I988" s="13">
        <v>8.89</v>
      </c>
      <c r="J988" s="13">
        <v>8.6199999999999992</v>
      </c>
      <c r="K988" s="13">
        <v>8.8375000000000004</v>
      </c>
      <c r="L988" s="13">
        <v>9.1</v>
      </c>
      <c r="M988" s="13">
        <v>9.7074999999999996</v>
      </c>
      <c r="O988" s="13">
        <f t="shared" si="52"/>
        <v>0.15702380952380857</v>
      </c>
    </row>
    <row r="989" spans="1:15" x14ac:dyDescent="0.2">
      <c r="A989" s="48">
        <v>2021</v>
      </c>
      <c r="B989" s="13">
        <v>10.31</v>
      </c>
      <c r="C989" s="13">
        <v>10.532500000000001</v>
      </c>
      <c r="D989" s="13">
        <v>11.715</v>
      </c>
      <c r="E989" s="13">
        <v>12.6675</v>
      </c>
      <c r="F989" s="13">
        <v>13.637499999999999</v>
      </c>
      <c r="G989" s="13">
        <v>13.897500000000001</v>
      </c>
      <c r="H989" s="13">
        <v>13.9825</v>
      </c>
      <c r="I989" s="13">
        <v>15.22</v>
      </c>
      <c r="J989" s="13"/>
      <c r="K989" s="13"/>
      <c r="L989" s="35">
        <v>14.760188636363637</v>
      </c>
      <c r="M989" s="13"/>
      <c r="O989" s="13">
        <f t="shared" si="52"/>
        <v>0.51090292207792309</v>
      </c>
    </row>
    <row r="990" spans="1:15" x14ac:dyDescent="0.2">
      <c r="A990" s="48">
        <v>2022</v>
      </c>
      <c r="L990" s="35">
        <v>16.628183506493507</v>
      </c>
      <c r="O990" s="13">
        <f t="shared" si="52"/>
        <v>1.1240585064935082</v>
      </c>
    </row>
    <row r="991" spans="1:15" x14ac:dyDescent="0.2">
      <c r="A991" s="48">
        <v>2023</v>
      </c>
      <c r="L991" s="35">
        <f>(SUM(L986:L990)-SUM(L927:L931))/5+L932+0.75</f>
        <v>16.359195207792212</v>
      </c>
      <c r="O991" s="13">
        <f t="shared" si="52"/>
        <v>1.2770702077922103</v>
      </c>
    </row>
    <row r="992" spans="1:15" x14ac:dyDescent="0.2">
      <c r="A992" s="48">
        <v>2024</v>
      </c>
      <c r="L992" s="35">
        <f>(SUM(L987:L991)-SUM(L928:L932))/5+L933+0.75</f>
        <v>12.586765634632036</v>
      </c>
      <c r="O992" s="13">
        <f t="shared" si="52"/>
        <v>1.425174725541126</v>
      </c>
    </row>
    <row r="993" spans="1:15" x14ac:dyDescent="0.2">
      <c r="A993" s="48">
        <v>2025</v>
      </c>
      <c r="L993" s="35">
        <f>(SUM(L988:L992)-SUM(L929:L933))/5+L934</f>
        <v>10.848846034285714</v>
      </c>
      <c r="O993" s="13">
        <f t="shared" si="52"/>
        <v>0.89884603428571452</v>
      </c>
    </row>
    <row r="994" spans="1:15" x14ac:dyDescent="0.2">
      <c r="A994" s="48">
        <v>2026</v>
      </c>
      <c r="L994" s="35">
        <f>(SUM(L989:L993)-SUM(L930:L934))/5+L935</f>
        <v>12.897210479238099</v>
      </c>
      <c r="O994" s="13">
        <f t="shared" si="52"/>
        <v>1.0472104792380978</v>
      </c>
    </row>
    <row r="995" spans="1:15" x14ac:dyDescent="0.2">
      <c r="L995" s="35"/>
      <c r="O995" s="13"/>
    </row>
    <row r="996" spans="1:15" ht="15.75" x14ac:dyDescent="0.25">
      <c r="A996" s="51" t="s">
        <v>172</v>
      </c>
    </row>
    <row r="997" spans="1:15" ht="13.5" x14ac:dyDescent="0.25">
      <c r="A997" s="42" t="s">
        <v>155</v>
      </c>
      <c r="B997" t="s">
        <v>87</v>
      </c>
      <c r="C997" t="s">
        <v>88</v>
      </c>
      <c r="D997" t="s">
        <v>89</v>
      </c>
      <c r="E997" t="s">
        <v>90</v>
      </c>
      <c r="F997" t="s">
        <v>91</v>
      </c>
      <c r="G997" t="s">
        <v>92</v>
      </c>
      <c r="H997" t="s">
        <v>93</v>
      </c>
      <c r="I997" t="s">
        <v>94</v>
      </c>
      <c r="J997" t="s">
        <v>83</v>
      </c>
      <c r="K997" t="s">
        <v>84</v>
      </c>
      <c r="L997" t="s">
        <v>85</v>
      </c>
      <c r="M997" t="s">
        <v>86</v>
      </c>
      <c r="O997" t="str">
        <f>_xlfn.CONCAT(L997," ","Error")</f>
        <v>Jul Error</v>
      </c>
    </row>
    <row r="998" spans="1:15" x14ac:dyDescent="0.2">
      <c r="A998" s="48">
        <v>1971</v>
      </c>
      <c r="B998" s="13">
        <v>2.8650000000000002</v>
      </c>
      <c r="C998" s="13">
        <v>2.96</v>
      </c>
      <c r="D998" s="13">
        <v>3.0325000000000002</v>
      </c>
      <c r="E998" s="13">
        <v>2.9874999999999998</v>
      </c>
      <c r="F998" s="13">
        <v>3.01</v>
      </c>
      <c r="G998" s="13">
        <v>3.0550000000000002</v>
      </c>
      <c r="H998" s="13">
        <v>3</v>
      </c>
      <c r="I998" s="13">
        <v>2.9</v>
      </c>
      <c r="J998" s="13">
        <v>2.9424999999999999</v>
      </c>
      <c r="K998" s="13">
        <v>3.0950000000000002</v>
      </c>
      <c r="L998" s="13">
        <v>3.23</v>
      </c>
      <c r="M998" s="13">
        <v>3.23</v>
      </c>
      <c r="O998" s="13">
        <f t="shared" ref="O998:O1053" si="53">L880-L998</f>
        <v>0.14130952000000008</v>
      </c>
    </row>
    <row r="999" spans="1:15" x14ac:dyDescent="0.2">
      <c r="A999" s="48">
        <v>1972</v>
      </c>
      <c r="B999" s="13">
        <v>3.1025</v>
      </c>
      <c r="C999" s="13">
        <v>3.13</v>
      </c>
      <c r="D999" s="13">
        <v>3.1375000000000002</v>
      </c>
      <c r="E999" s="13">
        <v>3.2050000000000001</v>
      </c>
      <c r="F999" s="13">
        <v>3.125</v>
      </c>
      <c r="G999" s="13">
        <v>3.1949999999999998</v>
      </c>
      <c r="H999" s="13">
        <v>3.3450000000000002</v>
      </c>
      <c r="I999" s="13">
        <v>3.45</v>
      </c>
      <c r="J999" s="13">
        <v>3.45</v>
      </c>
      <c r="K999" s="13">
        <v>3.4075000000000002</v>
      </c>
      <c r="L999" s="13">
        <v>3.4350000000000001</v>
      </c>
      <c r="M999" s="13">
        <v>3.4975000000000001</v>
      </c>
      <c r="O999" s="13">
        <f t="shared" si="53"/>
        <v>7.262499999999994E-2</v>
      </c>
    </row>
    <row r="1000" spans="1:15" x14ac:dyDescent="0.2">
      <c r="A1000" s="48">
        <v>1973</v>
      </c>
      <c r="B1000" s="13">
        <v>3.4325000000000001</v>
      </c>
      <c r="C1000" s="13">
        <v>3.42</v>
      </c>
      <c r="D1000" s="13">
        <v>3.53</v>
      </c>
      <c r="E1000" s="13">
        <v>3.8525</v>
      </c>
      <c r="F1000" s="13">
        <v>3.99</v>
      </c>
      <c r="G1000" s="13">
        <v>4.2699999999999996</v>
      </c>
      <c r="H1000" s="13">
        <v>4.7824999999999998</v>
      </c>
      <c r="I1000" s="13">
        <v>4.95</v>
      </c>
      <c r="J1000" s="13">
        <v>6.6</v>
      </c>
      <c r="K1000" s="13">
        <v>9.6850000000000005</v>
      </c>
      <c r="L1000" s="13">
        <v>7.25</v>
      </c>
      <c r="M1000" s="13">
        <v>8.35</v>
      </c>
      <c r="O1000" s="13">
        <f t="shared" si="53"/>
        <v>2.1523809499999995</v>
      </c>
    </row>
    <row r="1001" spans="1:15" x14ac:dyDescent="0.2">
      <c r="A1001" s="48">
        <v>1974</v>
      </c>
      <c r="B1001" s="13">
        <v>6.1</v>
      </c>
      <c r="C1001" s="13">
        <v>5.32</v>
      </c>
      <c r="D1001" s="13">
        <v>5.19</v>
      </c>
      <c r="E1001" s="13">
        <v>5.85</v>
      </c>
      <c r="F1001" s="13">
        <v>5.85</v>
      </c>
      <c r="G1001" s="13">
        <v>6.2850000000000001</v>
      </c>
      <c r="H1001" s="13">
        <v>5.9349999999999996</v>
      </c>
      <c r="I1001" s="13">
        <v>5.21</v>
      </c>
      <c r="J1001" s="13">
        <v>5.17</v>
      </c>
      <c r="K1001" s="13">
        <v>5.3</v>
      </c>
      <c r="L1001" s="13">
        <v>5.77</v>
      </c>
      <c r="M1001" s="13">
        <v>7.12</v>
      </c>
      <c r="O1001" s="13">
        <f t="shared" si="53"/>
        <v>1.3296590900000007</v>
      </c>
    </row>
    <row r="1002" spans="1:15" x14ac:dyDescent="0.2">
      <c r="A1002" s="48">
        <v>1975</v>
      </c>
      <c r="B1002" s="13">
        <v>7.09</v>
      </c>
      <c r="C1002" s="13">
        <v>7.98</v>
      </c>
      <c r="D1002" s="13">
        <v>7.55</v>
      </c>
      <c r="E1002" s="13">
        <v>7.05</v>
      </c>
      <c r="F1002" s="13">
        <v>5.84</v>
      </c>
      <c r="G1002" s="13">
        <v>5.19</v>
      </c>
      <c r="H1002" s="13">
        <v>5.0199999999999996</v>
      </c>
      <c r="I1002" s="13">
        <v>5.2050000000000001</v>
      </c>
      <c r="J1002" s="13">
        <v>4.88</v>
      </c>
      <c r="K1002" s="13">
        <v>4.82</v>
      </c>
      <c r="L1002" s="13">
        <v>4.9450000000000003</v>
      </c>
      <c r="M1002" s="13">
        <v>5.7549999999999999</v>
      </c>
      <c r="O1002" s="13">
        <f t="shared" si="53"/>
        <v>0.60943180999999935</v>
      </c>
    </row>
    <row r="1003" spans="1:15" x14ac:dyDescent="0.2">
      <c r="A1003" s="48">
        <v>1976</v>
      </c>
      <c r="B1003" s="13">
        <v>5.79</v>
      </c>
      <c r="C1003" s="13">
        <v>5.1849999999999996</v>
      </c>
      <c r="D1003" s="13">
        <v>4.8250000000000002</v>
      </c>
      <c r="E1003" s="13">
        <v>4.6900000000000004</v>
      </c>
      <c r="F1003" s="13">
        <v>4.7300000000000004</v>
      </c>
      <c r="G1003" s="13">
        <v>4.8849999999999998</v>
      </c>
      <c r="H1003" s="13">
        <v>4.79</v>
      </c>
      <c r="I1003" s="13">
        <v>4.78</v>
      </c>
      <c r="J1003" s="13">
        <v>4.92</v>
      </c>
      <c r="K1003" s="13">
        <v>5.77</v>
      </c>
      <c r="L1003" s="13">
        <v>6.0225</v>
      </c>
      <c r="M1003" s="13">
        <v>5.77</v>
      </c>
      <c r="O1003" s="13">
        <f t="shared" si="53"/>
        <v>0.80452380000000012</v>
      </c>
    </row>
    <row r="1004" spans="1:15" x14ac:dyDescent="0.2">
      <c r="A1004" s="48">
        <v>1977</v>
      </c>
      <c r="B1004" s="13">
        <v>6.33</v>
      </c>
      <c r="C1004" s="13">
        <v>6.18</v>
      </c>
      <c r="D1004" s="13">
        <v>6.1150000000000002</v>
      </c>
      <c r="E1004" s="13">
        <v>6.54</v>
      </c>
      <c r="F1004" s="13">
        <v>6.8</v>
      </c>
      <c r="G1004" s="13">
        <v>7.165</v>
      </c>
      <c r="H1004" s="13">
        <v>7.72</v>
      </c>
      <c r="I1004" s="13">
        <v>8.8699999999999992</v>
      </c>
      <c r="J1004" s="13">
        <v>8.7899999999999991</v>
      </c>
      <c r="K1004" s="13">
        <v>7.11</v>
      </c>
      <c r="L1004" s="13">
        <v>5.75</v>
      </c>
      <c r="M1004" s="13">
        <v>5.2450000000000001</v>
      </c>
      <c r="O1004" s="13">
        <f t="shared" si="53"/>
        <v>0.60724999999999962</v>
      </c>
    </row>
    <row r="1005" spans="1:15" x14ac:dyDescent="0.2">
      <c r="A1005" s="48">
        <v>1978</v>
      </c>
      <c r="B1005" s="13">
        <v>5.2925000000000004</v>
      </c>
      <c r="C1005" s="13">
        <v>5.415</v>
      </c>
      <c r="D1005" s="13">
        <v>5.8150000000000004</v>
      </c>
      <c r="E1005" s="13">
        <v>5.97</v>
      </c>
      <c r="F1005" s="13">
        <v>5.7</v>
      </c>
      <c r="G1005" s="13">
        <v>5.74</v>
      </c>
      <c r="H1005" s="13">
        <v>5.98</v>
      </c>
      <c r="I1005" s="13">
        <v>6.46</v>
      </c>
      <c r="J1005" s="13">
        <v>6.63</v>
      </c>
      <c r="K1005" s="13">
        <v>6.45</v>
      </c>
      <c r="L1005" s="13">
        <v>6.17</v>
      </c>
      <c r="M1005" s="13">
        <v>6.01</v>
      </c>
      <c r="O1005" s="13">
        <f t="shared" si="53"/>
        <v>0.33450000000000024</v>
      </c>
    </row>
    <row r="1006" spans="1:15" x14ac:dyDescent="0.2">
      <c r="A1006" s="48">
        <v>1979</v>
      </c>
      <c r="B1006" s="13">
        <v>6.44</v>
      </c>
      <c r="C1006" s="13">
        <v>6.69</v>
      </c>
      <c r="D1006" s="13">
        <v>6.69</v>
      </c>
      <c r="E1006" s="13">
        <v>6.8</v>
      </c>
      <c r="F1006" s="13">
        <v>6.86</v>
      </c>
      <c r="G1006" s="13">
        <v>7.18</v>
      </c>
      <c r="H1006" s="13">
        <v>7.43</v>
      </c>
      <c r="I1006" s="13">
        <v>7.32</v>
      </c>
      <c r="J1006" s="13">
        <v>7.25</v>
      </c>
      <c r="K1006" s="13">
        <v>7.3650000000000002</v>
      </c>
      <c r="L1006" s="13">
        <v>7.03</v>
      </c>
      <c r="M1006" s="13">
        <v>6.9</v>
      </c>
      <c r="O1006" s="13">
        <f t="shared" si="53"/>
        <v>0.60857141999999964</v>
      </c>
    </row>
    <row r="1007" spans="1:15" x14ac:dyDescent="0.2">
      <c r="A1007" s="48">
        <v>1980</v>
      </c>
      <c r="B1007" s="13">
        <v>7.36</v>
      </c>
      <c r="C1007" s="13">
        <v>7.2</v>
      </c>
      <c r="D1007" s="13">
        <v>7.2549999999999999</v>
      </c>
      <c r="E1007" s="13">
        <v>7.1749999999999998</v>
      </c>
      <c r="F1007" s="13">
        <v>6.85</v>
      </c>
      <c r="G1007" s="13">
        <v>6.89</v>
      </c>
      <c r="H1007" s="13">
        <v>6.18</v>
      </c>
      <c r="I1007" s="13">
        <v>6.06</v>
      </c>
      <c r="J1007" s="13">
        <v>6.1749999999999998</v>
      </c>
      <c r="K1007" s="13">
        <v>6.18</v>
      </c>
      <c r="L1007" s="13">
        <v>6.76</v>
      </c>
      <c r="M1007" s="13">
        <v>7.26</v>
      </c>
      <c r="O1007" s="13">
        <f t="shared" si="53"/>
        <v>0.71215909000000011</v>
      </c>
    </row>
    <row r="1008" spans="1:15" x14ac:dyDescent="0.2">
      <c r="A1008" s="48">
        <v>1981</v>
      </c>
      <c r="B1008" s="13">
        <v>8.42</v>
      </c>
      <c r="C1008" s="13">
        <v>8.49</v>
      </c>
      <c r="D1008" s="13">
        <v>9.26</v>
      </c>
      <c r="E1008" s="13">
        <v>7.8</v>
      </c>
      <c r="F1008" s="13">
        <v>7.6449999999999996</v>
      </c>
      <c r="G1008" s="13">
        <v>7.81</v>
      </c>
      <c r="H1008" s="13">
        <v>7.52</v>
      </c>
      <c r="I1008" s="13">
        <v>7.95</v>
      </c>
      <c r="J1008" s="13">
        <v>7.5250000000000004</v>
      </c>
      <c r="K1008" s="13">
        <v>6.85</v>
      </c>
      <c r="L1008" s="13">
        <v>6.97</v>
      </c>
      <c r="M1008" s="13">
        <v>6.7750000000000004</v>
      </c>
      <c r="O1008" s="13">
        <f t="shared" si="53"/>
        <v>0.36954545000000039</v>
      </c>
    </row>
    <row r="1009" spans="1:15" x14ac:dyDescent="0.2">
      <c r="A1009" s="48">
        <v>1982</v>
      </c>
      <c r="B1009" s="13">
        <v>7.28</v>
      </c>
      <c r="C1009" s="13">
        <v>7.2725</v>
      </c>
      <c r="D1009" s="13">
        <v>6.86</v>
      </c>
      <c r="E1009" s="13">
        <v>6.29</v>
      </c>
      <c r="F1009" s="13">
        <v>6.54</v>
      </c>
      <c r="G1009" s="13">
        <v>6.38</v>
      </c>
      <c r="H1009" s="13">
        <v>6.1849999999999996</v>
      </c>
      <c r="I1009" s="13">
        <v>6.5049999999999999</v>
      </c>
      <c r="J1009" s="13">
        <v>6.39</v>
      </c>
      <c r="K1009" s="13">
        <v>6.1550000000000002</v>
      </c>
      <c r="L1009" s="13">
        <v>5.9824999999999999</v>
      </c>
      <c r="M1009" s="13">
        <v>5.5350000000000001</v>
      </c>
      <c r="O1009" s="13">
        <f t="shared" si="53"/>
        <v>0.17869047000000027</v>
      </c>
    </row>
    <row r="1010" spans="1:15" x14ac:dyDescent="0.2">
      <c r="A1010" s="48">
        <v>1983</v>
      </c>
      <c r="B1010" s="13">
        <v>5.82</v>
      </c>
      <c r="C1010" s="13">
        <v>5.665</v>
      </c>
      <c r="D1010" s="13">
        <v>5.7750000000000004</v>
      </c>
      <c r="E1010" s="13">
        <v>5.8650000000000002</v>
      </c>
      <c r="F1010" s="13">
        <v>5.8650000000000002</v>
      </c>
      <c r="G1010" s="13">
        <v>5.9050000000000002</v>
      </c>
      <c r="H1010" s="13">
        <v>5.9450000000000003</v>
      </c>
      <c r="I1010" s="13">
        <v>6.4249999999999998</v>
      </c>
      <c r="J1010" s="13">
        <v>6.1224999999999996</v>
      </c>
      <c r="K1010" s="13">
        <v>5.83</v>
      </c>
      <c r="L1010" s="13">
        <v>6.04</v>
      </c>
      <c r="M1010" s="13">
        <v>6.9749999999999996</v>
      </c>
      <c r="O1010" s="13">
        <f t="shared" si="53"/>
        <v>0.57912500000000033</v>
      </c>
    </row>
    <row r="1011" spans="1:15" x14ac:dyDescent="0.2">
      <c r="A1011" s="48">
        <v>1984</v>
      </c>
      <c r="B1011" s="13">
        <v>8.2200000000000006</v>
      </c>
      <c r="C1011" s="13">
        <v>8.07</v>
      </c>
      <c r="D1011" s="13">
        <v>7.73</v>
      </c>
      <c r="E1011" s="13">
        <v>7.65</v>
      </c>
      <c r="F1011" s="13">
        <v>7.49</v>
      </c>
      <c r="G1011" s="13">
        <v>7.2</v>
      </c>
      <c r="H1011" s="13">
        <v>7.63</v>
      </c>
      <c r="I1011" s="13">
        <v>7.6950000000000003</v>
      </c>
      <c r="J1011" s="13">
        <v>7.73</v>
      </c>
      <c r="K1011" s="13">
        <v>7.23</v>
      </c>
      <c r="L1011" s="13">
        <v>6.06</v>
      </c>
      <c r="M1011" s="13">
        <v>6.1150000000000002</v>
      </c>
      <c r="O1011" s="13">
        <f t="shared" si="53"/>
        <v>0.5902380900000006</v>
      </c>
    </row>
    <row r="1012" spans="1:15" x14ac:dyDescent="0.2">
      <c r="A1012" s="48">
        <v>1985</v>
      </c>
      <c r="B1012" s="13">
        <v>6.1050000000000004</v>
      </c>
      <c r="C1012" s="13">
        <v>6.27</v>
      </c>
      <c r="D1012" s="13">
        <v>6.3550000000000004</v>
      </c>
      <c r="E1012" s="13">
        <v>6.11</v>
      </c>
      <c r="F1012" s="13">
        <v>5.95</v>
      </c>
      <c r="G1012" s="13">
        <v>5.84</v>
      </c>
      <c r="H1012" s="13">
        <v>5.82</v>
      </c>
      <c r="I1012" s="13">
        <v>5.9550000000000001</v>
      </c>
      <c r="J1012" s="13">
        <v>5.54</v>
      </c>
      <c r="K1012" s="13">
        <v>5.5250000000000004</v>
      </c>
      <c r="L1012" s="13">
        <v>5.16</v>
      </c>
      <c r="M1012" s="13">
        <v>5.1050000000000004</v>
      </c>
      <c r="O1012" s="13">
        <f t="shared" si="53"/>
        <v>0.3581818099999996</v>
      </c>
    </row>
    <row r="1013" spans="1:15" x14ac:dyDescent="0.2">
      <c r="A1013" s="48">
        <v>1986</v>
      </c>
      <c r="B1013" s="13">
        <v>5.3849999999999998</v>
      </c>
      <c r="C1013" s="13">
        <v>5.415</v>
      </c>
      <c r="D1013" s="13">
        <v>4.9850000000000003</v>
      </c>
      <c r="E1013" s="13">
        <v>5.12</v>
      </c>
      <c r="F1013" s="13">
        <v>5.46</v>
      </c>
      <c r="G1013" s="13">
        <v>5.27</v>
      </c>
      <c r="H1013" s="13">
        <v>5.26</v>
      </c>
      <c r="I1013" s="13">
        <v>5.1275000000000004</v>
      </c>
      <c r="J1013" s="13">
        <v>5.1924999999999999</v>
      </c>
      <c r="K1013" s="13">
        <v>5.0199999999999996</v>
      </c>
      <c r="L1013" s="13">
        <v>4.9874999999999998</v>
      </c>
      <c r="M1013" s="13">
        <v>4.96</v>
      </c>
      <c r="O1013" s="13">
        <f t="shared" si="53"/>
        <v>0.16102272000000006</v>
      </c>
    </row>
    <row r="1014" spans="1:15" x14ac:dyDescent="0.2">
      <c r="A1014" s="48">
        <v>1987</v>
      </c>
      <c r="B1014" s="13">
        <v>4.915</v>
      </c>
      <c r="C1014" s="13">
        <v>4.97</v>
      </c>
      <c r="D1014" s="13">
        <v>5.0274999999999999</v>
      </c>
      <c r="E1014" s="13">
        <v>4.9050000000000002</v>
      </c>
      <c r="F1014" s="13">
        <v>4.9249999999999998</v>
      </c>
      <c r="G1014" s="13">
        <v>4.7525000000000004</v>
      </c>
      <c r="H1014" s="13">
        <v>4.8025000000000002</v>
      </c>
      <c r="I1014" s="13">
        <v>4.9749999999999996</v>
      </c>
      <c r="J1014" s="13">
        <v>5.34</v>
      </c>
      <c r="K1014" s="13">
        <v>5.3550000000000004</v>
      </c>
      <c r="L1014" s="13">
        <v>5.1849999999999996</v>
      </c>
      <c r="M1014" s="13">
        <v>5.0999999999999996</v>
      </c>
      <c r="O1014" s="13">
        <f t="shared" si="53"/>
        <v>0.16750000000000043</v>
      </c>
    </row>
    <row r="1015" spans="1:15" x14ac:dyDescent="0.2">
      <c r="A1015" s="48">
        <v>1988</v>
      </c>
      <c r="B1015" s="13">
        <v>5.2050000000000001</v>
      </c>
      <c r="C1015" s="13">
        <v>5.45</v>
      </c>
      <c r="D1015" s="13">
        <v>5.38</v>
      </c>
      <c r="E1015" s="13">
        <v>5.94</v>
      </c>
      <c r="F1015" s="13">
        <v>6.1849999999999996</v>
      </c>
      <c r="G1015" s="13">
        <v>6.1349999999999998</v>
      </c>
      <c r="H1015" s="13">
        <v>6.18</v>
      </c>
      <c r="I1015" s="13">
        <v>6.6950000000000003</v>
      </c>
      <c r="J1015" s="13">
        <v>6.9550000000000001</v>
      </c>
      <c r="K1015" s="13">
        <v>7.9550000000000001</v>
      </c>
      <c r="L1015" s="13">
        <v>7.4</v>
      </c>
      <c r="M1015" s="13">
        <v>8.1999999999999993</v>
      </c>
      <c r="O1015" s="13">
        <f t="shared" si="53"/>
        <v>1.4247499999999995</v>
      </c>
    </row>
    <row r="1016" spans="1:15" x14ac:dyDescent="0.2">
      <c r="A1016" s="48">
        <v>1989</v>
      </c>
      <c r="B1016" s="13">
        <v>7.99</v>
      </c>
      <c r="C1016" s="13">
        <v>7.72</v>
      </c>
      <c r="D1016" s="13">
        <v>7.44</v>
      </c>
      <c r="E1016" s="13">
        <v>7.57</v>
      </c>
      <c r="F1016" s="13">
        <v>7.5549999999999997</v>
      </c>
      <c r="G1016" s="13">
        <v>7.34</v>
      </c>
      <c r="H1016" s="13">
        <v>7.39</v>
      </c>
      <c r="I1016" s="13">
        <v>7.1275000000000004</v>
      </c>
      <c r="J1016" s="13">
        <v>6.75</v>
      </c>
      <c r="K1016" s="13">
        <v>6.62</v>
      </c>
      <c r="L1016" s="13">
        <v>6.2350000000000003</v>
      </c>
      <c r="M1016" s="13">
        <v>5.82</v>
      </c>
      <c r="O1016" s="13">
        <f t="shared" si="53"/>
        <v>0.59549999999999947</v>
      </c>
    </row>
    <row r="1017" spans="1:15" x14ac:dyDescent="0.2">
      <c r="A1017" s="48">
        <v>1990</v>
      </c>
      <c r="B1017" s="13">
        <v>5.95</v>
      </c>
      <c r="C1017" s="13">
        <v>5.78</v>
      </c>
      <c r="D1017" s="13">
        <v>6</v>
      </c>
      <c r="E1017" s="13">
        <v>6.0724999999999998</v>
      </c>
      <c r="F1017" s="13">
        <v>5.8274999999999997</v>
      </c>
      <c r="G1017" s="13">
        <v>5.86</v>
      </c>
      <c r="H1017" s="13">
        <v>5.94</v>
      </c>
      <c r="I1017" s="13">
        <v>6</v>
      </c>
      <c r="J1017" s="13">
        <v>6.1</v>
      </c>
      <c r="K1017" s="13">
        <v>5.88</v>
      </c>
      <c r="L1017" s="13">
        <v>5.7975000000000003</v>
      </c>
      <c r="M1017" s="13">
        <v>5.7725</v>
      </c>
      <c r="O1017" s="13">
        <f t="shared" si="53"/>
        <v>0.27940475999999936</v>
      </c>
    </row>
    <row r="1018" spans="1:15" x14ac:dyDescent="0.2">
      <c r="A1018" s="48">
        <v>1991</v>
      </c>
      <c r="B1018" s="13">
        <v>6.47</v>
      </c>
      <c r="C1018" s="13">
        <v>6.4349999999999996</v>
      </c>
      <c r="D1018" s="13">
        <v>6.0750000000000002</v>
      </c>
      <c r="E1018" s="13">
        <v>6.03</v>
      </c>
      <c r="F1018" s="13">
        <v>5.82</v>
      </c>
      <c r="G1018" s="13">
        <v>5.9375</v>
      </c>
      <c r="H1018" s="13">
        <v>5.84</v>
      </c>
      <c r="I1018" s="13">
        <v>5.93</v>
      </c>
      <c r="J1018" s="13">
        <v>5.71</v>
      </c>
      <c r="K1018" s="13">
        <v>5.2450000000000001</v>
      </c>
      <c r="L1018" s="13">
        <v>5.15</v>
      </c>
      <c r="M1018" s="13">
        <v>5.14</v>
      </c>
      <c r="O1018" s="13">
        <f t="shared" si="53"/>
        <v>0.24965908999999975</v>
      </c>
    </row>
    <row r="1019" spans="1:15" x14ac:dyDescent="0.2">
      <c r="A1019" s="48">
        <v>1992</v>
      </c>
      <c r="B1019" s="13">
        <v>6.1</v>
      </c>
      <c r="C1019" s="13">
        <v>5.79</v>
      </c>
      <c r="D1019" s="13">
        <v>5.73</v>
      </c>
      <c r="E1019" s="13">
        <v>5.69</v>
      </c>
      <c r="F1019" s="13">
        <v>5.6749999999999998</v>
      </c>
      <c r="G1019" s="13">
        <v>5.82</v>
      </c>
      <c r="H1019" s="13">
        <v>5.9574999999999996</v>
      </c>
      <c r="I1019" s="13">
        <v>5.7750000000000004</v>
      </c>
      <c r="J1019" s="13">
        <v>5.8224999999999998</v>
      </c>
      <c r="K1019" s="13">
        <v>5.94</v>
      </c>
      <c r="L1019" s="13">
        <v>5.5175000000000001</v>
      </c>
      <c r="M1019" s="13">
        <v>5.39</v>
      </c>
      <c r="O1019" s="13">
        <f t="shared" si="53"/>
        <v>0.16375000000000028</v>
      </c>
    </row>
    <row r="1020" spans="1:15" x14ac:dyDescent="0.2">
      <c r="A1020" s="48">
        <v>1993</v>
      </c>
      <c r="B1020" s="13">
        <v>5.6725000000000003</v>
      </c>
      <c r="C1020" s="13">
        <v>5.58</v>
      </c>
      <c r="D1020" s="13">
        <v>5.64</v>
      </c>
      <c r="E1020" s="13">
        <v>5.73</v>
      </c>
      <c r="F1020" s="13">
        <v>5.8025000000000002</v>
      </c>
      <c r="G1020" s="13">
        <v>5.7175000000000002</v>
      </c>
      <c r="H1020" s="13">
        <v>5.8274999999999997</v>
      </c>
      <c r="I1020" s="13">
        <v>5.89</v>
      </c>
      <c r="J1020" s="13">
        <v>5.8849999999999998</v>
      </c>
      <c r="K1020" s="13">
        <v>5.7874999999999996</v>
      </c>
      <c r="L1020" s="13">
        <v>6.45</v>
      </c>
      <c r="M1020" s="13">
        <v>6.5149999999999997</v>
      </c>
      <c r="O1020" s="13">
        <f t="shared" si="53"/>
        <v>0.59630952000000015</v>
      </c>
    </row>
    <row r="1021" spans="1:15" x14ac:dyDescent="0.2">
      <c r="A1021" s="48">
        <v>1994</v>
      </c>
      <c r="B1021" s="13">
        <v>6.33</v>
      </c>
      <c r="C1021" s="13">
        <v>6.28</v>
      </c>
      <c r="D1021" s="13">
        <v>6.375</v>
      </c>
      <c r="E1021" s="13">
        <v>6.7149999999999999</v>
      </c>
      <c r="F1021" s="13">
        <v>6.77</v>
      </c>
      <c r="G1021" s="13">
        <v>6.6950000000000003</v>
      </c>
      <c r="H1021" s="13">
        <v>6.6</v>
      </c>
      <c r="I1021" s="13">
        <v>6.4349999999999996</v>
      </c>
      <c r="J1021" s="13">
        <v>6.51</v>
      </c>
      <c r="K1021" s="13">
        <v>6.51</v>
      </c>
      <c r="L1021" s="13">
        <v>5.7374999999999998</v>
      </c>
      <c r="M1021" s="13">
        <v>5.7125000000000004</v>
      </c>
      <c r="O1021" s="13">
        <f t="shared" si="53"/>
        <v>0.3023750000000005</v>
      </c>
    </row>
    <row r="1022" spans="1:15" x14ac:dyDescent="0.2">
      <c r="A1022" s="48">
        <v>1995</v>
      </c>
      <c r="B1022" s="13">
        <v>5.7249999999999996</v>
      </c>
      <c r="C1022" s="13">
        <v>5.665</v>
      </c>
      <c r="D1022" s="13">
        <v>5.8125</v>
      </c>
      <c r="E1022" s="13">
        <v>5.79</v>
      </c>
      <c r="F1022" s="13">
        <v>5.6449999999999996</v>
      </c>
      <c r="G1022" s="13">
        <v>5.625</v>
      </c>
      <c r="H1022" s="13">
        <v>5.7575000000000003</v>
      </c>
      <c r="I1022" s="13">
        <v>5.8</v>
      </c>
      <c r="J1022" s="13">
        <v>5.71</v>
      </c>
      <c r="K1022" s="13">
        <v>5.7750000000000004</v>
      </c>
      <c r="L1022" s="13">
        <v>5.86</v>
      </c>
      <c r="M1022" s="13">
        <v>5.74</v>
      </c>
      <c r="O1022" s="13">
        <f t="shared" si="53"/>
        <v>0.32474999999999987</v>
      </c>
    </row>
    <row r="1023" spans="1:15" x14ac:dyDescent="0.2">
      <c r="A1023" s="48">
        <v>1996</v>
      </c>
      <c r="B1023" s="13">
        <v>6.4850000000000003</v>
      </c>
      <c r="C1023" s="13">
        <v>6.62</v>
      </c>
      <c r="D1023" s="13">
        <v>6.83</v>
      </c>
      <c r="E1023" s="13">
        <v>7</v>
      </c>
      <c r="F1023" s="13">
        <v>7.2850000000000001</v>
      </c>
      <c r="G1023" s="13">
        <v>7.35</v>
      </c>
      <c r="H1023" s="13">
        <v>7.23</v>
      </c>
      <c r="I1023" s="13">
        <v>7.55</v>
      </c>
      <c r="J1023" s="13">
        <v>7.7050000000000001</v>
      </c>
      <c r="K1023" s="13">
        <v>7.54</v>
      </c>
      <c r="L1023" s="13">
        <v>7.57</v>
      </c>
      <c r="M1023" s="13">
        <v>7.5650000000000004</v>
      </c>
      <c r="O1023" s="13">
        <f t="shared" si="53"/>
        <v>0.26590909000000007</v>
      </c>
    </row>
    <row r="1024" spans="1:15" x14ac:dyDescent="0.2">
      <c r="A1024" s="48">
        <v>1997</v>
      </c>
      <c r="B1024" s="13">
        <v>7.7</v>
      </c>
      <c r="C1024" s="13">
        <v>6.79</v>
      </c>
      <c r="D1024" s="13">
        <v>6.67</v>
      </c>
      <c r="E1024" s="13">
        <v>6.76</v>
      </c>
      <c r="F1024" s="13">
        <v>6.875</v>
      </c>
      <c r="G1024" s="13">
        <v>7.25</v>
      </c>
      <c r="H1024" s="13">
        <v>7.87</v>
      </c>
      <c r="I1024" s="13">
        <v>8.1300000000000008</v>
      </c>
      <c r="J1024" s="13">
        <v>7.88</v>
      </c>
      <c r="K1024" s="13">
        <v>7.11</v>
      </c>
      <c r="L1024" s="13">
        <v>6.63</v>
      </c>
      <c r="M1024" s="13">
        <v>7.18</v>
      </c>
      <c r="O1024" s="13">
        <f t="shared" si="53"/>
        <v>0.75556818000000003</v>
      </c>
    </row>
    <row r="1025" spans="1:15" x14ac:dyDescent="0.2">
      <c r="A1025" s="48">
        <v>1998</v>
      </c>
      <c r="B1025" s="13">
        <v>6.46</v>
      </c>
      <c r="C1025" s="13">
        <v>6.4249999999999998</v>
      </c>
      <c r="D1025" s="13">
        <v>7.13</v>
      </c>
      <c r="E1025" s="13">
        <v>6.86</v>
      </c>
      <c r="F1025" s="13">
        <v>6.66</v>
      </c>
      <c r="G1025" s="13">
        <v>6.5750000000000002</v>
      </c>
      <c r="H1025" s="13">
        <v>6.4349999999999996</v>
      </c>
      <c r="I1025" s="13">
        <v>6.2750000000000004</v>
      </c>
      <c r="J1025" s="13">
        <v>6.07</v>
      </c>
      <c r="K1025" s="13">
        <v>5.94</v>
      </c>
      <c r="L1025" s="13">
        <v>5.82</v>
      </c>
      <c r="M1025" s="13">
        <v>5.2949999999999999</v>
      </c>
      <c r="O1025" s="13">
        <f t="shared" si="53"/>
        <v>0.37772726999999939</v>
      </c>
    </row>
    <row r="1026" spans="1:15" x14ac:dyDescent="0.2">
      <c r="A1026" s="48">
        <v>1999</v>
      </c>
      <c r="B1026" s="13">
        <v>5.5650000000000004</v>
      </c>
      <c r="C1026" s="13">
        <v>5.56</v>
      </c>
      <c r="D1026" s="13">
        <v>5.8550000000000004</v>
      </c>
      <c r="E1026" s="13">
        <v>5.53</v>
      </c>
      <c r="F1026" s="13">
        <v>5.1749999999999998</v>
      </c>
      <c r="G1026" s="13">
        <v>4.6950000000000003</v>
      </c>
      <c r="H1026" s="13">
        <v>4.7074999999999996</v>
      </c>
      <c r="I1026" s="13">
        <v>4.8550000000000004</v>
      </c>
      <c r="J1026" s="13">
        <v>4.5575000000000001</v>
      </c>
      <c r="K1026" s="13">
        <v>4.4550000000000001</v>
      </c>
      <c r="L1026" s="13">
        <v>4.0250000000000004</v>
      </c>
      <c r="M1026" s="13">
        <v>4.3624999999999998</v>
      </c>
      <c r="O1026" s="13">
        <f t="shared" si="53"/>
        <v>0.28226189999999995</v>
      </c>
    </row>
    <row r="1027" spans="1:15" x14ac:dyDescent="0.2">
      <c r="A1027" s="48">
        <v>2000</v>
      </c>
      <c r="B1027" s="13">
        <v>5.07</v>
      </c>
      <c r="C1027" s="13">
        <v>4.9749999999999996</v>
      </c>
      <c r="D1027" s="13">
        <v>4.7850000000000001</v>
      </c>
      <c r="E1027" s="13">
        <v>4.665</v>
      </c>
      <c r="F1027" s="13">
        <v>4.7850000000000001</v>
      </c>
      <c r="G1027" s="13">
        <v>5.1100000000000003</v>
      </c>
      <c r="H1027" s="13">
        <v>5.14</v>
      </c>
      <c r="I1027" s="13">
        <v>5.37</v>
      </c>
      <c r="J1027" s="13">
        <v>5.14</v>
      </c>
      <c r="K1027" s="13">
        <v>4.8049999999999997</v>
      </c>
      <c r="L1027" s="13">
        <v>4.41</v>
      </c>
      <c r="M1027" s="13">
        <v>4.335</v>
      </c>
      <c r="O1027" s="13">
        <f t="shared" si="53"/>
        <v>0.20112500000000022</v>
      </c>
    </row>
    <row r="1028" spans="1:15" x14ac:dyDescent="0.2">
      <c r="A1028" s="48">
        <v>2001</v>
      </c>
      <c r="B1028" s="13">
        <v>5.18</v>
      </c>
      <c r="C1028" s="13">
        <v>4.9249999999999998</v>
      </c>
      <c r="D1028" s="13">
        <v>4.9550000000000001</v>
      </c>
      <c r="E1028" s="13">
        <v>5.18</v>
      </c>
      <c r="F1028" s="13">
        <v>4.6950000000000003</v>
      </c>
      <c r="G1028" s="13">
        <v>4.4950000000000001</v>
      </c>
      <c r="H1028" s="13">
        <v>4.29</v>
      </c>
      <c r="I1028" s="13">
        <v>4.21</v>
      </c>
      <c r="J1028" s="13">
        <v>4.28</v>
      </c>
      <c r="K1028" s="13">
        <v>4.43</v>
      </c>
      <c r="L1028" s="13">
        <v>4.7175000000000002</v>
      </c>
      <c r="M1028" s="13">
        <v>4.8600000000000003</v>
      </c>
      <c r="O1028" s="13">
        <f t="shared" si="53"/>
        <v>0.3439285700000001</v>
      </c>
    </row>
    <row r="1029" spans="1:15" x14ac:dyDescent="0.2">
      <c r="A1029" s="48">
        <v>2002</v>
      </c>
      <c r="B1029" s="13">
        <v>4.76</v>
      </c>
      <c r="C1029" s="13">
        <v>4.4225000000000003</v>
      </c>
      <c r="D1029" s="13">
        <v>4.4450000000000003</v>
      </c>
      <c r="E1029" s="13">
        <v>4.3</v>
      </c>
      <c r="F1029" s="13">
        <v>4.25</v>
      </c>
      <c r="G1029" s="13">
        <v>4.3475000000000001</v>
      </c>
      <c r="H1029" s="13">
        <v>4.47</v>
      </c>
      <c r="I1029" s="13">
        <v>4.55</v>
      </c>
      <c r="J1029" s="13">
        <v>4.5549999999999997</v>
      </c>
      <c r="K1029" s="13">
        <v>4.835</v>
      </c>
      <c r="L1029" s="13">
        <v>5.21</v>
      </c>
      <c r="M1029" s="13">
        <v>5.4</v>
      </c>
      <c r="O1029" s="13">
        <f t="shared" si="53"/>
        <v>0.38704545000000046</v>
      </c>
    </row>
    <row r="1030" spans="1:15" x14ac:dyDescent="0.2">
      <c r="A1030" s="48">
        <v>2003</v>
      </c>
      <c r="B1030" s="13">
        <v>5.42</v>
      </c>
      <c r="C1030" s="13">
        <v>5.27</v>
      </c>
      <c r="D1030" s="13">
        <v>5.335</v>
      </c>
      <c r="E1030" s="13">
        <v>5.3550000000000004</v>
      </c>
      <c r="F1030" s="13">
        <v>5.3049999999999997</v>
      </c>
      <c r="G1030" s="13">
        <v>5.44</v>
      </c>
      <c r="H1030" s="13">
        <v>5.48</v>
      </c>
      <c r="I1030" s="13">
        <v>5.59</v>
      </c>
      <c r="J1030" s="13">
        <v>6.09</v>
      </c>
      <c r="K1030" s="13">
        <v>6.08</v>
      </c>
      <c r="L1030" s="13">
        <v>5.32</v>
      </c>
      <c r="M1030" s="13">
        <v>5.33</v>
      </c>
      <c r="O1030" s="13">
        <f t="shared" si="53"/>
        <v>0.45761362999999999</v>
      </c>
    </row>
    <row r="1031" spans="1:15" x14ac:dyDescent="0.2">
      <c r="A1031" s="48">
        <v>2004</v>
      </c>
      <c r="B1031" s="13">
        <v>5.59</v>
      </c>
      <c r="C1031" s="13">
        <v>6.16</v>
      </c>
      <c r="D1031" s="13">
        <v>6.74</v>
      </c>
      <c r="E1031" s="13">
        <v>6.94</v>
      </c>
      <c r="F1031" s="13">
        <v>7.44</v>
      </c>
      <c r="G1031" s="13">
        <v>7.59</v>
      </c>
      <c r="H1031" s="13">
        <v>8.6199999999999992</v>
      </c>
      <c r="I1031" s="13">
        <v>8.6850000000000005</v>
      </c>
      <c r="J1031" s="13">
        <v>7.72</v>
      </c>
      <c r="K1031" s="13">
        <v>7.6</v>
      </c>
      <c r="L1031" s="13">
        <v>5.99</v>
      </c>
      <c r="M1031" s="13">
        <v>5.83</v>
      </c>
      <c r="O1031" s="13">
        <f t="shared" si="53"/>
        <v>1.3082142799999996</v>
      </c>
    </row>
    <row r="1032" spans="1:15" x14ac:dyDescent="0.2">
      <c r="A1032" s="48">
        <v>2005</v>
      </c>
      <c r="B1032" s="13">
        <v>5.5350000000000001</v>
      </c>
      <c r="C1032" s="13">
        <v>5.39</v>
      </c>
      <c r="D1032" s="13">
        <v>5.26</v>
      </c>
      <c r="E1032" s="13">
        <v>5.36</v>
      </c>
      <c r="F1032" s="13">
        <v>5.16</v>
      </c>
      <c r="G1032" s="13">
        <v>5.09</v>
      </c>
      <c r="H1032" s="13">
        <v>6.12</v>
      </c>
      <c r="I1032" s="13">
        <v>6.09</v>
      </c>
      <c r="J1032" s="13">
        <v>6.07</v>
      </c>
      <c r="K1032" s="13">
        <v>6.51</v>
      </c>
      <c r="L1032" s="13">
        <v>6.58</v>
      </c>
      <c r="M1032" s="13">
        <v>6.34</v>
      </c>
      <c r="O1032" s="13">
        <f t="shared" si="53"/>
        <v>0.32350000000000012</v>
      </c>
    </row>
    <row r="1033" spans="1:15" x14ac:dyDescent="0.2">
      <c r="A1033" s="48">
        <v>2006</v>
      </c>
      <c r="B1033" s="13">
        <v>5.82</v>
      </c>
      <c r="C1033" s="13">
        <v>5.85</v>
      </c>
      <c r="D1033" s="13">
        <v>5.68</v>
      </c>
      <c r="E1033" s="13">
        <v>5.77</v>
      </c>
      <c r="F1033" s="13">
        <v>5.8550000000000004</v>
      </c>
      <c r="G1033" s="13">
        <v>5.96</v>
      </c>
      <c r="H1033" s="13">
        <v>5.88</v>
      </c>
      <c r="I1033" s="13">
        <v>5.7350000000000003</v>
      </c>
      <c r="J1033" s="13">
        <v>5.8449999999999998</v>
      </c>
      <c r="K1033" s="13">
        <v>5.7275</v>
      </c>
      <c r="L1033" s="13">
        <v>5.71</v>
      </c>
      <c r="M1033" s="13">
        <v>5.46</v>
      </c>
      <c r="O1033" s="13">
        <f t="shared" si="53"/>
        <v>0.22175000000000011</v>
      </c>
    </row>
    <row r="1034" spans="1:15" x14ac:dyDescent="0.2">
      <c r="A1034" s="48">
        <v>2007</v>
      </c>
      <c r="B1034" s="13">
        <v>5.87</v>
      </c>
      <c r="C1034" s="13">
        <v>5.91</v>
      </c>
      <c r="D1034" s="13">
        <v>6.72</v>
      </c>
      <c r="E1034" s="13">
        <v>6.8674999999999997</v>
      </c>
      <c r="F1034" s="13">
        <v>6.91</v>
      </c>
      <c r="G1034" s="13">
        <v>7.55</v>
      </c>
      <c r="H1034" s="13">
        <v>7.6025</v>
      </c>
      <c r="I1034" s="13">
        <v>7.3250000000000002</v>
      </c>
      <c r="J1034" s="13">
        <v>7.4175000000000004</v>
      </c>
      <c r="K1034" s="13">
        <v>7.99</v>
      </c>
      <c r="L1034" s="13">
        <v>8.0875000000000004</v>
      </c>
      <c r="M1034" s="13">
        <v>8.17</v>
      </c>
      <c r="O1034" s="13">
        <f t="shared" si="53"/>
        <v>0.46749999999999936</v>
      </c>
    </row>
    <row r="1035" spans="1:15" x14ac:dyDescent="0.2">
      <c r="A1035" s="48">
        <v>2008</v>
      </c>
      <c r="B1035" s="13">
        <v>9.26</v>
      </c>
      <c r="C1035" s="13">
        <v>9.5399999999999991</v>
      </c>
      <c r="D1035" s="13">
        <v>10.1675</v>
      </c>
      <c r="E1035" s="13">
        <v>10.78</v>
      </c>
      <c r="F1035" s="13">
        <v>12.1</v>
      </c>
      <c r="G1035" s="13">
        <v>13</v>
      </c>
      <c r="H1035" s="13">
        <v>11.97</v>
      </c>
      <c r="I1035" s="13">
        <v>11.2</v>
      </c>
      <c r="J1035" s="13">
        <v>12.33</v>
      </c>
      <c r="K1035" s="13">
        <v>13.525</v>
      </c>
      <c r="L1035" s="13">
        <v>13.5425</v>
      </c>
      <c r="M1035" s="13">
        <v>11.862500000000001</v>
      </c>
      <c r="O1035" s="13">
        <f t="shared" si="53"/>
        <v>1.5002272699999999</v>
      </c>
    </row>
    <row r="1036" spans="1:15" x14ac:dyDescent="0.2">
      <c r="A1036" s="48">
        <v>2009</v>
      </c>
      <c r="B1036" s="13">
        <v>10.96</v>
      </c>
      <c r="C1036" s="13">
        <v>8.7449999999999992</v>
      </c>
      <c r="D1036" s="13">
        <v>8.6575000000000006</v>
      </c>
      <c r="E1036" s="13">
        <v>8.0024999999999995</v>
      </c>
      <c r="F1036" s="13">
        <v>9.7524999999999995</v>
      </c>
      <c r="G1036" s="13">
        <v>8.5</v>
      </c>
      <c r="H1036" s="13">
        <v>8.27</v>
      </c>
      <c r="I1036" s="13">
        <v>9.33</v>
      </c>
      <c r="J1036" s="13">
        <v>10.130000000000001</v>
      </c>
      <c r="K1036" s="13">
        <v>10.85</v>
      </c>
      <c r="L1036" s="13">
        <v>9.7025000000000006</v>
      </c>
      <c r="M1036" s="13">
        <v>11</v>
      </c>
      <c r="O1036" s="13">
        <f t="shared" si="53"/>
        <v>0.82420454000000021</v>
      </c>
    </row>
    <row r="1037" spans="1:15" x14ac:dyDescent="0.2">
      <c r="A1037" s="48">
        <v>2010</v>
      </c>
      <c r="B1037" s="13">
        <v>9.09</v>
      </c>
      <c r="C1037" s="13">
        <v>8.9</v>
      </c>
      <c r="D1037" s="13">
        <v>9.6</v>
      </c>
      <c r="E1037" s="13">
        <v>10</v>
      </c>
      <c r="F1037" s="13">
        <v>9.27</v>
      </c>
      <c r="G1037" s="13">
        <v>9.1675000000000004</v>
      </c>
      <c r="H1037" s="13">
        <v>9.2774999999999999</v>
      </c>
      <c r="I1037" s="13">
        <v>9.3650000000000002</v>
      </c>
      <c r="J1037" s="13">
        <v>9.2025000000000006</v>
      </c>
      <c r="K1037" s="13">
        <v>9.07</v>
      </c>
      <c r="L1037" s="13">
        <v>9.2624999999999993</v>
      </c>
      <c r="M1037" s="13">
        <v>10.3375</v>
      </c>
      <c r="O1037" s="13">
        <f t="shared" si="53"/>
        <v>0.71309523000000041</v>
      </c>
    </row>
    <row r="1038" spans="1:15" x14ac:dyDescent="0.2">
      <c r="A1038" s="48">
        <v>2011</v>
      </c>
      <c r="B1038" s="13">
        <v>10.23</v>
      </c>
      <c r="C1038" s="13">
        <v>10.6525</v>
      </c>
      <c r="D1038" s="13">
        <v>11.692500000000001</v>
      </c>
      <c r="E1038" s="13">
        <v>12.355</v>
      </c>
      <c r="F1038" s="13">
        <v>13.432499999999999</v>
      </c>
      <c r="G1038" s="13">
        <v>12.945</v>
      </c>
      <c r="H1038" s="13">
        <v>12.734999999999999</v>
      </c>
      <c r="I1038" s="13">
        <v>13.31</v>
      </c>
      <c r="J1038" s="13">
        <v>13.065</v>
      </c>
      <c r="K1038" s="13">
        <v>12.8725</v>
      </c>
      <c r="L1038" s="13">
        <v>12.994999999999999</v>
      </c>
      <c r="M1038" s="13">
        <v>12.86</v>
      </c>
      <c r="O1038" s="13">
        <f t="shared" si="53"/>
        <v>0.62450000000000117</v>
      </c>
    </row>
    <row r="1039" spans="1:15" x14ac:dyDescent="0.2">
      <c r="A1039" s="48">
        <v>2012</v>
      </c>
      <c r="B1039" s="13">
        <v>12.095000000000001</v>
      </c>
      <c r="C1039" s="13">
        <v>11.8925</v>
      </c>
      <c r="D1039" s="13">
        <v>11.317500000000001</v>
      </c>
      <c r="E1039" s="13">
        <v>11.27</v>
      </c>
      <c r="F1039" s="13">
        <v>11.765000000000001</v>
      </c>
      <c r="G1039" s="13">
        <v>12.24</v>
      </c>
      <c r="H1039" s="13">
        <v>13.07</v>
      </c>
      <c r="I1039" s="13">
        <v>13.98</v>
      </c>
      <c r="J1039" s="13">
        <v>13.225</v>
      </c>
      <c r="K1039" s="13">
        <v>13.005000000000001</v>
      </c>
      <c r="L1039" s="13">
        <v>14.85</v>
      </c>
      <c r="M1039" s="13">
        <v>16.02</v>
      </c>
      <c r="O1039" s="13">
        <f t="shared" si="53"/>
        <v>1.5244047600000012</v>
      </c>
    </row>
    <row r="1040" spans="1:15" x14ac:dyDescent="0.2">
      <c r="A1040" s="48">
        <v>2013</v>
      </c>
      <c r="B1040" s="13">
        <v>14.282500000000001</v>
      </c>
      <c r="C1040" s="13">
        <v>13.955</v>
      </c>
      <c r="D1040" s="13">
        <v>13.12</v>
      </c>
      <c r="E1040" s="13">
        <v>13.567500000000001</v>
      </c>
      <c r="F1040" s="13">
        <v>13.227499999999999</v>
      </c>
      <c r="G1040" s="13">
        <v>13.52</v>
      </c>
      <c r="H1040" s="13">
        <v>13.397500000000001</v>
      </c>
      <c r="I1040" s="13">
        <v>12.82</v>
      </c>
      <c r="J1040" s="13">
        <v>13.135</v>
      </c>
      <c r="K1040" s="13">
        <v>14.01</v>
      </c>
      <c r="L1040" s="13">
        <v>13.2875</v>
      </c>
      <c r="M1040" s="13">
        <v>13.137499999999999</v>
      </c>
      <c r="O1040" s="13">
        <f t="shared" si="53"/>
        <v>1.0628409000000012</v>
      </c>
    </row>
    <row r="1041" spans="1:15" x14ac:dyDescent="0.2">
      <c r="A1041" s="48">
        <v>2014</v>
      </c>
      <c r="B1041" s="13">
        <v>12.28</v>
      </c>
      <c r="C1041" s="13">
        <v>12.154999999999999</v>
      </c>
      <c r="D1041" s="13">
        <v>12.09</v>
      </c>
      <c r="E1041" s="13">
        <v>12.3225</v>
      </c>
      <c r="F1041" s="13">
        <v>11.9575</v>
      </c>
      <c r="G1041" s="13">
        <v>12.07</v>
      </c>
      <c r="H1041" s="13">
        <v>13.145</v>
      </c>
      <c r="I1041" s="13">
        <v>13.585000000000001</v>
      </c>
      <c r="J1041" s="13">
        <v>13.904999999999999</v>
      </c>
      <c r="K1041" s="13">
        <v>13.1425</v>
      </c>
      <c r="L1041" s="13">
        <v>11.532500000000001</v>
      </c>
      <c r="M1041" s="13">
        <v>12.1</v>
      </c>
      <c r="O1041" s="13">
        <f t="shared" si="53"/>
        <v>0.71465908999999961</v>
      </c>
    </row>
    <row r="1042" spans="1:15" x14ac:dyDescent="0.2">
      <c r="A1042" s="48">
        <v>2015</v>
      </c>
      <c r="B1042" s="13">
        <v>9.4175000000000004</v>
      </c>
      <c r="C1042" s="13">
        <v>9.3874999999999993</v>
      </c>
      <c r="D1042" s="13">
        <v>10.137499999999999</v>
      </c>
      <c r="E1042" s="13">
        <v>10.06</v>
      </c>
      <c r="F1042" s="13">
        <v>9.6675000000000004</v>
      </c>
      <c r="G1042" s="13">
        <v>9.6824999999999992</v>
      </c>
      <c r="H1042" s="13">
        <v>9.5625</v>
      </c>
      <c r="I1042" s="13">
        <v>9.4849999999999994</v>
      </c>
      <c r="J1042" s="13">
        <v>9.1</v>
      </c>
      <c r="K1042" s="13">
        <v>9.0924999999999994</v>
      </c>
      <c r="L1042" s="13">
        <v>9.5975000000000001</v>
      </c>
      <c r="M1042" s="13">
        <v>9.5</v>
      </c>
      <c r="O1042" s="13">
        <f t="shared" si="53"/>
        <v>0.50090909000000039</v>
      </c>
    </row>
    <row r="1043" spans="1:15" x14ac:dyDescent="0.2">
      <c r="A1043" s="48">
        <v>2016</v>
      </c>
      <c r="B1043" s="13">
        <v>8.6750000000000007</v>
      </c>
      <c r="C1043" s="13">
        <v>8.8550000000000004</v>
      </c>
      <c r="D1043" s="13">
        <v>8.6125000000000007</v>
      </c>
      <c r="E1043" s="13">
        <v>8.6925000000000008</v>
      </c>
      <c r="F1043" s="13">
        <v>8.66</v>
      </c>
      <c r="G1043" s="13">
        <v>8.6875</v>
      </c>
      <c r="H1043" s="13">
        <v>8.6425000000000001</v>
      </c>
      <c r="I1043" s="13">
        <v>9.1174999999999997</v>
      </c>
      <c r="J1043" s="13">
        <v>10.11</v>
      </c>
      <c r="K1043" s="13">
        <v>10.66</v>
      </c>
      <c r="L1043" s="13">
        <v>9.8049999999999997</v>
      </c>
      <c r="M1043" s="13">
        <v>9.3800000000000008</v>
      </c>
      <c r="O1043" s="13">
        <f t="shared" si="53"/>
        <v>0.78487499999999955</v>
      </c>
    </row>
    <row r="1044" spans="1:15" x14ac:dyDescent="0.2">
      <c r="A1044" s="48">
        <v>2017</v>
      </c>
      <c r="B1044" s="13">
        <v>9.5274999999999999</v>
      </c>
      <c r="C1044" s="13">
        <v>9.66</v>
      </c>
      <c r="D1044" s="13">
        <v>9.9674999999999994</v>
      </c>
      <c r="E1044" s="13">
        <v>10.102499999999999</v>
      </c>
      <c r="F1044" s="13">
        <v>10.0875</v>
      </c>
      <c r="G1044" s="13">
        <v>10.255000000000001</v>
      </c>
      <c r="H1044" s="13">
        <v>9.5749999999999993</v>
      </c>
      <c r="I1044" s="13">
        <v>9.44</v>
      </c>
      <c r="J1044" s="13">
        <v>9.1325000000000003</v>
      </c>
      <c r="K1044" s="13">
        <v>9.0449999999999999</v>
      </c>
      <c r="L1044" s="13">
        <v>9.5500000000000007</v>
      </c>
      <c r="M1044" s="13">
        <v>9.5374999999999996</v>
      </c>
      <c r="O1044" s="13">
        <f t="shared" si="53"/>
        <v>0.41600000000000037</v>
      </c>
    </row>
    <row r="1045" spans="1:15" x14ac:dyDescent="0.2">
      <c r="A1045" s="48">
        <v>2018</v>
      </c>
      <c r="B1045" s="13">
        <v>9.7725000000000009</v>
      </c>
      <c r="C1045" s="13">
        <v>9.9024999999999999</v>
      </c>
      <c r="D1045" s="13">
        <v>9.9849999999999994</v>
      </c>
      <c r="E1045" s="13">
        <v>9.7949999999999999</v>
      </c>
      <c r="F1045" s="13">
        <v>9.6824999999999992</v>
      </c>
      <c r="G1045" s="13">
        <v>9.9149999999999991</v>
      </c>
      <c r="H1045" s="13">
        <v>10.23</v>
      </c>
      <c r="I1045" s="13">
        <v>9.9749999999999996</v>
      </c>
      <c r="J1045" s="13">
        <v>9.9600000000000009</v>
      </c>
      <c r="K1045" s="13">
        <v>8.4749999999999996</v>
      </c>
      <c r="L1045" s="13">
        <v>8.1050000000000004</v>
      </c>
      <c r="M1045" s="13">
        <v>8.83</v>
      </c>
      <c r="O1045" s="13">
        <f t="shared" si="53"/>
        <v>0.41845238095238102</v>
      </c>
    </row>
    <row r="1046" spans="1:15" x14ac:dyDescent="0.2">
      <c r="A1046" s="48">
        <v>2019</v>
      </c>
      <c r="B1046" s="13">
        <v>8.6824999999999992</v>
      </c>
      <c r="C1046" s="13">
        <v>8.8874999999999993</v>
      </c>
      <c r="D1046" s="13">
        <v>8.9075000000000006</v>
      </c>
      <c r="E1046" s="13">
        <v>9.1150000000000002</v>
      </c>
      <c r="F1046" s="13">
        <v>9.2324999999999999</v>
      </c>
      <c r="G1046" s="13">
        <v>9.2624999999999993</v>
      </c>
      <c r="H1046" s="13">
        <v>9.0299999999999994</v>
      </c>
      <c r="I1046" s="13">
        <v>8.5749999999999993</v>
      </c>
      <c r="J1046" s="13">
        <v>7.9775</v>
      </c>
      <c r="K1046" s="13">
        <v>8.5500000000000007</v>
      </c>
      <c r="L1046" s="13">
        <v>8.6274999999999995</v>
      </c>
      <c r="M1046" s="13">
        <v>9.1024999999999991</v>
      </c>
      <c r="O1046" s="13">
        <f t="shared" si="53"/>
        <v>0.24568181818181856</v>
      </c>
    </row>
    <row r="1047" spans="1:15" x14ac:dyDescent="0.2">
      <c r="A1047" s="48">
        <v>2020</v>
      </c>
      <c r="B1047" s="13">
        <v>9.0749999999999993</v>
      </c>
      <c r="C1047" s="13">
        <v>9.4924999999999997</v>
      </c>
      <c r="D1047" s="13">
        <v>9.2274999999999991</v>
      </c>
      <c r="E1047" s="13">
        <v>9.1649999999999991</v>
      </c>
      <c r="F1047" s="13">
        <v>9.0549999999999997</v>
      </c>
      <c r="G1047" s="13">
        <v>8.9375</v>
      </c>
      <c r="H1047" s="13">
        <v>8.3175000000000008</v>
      </c>
      <c r="I1047" s="13">
        <v>8.2174999999999994</v>
      </c>
      <c r="J1047" s="13">
        <v>8.3249999999999993</v>
      </c>
      <c r="K1047" s="13">
        <v>8.3699999999999992</v>
      </c>
      <c r="L1047" s="13">
        <v>8.7050000000000001</v>
      </c>
      <c r="M1047" s="13">
        <v>8.9024999999999999</v>
      </c>
      <c r="O1047" s="13">
        <f t="shared" si="53"/>
        <v>0.23797619047619101</v>
      </c>
    </row>
    <row r="1048" spans="1:15" x14ac:dyDescent="0.2">
      <c r="A1048" s="48">
        <v>2021</v>
      </c>
      <c r="B1048" s="13">
        <v>9.5500000000000007</v>
      </c>
      <c r="C1048" s="13">
        <v>10.085000000000001</v>
      </c>
      <c r="D1048" s="13">
        <v>10.2575</v>
      </c>
      <c r="E1048" s="13">
        <v>11.202500000000001</v>
      </c>
      <c r="F1048" s="13">
        <v>12.38</v>
      </c>
      <c r="G1048" s="13">
        <v>12.755000000000001</v>
      </c>
      <c r="H1048" s="13">
        <v>13.125</v>
      </c>
      <c r="I1048" s="13">
        <v>13.39</v>
      </c>
      <c r="J1048" s="13"/>
      <c r="K1048" s="13"/>
      <c r="L1048" s="35">
        <v>13.828688636363635</v>
      </c>
      <c r="M1048" s="13"/>
      <c r="O1048" s="13">
        <f t="shared" si="53"/>
        <v>0.42059707792207846</v>
      </c>
    </row>
    <row r="1049" spans="1:15" x14ac:dyDescent="0.2">
      <c r="A1049" s="48">
        <v>2022</v>
      </c>
      <c r="L1049" s="35">
        <v>14.406383506493505</v>
      </c>
      <c r="O1049" s="13">
        <f t="shared" si="53"/>
        <v>1.0977414935064935</v>
      </c>
    </row>
    <row r="1050" spans="1:15" x14ac:dyDescent="0.2">
      <c r="A1050" s="48">
        <v>2023</v>
      </c>
      <c r="L1050" s="35">
        <v>13.848035207792208</v>
      </c>
      <c r="O1050" s="13">
        <f t="shared" si="53"/>
        <v>1.2340897922077936</v>
      </c>
    </row>
    <row r="1051" spans="1:15" x14ac:dyDescent="0.2">
      <c r="A1051" s="48">
        <v>2024</v>
      </c>
      <c r="L1051" s="35">
        <v>9.7643736346320349</v>
      </c>
      <c r="O1051" s="13">
        <f t="shared" si="53"/>
        <v>1.3972172744588747</v>
      </c>
    </row>
    <row r="1052" spans="1:15" x14ac:dyDescent="0.2">
      <c r="A1052" s="48">
        <v>2025</v>
      </c>
      <c r="L1052" s="35">
        <f>(SUM(L1047:L1051)-SUM(L929:L933))/5+L934</f>
        <v>9.0724756342857127</v>
      </c>
      <c r="O1052" s="13">
        <f t="shared" si="53"/>
        <v>0.8775243657142866</v>
      </c>
    </row>
    <row r="1053" spans="1:15" x14ac:dyDescent="0.2">
      <c r="A1053" s="48">
        <v>2026</v>
      </c>
      <c r="L1053" s="35">
        <f>(SUM(L1048:L1052)-SUM(L930:L934))/5+L935</f>
        <v>10.844565999238098</v>
      </c>
      <c r="O1053" s="13">
        <f t="shared" si="53"/>
        <v>1.0054340007619036</v>
      </c>
    </row>
    <row r="1054" spans="1:15" x14ac:dyDescent="0.2">
      <c r="L1054" s="35"/>
      <c r="O1054" s="13"/>
    </row>
    <row r="1055" spans="1:15" ht="15.75" x14ac:dyDescent="0.25">
      <c r="A1055" s="51" t="s">
        <v>173</v>
      </c>
    </row>
    <row r="1056" spans="1:15" ht="13.5" x14ac:dyDescent="0.25">
      <c r="A1056" s="42" t="s">
        <v>155</v>
      </c>
      <c r="B1056" t="s">
        <v>88</v>
      </c>
      <c r="C1056" t="s">
        <v>89</v>
      </c>
      <c r="D1056" t="s">
        <v>90</v>
      </c>
      <c r="E1056" t="s">
        <v>91</v>
      </c>
      <c r="F1056" t="s">
        <v>92</v>
      </c>
      <c r="G1056" t="s">
        <v>93</v>
      </c>
      <c r="H1056" t="s">
        <v>94</v>
      </c>
      <c r="I1056" t="s">
        <v>83</v>
      </c>
      <c r="J1056" t="s">
        <v>84</v>
      </c>
      <c r="K1056" t="s">
        <v>85</v>
      </c>
      <c r="L1056" t="s">
        <v>86</v>
      </c>
      <c r="M1056" t="s">
        <v>87</v>
      </c>
    </row>
    <row r="1057" spans="1:13" x14ac:dyDescent="0.2">
      <c r="A1057" s="48">
        <v>1971</v>
      </c>
      <c r="B1057" s="13">
        <v>2.8576136299999999</v>
      </c>
      <c r="C1057" s="13">
        <v>2.93065789</v>
      </c>
      <c r="D1057" s="13">
        <v>2.9</v>
      </c>
      <c r="E1057" s="13">
        <v>2.9656250000000002</v>
      </c>
      <c r="F1057" s="13">
        <v>2.9668421</v>
      </c>
      <c r="G1057" s="13">
        <v>2.9468478199999999</v>
      </c>
      <c r="H1057" s="13">
        <v>2.8930952300000001</v>
      </c>
      <c r="I1057" s="13">
        <v>2.967625</v>
      </c>
      <c r="J1057" s="13">
        <v>3.1661363599999999</v>
      </c>
      <c r="K1057" s="13">
        <v>3.3594047599999999</v>
      </c>
      <c r="L1057" s="13">
        <v>3.25886363</v>
      </c>
      <c r="M1057" s="13">
        <v>3.1439285699999999</v>
      </c>
    </row>
    <row r="1058" spans="1:13" x14ac:dyDescent="0.2">
      <c r="A1058" s="48">
        <v>1972</v>
      </c>
      <c r="B1058" s="13">
        <v>3.0852380899999998</v>
      </c>
      <c r="C1058" s="13">
        <v>3.10440476</v>
      </c>
      <c r="D1058" s="13">
        <v>3.1476190399999999</v>
      </c>
      <c r="E1058" s="13">
        <v>3.0845237999999999</v>
      </c>
      <c r="F1058" s="13">
        <v>3.1168749999999998</v>
      </c>
      <c r="G1058" s="13">
        <v>3.2655681799999998</v>
      </c>
      <c r="H1058" s="13">
        <v>3.38375</v>
      </c>
      <c r="I1058" s="13">
        <v>3.36068181</v>
      </c>
      <c r="J1058" s="13">
        <v>3.3506818100000002</v>
      </c>
      <c r="K1058" s="13">
        <v>3.37025</v>
      </c>
      <c r="L1058" s="13">
        <v>3.4405434700000002</v>
      </c>
      <c r="M1058" s="13">
        <v>3.4515384600000001</v>
      </c>
    </row>
    <row r="1059" spans="1:13" x14ac:dyDescent="0.2">
      <c r="A1059" s="48">
        <v>1973</v>
      </c>
      <c r="B1059" s="13">
        <v>3.3890908999999998</v>
      </c>
      <c r="C1059" s="13">
        <v>3.520375</v>
      </c>
      <c r="D1059" s="13">
        <v>3.7457894700000001</v>
      </c>
      <c r="E1059" s="13">
        <v>3.85678571</v>
      </c>
      <c r="F1059" s="13">
        <v>4.49657894</v>
      </c>
      <c r="G1059" s="13">
        <v>4.5684090900000003</v>
      </c>
      <c r="H1059" s="13">
        <v>4.9278750000000002</v>
      </c>
      <c r="I1059" s="13">
        <v>6.4347727199999998</v>
      </c>
      <c r="J1059" s="13">
        <v>8.6510526300000006</v>
      </c>
      <c r="K1059" s="13">
        <v>8.2190476100000005</v>
      </c>
      <c r="L1059" s="13">
        <v>8.2434782599999998</v>
      </c>
      <c r="M1059" s="13">
        <v>6.4874999999999998</v>
      </c>
    </row>
    <row r="1060" spans="1:13" x14ac:dyDescent="0.2">
      <c r="A1060" s="48">
        <v>1974</v>
      </c>
      <c r="B1060" s="13">
        <v>5.8320454499999999</v>
      </c>
      <c r="C1060" s="13">
        <v>5.5933333300000001</v>
      </c>
      <c r="D1060" s="13">
        <v>6.0360526300000004</v>
      </c>
      <c r="E1060" s="13">
        <v>6.2865909000000002</v>
      </c>
      <c r="F1060" s="13">
        <v>6.4191666600000001</v>
      </c>
      <c r="G1060" s="13">
        <v>6.2409523800000004</v>
      </c>
      <c r="H1060" s="13">
        <v>5.4563095199999996</v>
      </c>
      <c r="I1060" s="13">
        <v>5.4289772699999999</v>
      </c>
      <c r="J1060" s="13">
        <v>5.5092499999999998</v>
      </c>
      <c r="K1060" s="13">
        <v>7.1085227199999999</v>
      </c>
      <c r="L1060" s="13">
        <v>7.8138636300000002</v>
      </c>
      <c r="M1060" s="13">
        <v>7.3723076900000004</v>
      </c>
    </row>
    <row r="1061" spans="1:13" x14ac:dyDescent="0.2">
      <c r="A1061" s="48">
        <v>1975</v>
      </c>
      <c r="B1061" s="13">
        <v>8.4502173900000006</v>
      </c>
      <c r="C1061" s="13">
        <v>7.78315789</v>
      </c>
      <c r="D1061" s="13">
        <v>7.3278571399999999</v>
      </c>
      <c r="E1061" s="13">
        <v>6.4410227200000003</v>
      </c>
      <c r="F1061" s="13">
        <v>5.8039473600000004</v>
      </c>
      <c r="G1061" s="13">
        <v>5.6116250000000001</v>
      </c>
      <c r="H1061" s="13">
        <v>5.5661363599999998</v>
      </c>
      <c r="I1061" s="13">
        <v>4.9876190400000002</v>
      </c>
      <c r="J1061" s="13">
        <v>4.9410714200000001</v>
      </c>
      <c r="K1061" s="13">
        <v>5.5342045400000002</v>
      </c>
      <c r="L1061" s="13">
        <v>6.0555952299999998</v>
      </c>
      <c r="M1061" s="13">
        <v>5.6691071400000004</v>
      </c>
    </row>
    <row r="1062" spans="1:13" x14ac:dyDescent="0.2">
      <c r="A1062" s="48">
        <v>1976</v>
      </c>
      <c r="B1062" s="13">
        <v>5.5558695599999997</v>
      </c>
      <c r="C1062" s="13">
        <v>5.12197368</v>
      </c>
      <c r="D1062" s="13">
        <v>4.9870238000000002</v>
      </c>
      <c r="E1062" s="13">
        <v>4.9905952300000003</v>
      </c>
      <c r="F1062" s="13">
        <v>5.0318421000000004</v>
      </c>
      <c r="G1062" s="13">
        <v>4.9585869499999999</v>
      </c>
      <c r="H1062" s="13">
        <v>4.9697619</v>
      </c>
      <c r="I1062" s="13">
        <v>5.3811249999999999</v>
      </c>
      <c r="J1062" s="13">
        <v>6.4219318100000002</v>
      </c>
      <c r="K1062" s="13">
        <v>6.8721428500000004</v>
      </c>
      <c r="L1062" s="13">
        <v>6.4123863600000002</v>
      </c>
      <c r="M1062" s="13">
        <v>6.9542857099999997</v>
      </c>
    </row>
    <row r="1063" spans="1:13" x14ac:dyDescent="0.2">
      <c r="A1063" s="48">
        <v>1977</v>
      </c>
      <c r="B1063" s="13">
        <v>6.266</v>
      </c>
      <c r="C1063" s="13">
        <v>6.1684999999999999</v>
      </c>
      <c r="D1063" s="13">
        <v>6.45</v>
      </c>
      <c r="E1063" s="13">
        <v>6.86166666</v>
      </c>
      <c r="F1063" s="13">
        <v>7.1385526300000004</v>
      </c>
      <c r="G1063" s="13">
        <v>7.7102173900000004</v>
      </c>
      <c r="H1063" s="13">
        <v>8.1103749999999994</v>
      </c>
      <c r="I1063" s="13">
        <v>7.9526250000000003</v>
      </c>
      <c r="J1063" s="13">
        <v>7.5571590899999999</v>
      </c>
      <c r="K1063" s="13">
        <v>6.0659999999999998</v>
      </c>
      <c r="L1063" s="13">
        <v>5.3902173900000001</v>
      </c>
      <c r="M1063" s="13">
        <v>5.2803571399999996</v>
      </c>
    </row>
    <row r="1064" spans="1:13" x14ac:dyDescent="0.2">
      <c r="A1064" s="48">
        <v>1978</v>
      </c>
      <c r="B1064" s="13">
        <v>5.5724999999999998</v>
      </c>
      <c r="C1064" s="13">
        <v>6.0295237999999998</v>
      </c>
      <c r="D1064" s="13">
        <v>5.9602380899999998</v>
      </c>
      <c r="E1064" s="13">
        <v>5.80095238</v>
      </c>
      <c r="F1064" s="13">
        <v>5.7649999999999997</v>
      </c>
      <c r="G1064" s="13">
        <v>6.3250000000000002</v>
      </c>
      <c r="H1064" s="13">
        <v>6.4208749999999997</v>
      </c>
      <c r="I1064" s="13">
        <v>6.6298863600000004</v>
      </c>
      <c r="J1064" s="13">
        <v>6.5659090899999999</v>
      </c>
      <c r="K1064" s="13">
        <v>6.2562499999999996</v>
      </c>
      <c r="L1064" s="13">
        <v>6.3347825999999996</v>
      </c>
      <c r="M1064" s="13">
        <v>6.5584615299999998</v>
      </c>
    </row>
    <row r="1065" spans="1:13" x14ac:dyDescent="0.2">
      <c r="A1065" s="48">
        <v>1979</v>
      </c>
      <c r="B1065" s="13">
        <v>6.7451136299999996</v>
      </c>
      <c r="C1065" s="13">
        <v>6.7302499999999998</v>
      </c>
      <c r="D1065" s="13">
        <v>6.7872500000000002</v>
      </c>
      <c r="E1065" s="13">
        <v>6.8475000000000001</v>
      </c>
      <c r="F1065" s="13">
        <v>7.19131578</v>
      </c>
      <c r="G1065" s="13">
        <v>7.2952272699999998</v>
      </c>
      <c r="H1065" s="13">
        <v>7.2101249999999997</v>
      </c>
      <c r="I1065" s="13">
        <v>7.29102272</v>
      </c>
      <c r="J1065" s="13">
        <v>7.82285714</v>
      </c>
      <c r="K1065" s="13">
        <v>7.6177380899999996</v>
      </c>
      <c r="L1065" s="13">
        <v>7.1752173900000003</v>
      </c>
      <c r="M1065" s="13">
        <v>7.0727083300000002</v>
      </c>
    </row>
    <row r="1066" spans="1:13" x14ac:dyDescent="0.2">
      <c r="A1066" s="48">
        <v>1980</v>
      </c>
      <c r="B1066" s="13">
        <v>7.48</v>
      </c>
      <c r="C1066" s="13">
        <v>7.4376190400000004</v>
      </c>
      <c r="D1066" s="13">
        <v>7.3430263099999999</v>
      </c>
      <c r="E1066" s="13">
        <v>7.1818749999999998</v>
      </c>
      <c r="F1066" s="13">
        <v>7.1788749999999997</v>
      </c>
      <c r="G1066" s="13">
        <v>6.7470238</v>
      </c>
      <c r="H1066" s="13">
        <v>6.3729761900000002</v>
      </c>
      <c r="I1066" s="13">
        <v>6.4129761900000002</v>
      </c>
      <c r="J1066" s="13">
        <v>6.4933333299999996</v>
      </c>
      <c r="K1066" s="13">
        <v>7.55772727</v>
      </c>
      <c r="L1066" s="13">
        <v>7.6452380900000003</v>
      </c>
      <c r="M1066" s="13">
        <v>8.2137499999999992</v>
      </c>
    </row>
    <row r="1067" spans="1:13" x14ac:dyDescent="0.2">
      <c r="A1067" s="48">
        <v>1981</v>
      </c>
      <c r="B1067" s="13">
        <v>8.5495652100000008</v>
      </c>
      <c r="C1067" s="13">
        <v>8.8722222199999994</v>
      </c>
      <c r="D1067" s="13">
        <v>8.3595237999999998</v>
      </c>
      <c r="E1067" s="13">
        <v>8.3054761900000003</v>
      </c>
      <c r="F1067" s="13">
        <v>8.1294736800000003</v>
      </c>
      <c r="G1067" s="13">
        <v>7.9356818100000002</v>
      </c>
      <c r="H1067" s="13">
        <v>8.2498809499999997</v>
      </c>
      <c r="I1067" s="13">
        <v>7.796125</v>
      </c>
      <c r="J1067" s="13">
        <v>7.3338636299999997</v>
      </c>
      <c r="K1067" s="13">
        <v>7.4246590899999996</v>
      </c>
      <c r="L1067" s="13">
        <v>6.915</v>
      </c>
      <c r="M1067" s="13">
        <v>6.6573214199999997</v>
      </c>
    </row>
    <row r="1068" spans="1:13" x14ac:dyDescent="0.2">
      <c r="A1068" s="48">
        <v>1982</v>
      </c>
      <c r="B1068" s="13">
        <v>7.4281818099999999</v>
      </c>
      <c r="C1068" s="13">
        <v>7.0895000000000001</v>
      </c>
      <c r="D1068" s="13">
        <v>6.6965909000000003</v>
      </c>
      <c r="E1068" s="13">
        <v>6.7091250000000002</v>
      </c>
      <c r="F1068" s="13">
        <v>6.6725000000000003</v>
      </c>
      <c r="G1068" s="13">
        <v>6.4133695599999996</v>
      </c>
      <c r="H1068" s="13">
        <v>6.7027380900000004</v>
      </c>
      <c r="I1068" s="13">
        <v>6.68</v>
      </c>
      <c r="J1068" s="13">
        <v>6.3468181799999996</v>
      </c>
      <c r="K1068" s="13">
        <v>6.1445238</v>
      </c>
      <c r="L1068" s="13">
        <v>5.7127272700000002</v>
      </c>
      <c r="M1068" s="13">
        <v>5.46857142</v>
      </c>
    </row>
    <row r="1069" spans="1:13" x14ac:dyDescent="0.2">
      <c r="A1069" s="48">
        <v>1983</v>
      </c>
      <c r="B1069" s="13">
        <v>5.7752380900000002</v>
      </c>
      <c r="C1069" s="13">
        <v>5.9390000000000001</v>
      </c>
      <c r="D1069" s="13">
        <v>5.8797619000000001</v>
      </c>
      <c r="E1069" s="13">
        <v>6.10190476</v>
      </c>
      <c r="F1069" s="13">
        <v>6.2373684200000001</v>
      </c>
      <c r="G1069" s="13">
        <v>6.2851086900000004</v>
      </c>
      <c r="H1069" s="13">
        <v>6.6516250000000001</v>
      </c>
      <c r="I1069" s="13">
        <v>6.42</v>
      </c>
      <c r="J1069" s="13">
        <v>6.1244318099999999</v>
      </c>
      <c r="K1069" s="13">
        <v>6.7069999999999999</v>
      </c>
      <c r="L1069" s="13">
        <v>8.5006521700000004</v>
      </c>
      <c r="M1069" s="13">
        <v>9.0067857100000008</v>
      </c>
    </row>
    <row r="1070" spans="1:13" x14ac:dyDescent="0.2">
      <c r="A1070" s="48">
        <v>1984</v>
      </c>
      <c r="B1070" s="13">
        <v>7.5944047599999998</v>
      </c>
      <c r="C1070" s="13">
        <v>7.5239285699999998</v>
      </c>
      <c r="D1070" s="13">
        <v>7.4116666599999999</v>
      </c>
      <c r="E1070" s="13">
        <v>7.4258333299999997</v>
      </c>
      <c r="F1070" s="13">
        <v>7.2393749999999999</v>
      </c>
      <c r="G1070" s="13">
        <v>7.5671590899999996</v>
      </c>
      <c r="H1070" s="13">
        <v>7.5496249999999998</v>
      </c>
      <c r="I1070" s="13">
        <v>7.7811363599999996</v>
      </c>
      <c r="J1070" s="13">
        <v>7.5166666600000003</v>
      </c>
      <c r="K1070" s="13">
        <v>6.5027380900000002</v>
      </c>
      <c r="L1070" s="13">
        <v>6.3757608599999998</v>
      </c>
      <c r="M1070" s="13">
        <v>6.12958333</v>
      </c>
    </row>
    <row r="1071" spans="1:13" x14ac:dyDescent="0.2">
      <c r="A1071" s="48">
        <v>1985</v>
      </c>
      <c r="B1071" s="13">
        <v>6.4892391299999996</v>
      </c>
      <c r="C1071" s="13">
        <v>6.4839285699999998</v>
      </c>
      <c r="D1071" s="13">
        <v>6.2137500000000001</v>
      </c>
      <c r="E1071" s="13">
        <v>6.0987499999999999</v>
      </c>
      <c r="F1071" s="13">
        <v>6.02631578</v>
      </c>
      <c r="G1071" s="13">
        <v>5.9907142799999997</v>
      </c>
      <c r="H1071" s="13">
        <v>6.0504761900000004</v>
      </c>
      <c r="I1071" s="13">
        <v>5.7575000000000003</v>
      </c>
      <c r="J1071" s="13">
        <v>5.6416250000000003</v>
      </c>
      <c r="K1071" s="13">
        <v>5.4926136300000001</v>
      </c>
      <c r="L1071" s="13">
        <v>5.1398863600000002</v>
      </c>
      <c r="M1071" s="13">
        <v>5.1286538400000001</v>
      </c>
    </row>
    <row r="1072" spans="1:13" x14ac:dyDescent="0.2">
      <c r="A1072" s="48">
        <v>1986</v>
      </c>
      <c r="B1072" s="13">
        <v>5.3660869499999997</v>
      </c>
      <c r="C1072" s="13">
        <v>5.1989999999999998</v>
      </c>
      <c r="D1072" s="13">
        <v>5.3159523799999997</v>
      </c>
      <c r="E1072" s="13">
        <v>5.3948863600000001</v>
      </c>
      <c r="F1072" s="13">
        <v>5.2051315699999998</v>
      </c>
      <c r="G1072" s="13">
        <v>5.2141250000000001</v>
      </c>
      <c r="H1072" s="13">
        <v>5.1387499999999999</v>
      </c>
      <c r="I1072" s="13">
        <v>5.2225000000000001</v>
      </c>
      <c r="J1072" s="13">
        <v>5.0655952299999996</v>
      </c>
      <c r="K1072" s="13">
        <v>4.9985227200000004</v>
      </c>
      <c r="L1072" s="13">
        <v>4.8053571399999999</v>
      </c>
      <c r="M1072" s="13">
        <v>4.8287500000000003</v>
      </c>
    </row>
    <row r="1073" spans="1:13" x14ac:dyDescent="0.2">
      <c r="A1073" s="48">
        <v>1987</v>
      </c>
      <c r="B1073" s="13">
        <v>4.9804347800000004</v>
      </c>
      <c r="C1073" s="13">
        <v>4.9903947300000002</v>
      </c>
      <c r="D1073" s="13">
        <v>4.9288636300000004</v>
      </c>
      <c r="E1073" s="13">
        <v>4.8686904699999998</v>
      </c>
      <c r="F1073" s="13">
        <v>4.7509210499999996</v>
      </c>
      <c r="G1073" s="13">
        <v>4.7934090899999999</v>
      </c>
      <c r="H1073" s="13">
        <v>5.0919047600000003</v>
      </c>
      <c r="I1073" s="13">
        <v>5.5837500000000002</v>
      </c>
      <c r="J1073" s="13">
        <v>5.6661363600000003</v>
      </c>
      <c r="K1073" s="13">
        <v>5.2686363600000004</v>
      </c>
      <c r="L1073" s="13">
        <v>5.0779761900000002</v>
      </c>
      <c r="M1073" s="13">
        <v>5.2305357099999998</v>
      </c>
    </row>
    <row r="1074" spans="1:13" x14ac:dyDescent="0.2">
      <c r="A1074" s="48">
        <v>1988</v>
      </c>
      <c r="B1074" s="13">
        <v>5.5043181800000003</v>
      </c>
      <c r="C1074" s="13">
        <v>5.6828750000000001</v>
      </c>
      <c r="D1074" s="13">
        <v>5.9337499999999999</v>
      </c>
      <c r="E1074" s="13">
        <v>6.3163749999999999</v>
      </c>
      <c r="F1074" s="13">
        <v>6.360125</v>
      </c>
      <c r="G1074" s="13">
        <v>6.4477173900000002</v>
      </c>
      <c r="H1074" s="13">
        <v>6.8686249999999998</v>
      </c>
      <c r="I1074" s="13">
        <v>7.4742857100000002</v>
      </c>
      <c r="J1074" s="13">
        <v>9.3440908999999994</v>
      </c>
      <c r="K1074" s="13">
        <v>8.8181250000000002</v>
      </c>
      <c r="L1074" s="13">
        <v>8.5211956499999992</v>
      </c>
      <c r="M1074" s="13">
        <v>8.6396428499999995</v>
      </c>
    </row>
    <row r="1075" spans="1:13" x14ac:dyDescent="0.2">
      <c r="A1075" s="48">
        <v>1989</v>
      </c>
      <c r="B1075" s="13">
        <v>7.50238095</v>
      </c>
      <c r="C1075" s="13">
        <v>7.3688095200000001</v>
      </c>
      <c r="D1075" s="13">
        <v>7.4209523800000001</v>
      </c>
      <c r="E1075" s="13">
        <v>7.62261904</v>
      </c>
      <c r="F1075" s="13">
        <v>7.3861842099999997</v>
      </c>
      <c r="G1075" s="13">
        <v>7.56011363</v>
      </c>
      <c r="H1075" s="13">
        <v>7.2477499999999999</v>
      </c>
      <c r="I1075" s="13">
        <v>6.9854545400000001</v>
      </c>
      <c r="J1075" s="13">
        <v>6.5686363600000002</v>
      </c>
      <c r="K1075" s="13">
        <v>6.4881250000000001</v>
      </c>
      <c r="L1075" s="13">
        <v>5.8452173900000002</v>
      </c>
      <c r="M1075" s="13">
        <v>5.8636538399999996</v>
      </c>
    </row>
    <row r="1076" spans="1:13" x14ac:dyDescent="0.2">
      <c r="A1076" s="48">
        <v>1990</v>
      </c>
      <c r="B1076" s="13">
        <v>5.8406818100000004</v>
      </c>
      <c r="C1076" s="13">
        <v>6.0501190400000002</v>
      </c>
      <c r="D1076" s="13">
        <v>6.1103750000000003</v>
      </c>
      <c r="E1076" s="13">
        <v>5.9930681799999999</v>
      </c>
      <c r="F1076" s="13">
        <v>5.90513157</v>
      </c>
      <c r="G1076" s="13">
        <v>6.1050000000000004</v>
      </c>
      <c r="H1076" s="13">
        <v>6.202375</v>
      </c>
      <c r="I1076" s="13">
        <v>6.3719318100000004</v>
      </c>
      <c r="J1076" s="13">
        <v>6.1188095200000001</v>
      </c>
      <c r="K1076" s="13">
        <v>6.13595238</v>
      </c>
      <c r="L1076" s="13">
        <v>6.08684782</v>
      </c>
      <c r="M1076" s="13">
        <v>6.1839583300000003</v>
      </c>
    </row>
    <row r="1077" spans="1:13" x14ac:dyDescent="0.2">
      <c r="A1077" s="48">
        <v>1991</v>
      </c>
      <c r="B1077" s="13">
        <v>6.2955434700000001</v>
      </c>
      <c r="C1077" s="13">
        <v>6.1461904699999996</v>
      </c>
      <c r="D1077" s="13">
        <v>6.1974999999999998</v>
      </c>
      <c r="E1077" s="13">
        <v>6.00818181</v>
      </c>
      <c r="F1077" s="13">
        <v>6.0584210499999998</v>
      </c>
      <c r="G1077" s="13">
        <v>6.0797499999999998</v>
      </c>
      <c r="H1077" s="13">
        <v>6.0832954499999996</v>
      </c>
      <c r="I1077" s="13">
        <v>5.8464772700000003</v>
      </c>
      <c r="J1077" s="13">
        <v>5.7203749999999998</v>
      </c>
      <c r="K1077" s="13">
        <v>5.41181818</v>
      </c>
      <c r="L1077" s="13">
        <v>5.69306818</v>
      </c>
      <c r="M1077" s="13">
        <v>5.8730769199999999</v>
      </c>
    </row>
    <row r="1078" spans="1:13" x14ac:dyDescent="0.2">
      <c r="A1078" s="48">
        <v>1992</v>
      </c>
      <c r="B1078" s="13">
        <v>5.8701086900000004</v>
      </c>
      <c r="C1078" s="13">
        <v>5.7873749999999999</v>
      </c>
      <c r="D1078" s="13">
        <v>5.7897619000000002</v>
      </c>
      <c r="E1078" s="13">
        <v>5.9056818099999999</v>
      </c>
      <c r="F1078" s="13">
        <v>5.9738157799999998</v>
      </c>
      <c r="G1078" s="13">
        <v>6.0968181799999996</v>
      </c>
      <c r="H1078" s="13">
        <v>5.8994736799999998</v>
      </c>
      <c r="I1078" s="13">
        <v>6.1091249999999997</v>
      </c>
      <c r="J1078" s="13">
        <v>6.1902272700000003</v>
      </c>
      <c r="K1078" s="13">
        <v>5.6955681800000004</v>
      </c>
      <c r="L1078" s="13">
        <v>5.5001190400000004</v>
      </c>
      <c r="M1078" s="13">
        <v>5.5783928500000002</v>
      </c>
    </row>
    <row r="1079" spans="1:13" x14ac:dyDescent="0.2">
      <c r="A1079" s="48">
        <v>1993</v>
      </c>
      <c r="B1079" s="13">
        <v>5.6697727200000001</v>
      </c>
      <c r="C1079" s="13">
        <v>5.7891250000000003</v>
      </c>
      <c r="D1079" s="13">
        <v>5.8564772700000001</v>
      </c>
      <c r="E1079" s="13">
        <v>5.881875</v>
      </c>
      <c r="F1079" s="13">
        <v>5.8013157800000004</v>
      </c>
      <c r="G1079" s="13">
        <v>5.9288043400000001</v>
      </c>
      <c r="H1079" s="13">
        <v>5.9891666600000004</v>
      </c>
      <c r="I1079" s="13">
        <v>6.009125</v>
      </c>
      <c r="J1079" s="13">
        <v>6.0229545399999997</v>
      </c>
      <c r="K1079" s="13">
        <v>7.06</v>
      </c>
      <c r="L1079" s="13">
        <v>6.71318181</v>
      </c>
      <c r="M1079" s="13">
        <v>6.4476785699999999</v>
      </c>
    </row>
    <row r="1080" spans="1:13" x14ac:dyDescent="0.2">
      <c r="A1080" s="48">
        <v>1994</v>
      </c>
      <c r="B1080" s="13">
        <v>6.26273809</v>
      </c>
      <c r="C1080" s="13">
        <v>6.5355952300000002</v>
      </c>
      <c r="D1080" s="13">
        <v>6.6404761900000002</v>
      </c>
      <c r="E1080" s="13">
        <v>6.7361904700000004</v>
      </c>
      <c r="F1080" s="13">
        <v>6.61776315</v>
      </c>
      <c r="G1080" s="13">
        <v>6.6150000000000002</v>
      </c>
      <c r="H1080" s="13">
        <v>6.3398684200000002</v>
      </c>
      <c r="I1080" s="13">
        <v>6.5354761899999998</v>
      </c>
      <c r="J1080" s="13">
        <v>6.6430681800000002</v>
      </c>
      <c r="K1080" s="13">
        <v>5.8652499999999996</v>
      </c>
      <c r="L1080" s="13">
        <v>5.7247826000000002</v>
      </c>
      <c r="M1080" s="13">
        <v>5.7392857099999999</v>
      </c>
    </row>
    <row r="1081" spans="1:13" x14ac:dyDescent="0.2">
      <c r="A1081" s="48">
        <v>1995</v>
      </c>
      <c r="B1081" s="13">
        <v>5.8153571399999997</v>
      </c>
      <c r="C1081" s="13">
        <v>5.9185714200000001</v>
      </c>
      <c r="D1081" s="13">
        <v>5.8825000000000003</v>
      </c>
      <c r="E1081" s="13">
        <v>5.7528571399999997</v>
      </c>
      <c r="F1081" s="13">
        <v>5.7703947299999996</v>
      </c>
      <c r="G1081" s="13">
        <v>5.9329347800000001</v>
      </c>
      <c r="H1081" s="13">
        <v>5.9452631499999997</v>
      </c>
      <c r="I1081" s="13">
        <v>5.9196590899999997</v>
      </c>
      <c r="J1081" s="13">
        <v>5.9982954499999996</v>
      </c>
      <c r="K1081" s="13">
        <v>6.2311249999999996</v>
      </c>
      <c r="L1081" s="13">
        <v>5.9790217300000004</v>
      </c>
      <c r="M1081" s="13">
        <v>6.2561538399999996</v>
      </c>
    </row>
    <row r="1082" spans="1:13" x14ac:dyDescent="0.2">
      <c r="A1082" s="48">
        <v>1996</v>
      </c>
      <c r="B1082" s="13">
        <v>6.6661363600000003</v>
      </c>
      <c r="C1082" s="13">
        <v>6.77369047</v>
      </c>
      <c r="D1082" s="13">
        <v>7.0651250000000001</v>
      </c>
      <c r="E1082" s="13">
        <v>7.1929545399999997</v>
      </c>
      <c r="F1082" s="13">
        <v>7.3090000000000002</v>
      </c>
      <c r="G1082" s="13">
        <v>7.2823809500000003</v>
      </c>
      <c r="H1082" s="13">
        <v>7.8354761899999996</v>
      </c>
      <c r="I1082" s="13">
        <v>7.8771590900000001</v>
      </c>
      <c r="J1082" s="13">
        <v>7.5272500000000004</v>
      </c>
      <c r="K1082" s="13">
        <v>7.66761363</v>
      </c>
      <c r="L1082" s="13">
        <v>7.9053408999999997</v>
      </c>
      <c r="M1082" s="13">
        <v>8.2138461500000002</v>
      </c>
    </row>
    <row r="1083" spans="1:13" x14ac:dyDescent="0.2">
      <c r="A1083" s="48">
        <v>1997</v>
      </c>
      <c r="B1083" s="13">
        <v>6.9803260800000002</v>
      </c>
      <c r="C1083" s="13">
        <v>6.7960000000000003</v>
      </c>
      <c r="D1083" s="13">
        <v>6.7394047600000002</v>
      </c>
      <c r="E1083" s="13">
        <v>7.01693181</v>
      </c>
      <c r="F1083" s="13">
        <v>7.2474999999999996</v>
      </c>
      <c r="G1083" s="13">
        <v>7.649</v>
      </c>
      <c r="H1083" s="13">
        <v>7.55375</v>
      </c>
      <c r="I1083" s="13">
        <v>7.4482142800000002</v>
      </c>
      <c r="J1083" s="13">
        <v>7.0009523800000002</v>
      </c>
      <c r="K1083" s="13">
        <v>6.4843181799999998</v>
      </c>
      <c r="L1083" s="13">
        <v>6.6173809500000003</v>
      </c>
      <c r="M1083" s="13">
        <v>7.2610714200000004</v>
      </c>
    </row>
    <row r="1084" spans="1:13" x14ac:dyDescent="0.2">
      <c r="A1084" s="48">
        <v>1998</v>
      </c>
      <c r="B1084" s="13">
        <v>6.8571739100000002</v>
      </c>
      <c r="C1084" s="13">
        <v>7.0568420999999999</v>
      </c>
      <c r="D1084" s="13">
        <v>6.8262499999999999</v>
      </c>
      <c r="E1084" s="13">
        <v>6.6397500000000003</v>
      </c>
      <c r="F1084" s="13">
        <v>6.6736842100000002</v>
      </c>
      <c r="G1084" s="13">
        <v>6.4609090900000004</v>
      </c>
      <c r="H1084" s="13">
        <v>6.2508333299999999</v>
      </c>
      <c r="I1084" s="13">
        <v>6.2208750000000004</v>
      </c>
      <c r="J1084" s="13">
        <v>6.0660227200000003</v>
      </c>
      <c r="K1084" s="13">
        <v>5.9445454499999997</v>
      </c>
      <c r="L1084" s="13">
        <v>5.36345238</v>
      </c>
      <c r="M1084" s="13">
        <v>5.2525000000000004</v>
      </c>
    </row>
    <row r="1085" spans="1:13" x14ac:dyDescent="0.2">
      <c r="A1085" s="48">
        <v>1999</v>
      </c>
      <c r="B1085" s="13">
        <v>5.8147727199999997</v>
      </c>
      <c r="C1085" s="13">
        <v>5.99</v>
      </c>
      <c r="D1085" s="13">
        <v>5.7789772700000004</v>
      </c>
      <c r="E1085" s="13">
        <v>5.4285526300000004</v>
      </c>
      <c r="F1085" s="13">
        <v>5.0315789400000002</v>
      </c>
      <c r="G1085" s="13">
        <v>4.9417391300000002</v>
      </c>
      <c r="H1085" s="13">
        <v>4.9790476100000003</v>
      </c>
      <c r="I1085" s="13">
        <v>4.7662500000000003</v>
      </c>
      <c r="J1085" s="13">
        <v>4.65227272</v>
      </c>
      <c r="K1085" s="13">
        <v>4.2971428500000002</v>
      </c>
      <c r="L1085" s="13">
        <v>4.6862500000000002</v>
      </c>
      <c r="M1085" s="13">
        <v>4.9441071399999998</v>
      </c>
    </row>
    <row r="1086" spans="1:13" x14ac:dyDescent="0.2">
      <c r="A1086" s="48">
        <v>2000</v>
      </c>
      <c r="B1086" s="13">
        <v>5.1577380899999996</v>
      </c>
      <c r="C1086" s="13">
        <v>4.9007142799999999</v>
      </c>
      <c r="D1086" s="13">
        <v>4.8255952300000002</v>
      </c>
      <c r="E1086" s="13">
        <v>5.13</v>
      </c>
      <c r="F1086" s="13">
        <v>5.2577499999999997</v>
      </c>
      <c r="G1086" s="13">
        <v>5.3710869499999996</v>
      </c>
      <c r="H1086" s="13">
        <v>5.5443420999999997</v>
      </c>
      <c r="I1086" s="13">
        <v>5.5678409000000002</v>
      </c>
      <c r="J1086" s="13">
        <v>5.0072727199999996</v>
      </c>
      <c r="K1086" s="13">
        <v>4.5473749999999997</v>
      </c>
      <c r="L1086" s="13">
        <v>4.5770652099999998</v>
      </c>
      <c r="M1086" s="13">
        <v>4.9094444399999997</v>
      </c>
    </row>
    <row r="1087" spans="1:13" x14ac:dyDescent="0.2">
      <c r="A1087" s="48">
        <v>2001</v>
      </c>
      <c r="B1087" s="13">
        <v>5.1068181800000003</v>
      </c>
      <c r="C1087" s="13">
        <v>5.1177380899999996</v>
      </c>
      <c r="D1087" s="13">
        <v>5.227125</v>
      </c>
      <c r="E1087" s="13">
        <v>4.8811904699999999</v>
      </c>
      <c r="F1087" s="13">
        <v>4.6235526299999998</v>
      </c>
      <c r="G1087" s="13">
        <v>4.5127272700000001</v>
      </c>
      <c r="H1087" s="13">
        <v>4.2774999999999999</v>
      </c>
      <c r="I1087" s="13">
        <v>4.2843181799999996</v>
      </c>
      <c r="J1087" s="13">
        <v>4.4660714199999996</v>
      </c>
      <c r="K1087" s="13">
        <v>5.0167857099999997</v>
      </c>
      <c r="L1087" s="13">
        <v>4.9616304299999996</v>
      </c>
      <c r="M1087" s="13">
        <v>4.7006249999999996</v>
      </c>
    </row>
    <row r="1088" spans="1:13" x14ac:dyDescent="0.2">
      <c r="A1088" s="48">
        <v>2002</v>
      </c>
      <c r="B1088" s="13">
        <v>4.5727173900000002</v>
      </c>
      <c r="C1088" s="13">
        <v>4.5445238000000003</v>
      </c>
      <c r="D1088" s="13">
        <v>4.4655263100000004</v>
      </c>
      <c r="E1088" s="13">
        <v>4.4413095199999999</v>
      </c>
      <c r="F1088" s="13">
        <v>4.45315789</v>
      </c>
      <c r="G1088" s="13">
        <v>4.6647499999999997</v>
      </c>
      <c r="H1088" s="13">
        <v>4.6227272700000004</v>
      </c>
      <c r="I1088" s="13">
        <v>4.7010227200000001</v>
      </c>
      <c r="J1088" s="13">
        <v>4.8573750000000002</v>
      </c>
      <c r="K1088" s="13">
        <v>5.3915908999999997</v>
      </c>
      <c r="L1088" s="13">
        <v>5.6212499999999999</v>
      </c>
      <c r="M1088" s="13">
        <v>5.7122222200000001</v>
      </c>
    </row>
    <row r="1089" spans="1:13" x14ac:dyDescent="0.2">
      <c r="A1089" s="48">
        <v>2003</v>
      </c>
      <c r="B1089" s="13">
        <v>5.2232608599999999</v>
      </c>
      <c r="C1089" s="13">
        <v>5.2484999999999999</v>
      </c>
      <c r="D1089" s="13">
        <v>5.2556250000000002</v>
      </c>
      <c r="E1089" s="13">
        <v>5.3429761899999999</v>
      </c>
      <c r="F1089" s="13">
        <v>5.4155263099999997</v>
      </c>
      <c r="G1089" s="13">
        <v>5.3651190399999997</v>
      </c>
      <c r="H1089" s="13">
        <v>5.5892857100000004</v>
      </c>
      <c r="I1089" s="13">
        <v>5.9436904699999999</v>
      </c>
      <c r="J1089" s="13">
        <v>5.9524999999999997</v>
      </c>
      <c r="K1089" s="13">
        <v>5.4838636300000001</v>
      </c>
      <c r="L1089" s="13">
        <v>5.5663095199999999</v>
      </c>
      <c r="M1089" s="13">
        <v>6.1138888800000002</v>
      </c>
    </row>
    <row r="1090" spans="1:13" x14ac:dyDescent="0.2">
      <c r="A1090" s="48">
        <v>2004</v>
      </c>
      <c r="B1090" s="13">
        <v>6.1970652099999999</v>
      </c>
      <c r="C1090" s="13">
        <v>6.4460526299999996</v>
      </c>
      <c r="D1090" s="13">
        <v>6.7407954500000002</v>
      </c>
      <c r="E1090" s="13">
        <v>7.2473749999999999</v>
      </c>
      <c r="F1090" s="13">
        <v>7.44473684</v>
      </c>
      <c r="G1090" s="13">
        <v>8.3898913000000004</v>
      </c>
      <c r="H1090" s="13">
        <v>8.1461904700000005</v>
      </c>
      <c r="I1090" s="13">
        <v>7.7651250000000003</v>
      </c>
      <c r="J1090" s="13">
        <v>7.1917857100000004</v>
      </c>
      <c r="K1090" s="13">
        <v>6.4598809499999996</v>
      </c>
      <c r="L1090" s="13">
        <v>5.92715909</v>
      </c>
      <c r="M1090" s="13">
        <v>5.9041666599999996</v>
      </c>
    </row>
    <row r="1091" spans="1:13" x14ac:dyDescent="0.2">
      <c r="A1091" s="48">
        <v>2005</v>
      </c>
      <c r="B1091" s="13">
        <v>5.5350000000000001</v>
      </c>
      <c r="C1091" s="13">
        <v>5.5539285700000001</v>
      </c>
      <c r="D1091" s="13">
        <v>5.5444047599999999</v>
      </c>
      <c r="E1091" s="13">
        <v>5.3615000000000004</v>
      </c>
      <c r="F1091" s="13">
        <v>5.4597368399999997</v>
      </c>
      <c r="G1091" s="13">
        <v>6.2623863599999998</v>
      </c>
      <c r="H1091" s="13">
        <v>6.1961904700000003</v>
      </c>
      <c r="I1091" s="13">
        <v>6.3401190400000003</v>
      </c>
      <c r="J1091" s="13">
        <v>7.0015909000000001</v>
      </c>
      <c r="K1091" s="13">
        <v>6.9421249999999999</v>
      </c>
      <c r="L1091" s="13">
        <v>6.2846739100000004</v>
      </c>
      <c r="M1091" s="13">
        <v>5.86166666</v>
      </c>
    </row>
    <row r="1092" spans="1:13" x14ac:dyDescent="0.2">
      <c r="A1092" s="48">
        <v>2006</v>
      </c>
      <c r="B1092" s="13">
        <v>6.0323809500000003</v>
      </c>
      <c r="C1092" s="13">
        <v>5.9833333299999998</v>
      </c>
      <c r="D1092" s="13">
        <v>6.1240476099999999</v>
      </c>
      <c r="E1092" s="13">
        <v>6.0880000000000001</v>
      </c>
      <c r="F1092" s="13">
        <v>6.1156578899999996</v>
      </c>
      <c r="G1092" s="13">
        <v>6.0328260800000004</v>
      </c>
      <c r="H1092" s="13">
        <v>5.92605263</v>
      </c>
      <c r="I1092" s="13">
        <v>6.0835227200000004</v>
      </c>
      <c r="J1092" s="13">
        <v>6.0268181800000002</v>
      </c>
      <c r="K1092" s="13">
        <v>6.0054999999999996</v>
      </c>
      <c r="L1092" s="13">
        <v>5.5693478199999999</v>
      </c>
      <c r="M1092" s="13">
        <v>5.3449999999999998</v>
      </c>
    </row>
    <row r="1093" spans="1:13" x14ac:dyDescent="0.2">
      <c r="A1093" s="48">
        <v>2007</v>
      </c>
      <c r="B1093" s="13">
        <v>6.3947727199999997</v>
      </c>
      <c r="C1093" s="13">
        <v>7.0260714200000001</v>
      </c>
      <c r="D1093" s="13">
        <v>7.0677500000000002</v>
      </c>
      <c r="E1093" s="13">
        <v>7.3932500000000001</v>
      </c>
      <c r="F1093" s="13">
        <v>7.9692105199999999</v>
      </c>
      <c r="G1093" s="13">
        <v>7.8807954499999999</v>
      </c>
      <c r="H1093" s="13">
        <v>7.6574999999999998</v>
      </c>
      <c r="I1093" s="13">
        <v>7.9074999999999998</v>
      </c>
      <c r="J1093" s="13">
        <v>8.4046428500000001</v>
      </c>
      <c r="K1093" s="13">
        <v>8.6444047600000005</v>
      </c>
      <c r="L1093" s="13">
        <v>8.4356521699999991</v>
      </c>
      <c r="M1093" s="13">
        <v>9.0588888799999996</v>
      </c>
    </row>
    <row r="1094" spans="1:13" x14ac:dyDescent="0.2">
      <c r="A1094" s="48">
        <v>2008</v>
      </c>
      <c r="B1094" s="13">
        <v>9.7852173899999997</v>
      </c>
      <c r="C1094" s="13">
        <v>10.33333333</v>
      </c>
      <c r="D1094" s="13">
        <v>11.1555</v>
      </c>
      <c r="E1094" s="13">
        <v>12.45095238</v>
      </c>
      <c r="F1094" s="13">
        <v>13.63775</v>
      </c>
      <c r="G1094" s="13">
        <v>13.204874999999999</v>
      </c>
      <c r="H1094" s="13">
        <v>12.80840909</v>
      </c>
      <c r="I1094" s="13">
        <v>13.146428569999999</v>
      </c>
      <c r="J1094" s="13">
        <v>14.93321428</v>
      </c>
      <c r="K1094" s="13">
        <v>14.957954539999999</v>
      </c>
      <c r="L1094" s="13">
        <v>12.79392857</v>
      </c>
      <c r="M1094" s="13">
        <v>12.508333329999999</v>
      </c>
    </row>
    <row r="1095" spans="1:13" x14ac:dyDescent="0.2">
      <c r="A1095" s="48">
        <v>2009</v>
      </c>
      <c r="B1095" s="13">
        <v>9.6384782599999994</v>
      </c>
      <c r="C1095" s="13">
        <v>9.2806578900000005</v>
      </c>
      <c r="D1095" s="13">
        <v>8.9565909000000001</v>
      </c>
      <c r="E1095" s="13">
        <v>9.9001249999999992</v>
      </c>
      <c r="F1095" s="13">
        <v>9.0032894700000003</v>
      </c>
      <c r="G1095" s="13">
        <v>8.5997727200000007</v>
      </c>
      <c r="H1095" s="13">
        <v>9.5332142799999993</v>
      </c>
      <c r="I1095" s="13">
        <v>10.44575</v>
      </c>
      <c r="J1095" s="13">
        <v>10.777613629999999</v>
      </c>
      <c r="K1095" s="13">
        <v>9.7464772699999997</v>
      </c>
      <c r="L1095" s="13">
        <v>10.662619039999999</v>
      </c>
      <c r="M1095" s="13">
        <v>9.7552777699999993</v>
      </c>
    </row>
    <row r="1096" spans="1:13" x14ac:dyDescent="0.2">
      <c r="A1096" s="48">
        <v>2010</v>
      </c>
      <c r="B1096" s="13">
        <v>9.5580681799999994</v>
      </c>
      <c r="C1096" s="13">
        <v>10.111875</v>
      </c>
      <c r="D1096" s="13">
        <v>10.304886359999999</v>
      </c>
      <c r="E1096" s="13">
        <v>9.7242105199999997</v>
      </c>
      <c r="F1096" s="13">
        <v>9.3514473599999999</v>
      </c>
      <c r="G1096" s="13">
        <v>9.40347826</v>
      </c>
      <c r="H1096" s="13">
        <v>9.6334523799999996</v>
      </c>
      <c r="I1096" s="13">
        <v>9.3302499999999995</v>
      </c>
      <c r="J1096" s="13">
        <v>9.1907954499999995</v>
      </c>
      <c r="K1096" s="13">
        <v>9.7140476099999997</v>
      </c>
      <c r="L1096" s="13">
        <v>10.224886359999999</v>
      </c>
      <c r="M1096" s="13">
        <v>10.264722219999999</v>
      </c>
    </row>
    <row r="1097" spans="1:13" x14ac:dyDescent="0.2">
      <c r="A1097" s="48">
        <v>2011</v>
      </c>
      <c r="B1097" s="13">
        <v>11.533214279999999</v>
      </c>
      <c r="C1097" s="13">
        <v>12.13</v>
      </c>
      <c r="D1097" s="13">
        <v>12.699886360000001</v>
      </c>
      <c r="E1097" s="13">
        <v>13.464124999999999</v>
      </c>
      <c r="F1097" s="13">
        <v>13.68789473</v>
      </c>
      <c r="G1097" s="13">
        <v>13.474130430000001</v>
      </c>
      <c r="H1097" s="13">
        <v>13.713125</v>
      </c>
      <c r="I1097" s="13">
        <v>13.46273809</v>
      </c>
      <c r="J1097" s="13">
        <v>13.52886363</v>
      </c>
      <c r="K1097" s="13">
        <v>13.595124999999999</v>
      </c>
      <c r="L1097" s="13">
        <v>13.62521739</v>
      </c>
      <c r="M1097" s="13">
        <v>14.057499999999999</v>
      </c>
    </row>
    <row r="1098" spans="1:13" x14ac:dyDescent="0.2">
      <c r="A1098" s="48">
        <v>2012</v>
      </c>
      <c r="B1098" s="13">
        <v>12.272023799999999</v>
      </c>
      <c r="C1098" s="13">
        <v>11.897500000000001</v>
      </c>
      <c r="D1098" s="13">
        <v>11.656547610000001</v>
      </c>
      <c r="E1098" s="13">
        <v>12.107875</v>
      </c>
      <c r="F1098" s="13">
        <v>12.601749999999999</v>
      </c>
      <c r="G1098" s="13">
        <v>13.291931809999999</v>
      </c>
      <c r="H1098" s="13">
        <v>13.94125</v>
      </c>
      <c r="I1098" s="13">
        <v>13.50625</v>
      </c>
      <c r="J1098" s="13">
        <v>13.704404759999999</v>
      </c>
      <c r="K1098" s="13">
        <v>15.97011904</v>
      </c>
      <c r="L1098" s="13">
        <v>16.807826080000002</v>
      </c>
      <c r="M1098" s="13">
        <v>17.361666660000001</v>
      </c>
    </row>
    <row r="1099" spans="1:13" x14ac:dyDescent="0.2">
      <c r="A1099" s="48">
        <v>2013</v>
      </c>
      <c r="B1099" s="13">
        <v>13.765978260000001</v>
      </c>
      <c r="C1099" s="13">
        <v>13.36714285</v>
      </c>
      <c r="D1099" s="13">
        <v>13.539249999999999</v>
      </c>
      <c r="E1099" s="13">
        <v>13.32773809</v>
      </c>
      <c r="F1099" s="13">
        <v>13.34328947</v>
      </c>
      <c r="G1099" s="13">
        <v>13.111375000000001</v>
      </c>
      <c r="H1099" s="13">
        <v>12.62215909</v>
      </c>
      <c r="I1099" s="13">
        <v>12.832045450000001</v>
      </c>
      <c r="J1099" s="13">
        <v>13.409375000000001</v>
      </c>
      <c r="K1099" s="13">
        <v>13.025</v>
      </c>
      <c r="L1099" s="13">
        <v>13.013068179999999</v>
      </c>
      <c r="M1099" s="13">
        <v>14.263611109999999</v>
      </c>
    </row>
    <row r="1100" spans="1:13" x14ac:dyDescent="0.2">
      <c r="A1100" s="48">
        <v>2014</v>
      </c>
      <c r="B1100" s="13">
        <v>11.97326086</v>
      </c>
      <c r="C1100" s="13">
        <v>11.917125</v>
      </c>
      <c r="D1100" s="13">
        <v>11.99773809</v>
      </c>
      <c r="E1100" s="13">
        <v>11.54547619</v>
      </c>
      <c r="F1100" s="13">
        <v>11.912105260000001</v>
      </c>
      <c r="G1100" s="13">
        <v>12.439880949999999</v>
      </c>
      <c r="H1100" s="13">
        <v>12.81154761</v>
      </c>
      <c r="I1100" s="13">
        <v>12.877619040000001</v>
      </c>
      <c r="J1100" s="13">
        <v>12.60297619</v>
      </c>
      <c r="K1100" s="13">
        <v>11.221477269999999</v>
      </c>
      <c r="L1100" s="13">
        <v>11.024166660000001</v>
      </c>
      <c r="M1100" s="13">
        <v>10.79833333</v>
      </c>
    </row>
    <row r="1101" spans="1:13" x14ac:dyDescent="0.2">
      <c r="A1101" s="48">
        <v>2015</v>
      </c>
      <c r="B1101" s="13">
        <v>9.8157608599999993</v>
      </c>
      <c r="C1101" s="13">
        <v>10.276315779999999</v>
      </c>
      <c r="D1101" s="13">
        <v>10.2728409</v>
      </c>
      <c r="E1101" s="13">
        <v>9.9643750000000004</v>
      </c>
      <c r="F1101" s="13">
        <v>9.8477631500000005</v>
      </c>
      <c r="G1101" s="13">
        <v>9.6952272700000002</v>
      </c>
      <c r="H1101" s="13">
        <v>9.61107142</v>
      </c>
      <c r="I1101" s="13">
        <v>9.3417499999999993</v>
      </c>
      <c r="J1101" s="13">
        <v>9.4118181799999991</v>
      </c>
      <c r="K1101" s="13">
        <v>9.9577272699999995</v>
      </c>
      <c r="L1101" s="13">
        <v>9.2711904700000005</v>
      </c>
      <c r="M1101" s="13">
        <v>8.7871428571428574</v>
      </c>
    </row>
    <row r="1102" spans="1:13" x14ac:dyDescent="0.2">
      <c r="A1102" s="48">
        <v>2016</v>
      </c>
      <c r="B1102" s="13">
        <v>8.9831818181818193</v>
      </c>
      <c r="C1102" s="13">
        <v>8.785874999999999</v>
      </c>
      <c r="D1102" s="13">
        <v>8.9364772727272719</v>
      </c>
      <c r="E1102" s="13">
        <v>8.8178947368421046</v>
      </c>
      <c r="F1102" s="13">
        <v>8.8239999999999998</v>
      </c>
      <c r="G1102" s="13">
        <v>9.0178409090909089</v>
      </c>
      <c r="H1102" s="13">
        <v>9.6857142857142851</v>
      </c>
      <c r="I1102" s="13">
        <v>10.50702380952381</v>
      </c>
      <c r="J1102" s="13">
        <v>11.298295454545455</v>
      </c>
      <c r="K1102" s="13">
        <v>10.484375</v>
      </c>
      <c r="L1102" s="13">
        <v>10.029090909090909</v>
      </c>
      <c r="M1102" s="13">
        <v>9.5966666666666658</v>
      </c>
    </row>
    <row r="1103" spans="1:13" x14ac:dyDescent="0.2">
      <c r="A1103" s="48">
        <v>2017</v>
      </c>
      <c r="B1103" s="13">
        <v>9.8745238095238097</v>
      </c>
      <c r="C1103" s="13">
        <v>10.10404761904762</v>
      </c>
      <c r="D1103" s="13">
        <v>10.245357142857141</v>
      </c>
      <c r="E1103" s="13">
        <v>10.29325</v>
      </c>
      <c r="F1103" s="13">
        <v>10.355131578947368</v>
      </c>
      <c r="G1103" s="13">
        <v>10.021739130434783</v>
      </c>
      <c r="H1103" s="13">
        <v>9.5681578947368422</v>
      </c>
      <c r="I1103" s="13">
        <v>9.5554545454545448</v>
      </c>
      <c r="J1103" s="13">
        <v>9.2959090909090918</v>
      </c>
      <c r="K1103" s="13">
        <v>10.012625</v>
      </c>
      <c r="L1103" s="13">
        <v>9.4179347826086968</v>
      </c>
      <c r="M1103" s="13">
        <v>9.9248750000000001</v>
      </c>
    </row>
    <row r="1104" spans="1:13" x14ac:dyDescent="0.2">
      <c r="A1104" s="48">
        <v>2018</v>
      </c>
      <c r="B1104" s="13">
        <v>10.029999999999999</v>
      </c>
      <c r="C1104" s="13">
        <v>10.082380952380952</v>
      </c>
      <c r="D1104" s="13">
        <v>9.9757499999999997</v>
      </c>
      <c r="E1104" s="13">
        <v>9.9453571428571426</v>
      </c>
      <c r="F1104" s="13">
        <v>10.220394736842104</v>
      </c>
      <c r="G1104" s="13">
        <v>10.411190476190477</v>
      </c>
      <c r="H1104" s="13">
        <v>10.435952380952381</v>
      </c>
      <c r="I1104" s="13">
        <v>10.289772727272727</v>
      </c>
      <c r="J1104" s="13">
        <v>9.3625000000000007</v>
      </c>
      <c r="K1104" s="13">
        <v>8.5782142857142851</v>
      </c>
      <c r="L1104" s="13">
        <v>8.6395652173913042</v>
      </c>
      <c r="M1104" s="13">
        <v>8.9486842105263165</v>
      </c>
    </row>
    <row r="1105" spans="1:15" x14ac:dyDescent="0.2">
      <c r="A1105" s="48">
        <v>2019</v>
      </c>
      <c r="B1105" s="13">
        <v>9.1744565217391294</v>
      </c>
      <c r="C1105" s="13">
        <v>9.2723809523809511</v>
      </c>
      <c r="D1105" s="13">
        <v>9.4283749999999991</v>
      </c>
      <c r="E1105" s="13">
        <v>9.4660714285714285</v>
      </c>
      <c r="F1105" s="13">
        <v>9.4596052631578953</v>
      </c>
      <c r="G1105" s="13">
        <v>9.2650000000000006</v>
      </c>
      <c r="H1105" s="13">
        <v>9.0642857142857149</v>
      </c>
      <c r="I1105" s="13">
        <v>8.4942045454545454</v>
      </c>
      <c r="J1105" s="13">
        <v>9.0191250000000007</v>
      </c>
      <c r="K1105" s="13">
        <v>8.9313636363636366</v>
      </c>
      <c r="L1105" s="13">
        <v>8.586363636363636</v>
      </c>
      <c r="M1105" s="13">
        <v>9.348374999999999</v>
      </c>
    </row>
    <row r="1106" spans="1:15" x14ac:dyDescent="0.2">
      <c r="A1106" s="48">
        <v>2020</v>
      </c>
      <c r="B1106" s="13">
        <v>9.681304347826087</v>
      </c>
      <c r="C1106" s="13">
        <v>9.5084999999999997</v>
      </c>
      <c r="D1106" s="13">
        <v>9.5170238095238098</v>
      </c>
      <c r="E1106" s="13">
        <v>9.5134523809523799</v>
      </c>
      <c r="F1106" s="13">
        <v>9.126052631578947</v>
      </c>
      <c r="G1106" s="13">
        <v>8.776136363636363</v>
      </c>
      <c r="H1106" s="13">
        <v>8.5274999999999999</v>
      </c>
      <c r="I1106" s="13">
        <v>8.4566250000000007</v>
      </c>
      <c r="J1106" s="13">
        <v>8.6688636363636355</v>
      </c>
      <c r="K1106" s="13">
        <v>8.9020454545454548</v>
      </c>
      <c r="L1106" s="13">
        <v>9.0078571428571426</v>
      </c>
      <c r="M1106" s="13">
        <v>9.7273809523809511</v>
      </c>
    </row>
    <row r="1107" spans="1:15" x14ac:dyDescent="0.2">
      <c r="A1107" s="48">
        <v>2021</v>
      </c>
      <c r="B1107" s="13">
        <v>9.9893181818181809</v>
      </c>
      <c r="C1107" s="13">
        <v>10.691375000000001</v>
      </c>
      <c r="D1107" s="13">
        <v>11.118522727272728</v>
      </c>
      <c r="E1107" s="13">
        <v>12.116447368421053</v>
      </c>
      <c r="F1107" s="13" t="e">
        <v>#REF!</v>
      </c>
      <c r="G1107" s="13">
        <v>12.759347826086957</v>
      </c>
      <c r="H1107" s="13">
        <v>13.303571428571429</v>
      </c>
      <c r="I1107" s="13"/>
      <c r="J1107" s="13"/>
      <c r="K1107" s="35"/>
      <c r="L1107" s="35">
        <v>13.717727272727272</v>
      </c>
      <c r="M1107" s="13"/>
    </row>
    <row r="1108" spans="1:15" x14ac:dyDescent="0.2">
      <c r="A1108" s="48">
        <v>2022</v>
      </c>
      <c r="L1108" s="39">
        <v>15.698586956521741</v>
      </c>
    </row>
    <row r="1109" spans="1:15" x14ac:dyDescent="0.2">
      <c r="A1109" s="48">
        <v>2023</v>
      </c>
      <c r="L1109" s="39">
        <v>13.884021739130436</v>
      </c>
    </row>
    <row r="1110" spans="1:15" x14ac:dyDescent="0.2">
      <c r="A1110" s="48">
        <v>2024</v>
      </c>
      <c r="L1110" s="39">
        <f>[3]Prices!$B$659</f>
        <v>10.142125</v>
      </c>
    </row>
    <row r="1111" spans="1:15" x14ac:dyDescent="0.2">
      <c r="A1111" s="48">
        <v>2025</v>
      </c>
      <c r="L1111" s="39">
        <f>[3]Prices!$B$658</f>
        <v>9.8473863636363639</v>
      </c>
    </row>
    <row r="1112" spans="1:15" x14ac:dyDescent="0.2">
      <c r="A1112" s="48">
        <v>2026</v>
      </c>
      <c r="L1112" s="39">
        <f>[3]Prices!$B$670</f>
        <v>9.9499999999999993</v>
      </c>
    </row>
    <row r="1113" spans="1:15" x14ac:dyDescent="0.2">
      <c r="A1113" s="48">
        <v>2027</v>
      </c>
      <c r="L1113" s="39">
        <f>[3]Prices!$B$682</f>
        <v>11.25</v>
      </c>
    </row>
    <row r="1114" spans="1:15" ht="15.75" x14ac:dyDescent="0.25">
      <c r="A1114" s="51" t="s">
        <v>174</v>
      </c>
      <c r="L1114" t="s">
        <v>182</v>
      </c>
    </row>
    <row r="1115" spans="1:15" ht="13.5" x14ac:dyDescent="0.25">
      <c r="A1115" s="42" t="s">
        <v>155</v>
      </c>
      <c r="B1115" t="s">
        <v>88</v>
      </c>
      <c r="C1115" t="s">
        <v>89</v>
      </c>
      <c r="D1115" t="s">
        <v>90</v>
      </c>
      <c r="E1115" t="s">
        <v>91</v>
      </c>
      <c r="F1115" t="s">
        <v>92</v>
      </c>
      <c r="G1115" t="s">
        <v>93</v>
      </c>
      <c r="H1115" t="s">
        <v>94</v>
      </c>
      <c r="I1115" t="s">
        <v>83</v>
      </c>
      <c r="J1115" t="s">
        <v>84</v>
      </c>
      <c r="K1115" t="s">
        <v>85</v>
      </c>
      <c r="L1115" t="s">
        <v>86</v>
      </c>
      <c r="M1115" t="s">
        <v>87</v>
      </c>
      <c r="O1115" t="str">
        <f>_xlfn.CONCAT(L1115," ","Error")</f>
        <v>Aug Error</v>
      </c>
    </row>
    <row r="1116" spans="1:15" x14ac:dyDescent="0.2">
      <c r="A1116" s="48">
        <v>1971</v>
      </c>
      <c r="B1116" s="13">
        <v>2.91</v>
      </c>
      <c r="C1116" s="13">
        <v>2.97</v>
      </c>
      <c r="D1116" s="13">
        <v>2.94</v>
      </c>
      <c r="E1116" s="13">
        <v>3.05</v>
      </c>
      <c r="F1116" s="13">
        <v>3.02</v>
      </c>
      <c r="G1116" s="13">
        <v>2.9849999999999999</v>
      </c>
      <c r="H1116" s="13">
        <v>2.94</v>
      </c>
      <c r="I1116" s="13">
        <v>3.1025</v>
      </c>
      <c r="J1116" s="13">
        <v>3.2675000000000001</v>
      </c>
      <c r="K1116" s="13">
        <v>3.5024999999999999</v>
      </c>
      <c r="L1116" s="13">
        <v>3.38</v>
      </c>
      <c r="M1116" s="13">
        <v>3.2825000000000002</v>
      </c>
      <c r="O1116" s="13">
        <f t="shared" ref="O1116:O1147" si="54">L1116-L1057</f>
        <v>0.12113636999999988</v>
      </c>
    </row>
    <row r="1117" spans="1:15" x14ac:dyDescent="0.2">
      <c r="A1117" s="48">
        <v>1972</v>
      </c>
      <c r="B1117" s="13">
        <v>3.1749999999999998</v>
      </c>
      <c r="C1117" s="13">
        <v>3.165</v>
      </c>
      <c r="D1117" s="13">
        <v>3.1949999999999998</v>
      </c>
      <c r="E1117" s="13">
        <v>3.15</v>
      </c>
      <c r="F1117" s="13">
        <v>3.2250000000000001</v>
      </c>
      <c r="G1117" s="13">
        <v>3.3275000000000001</v>
      </c>
      <c r="H1117" s="13">
        <v>3.4849999999999999</v>
      </c>
      <c r="I1117" s="13">
        <v>3.4375</v>
      </c>
      <c r="J1117" s="13">
        <v>3.41</v>
      </c>
      <c r="K1117" s="13">
        <v>3.4725000000000001</v>
      </c>
      <c r="L1117" s="13">
        <v>3.5350000000000001</v>
      </c>
      <c r="M1117" s="13">
        <v>3.51</v>
      </c>
      <c r="O1117" s="13">
        <f t="shared" si="54"/>
        <v>9.4456529999999983E-2</v>
      </c>
    </row>
    <row r="1118" spans="1:15" x14ac:dyDescent="0.2">
      <c r="A1118" s="48">
        <v>1973</v>
      </c>
      <c r="B1118" s="13">
        <v>3.4750000000000001</v>
      </c>
      <c r="C1118" s="13">
        <v>3.6425000000000001</v>
      </c>
      <c r="D1118" s="13">
        <v>4.05</v>
      </c>
      <c r="E1118" s="13">
        <v>4.1100000000000003</v>
      </c>
      <c r="F1118" s="13">
        <v>4.92</v>
      </c>
      <c r="G1118" s="13">
        <v>5</v>
      </c>
      <c r="H1118" s="13">
        <v>5.5350000000000001</v>
      </c>
      <c r="I1118" s="13">
        <v>8.2650000000000006</v>
      </c>
      <c r="J1118" s="13">
        <v>9.56</v>
      </c>
      <c r="K1118" s="13">
        <v>10.1</v>
      </c>
      <c r="L1118" s="13">
        <v>9.9499999999999993</v>
      </c>
      <c r="M1118" s="13">
        <v>7</v>
      </c>
      <c r="O1118" s="13">
        <f t="shared" si="54"/>
        <v>1.7065217399999995</v>
      </c>
    </row>
    <row r="1119" spans="1:15" x14ac:dyDescent="0.2">
      <c r="A1119" s="48">
        <v>1974</v>
      </c>
      <c r="B1119" s="13">
        <v>6.4</v>
      </c>
      <c r="C1119" s="13">
        <v>6.23</v>
      </c>
      <c r="D1119" s="13">
        <v>6.37</v>
      </c>
      <c r="E1119" s="13">
        <v>6.6</v>
      </c>
      <c r="F1119" s="13">
        <v>6.84</v>
      </c>
      <c r="G1119" s="13">
        <v>6.52</v>
      </c>
      <c r="H1119" s="13">
        <v>5.96</v>
      </c>
      <c r="I1119" s="13">
        <v>5.64</v>
      </c>
      <c r="J1119" s="13">
        <v>5.9249999999999998</v>
      </c>
      <c r="K1119" s="13">
        <v>8.9499999999999993</v>
      </c>
      <c r="L1119" s="13">
        <v>8.99</v>
      </c>
      <c r="M1119" s="13">
        <v>7.84</v>
      </c>
      <c r="O1119" s="13">
        <f t="shared" si="54"/>
        <v>1.17613637</v>
      </c>
    </row>
    <row r="1120" spans="1:15" x14ac:dyDescent="0.2">
      <c r="A1120" s="48">
        <v>1975</v>
      </c>
      <c r="B1120" s="13">
        <v>9.15</v>
      </c>
      <c r="C1120" s="13">
        <v>8.5</v>
      </c>
      <c r="D1120" s="13">
        <v>7.75</v>
      </c>
      <c r="E1120" s="13">
        <v>7.16</v>
      </c>
      <c r="F1120" s="13">
        <v>6.21</v>
      </c>
      <c r="G1120" s="13">
        <v>6.1</v>
      </c>
      <c r="H1120" s="13">
        <v>6.03</v>
      </c>
      <c r="I1120" s="13">
        <v>5.23</v>
      </c>
      <c r="J1120" s="13">
        <v>5.2</v>
      </c>
      <c r="K1120" s="13">
        <v>6.36</v>
      </c>
      <c r="L1120" s="13">
        <v>6.45</v>
      </c>
      <c r="M1120" s="13">
        <v>6.07</v>
      </c>
      <c r="O1120" s="13">
        <f t="shared" si="54"/>
        <v>0.3944047700000004</v>
      </c>
    </row>
    <row r="1121" spans="1:15" x14ac:dyDescent="0.2">
      <c r="A1121" s="48">
        <v>1976</v>
      </c>
      <c r="B1121" s="13">
        <v>6.02</v>
      </c>
      <c r="C1121" s="13">
        <v>5.33</v>
      </c>
      <c r="D1121" s="13">
        <v>5.37</v>
      </c>
      <c r="E1121" s="13">
        <v>5.2</v>
      </c>
      <c r="F1121" s="13">
        <v>5.13</v>
      </c>
      <c r="G1121" s="13">
        <v>5.0724999999999998</v>
      </c>
      <c r="H1121" s="13">
        <v>5.0975000000000001</v>
      </c>
      <c r="I1121" s="13">
        <v>5.91</v>
      </c>
      <c r="J1121" s="13">
        <v>6.86</v>
      </c>
      <c r="K1121" s="13">
        <v>7.63</v>
      </c>
      <c r="L1121" s="13">
        <v>6.8849999999999998</v>
      </c>
      <c r="M1121" s="13">
        <v>7.46</v>
      </c>
      <c r="O1121" s="13">
        <f t="shared" si="54"/>
        <v>0.47261363999999961</v>
      </c>
    </row>
    <row r="1122" spans="1:15" x14ac:dyDescent="0.2">
      <c r="A1122" s="48">
        <v>1977</v>
      </c>
      <c r="B1122" s="13">
        <v>6.55</v>
      </c>
      <c r="C1122" s="13">
        <v>6.43</v>
      </c>
      <c r="D1122" s="13">
        <v>6.64</v>
      </c>
      <c r="E1122" s="13">
        <v>7.14</v>
      </c>
      <c r="F1122" s="13">
        <v>7.5049999999999999</v>
      </c>
      <c r="G1122" s="13">
        <v>8.06</v>
      </c>
      <c r="H1122" s="13">
        <v>8.85</v>
      </c>
      <c r="I1122" s="13">
        <v>8.4</v>
      </c>
      <c r="J1122" s="13">
        <v>8.5</v>
      </c>
      <c r="K1122" s="13">
        <v>6.835</v>
      </c>
      <c r="L1122" s="13">
        <v>5.96</v>
      </c>
      <c r="M1122" s="13">
        <v>5.46</v>
      </c>
      <c r="O1122" s="13">
        <f t="shared" si="54"/>
        <v>0.56978260999999986</v>
      </c>
    </row>
    <row r="1123" spans="1:15" x14ac:dyDescent="0.2">
      <c r="A1123" s="48">
        <v>1978</v>
      </c>
      <c r="B1123" s="13">
        <v>5.83</v>
      </c>
      <c r="C1123" s="13">
        <v>6.3150000000000004</v>
      </c>
      <c r="D1123" s="13">
        <v>6.1</v>
      </c>
      <c r="E1123" s="13">
        <v>6.01</v>
      </c>
      <c r="F1123" s="13">
        <v>5.8849999999999998</v>
      </c>
      <c r="G1123" s="13">
        <v>6.69</v>
      </c>
      <c r="H1123" s="13">
        <v>6.7649999999999997</v>
      </c>
      <c r="I1123" s="13">
        <v>7.2</v>
      </c>
      <c r="J1123" s="13">
        <v>7.085</v>
      </c>
      <c r="K1123" s="13">
        <v>6.51</v>
      </c>
      <c r="L1123" s="13">
        <v>6.71</v>
      </c>
      <c r="M1123" s="13">
        <v>6.91</v>
      </c>
      <c r="O1123" s="13">
        <f t="shared" si="54"/>
        <v>0.37521740000000037</v>
      </c>
    </row>
    <row r="1124" spans="1:15" x14ac:dyDescent="0.2">
      <c r="A1124" s="48">
        <v>1979</v>
      </c>
      <c r="B1124" s="13">
        <v>7.15</v>
      </c>
      <c r="C1124" s="13">
        <v>7.0350000000000001</v>
      </c>
      <c r="D1124" s="13">
        <v>6.95</v>
      </c>
      <c r="E1124" s="13">
        <v>7.03</v>
      </c>
      <c r="F1124" s="13">
        <v>7.43</v>
      </c>
      <c r="G1124" s="13">
        <v>7.43</v>
      </c>
      <c r="H1124" s="13">
        <v>7.37</v>
      </c>
      <c r="I1124" s="13">
        <v>7.41</v>
      </c>
      <c r="J1124" s="13">
        <v>8.5</v>
      </c>
      <c r="K1124" s="13">
        <v>8.0549999999999997</v>
      </c>
      <c r="L1124" s="13">
        <v>7.3550000000000004</v>
      </c>
      <c r="M1124" s="13">
        <v>7.46</v>
      </c>
      <c r="O1124" s="13">
        <f t="shared" si="54"/>
        <v>0.17978261000000018</v>
      </c>
    </row>
    <row r="1125" spans="1:15" x14ac:dyDescent="0.2">
      <c r="A1125" s="48">
        <v>1980</v>
      </c>
      <c r="B1125" s="13">
        <v>7.95</v>
      </c>
      <c r="C1125" s="13">
        <v>7.61</v>
      </c>
      <c r="D1125" s="13">
        <v>7.49</v>
      </c>
      <c r="E1125" s="13">
        <v>7.36</v>
      </c>
      <c r="F1125" s="13">
        <v>7.46</v>
      </c>
      <c r="G1125" s="13">
        <v>7.09</v>
      </c>
      <c r="H1125" s="13">
        <v>6.54</v>
      </c>
      <c r="I1125" s="13">
        <v>6.57</v>
      </c>
      <c r="J1125" s="13">
        <v>6.8849999999999998</v>
      </c>
      <c r="K1125" s="13">
        <v>8.27</v>
      </c>
      <c r="L1125" s="13">
        <v>8.0500000000000007</v>
      </c>
      <c r="M1125" s="13">
        <v>8.52</v>
      </c>
      <c r="O1125" s="13">
        <f t="shared" si="54"/>
        <v>0.40476191000000039</v>
      </c>
    </row>
    <row r="1126" spans="1:15" x14ac:dyDescent="0.2">
      <c r="A1126" s="48">
        <v>1981</v>
      </c>
      <c r="B1126" s="13">
        <v>8.94</v>
      </c>
      <c r="C1126" s="13">
        <v>9.33</v>
      </c>
      <c r="D1126" s="13">
        <v>9.32</v>
      </c>
      <c r="E1126" s="13">
        <v>8.69</v>
      </c>
      <c r="F1126" s="13">
        <v>8.34</v>
      </c>
      <c r="G1126" s="13">
        <v>8.2349999999999994</v>
      </c>
      <c r="H1126" s="13">
        <v>8.5500000000000007</v>
      </c>
      <c r="I1126" s="13">
        <v>8.2200000000000006</v>
      </c>
      <c r="J1126" s="13">
        <v>7.7149999999999999</v>
      </c>
      <c r="K1126" s="13">
        <v>7.77</v>
      </c>
      <c r="L1126" s="13">
        <v>7.32</v>
      </c>
      <c r="M1126" s="13">
        <v>6.82</v>
      </c>
      <c r="O1126" s="13">
        <f t="shared" si="54"/>
        <v>0.40500000000000025</v>
      </c>
    </row>
    <row r="1127" spans="1:15" x14ac:dyDescent="0.2">
      <c r="A1127" s="48">
        <v>1982</v>
      </c>
      <c r="B1127" s="13">
        <v>7.6</v>
      </c>
      <c r="C1127" s="13">
        <v>7.4050000000000002</v>
      </c>
      <c r="D1127" s="13">
        <v>7.1150000000000002</v>
      </c>
      <c r="E1127" s="13">
        <v>6.97</v>
      </c>
      <c r="F1127" s="13">
        <v>7.01</v>
      </c>
      <c r="G1127" s="13">
        <v>6.64</v>
      </c>
      <c r="H1127" s="13">
        <v>6.91</v>
      </c>
      <c r="I1127" s="13">
        <v>6.8049999999999997</v>
      </c>
      <c r="J1127" s="13">
        <v>6.53</v>
      </c>
      <c r="K1127" s="13">
        <v>6.3</v>
      </c>
      <c r="L1127" s="13">
        <v>6.09</v>
      </c>
      <c r="M1127" s="13">
        <v>5.64</v>
      </c>
      <c r="O1127" s="13">
        <f t="shared" si="54"/>
        <v>0.37727272999999961</v>
      </c>
    </row>
    <row r="1128" spans="1:15" x14ac:dyDescent="0.2">
      <c r="A1128" s="48">
        <v>1983</v>
      </c>
      <c r="B1128" s="13">
        <v>5.92</v>
      </c>
      <c r="C1128" s="13">
        <v>6.04</v>
      </c>
      <c r="D1128" s="13">
        <v>5.98</v>
      </c>
      <c r="E1128" s="13">
        <v>6.35</v>
      </c>
      <c r="F1128" s="13">
        <v>6.3849999999999998</v>
      </c>
      <c r="G1128" s="13">
        <v>6.71</v>
      </c>
      <c r="H1128" s="13">
        <v>6.85</v>
      </c>
      <c r="I1128" s="13">
        <v>6.73</v>
      </c>
      <c r="J1128" s="13">
        <v>6.34</v>
      </c>
      <c r="K1128" s="13">
        <v>7.35</v>
      </c>
      <c r="L1128" s="13">
        <v>9.4949999999999992</v>
      </c>
      <c r="M1128" s="13">
        <v>9.6</v>
      </c>
      <c r="O1128" s="13">
        <f t="shared" si="54"/>
        <v>0.99434782999999882</v>
      </c>
    </row>
    <row r="1129" spans="1:15" x14ac:dyDescent="0.2">
      <c r="A1129" s="48">
        <v>1984</v>
      </c>
      <c r="B1129" s="13">
        <v>7.94</v>
      </c>
      <c r="C1129" s="13">
        <v>7.8</v>
      </c>
      <c r="D1129" s="13">
        <v>7.76</v>
      </c>
      <c r="E1129" s="13">
        <v>7.6550000000000002</v>
      </c>
      <c r="F1129" s="13">
        <v>7.42</v>
      </c>
      <c r="G1129" s="13">
        <v>7.7050000000000001</v>
      </c>
      <c r="H1129" s="13">
        <v>7.77</v>
      </c>
      <c r="I1129" s="13">
        <v>8.0449999999999999</v>
      </c>
      <c r="J1129" s="13">
        <v>7.89</v>
      </c>
      <c r="K1129" s="13">
        <v>7.43</v>
      </c>
      <c r="L1129" s="13">
        <v>6.65</v>
      </c>
      <c r="M1129" s="13">
        <v>6.32</v>
      </c>
      <c r="O1129" s="13">
        <f t="shared" si="54"/>
        <v>0.2742391400000006</v>
      </c>
    </row>
    <row r="1130" spans="1:15" x14ac:dyDescent="0.2">
      <c r="A1130" s="48">
        <v>1985</v>
      </c>
      <c r="B1130" s="13">
        <v>6.71</v>
      </c>
      <c r="C1130" s="13">
        <v>6.7</v>
      </c>
      <c r="D1130" s="13">
        <v>6.36</v>
      </c>
      <c r="E1130" s="13">
        <v>6.23</v>
      </c>
      <c r="F1130" s="13">
        <v>6.2175000000000002</v>
      </c>
      <c r="G1130" s="13">
        <v>6.18</v>
      </c>
      <c r="H1130" s="13">
        <v>6.165</v>
      </c>
      <c r="I1130" s="13">
        <v>6.0049999999999999</v>
      </c>
      <c r="J1130" s="13">
        <v>5.85</v>
      </c>
      <c r="K1130" s="13">
        <v>5.83</v>
      </c>
      <c r="L1130" s="13">
        <v>5.2774999999999999</v>
      </c>
      <c r="M1130" s="13">
        <v>5.2149999999999999</v>
      </c>
      <c r="O1130" s="13">
        <f t="shared" si="54"/>
        <v>0.13761363999999965</v>
      </c>
    </row>
    <row r="1131" spans="1:15" x14ac:dyDescent="0.2">
      <c r="A1131" s="48">
        <v>1986</v>
      </c>
      <c r="B1131" s="13">
        <v>5.4649999999999999</v>
      </c>
      <c r="C1131" s="13">
        <v>5.42</v>
      </c>
      <c r="D1131" s="13">
        <v>5.5549999999999997</v>
      </c>
      <c r="E1131" s="13">
        <v>5.52</v>
      </c>
      <c r="F1131" s="13">
        <v>5.33</v>
      </c>
      <c r="G1131" s="13">
        <v>5.3125</v>
      </c>
      <c r="H1131" s="13">
        <v>5.53</v>
      </c>
      <c r="I1131" s="13">
        <v>5.49</v>
      </c>
      <c r="J1131" s="13">
        <v>5.1475</v>
      </c>
      <c r="K1131" s="13">
        <v>5.1749999999999998</v>
      </c>
      <c r="L1131" s="13">
        <v>5.05</v>
      </c>
      <c r="M1131" s="13">
        <v>5.09</v>
      </c>
      <c r="O1131" s="13">
        <f t="shared" si="54"/>
        <v>0.24464285999999991</v>
      </c>
    </row>
    <row r="1132" spans="1:15" x14ac:dyDescent="0.2">
      <c r="A1132" s="48">
        <v>1987</v>
      </c>
      <c r="B1132" s="13">
        <v>5.0750000000000002</v>
      </c>
      <c r="C1132" s="13">
        <v>5.05</v>
      </c>
      <c r="D1132" s="13">
        <v>5.0274999999999999</v>
      </c>
      <c r="E1132" s="13">
        <v>4.9450000000000003</v>
      </c>
      <c r="F1132" s="13">
        <v>4.8775000000000004</v>
      </c>
      <c r="G1132" s="13">
        <v>4.8899999999999997</v>
      </c>
      <c r="H1132" s="13">
        <v>5.31</v>
      </c>
      <c r="I1132" s="13">
        <v>6</v>
      </c>
      <c r="J1132" s="13">
        <v>6.1425000000000001</v>
      </c>
      <c r="K1132" s="13">
        <v>5.49</v>
      </c>
      <c r="L1132" s="13">
        <v>5.28</v>
      </c>
      <c r="M1132" s="13">
        <v>5.38</v>
      </c>
      <c r="O1132" s="13">
        <f t="shared" si="54"/>
        <v>0.20202381000000003</v>
      </c>
    </row>
    <row r="1133" spans="1:15" x14ac:dyDescent="0.2">
      <c r="A1133" s="48">
        <v>1988</v>
      </c>
      <c r="B1133" s="13">
        <v>5.68</v>
      </c>
      <c r="C1133" s="13">
        <v>6.04</v>
      </c>
      <c r="D1133" s="13">
        <v>6.18</v>
      </c>
      <c r="E1133" s="13">
        <v>6.53</v>
      </c>
      <c r="F1133" s="13">
        <v>6.62</v>
      </c>
      <c r="G1133" s="13">
        <v>6.69</v>
      </c>
      <c r="H1133" s="13">
        <v>7.0549999999999997</v>
      </c>
      <c r="I1133" s="13">
        <v>8.0775000000000006</v>
      </c>
      <c r="J1133" s="13">
        <v>10.7</v>
      </c>
      <c r="K1133" s="13">
        <v>10.1</v>
      </c>
      <c r="L1133" s="13">
        <v>8.92</v>
      </c>
      <c r="M1133" s="13">
        <v>8.9</v>
      </c>
      <c r="O1133" s="13">
        <f t="shared" si="54"/>
        <v>0.3988043500000007</v>
      </c>
    </row>
    <row r="1134" spans="1:15" x14ac:dyDescent="0.2">
      <c r="A1134" s="48">
        <v>1989</v>
      </c>
      <c r="B1134" s="13">
        <v>7.67</v>
      </c>
      <c r="C1134" s="13">
        <v>7.71</v>
      </c>
      <c r="D1134" s="13">
        <v>7.76</v>
      </c>
      <c r="E1134" s="13">
        <v>7.9050000000000002</v>
      </c>
      <c r="F1134" s="13">
        <v>7.65</v>
      </c>
      <c r="G1134" s="13">
        <v>7.7649999999999997</v>
      </c>
      <c r="H1134" s="13">
        <v>7.51</v>
      </c>
      <c r="I1134" s="13">
        <v>7.38</v>
      </c>
      <c r="J1134" s="13">
        <v>6.9450000000000003</v>
      </c>
      <c r="K1134" s="13">
        <v>7.23</v>
      </c>
      <c r="L1134" s="13">
        <v>6.06</v>
      </c>
      <c r="M1134" s="13">
        <v>6.11</v>
      </c>
      <c r="O1134" s="13">
        <f t="shared" si="54"/>
        <v>0.21478260999999943</v>
      </c>
    </row>
    <row r="1135" spans="1:15" x14ac:dyDescent="0.2">
      <c r="A1135" s="48">
        <v>1990</v>
      </c>
      <c r="B1135" s="13">
        <v>6.1</v>
      </c>
      <c r="C1135" s="13">
        <v>6.1849999999999996</v>
      </c>
      <c r="D1135" s="13">
        <v>6.22</v>
      </c>
      <c r="E1135" s="13">
        <v>6.1325000000000003</v>
      </c>
      <c r="F1135" s="13">
        <v>5.9625000000000004</v>
      </c>
      <c r="G1135" s="13">
        <v>6.24</v>
      </c>
      <c r="H1135" s="13">
        <v>6.61</v>
      </c>
      <c r="I1135" s="13">
        <v>6.76</v>
      </c>
      <c r="J1135" s="13">
        <v>6.3949999999999996</v>
      </c>
      <c r="K1135" s="13">
        <v>6.6875</v>
      </c>
      <c r="L1135" s="13">
        <v>6.3150000000000004</v>
      </c>
      <c r="M1135" s="13">
        <v>6.29</v>
      </c>
      <c r="O1135" s="13">
        <f t="shared" si="54"/>
        <v>0.22815218000000037</v>
      </c>
    </row>
    <row r="1136" spans="1:15" x14ac:dyDescent="0.2">
      <c r="A1136" s="48">
        <v>1991</v>
      </c>
      <c r="B1136" s="13">
        <v>6.46</v>
      </c>
      <c r="C1136" s="13">
        <v>6.2949999999999999</v>
      </c>
      <c r="D1136" s="13">
        <v>6.335</v>
      </c>
      <c r="E1136" s="13">
        <v>6.15</v>
      </c>
      <c r="F1136" s="13">
        <v>6.16</v>
      </c>
      <c r="G1136" s="13">
        <v>6.3</v>
      </c>
      <c r="H1136" s="13">
        <v>6.22</v>
      </c>
      <c r="I1136" s="13">
        <v>6.0225</v>
      </c>
      <c r="J1136" s="13">
        <v>5.9249999999999998</v>
      </c>
      <c r="K1136" s="13">
        <v>6.08</v>
      </c>
      <c r="L1136" s="13">
        <v>6.4749999999999996</v>
      </c>
      <c r="M1136" s="13">
        <v>6.09</v>
      </c>
      <c r="O1136" s="13">
        <f t="shared" si="54"/>
        <v>0.78193181999999961</v>
      </c>
    </row>
    <row r="1137" spans="1:15" x14ac:dyDescent="0.2">
      <c r="A1137" s="48">
        <v>1992</v>
      </c>
      <c r="B1137" s="13">
        <v>6.01</v>
      </c>
      <c r="C1137" s="13">
        <v>5.8849999999999998</v>
      </c>
      <c r="D1137" s="13">
        <v>5.87</v>
      </c>
      <c r="E1137" s="13">
        <v>6.0650000000000004</v>
      </c>
      <c r="F1137" s="13">
        <v>6.085</v>
      </c>
      <c r="G1137" s="13">
        <v>6.2149999999999999</v>
      </c>
      <c r="H1137" s="13">
        <v>6.0650000000000004</v>
      </c>
      <c r="I1137" s="13">
        <v>6.3324999999999996</v>
      </c>
      <c r="J1137" s="13">
        <v>6.45</v>
      </c>
      <c r="K1137" s="13">
        <v>6.08</v>
      </c>
      <c r="L1137" s="13">
        <v>5.6275000000000004</v>
      </c>
      <c r="M1137" s="13">
        <v>5.67</v>
      </c>
      <c r="O1137" s="13">
        <f t="shared" si="54"/>
        <v>0.12738095999999999</v>
      </c>
    </row>
    <row r="1138" spans="1:15" x14ac:dyDescent="0.2">
      <c r="A1138" s="48">
        <v>1993</v>
      </c>
      <c r="B1138" s="13">
        <v>5.76</v>
      </c>
      <c r="C1138" s="13">
        <v>5.875</v>
      </c>
      <c r="D1138" s="13">
        <v>5.96</v>
      </c>
      <c r="E1138" s="13">
        <v>5.9649999999999999</v>
      </c>
      <c r="F1138" s="13">
        <v>5.8624999999999998</v>
      </c>
      <c r="G1138" s="13">
        <v>6.04</v>
      </c>
      <c r="H1138" s="13">
        <v>6.08</v>
      </c>
      <c r="I1138" s="13">
        <v>6.0925000000000002</v>
      </c>
      <c r="J1138" s="13">
        <v>6.58</v>
      </c>
      <c r="K1138" s="13">
        <v>7.5650000000000004</v>
      </c>
      <c r="L1138" s="13">
        <v>7.08</v>
      </c>
      <c r="M1138" s="13">
        <v>6.63</v>
      </c>
      <c r="O1138" s="13">
        <f t="shared" si="54"/>
        <v>0.36681819000000004</v>
      </c>
    </row>
    <row r="1139" spans="1:15" x14ac:dyDescent="0.2">
      <c r="A1139" s="48">
        <v>1994</v>
      </c>
      <c r="B1139" s="13">
        <v>6.37</v>
      </c>
      <c r="C1139" s="13">
        <v>6.71</v>
      </c>
      <c r="D1139" s="13">
        <v>6.7750000000000004</v>
      </c>
      <c r="E1139" s="13">
        <v>6.8949999999999996</v>
      </c>
      <c r="F1139" s="13">
        <v>6.72</v>
      </c>
      <c r="G1139" s="13">
        <v>6.73</v>
      </c>
      <c r="H1139" s="13">
        <v>6.4950000000000001</v>
      </c>
      <c r="I1139" s="13">
        <v>7.085</v>
      </c>
      <c r="J1139" s="13">
        <v>7.06</v>
      </c>
      <c r="K1139" s="13">
        <v>6.3550000000000004</v>
      </c>
      <c r="L1139" s="13">
        <v>5.8475000000000001</v>
      </c>
      <c r="M1139" s="13">
        <v>5.9349999999999996</v>
      </c>
      <c r="O1139" s="13">
        <f t="shared" si="54"/>
        <v>0.12271739999999998</v>
      </c>
    </row>
    <row r="1140" spans="1:15" x14ac:dyDescent="0.2">
      <c r="A1140" s="48">
        <v>1995</v>
      </c>
      <c r="B1140" s="13">
        <v>5.9450000000000003</v>
      </c>
      <c r="C1140" s="13">
        <v>6.01</v>
      </c>
      <c r="D1140" s="13">
        <v>5.96</v>
      </c>
      <c r="E1140" s="13">
        <v>5.84</v>
      </c>
      <c r="F1140" s="13">
        <v>5.86</v>
      </c>
      <c r="G1140" s="13">
        <v>6.07</v>
      </c>
      <c r="H1140" s="13">
        <v>6.1150000000000002</v>
      </c>
      <c r="I1140" s="13">
        <v>6.2649999999999997</v>
      </c>
      <c r="J1140" s="13">
        <v>6.2649999999999997</v>
      </c>
      <c r="K1140" s="13">
        <v>6.55</v>
      </c>
      <c r="L1140" s="13">
        <v>6.15</v>
      </c>
      <c r="M1140" s="13">
        <v>6.57</v>
      </c>
      <c r="O1140" s="13">
        <f t="shared" si="54"/>
        <v>0.17097826999999999</v>
      </c>
    </row>
    <row r="1141" spans="1:15" x14ac:dyDescent="0.2">
      <c r="A1141" s="48">
        <v>1996</v>
      </c>
      <c r="B1141" s="13">
        <v>6.81</v>
      </c>
      <c r="C1141" s="13">
        <v>6.85</v>
      </c>
      <c r="D1141" s="13">
        <v>7.22</v>
      </c>
      <c r="E1141" s="13">
        <v>7.375</v>
      </c>
      <c r="F1141" s="13">
        <v>7.5225</v>
      </c>
      <c r="G1141" s="13">
        <v>7.4450000000000003</v>
      </c>
      <c r="H1141" s="13">
        <v>8.2200000000000006</v>
      </c>
      <c r="I1141" s="13">
        <v>8.11</v>
      </c>
      <c r="J1141" s="13">
        <v>7.7350000000000003</v>
      </c>
      <c r="K1141" s="13">
        <v>8.35</v>
      </c>
      <c r="L1141" s="13">
        <v>8.3049999999999997</v>
      </c>
      <c r="M1141" s="13">
        <v>8.5</v>
      </c>
      <c r="O1141" s="13">
        <f t="shared" si="54"/>
        <v>0.39965910000000004</v>
      </c>
    </row>
    <row r="1142" spans="1:15" x14ac:dyDescent="0.2">
      <c r="A1142" s="48">
        <v>1997</v>
      </c>
      <c r="B1142" s="13">
        <v>7.4</v>
      </c>
      <c r="C1142" s="13">
        <v>6.95</v>
      </c>
      <c r="D1142" s="13">
        <v>6.8650000000000002</v>
      </c>
      <c r="E1142" s="13">
        <v>7.19</v>
      </c>
      <c r="F1142" s="13">
        <v>7.4649999999999999</v>
      </c>
      <c r="G1142" s="13">
        <v>8.0374999999999996</v>
      </c>
      <c r="H1142" s="13">
        <v>7.79</v>
      </c>
      <c r="I1142" s="13">
        <v>7.75</v>
      </c>
      <c r="J1142" s="13">
        <v>7.36</v>
      </c>
      <c r="K1142" s="13">
        <v>6.89</v>
      </c>
      <c r="L1142" s="13">
        <v>7.0650000000000004</v>
      </c>
      <c r="M1142" s="13">
        <v>8.15</v>
      </c>
      <c r="O1142" s="13">
        <f t="shared" si="54"/>
        <v>0.44761905000000013</v>
      </c>
    </row>
    <row r="1143" spans="1:15" x14ac:dyDescent="0.2">
      <c r="A1143" s="48">
        <v>1998</v>
      </c>
      <c r="B1143" s="13">
        <v>7.23</v>
      </c>
      <c r="C1143" s="13">
        <v>7.1950000000000003</v>
      </c>
      <c r="D1143" s="13">
        <v>7</v>
      </c>
      <c r="E1143" s="13">
        <v>6.76</v>
      </c>
      <c r="F1143" s="13">
        <v>6.875</v>
      </c>
      <c r="G1143" s="13">
        <v>6.68</v>
      </c>
      <c r="H1143" s="13">
        <v>6.3849999999999998</v>
      </c>
      <c r="I1143" s="13">
        <v>6.4450000000000003</v>
      </c>
      <c r="J1143" s="13">
        <v>6.61</v>
      </c>
      <c r="K1143" s="13">
        <v>6.47</v>
      </c>
      <c r="L1143" s="13">
        <v>5.6849999999999996</v>
      </c>
      <c r="M1143" s="13">
        <v>5.34</v>
      </c>
      <c r="O1143" s="13">
        <f t="shared" si="54"/>
        <v>0.32154761999999959</v>
      </c>
    </row>
    <row r="1144" spans="1:15" x14ac:dyDescent="0.2">
      <c r="A1144" s="48">
        <v>1999</v>
      </c>
      <c r="B1144" s="13">
        <v>6</v>
      </c>
      <c r="C1144" s="13">
        <v>6.165</v>
      </c>
      <c r="D1144" s="13">
        <v>6.15</v>
      </c>
      <c r="E1144" s="13">
        <v>5.6950000000000003</v>
      </c>
      <c r="F1144" s="13">
        <v>5.3049999999999997</v>
      </c>
      <c r="G1144" s="13">
        <v>5.19</v>
      </c>
      <c r="H1144" s="13">
        <v>5.1325000000000003</v>
      </c>
      <c r="I1144" s="13">
        <v>4.9725000000000001</v>
      </c>
      <c r="J1144" s="13">
        <v>4.8099999999999996</v>
      </c>
      <c r="K1144" s="13">
        <v>4.7699999999999996</v>
      </c>
      <c r="L1144" s="13">
        <v>4.96</v>
      </c>
      <c r="M1144" s="13">
        <v>5.1550000000000002</v>
      </c>
      <c r="O1144" s="13">
        <f t="shared" si="54"/>
        <v>0.27374999999999972</v>
      </c>
    </row>
    <row r="1145" spans="1:15" x14ac:dyDescent="0.2">
      <c r="A1145" s="48">
        <v>2000</v>
      </c>
      <c r="B1145" s="13">
        <v>5.3449999999999998</v>
      </c>
      <c r="C1145" s="13">
        <v>5.05</v>
      </c>
      <c r="D1145" s="13">
        <v>4.9950000000000001</v>
      </c>
      <c r="E1145" s="13">
        <v>5.4850000000000003</v>
      </c>
      <c r="F1145" s="13">
        <v>5.39</v>
      </c>
      <c r="G1145" s="13">
        <v>5.625</v>
      </c>
      <c r="H1145" s="13">
        <v>5.7149999999999999</v>
      </c>
      <c r="I1145" s="13">
        <v>5.875</v>
      </c>
      <c r="J1145" s="13">
        <v>5.43</v>
      </c>
      <c r="K1145" s="13">
        <v>4.7450000000000001</v>
      </c>
      <c r="L1145" s="13">
        <v>4.95</v>
      </c>
      <c r="M1145" s="13">
        <v>5.04</v>
      </c>
      <c r="O1145" s="13">
        <f t="shared" si="54"/>
        <v>0.3729347900000004</v>
      </c>
    </row>
    <row r="1146" spans="1:15" x14ac:dyDescent="0.2">
      <c r="A1146" s="48">
        <v>2001</v>
      </c>
      <c r="B1146" s="13">
        <v>5.27</v>
      </c>
      <c r="C1146" s="13">
        <v>5.31</v>
      </c>
      <c r="D1146" s="13">
        <v>5.28</v>
      </c>
      <c r="E1146" s="13">
        <v>5.14</v>
      </c>
      <c r="F1146" s="13">
        <v>4.8099999999999996</v>
      </c>
      <c r="G1146" s="13">
        <v>4.7249999999999996</v>
      </c>
      <c r="H1146" s="13">
        <v>4.41</v>
      </c>
      <c r="I1146" s="13">
        <v>4.375</v>
      </c>
      <c r="J1146" s="13">
        <v>4.74</v>
      </c>
      <c r="K1146" s="13">
        <v>5.38</v>
      </c>
      <c r="L1146" s="13">
        <v>5.24</v>
      </c>
      <c r="M1146" s="13">
        <v>4.8099999999999996</v>
      </c>
      <c r="O1146" s="13">
        <f t="shared" si="54"/>
        <v>0.27836957000000062</v>
      </c>
    </row>
    <row r="1147" spans="1:15" x14ac:dyDescent="0.2">
      <c r="A1147" s="48">
        <v>2002</v>
      </c>
      <c r="B1147" s="13">
        <v>4.74</v>
      </c>
      <c r="C1147" s="13">
        <v>4.63</v>
      </c>
      <c r="D1147" s="13">
        <v>4.6100000000000003</v>
      </c>
      <c r="E1147" s="13">
        <v>4.63</v>
      </c>
      <c r="F1147" s="13">
        <v>4.5449999999999999</v>
      </c>
      <c r="G1147" s="13">
        <v>4.8150000000000004</v>
      </c>
      <c r="H1147" s="13">
        <v>4.7874999999999996</v>
      </c>
      <c r="I1147" s="13">
        <v>4.95</v>
      </c>
      <c r="J1147" s="13">
        <v>5.2</v>
      </c>
      <c r="K1147" s="13">
        <v>5.8</v>
      </c>
      <c r="L1147" s="13">
        <v>6.01</v>
      </c>
      <c r="M1147" s="13">
        <v>5.94</v>
      </c>
      <c r="O1147" s="13">
        <f t="shared" si="54"/>
        <v>0.38874999999999993</v>
      </c>
    </row>
    <row r="1148" spans="1:15" x14ac:dyDescent="0.2">
      <c r="A1148" s="48">
        <v>2003</v>
      </c>
      <c r="B1148" s="13">
        <v>5.35</v>
      </c>
      <c r="C1148" s="13">
        <v>5.32</v>
      </c>
      <c r="D1148" s="13">
        <v>5.3449999999999998</v>
      </c>
      <c r="E1148" s="13">
        <v>5.4725000000000001</v>
      </c>
      <c r="F1148" s="13">
        <v>5.49</v>
      </c>
      <c r="G1148" s="13">
        <v>5.46</v>
      </c>
      <c r="H1148" s="13">
        <v>5.87</v>
      </c>
      <c r="I1148" s="13">
        <v>6.2</v>
      </c>
      <c r="J1148" s="13">
        <v>6.12</v>
      </c>
      <c r="K1148" s="13">
        <v>5.92</v>
      </c>
      <c r="L1148" s="13">
        <v>5.9775</v>
      </c>
      <c r="M1148" s="13">
        <v>6.59</v>
      </c>
      <c r="O1148" s="13">
        <f t="shared" ref="O1148:O1169" si="55">L1148-L1089</f>
        <v>0.41119048000000014</v>
      </c>
    </row>
    <row r="1149" spans="1:15" x14ac:dyDescent="0.2">
      <c r="A1149" s="48">
        <v>2004</v>
      </c>
      <c r="B1149" s="13">
        <v>6.69</v>
      </c>
      <c r="C1149" s="13">
        <v>6.71</v>
      </c>
      <c r="D1149" s="13">
        <v>7.0350000000000001</v>
      </c>
      <c r="E1149" s="13">
        <v>7.48</v>
      </c>
      <c r="F1149" s="13">
        <v>8.14</v>
      </c>
      <c r="G1149" s="13">
        <v>9.0449999999999999</v>
      </c>
      <c r="H1149" s="13">
        <v>8.85</v>
      </c>
      <c r="I1149" s="13">
        <v>8.4700000000000006</v>
      </c>
      <c r="J1149" s="13">
        <v>7.75</v>
      </c>
      <c r="K1149" s="13">
        <v>7.25</v>
      </c>
      <c r="L1149" s="13">
        <v>6.375</v>
      </c>
      <c r="M1149" s="13">
        <v>6.4850000000000003</v>
      </c>
      <c r="O1149" s="13">
        <f t="shared" si="55"/>
        <v>0.44784091000000004</v>
      </c>
    </row>
    <row r="1150" spans="1:15" x14ac:dyDescent="0.2">
      <c r="A1150" s="48">
        <v>2005</v>
      </c>
      <c r="B1150" s="13">
        <v>5.69</v>
      </c>
      <c r="C1150" s="13">
        <v>5.82</v>
      </c>
      <c r="D1150" s="13">
        <v>5.66</v>
      </c>
      <c r="E1150" s="13">
        <v>5.58</v>
      </c>
      <c r="F1150" s="13">
        <v>6.2</v>
      </c>
      <c r="G1150" s="13">
        <v>6.68</v>
      </c>
      <c r="H1150" s="13">
        <v>6.47</v>
      </c>
      <c r="I1150" s="13">
        <v>6.8775000000000004</v>
      </c>
      <c r="J1150" s="13">
        <v>7.7125000000000004</v>
      </c>
      <c r="K1150" s="13">
        <v>7.42</v>
      </c>
      <c r="L1150" s="13">
        <v>6.9950000000000001</v>
      </c>
      <c r="M1150" s="13">
        <v>6.0750000000000002</v>
      </c>
      <c r="O1150" s="13">
        <f t="shared" si="55"/>
        <v>0.71032608999999969</v>
      </c>
    </row>
    <row r="1151" spans="1:15" x14ac:dyDescent="0.2">
      <c r="A1151" s="48">
        <v>2006</v>
      </c>
      <c r="B1151" s="13">
        <v>6.23</v>
      </c>
      <c r="C1151" s="13">
        <v>6.1849999999999996</v>
      </c>
      <c r="D1151" s="13">
        <v>6.38</v>
      </c>
      <c r="E1151" s="13">
        <v>6.45</v>
      </c>
      <c r="F1151" s="13">
        <v>6.2850000000000001</v>
      </c>
      <c r="G1151" s="13">
        <v>6.2350000000000003</v>
      </c>
      <c r="H1151" s="13">
        <v>6.19</v>
      </c>
      <c r="I1151" s="13">
        <v>6.29</v>
      </c>
      <c r="J1151" s="13">
        <v>6.2249999999999996</v>
      </c>
      <c r="K1151" s="13">
        <v>6.2625000000000002</v>
      </c>
      <c r="L1151" s="13">
        <v>5.9349999999999996</v>
      </c>
      <c r="M1151" s="13">
        <v>5.4950000000000001</v>
      </c>
      <c r="O1151" s="13">
        <f t="shared" si="55"/>
        <v>0.36565217999999966</v>
      </c>
    </row>
    <row r="1152" spans="1:15" x14ac:dyDescent="0.2">
      <c r="A1152" s="48">
        <v>2007</v>
      </c>
      <c r="B1152" s="13">
        <v>6.8</v>
      </c>
      <c r="C1152" s="13">
        <v>7.22</v>
      </c>
      <c r="D1152" s="13">
        <v>7.32</v>
      </c>
      <c r="E1152" s="13">
        <v>7.6749999999999998</v>
      </c>
      <c r="F1152" s="13">
        <v>8.3074999999999992</v>
      </c>
      <c r="G1152" s="13">
        <v>8.08</v>
      </c>
      <c r="H1152" s="13">
        <v>8.14</v>
      </c>
      <c r="I1152" s="13">
        <v>8.3025000000000002</v>
      </c>
      <c r="J1152" s="13">
        <v>8.7799999999999994</v>
      </c>
      <c r="K1152" s="13">
        <v>9.32</v>
      </c>
      <c r="L1152" s="13">
        <v>8.8049999999999997</v>
      </c>
      <c r="M1152" s="13">
        <v>9.44</v>
      </c>
      <c r="O1152" s="13">
        <f t="shared" si="55"/>
        <v>0.3693478300000006</v>
      </c>
    </row>
    <row r="1153" spans="1:15" x14ac:dyDescent="0.2">
      <c r="A1153" s="48">
        <v>2008</v>
      </c>
      <c r="B1153" s="13">
        <v>10.119999999999999</v>
      </c>
      <c r="C1153" s="13">
        <v>10.75</v>
      </c>
      <c r="D1153" s="13">
        <v>11.9</v>
      </c>
      <c r="E1153" s="13">
        <v>13.36</v>
      </c>
      <c r="F1153" s="13">
        <v>14.815</v>
      </c>
      <c r="G1153" s="13">
        <v>15.175000000000001</v>
      </c>
      <c r="H1153" s="13">
        <v>13.6</v>
      </c>
      <c r="I1153" s="13">
        <v>13.755000000000001</v>
      </c>
      <c r="J1153" s="13">
        <v>15.842499999999999</v>
      </c>
      <c r="K1153" s="13">
        <v>16.420000000000002</v>
      </c>
      <c r="L1153" s="13">
        <v>14.01</v>
      </c>
      <c r="M1153" s="13">
        <v>14.9</v>
      </c>
      <c r="O1153" s="13">
        <f t="shared" si="55"/>
        <v>1.2160714299999995</v>
      </c>
    </row>
    <row r="1154" spans="1:15" x14ac:dyDescent="0.2">
      <c r="A1154" s="48">
        <v>2009</v>
      </c>
      <c r="B1154" s="13">
        <v>11.07</v>
      </c>
      <c r="C1154" s="13">
        <v>10.154999999999999</v>
      </c>
      <c r="D1154" s="13">
        <v>10.067500000000001</v>
      </c>
      <c r="E1154" s="13">
        <v>10.4375</v>
      </c>
      <c r="F1154" s="13">
        <v>9.9024999999999999</v>
      </c>
      <c r="G1154" s="13">
        <v>9.2799999999999994</v>
      </c>
      <c r="H1154" s="13">
        <v>9.8975000000000009</v>
      </c>
      <c r="I1154" s="13">
        <v>11.015000000000001</v>
      </c>
      <c r="J1154" s="13">
        <v>11.355</v>
      </c>
      <c r="K1154" s="13">
        <v>10.81</v>
      </c>
      <c r="L1154" s="13">
        <v>11.647500000000001</v>
      </c>
      <c r="M1154" s="13">
        <v>11.1425</v>
      </c>
      <c r="O1154" s="13">
        <f t="shared" si="55"/>
        <v>0.98488096000000169</v>
      </c>
    </row>
    <row r="1155" spans="1:15" x14ac:dyDescent="0.2">
      <c r="A1155" s="48">
        <v>2010</v>
      </c>
      <c r="B1155" s="13">
        <v>9.9</v>
      </c>
      <c r="C1155" s="13">
        <v>10.595000000000001</v>
      </c>
      <c r="D1155" s="13">
        <v>10.717499999999999</v>
      </c>
      <c r="E1155" s="13">
        <v>10.54</v>
      </c>
      <c r="F1155" s="13">
        <v>9.6300000000000008</v>
      </c>
      <c r="G1155" s="13">
        <v>9.6125000000000007</v>
      </c>
      <c r="H1155" s="13">
        <v>9.98</v>
      </c>
      <c r="I1155" s="13">
        <v>9.8699999999999992</v>
      </c>
      <c r="J1155" s="13">
        <v>9.5225000000000009</v>
      </c>
      <c r="K1155" s="13">
        <v>10.15</v>
      </c>
      <c r="L1155" s="13">
        <v>10.545</v>
      </c>
      <c r="M1155" s="13">
        <v>10.49</v>
      </c>
      <c r="O1155" s="13">
        <f t="shared" si="55"/>
        <v>0.32011364000000064</v>
      </c>
    </row>
    <row r="1156" spans="1:15" x14ac:dyDescent="0.2">
      <c r="A1156" s="48">
        <v>2011</v>
      </c>
      <c r="B1156" s="13">
        <v>12.074999999999999</v>
      </c>
      <c r="C1156" s="13">
        <v>13.0025</v>
      </c>
      <c r="D1156" s="13">
        <v>13.45</v>
      </c>
      <c r="E1156" s="13">
        <v>13.9025</v>
      </c>
      <c r="F1156" s="13">
        <v>14.23</v>
      </c>
      <c r="G1156" s="13">
        <v>14.1975</v>
      </c>
      <c r="H1156" s="13">
        <v>14.135</v>
      </c>
      <c r="I1156" s="13">
        <v>13.89</v>
      </c>
      <c r="J1156" s="13">
        <v>14.065</v>
      </c>
      <c r="K1156" s="13">
        <v>14.0525</v>
      </c>
      <c r="L1156" s="13">
        <v>14.56</v>
      </c>
      <c r="M1156" s="13">
        <v>14.4625</v>
      </c>
      <c r="O1156" s="13">
        <f t="shared" si="55"/>
        <v>0.93478261000000096</v>
      </c>
    </row>
    <row r="1157" spans="1:15" x14ac:dyDescent="0.2">
      <c r="A1157" s="48">
        <v>2012</v>
      </c>
      <c r="B1157" s="13">
        <v>12.657500000000001</v>
      </c>
      <c r="C1157" s="13">
        <v>12.432499999999999</v>
      </c>
      <c r="D1157" s="13">
        <v>12.215</v>
      </c>
      <c r="E1157" s="13">
        <v>12.425000000000001</v>
      </c>
      <c r="F1157" s="13">
        <v>13.0525</v>
      </c>
      <c r="G1157" s="13">
        <v>13.887499999999999</v>
      </c>
      <c r="H1157" s="13">
        <v>14.255000000000001</v>
      </c>
      <c r="I1157" s="13">
        <v>14.345000000000001</v>
      </c>
      <c r="J1157" s="13">
        <v>14.55</v>
      </c>
      <c r="K1157" s="13">
        <v>17.3</v>
      </c>
      <c r="L1157" s="13">
        <v>17.807500000000001</v>
      </c>
      <c r="M1157" s="13">
        <v>17.947500000000002</v>
      </c>
      <c r="O1157" s="13">
        <f t="shared" si="55"/>
        <v>0.99967391999999933</v>
      </c>
    </row>
    <row r="1158" spans="1:15" x14ac:dyDescent="0.2">
      <c r="A1158" s="48">
        <v>2013</v>
      </c>
      <c r="B1158" s="13">
        <v>14.02</v>
      </c>
      <c r="C1158" s="13">
        <v>13.967499999999999</v>
      </c>
      <c r="D1158" s="13">
        <v>13.824999999999999</v>
      </c>
      <c r="E1158" s="13">
        <v>13.8</v>
      </c>
      <c r="F1158" s="13">
        <v>13.9575</v>
      </c>
      <c r="G1158" s="13">
        <v>13.387499999999999</v>
      </c>
      <c r="H1158" s="13">
        <v>12.95</v>
      </c>
      <c r="I1158" s="13">
        <v>13.58</v>
      </c>
      <c r="J1158" s="13">
        <v>13.77</v>
      </c>
      <c r="K1158" s="13">
        <v>13.57</v>
      </c>
      <c r="L1158" s="13">
        <v>14.5375</v>
      </c>
      <c r="M1158" s="13">
        <v>14.994999999999999</v>
      </c>
      <c r="O1158" s="13">
        <f t="shared" si="55"/>
        <v>1.5244318200000002</v>
      </c>
    </row>
    <row r="1159" spans="1:15" x14ac:dyDescent="0.2">
      <c r="A1159" s="48">
        <v>2014</v>
      </c>
      <c r="B1159" s="13">
        <v>12.157500000000001</v>
      </c>
      <c r="C1159" s="13">
        <v>12.115</v>
      </c>
      <c r="D1159" s="13">
        <v>12.16</v>
      </c>
      <c r="E1159" s="13">
        <v>11.7525</v>
      </c>
      <c r="F1159" s="13">
        <v>12.494999999999999</v>
      </c>
      <c r="G1159" s="13">
        <v>12.654999999999999</v>
      </c>
      <c r="H1159" s="13">
        <v>13.147500000000001</v>
      </c>
      <c r="I1159" s="13">
        <v>13.375</v>
      </c>
      <c r="J1159" s="13">
        <v>12.865</v>
      </c>
      <c r="K1159" s="13">
        <v>11.9475</v>
      </c>
      <c r="L1159" s="13">
        <v>11.8925</v>
      </c>
      <c r="M1159" s="13">
        <v>11.105</v>
      </c>
      <c r="O1159" s="13">
        <f t="shared" si="55"/>
        <v>0.86833333999999951</v>
      </c>
    </row>
    <row r="1160" spans="1:15" x14ac:dyDescent="0.2">
      <c r="A1160" s="48">
        <v>2015</v>
      </c>
      <c r="B1160" s="13">
        <v>10.452500000000001</v>
      </c>
      <c r="C1160" s="13">
        <v>10.727499999999999</v>
      </c>
      <c r="D1160" s="13">
        <v>10.547499999999999</v>
      </c>
      <c r="E1160" s="13">
        <v>10.4575</v>
      </c>
      <c r="F1160" s="13">
        <v>10.172499999999999</v>
      </c>
      <c r="G1160" s="13">
        <v>10.18</v>
      </c>
      <c r="H1160" s="13">
        <v>9.8524999999999991</v>
      </c>
      <c r="I1160" s="13">
        <v>9.69</v>
      </c>
      <c r="J1160" s="13">
        <v>10.4275</v>
      </c>
      <c r="K1160" s="13">
        <v>10.4575</v>
      </c>
      <c r="L1160" s="13">
        <v>10.095000000000001</v>
      </c>
      <c r="M1160" s="13">
        <v>8.9924999999999997</v>
      </c>
      <c r="O1160" s="13">
        <f t="shared" si="55"/>
        <v>0.82380953000000012</v>
      </c>
    </row>
    <row r="1161" spans="1:15" x14ac:dyDescent="0.2">
      <c r="A1161" s="48">
        <v>2016</v>
      </c>
      <c r="B1161" s="13">
        <v>9.1925000000000008</v>
      </c>
      <c r="C1161" s="13">
        <v>8.9725000000000001</v>
      </c>
      <c r="D1161" s="13">
        <v>9.2050000000000001</v>
      </c>
      <c r="E1161" s="13">
        <v>8.9375</v>
      </c>
      <c r="F1161" s="13">
        <v>8.9625000000000004</v>
      </c>
      <c r="G1161" s="13">
        <v>9.2550000000000008</v>
      </c>
      <c r="H1161" s="13">
        <v>10.324999999999999</v>
      </c>
      <c r="I1161" s="13">
        <v>10.855</v>
      </c>
      <c r="J1161" s="13">
        <v>11.92</v>
      </c>
      <c r="K1161" s="13">
        <v>11.6625</v>
      </c>
      <c r="L1161" s="13">
        <v>10.4125</v>
      </c>
      <c r="M1161" s="13">
        <v>9.8825000000000003</v>
      </c>
      <c r="O1161" s="13">
        <f t="shared" si="55"/>
        <v>0.38340909090909037</v>
      </c>
    </row>
    <row r="1162" spans="1:15" x14ac:dyDescent="0.2">
      <c r="A1162" s="48">
        <v>2017</v>
      </c>
      <c r="B1162" s="13">
        <v>10.2525</v>
      </c>
      <c r="C1162" s="13">
        <v>10.5725</v>
      </c>
      <c r="D1162" s="13">
        <v>10.55</v>
      </c>
      <c r="E1162" s="13">
        <v>10.5875</v>
      </c>
      <c r="F1162" s="13">
        <v>10.56</v>
      </c>
      <c r="G1162" s="13">
        <v>10.445</v>
      </c>
      <c r="H1162" s="13">
        <v>9.7074999999999996</v>
      </c>
      <c r="I1162" s="13">
        <v>9.8324999999999996</v>
      </c>
      <c r="J1162" s="13">
        <v>9.5350000000000001</v>
      </c>
      <c r="K1162" s="13">
        <v>10.375</v>
      </c>
      <c r="L1162" s="13">
        <v>9.9275000000000002</v>
      </c>
      <c r="M1162" s="13">
        <v>10.092499999999999</v>
      </c>
      <c r="O1162" s="13">
        <f t="shared" si="55"/>
        <v>0.50956521739130345</v>
      </c>
    </row>
    <row r="1163" spans="1:15" x14ac:dyDescent="0.2">
      <c r="A1163" s="48">
        <v>2018</v>
      </c>
      <c r="B1163" s="13">
        <v>10.24</v>
      </c>
      <c r="C1163" s="13">
        <v>10.25</v>
      </c>
      <c r="D1163" s="13">
        <v>10.317500000000001</v>
      </c>
      <c r="E1163" s="13">
        <v>10.19</v>
      </c>
      <c r="F1163" s="13">
        <v>10.487500000000001</v>
      </c>
      <c r="G1163" s="13">
        <v>10.6325</v>
      </c>
      <c r="H1163" s="13">
        <v>10.65</v>
      </c>
      <c r="I1163" s="13">
        <v>10.56</v>
      </c>
      <c r="J1163" s="13">
        <v>10.35</v>
      </c>
      <c r="K1163" s="13">
        <v>9.1199999999999992</v>
      </c>
      <c r="L1163" s="13">
        <v>9.0425000000000004</v>
      </c>
      <c r="M1163" s="13">
        <v>9.1775000000000002</v>
      </c>
      <c r="O1163" s="13">
        <f t="shared" si="55"/>
        <v>0.4029347826086962</v>
      </c>
    </row>
    <row r="1164" spans="1:15" x14ac:dyDescent="0.2">
      <c r="A1164" s="48">
        <v>2019</v>
      </c>
      <c r="B1164" s="13">
        <v>9.4700000000000006</v>
      </c>
      <c r="C1164" s="13">
        <v>9.42</v>
      </c>
      <c r="D1164" s="13">
        <v>9.6775000000000002</v>
      </c>
      <c r="E1164" s="13">
        <v>9.5950000000000006</v>
      </c>
      <c r="F1164" s="13">
        <v>9.6374999999999993</v>
      </c>
      <c r="G1164" s="13">
        <v>9.48</v>
      </c>
      <c r="H1164" s="13">
        <v>9.3074999999999992</v>
      </c>
      <c r="I1164" s="13">
        <v>9.0574999999999992</v>
      </c>
      <c r="J1164" s="13">
        <v>9.35</v>
      </c>
      <c r="K1164" s="13">
        <v>9.2349999999999994</v>
      </c>
      <c r="L1164" s="13">
        <v>8.8375000000000004</v>
      </c>
      <c r="M1164" s="13">
        <v>9.5124999999999993</v>
      </c>
      <c r="O1164" s="13">
        <f t="shared" si="55"/>
        <v>0.25113636363636438</v>
      </c>
    </row>
    <row r="1165" spans="1:15" x14ac:dyDescent="0.2">
      <c r="A1165" s="48">
        <v>2020</v>
      </c>
      <c r="B1165" s="13">
        <v>9.8175000000000008</v>
      </c>
      <c r="C1165" s="13">
        <v>9.7475000000000005</v>
      </c>
      <c r="D1165" s="13">
        <v>9.7874999999999996</v>
      </c>
      <c r="E1165" s="13">
        <v>9.8249999999999993</v>
      </c>
      <c r="F1165" s="13">
        <v>9.2274999999999991</v>
      </c>
      <c r="G1165" s="13">
        <v>9.1999999999999993</v>
      </c>
      <c r="H1165" s="13">
        <v>8.8149999999999995</v>
      </c>
      <c r="I1165" s="13">
        <v>8.6125000000000007</v>
      </c>
      <c r="J1165" s="13">
        <v>8.8224999999999998</v>
      </c>
      <c r="K1165" s="13">
        <v>9.0500000000000007</v>
      </c>
      <c r="L1165" s="13">
        <v>9.67</v>
      </c>
      <c r="M1165" s="13">
        <v>10.035</v>
      </c>
      <c r="O1165" s="13">
        <f t="shared" si="55"/>
        <v>0.66214285714285737</v>
      </c>
    </row>
    <row r="1166" spans="1:15" x14ac:dyDescent="0.2">
      <c r="A1166" s="48">
        <v>2021</v>
      </c>
      <c r="B1166" s="13">
        <v>10.17</v>
      </c>
      <c r="C1166" s="13">
        <v>11.13</v>
      </c>
      <c r="D1166" s="13">
        <v>11.685</v>
      </c>
      <c r="E1166" s="13">
        <v>12.6275</v>
      </c>
      <c r="F1166" s="13">
        <v>13.025</v>
      </c>
      <c r="G1166" s="13">
        <v>13.145</v>
      </c>
      <c r="H1166" s="13">
        <v>14.324999999999999</v>
      </c>
      <c r="I1166" s="13"/>
      <c r="J1166" s="13"/>
      <c r="K1166" s="13"/>
      <c r="L1166" s="35">
        <v>14.159564935064935</v>
      </c>
      <c r="M1166" s="13"/>
      <c r="O1166" s="13">
        <f t="shared" si="55"/>
        <v>0.44183766233766342</v>
      </c>
    </row>
    <row r="1167" spans="1:15" x14ac:dyDescent="0.2">
      <c r="A1167" s="48">
        <v>2022</v>
      </c>
      <c r="L1167" s="35">
        <f>(SUM(L1162:L1166)-SUM(L1103:L1107))/5+L1108+0.75</f>
        <v>16.902110333145117</v>
      </c>
      <c r="O1167" s="13">
        <f t="shared" si="55"/>
        <v>1.2035233766233766</v>
      </c>
    </row>
    <row r="1168" spans="1:15" x14ac:dyDescent="0.2">
      <c r="A1168" s="48">
        <v>2023</v>
      </c>
      <c r="L1168" s="35">
        <f>(SUM(L1163:L1167)-SUM(L1104:L1108))/5+L1109</f>
        <v>14.476336747600229</v>
      </c>
      <c r="O1168" s="13">
        <f t="shared" si="55"/>
        <v>0.59231500846979301</v>
      </c>
    </row>
    <row r="1169" spans="1:15" x14ac:dyDescent="0.2">
      <c r="A1169" s="48">
        <v>2024</v>
      </c>
      <c r="L1169" s="35">
        <f>(SUM(L1164:L1168)-SUM(L1105:L1109))/5+L1110</f>
        <v>10.772316053642014</v>
      </c>
      <c r="O1169" s="13">
        <f t="shared" si="55"/>
        <v>0.63019105364201344</v>
      </c>
    </row>
    <row r="1170" spans="1:15" x14ac:dyDescent="0.2">
      <c r="A1170" s="48">
        <v>2025</v>
      </c>
      <c r="L1170" s="35">
        <f>(SUM(L1165:L1169)-SUM(L1106:L1110))/5+L1111</f>
        <v>10.553388355279505</v>
      </c>
      <c r="O1170" s="13"/>
    </row>
    <row r="1171" spans="1:15" x14ac:dyDescent="0.2">
      <c r="A1171" s="48">
        <v>2026</v>
      </c>
      <c r="L1171" s="35">
        <f>(SUM(L1166:L1170)-SUM(L1107:L1111))/5+L1112</f>
        <v>10.664773818543198</v>
      </c>
      <c r="O1171" s="13"/>
    </row>
    <row r="1172" spans="1:15" x14ac:dyDescent="0.2">
      <c r="A1172" s="48">
        <v>2027</v>
      </c>
      <c r="L1172" s="35">
        <f>(SUM(L1167:L1171)-SUM(L1108:L1112))/5+L1113</f>
        <v>12.019361049784305</v>
      </c>
      <c r="O1172" s="13"/>
    </row>
    <row r="1173" spans="1:15" ht="15.75" x14ac:dyDescent="0.25">
      <c r="A1173" s="51" t="s">
        <v>175</v>
      </c>
    </row>
    <row r="1174" spans="1:15" ht="13.5" x14ac:dyDescent="0.25">
      <c r="A1174" s="42" t="s">
        <v>155</v>
      </c>
      <c r="B1174" t="s">
        <v>88</v>
      </c>
      <c r="C1174" t="s">
        <v>89</v>
      </c>
      <c r="D1174" t="s">
        <v>90</v>
      </c>
      <c r="E1174" t="s">
        <v>91</v>
      </c>
      <c r="F1174" t="s">
        <v>92</v>
      </c>
      <c r="G1174" t="s">
        <v>93</v>
      </c>
      <c r="H1174" t="s">
        <v>94</v>
      </c>
      <c r="I1174" t="s">
        <v>83</v>
      </c>
      <c r="J1174" t="s">
        <v>84</v>
      </c>
      <c r="K1174" t="s">
        <v>85</v>
      </c>
      <c r="L1174" t="s">
        <v>86</v>
      </c>
      <c r="M1174" t="s">
        <v>87</v>
      </c>
      <c r="O1174" t="str">
        <f>_xlfn.CONCAT(L1174," ","Error")</f>
        <v>Aug Error</v>
      </c>
    </row>
    <row r="1175" spans="1:15" x14ac:dyDescent="0.2">
      <c r="A1175" s="48">
        <v>1971</v>
      </c>
      <c r="B1175" s="13">
        <v>2.8075000000000001</v>
      </c>
      <c r="C1175" s="13">
        <v>2.8650000000000002</v>
      </c>
      <c r="D1175" s="13">
        <v>2.8574999999999999</v>
      </c>
      <c r="E1175" s="13">
        <v>2.875</v>
      </c>
      <c r="F1175" s="13">
        <v>2.9325000000000001</v>
      </c>
      <c r="G1175" s="13">
        <v>2.92</v>
      </c>
      <c r="H1175" s="13">
        <v>2.8574999999999999</v>
      </c>
      <c r="I1175" s="13">
        <v>2.8824999999999998</v>
      </c>
      <c r="J1175" s="13">
        <v>3.05</v>
      </c>
      <c r="K1175" s="13">
        <v>3.2250000000000001</v>
      </c>
      <c r="L1175" s="13">
        <v>3.1349999999999998</v>
      </c>
      <c r="M1175" s="13">
        <v>3.0225</v>
      </c>
      <c r="O1175" s="13">
        <f t="shared" ref="O1175:O1206" si="56">L1057-L1175</f>
        <v>0.12386363000000022</v>
      </c>
    </row>
    <row r="1176" spans="1:15" x14ac:dyDescent="0.2">
      <c r="A1176" s="48">
        <v>1972</v>
      </c>
      <c r="B1176" s="13">
        <v>2.96</v>
      </c>
      <c r="C1176" s="13">
        <v>3.0274999999999999</v>
      </c>
      <c r="D1176" s="13">
        <v>3.1074999999999999</v>
      </c>
      <c r="E1176" s="13">
        <v>3.0249999999999999</v>
      </c>
      <c r="F1176" s="13">
        <v>3.0550000000000002</v>
      </c>
      <c r="G1176" s="13">
        <v>3.1825000000000001</v>
      </c>
      <c r="H1176" s="13">
        <v>3.29</v>
      </c>
      <c r="I1176" s="13">
        <v>3.3174999999999999</v>
      </c>
      <c r="J1176" s="13">
        <v>3.2925</v>
      </c>
      <c r="K1176" s="13">
        <v>3.27</v>
      </c>
      <c r="L1176" s="13">
        <v>3.3325</v>
      </c>
      <c r="M1176" s="13">
        <v>3.395</v>
      </c>
      <c r="O1176" s="13">
        <f t="shared" si="56"/>
        <v>0.10804347000000014</v>
      </c>
    </row>
    <row r="1177" spans="1:15" x14ac:dyDescent="0.2">
      <c r="A1177" s="48">
        <v>1973</v>
      </c>
      <c r="B1177" s="13">
        <v>3.335</v>
      </c>
      <c r="C1177" s="13">
        <v>3.4125000000000001</v>
      </c>
      <c r="D1177" s="13">
        <v>3.52</v>
      </c>
      <c r="E1177" s="13">
        <v>3.7025000000000001</v>
      </c>
      <c r="F1177" s="13">
        <v>3.9049999999999998</v>
      </c>
      <c r="G1177" s="13">
        <v>4.25</v>
      </c>
      <c r="H1177" s="13">
        <v>4.42</v>
      </c>
      <c r="I1177" s="13">
        <v>5.5525000000000002</v>
      </c>
      <c r="J1177" s="13">
        <v>7.7450000000000001</v>
      </c>
      <c r="K1177" s="13">
        <v>6</v>
      </c>
      <c r="L1177" s="13">
        <v>7</v>
      </c>
      <c r="M1177" s="13">
        <v>5.75</v>
      </c>
      <c r="O1177" s="13">
        <f t="shared" si="56"/>
        <v>1.2434782599999998</v>
      </c>
    </row>
    <row r="1178" spans="1:15" x14ac:dyDescent="0.2">
      <c r="A1178" s="48">
        <v>1974</v>
      </c>
      <c r="B1178" s="13">
        <v>5.25</v>
      </c>
      <c r="C1178" s="13">
        <v>5.13</v>
      </c>
      <c r="D1178" s="13">
        <v>5.84</v>
      </c>
      <c r="E1178" s="13">
        <v>5.81</v>
      </c>
      <c r="F1178" s="13">
        <v>6.24</v>
      </c>
      <c r="G1178" s="13">
        <v>5.74</v>
      </c>
      <c r="H1178" s="13">
        <v>5.14</v>
      </c>
      <c r="I1178" s="13">
        <v>5.15</v>
      </c>
      <c r="J1178" s="13">
        <v>5.24</v>
      </c>
      <c r="K1178" s="13">
        <v>5.8</v>
      </c>
      <c r="L1178" s="13">
        <v>7.12</v>
      </c>
      <c r="M1178" s="13">
        <v>6.96</v>
      </c>
      <c r="O1178" s="13">
        <f t="shared" si="56"/>
        <v>0.69386363000000006</v>
      </c>
    </row>
    <row r="1179" spans="1:15" x14ac:dyDescent="0.2">
      <c r="A1179" s="48">
        <v>1975</v>
      </c>
      <c r="B1179" s="13">
        <v>7.54</v>
      </c>
      <c r="C1179" s="13">
        <v>7.16</v>
      </c>
      <c r="D1179" s="13">
        <v>6.76</v>
      </c>
      <c r="E1179" s="13">
        <v>5.73</v>
      </c>
      <c r="F1179" s="13">
        <v>5.14</v>
      </c>
      <c r="G1179" s="13">
        <v>4.9800000000000004</v>
      </c>
      <c r="H1179" s="13">
        <v>5.15</v>
      </c>
      <c r="I1179" s="13">
        <v>4.84</v>
      </c>
      <c r="J1179" s="13">
        <v>4.74</v>
      </c>
      <c r="K1179" s="13">
        <v>4.88</v>
      </c>
      <c r="L1179" s="13">
        <v>5.56</v>
      </c>
      <c r="M1179" s="13">
        <v>5.38</v>
      </c>
      <c r="O1179" s="13">
        <f t="shared" si="56"/>
        <v>0.49559523000000016</v>
      </c>
    </row>
    <row r="1180" spans="1:15" x14ac:dyDescent="0.2">
      <c r="A1180" s="48">
        <v>1976</v>
      </c>
      <c r="B1180" s="13">
        <v>5.2</v>
      </c>
      <c r="C1180" s="13">
        <v>4.8499999999999996</v>
      </c>
      <c r="D1180" s="13">
        <v>4.75</v>
      </c>
      <c r="E1180" s="13">
        <v>4.79</v>
      </c>
      <c r="F1180" s="13">
        <v>4.915</v>
      </c>
      <c r="G1180" s="13">
        <v>4.83</v>
      </c>
      <c r="H1180" s="13">
        <v>4.82</v>
      </c>
      <c r="I1180" s="13">
        <v>4.95</v>
      </c>
      <c r="J1180" s="13">
        <v>5.7949999999999999</v>
      </c>
      <c r="K1180" s="13">
        <v>6.0774999999999997</v>
      </c>
      <c r="L1180" s="13">
        <v>5.8</v>
      </c>
      <c r="M1180" s="13">
        <v>6.43</v>
      </c>
      <c r="O1180" s="13">
        <f t="shared" si="56"/>
        <v>0.61238636000000035</v>
      </c>
    </row>
    <row r="1181" spans="1:15" x14ac:dyDescent="0.2">
      <c r="A1181" s="48">
        <v>1977</v>
      </c>
      <c r="B1181" s="13">
        <v>6</v>
      </c>
      <c r="C1181" s="13">
        <v>5.7649999999999997</v>
      </c>
      <c r="D1181" s="13">
        <v>6.23</v>
      </c>
      <c r="E1181" s="13">
        <v>6.5049999999999999</v>
      </c>
      <c r="F1181" s="13">
        <v>6.9550000000000001</v>
      </c>
      <c r="G1181" s="13">
        <v>7.3849999999999998</v>
      </c>
      <c r="H1181" s="13">
        <v>7.39</v>
      </c>
      <c r="I1181" s="13">
        <v>7.47</v>
      </c>
      <c r="J1181" s="13">
        <v>6.71</v>
      </c>
      <c r="K1181" s="13">
        <v>5.66</v>
      </c>
      <c r="L1181" s="13">
        <v>5.0149999999999997</v>
      </c>
      <c r="M1181" s="13">
        <v>5.0599999999999996</v>
      </c>
      <c r="O1181" s="13">
        <f t="shared" si="56"/>
        <v>0.37521739000000043</v>
      </c>
    </row>
    <row r="1182" spans="1:15" x14ac:dyDescent="0.2">
      <c r="A1182" s="48">
        <v>1978</v>
      </c>
      <c r="B1182" s="13">
        <v>5.37</v>
      </c>
      <c r="C1182" s="13">
        <v>5.75</v>
      </c>
      <c r="D1182" s="13">
        <v>5.81</v>
      </c>
      <c r="E1182" s="13">
        <v>5.57</v>
      </c>
      <c r="F1182" s="13">
        <v>5.6550000000000002</v>
      </c>
      <c r="G1182" s="13">
        <v>5.8949999999999996</v>
      </c>
      <c r="H1182" s="13">
        <v>6.17</v>
      </c>
      <c r="I1182" s="13">
        <v>6.29</v>
      </c>
      <c r="J1182" s="13">
        <v>6.3</v>
      </c>
      <c r="K1182" s="13">
        <v>6</v>
      </c>
      <c r="L1182" s="13">
        <v>5.9349999999999996</v>
      </c>
      <c r="M1182" s="13">
        <v>6.35</v>
      </c>
      <c r="O1182" s="13">
        <f t="shared" si="56"/>
        <v>0.39978259999999999</v>
      </c>
    </row>
    <row r="1183" spans="1:15" x14ac:dyDescent="0.2">
      <c r="A1183" s="48">
        <v>1979</v>
      </c>
      <c r="B1183" s="13">
        <v>6.4850000000000003</v>
      </c>
      <c r="C1183" s="13">
        <v>6.49</v>
      </c>
      <c r="D1183" s="13">
        <v>6.5949999999999998</v>
      </c>
      <c r="E1183" s="13">
        <v>6.6550000000000002</v>
      </c>
      <c r="F1183" s="13">
        <v>6.9249999999999998</v>
      </c>
      <c r="G1183" s="13">
        <v>7.11</v>
      </c>
      <c r="H1183" s="13">
        <v>7.09</v>
      </c>
      <c r="I1183" s="13">
        <v>7.14</v>
      </c>
      <c r="J1183" s="13">
        <v>7.2750000000000004</v>
      </c>
      <c r="K1183" s="13">
        <v>7.0549999999999997</v>
      </c>
      <c r="L1183" s="13">
        <v>6.89</v>
      </c>
      <c r="M1183" s="13">
        <v>6.88</v>
      </c>
      <c r="O1183" s="13">
        <f t="shared" si="56"/>
        <v>0.28521739000000057</v>
      </c>
    </row>
    <row r="1184" spans="1:15" x14ac:dyDescent="0.2">
      <c r="A1184" s="48">
        <v>1980</v>
      </c>
      <c r="B1184" s="13">
        <v>7.24</v>
      </c>
      <c r="C1184" s="13">
        <v>7.2949999999999999</v>
      </c>
      <c r="D1184" s="13">
        <v>7.1950000000000003</v>
      </c>
      <c r="E1184" s="13">
        <v>6.87</v>
      </c>
      <c r="F1184" s="13">
        <v>6.98</v>
      </c>
      <c r="G1184" s="13">
        <v>6.27</v>
      </c>
      <c r="H1184" s="13">
        <v>6.15</v>
      </c>
      <c r="I1184" s="13">
        <v>6.27</v>
      </c>
      <c r="J1184" s="13">
        <v>6.25</v>
      </c>
      <c r="K1184" s="13">
        <v>6.84</v>
      </c>
      <c r="L1184" s="13">
        <v>7.29</v>
      </c>
      <c r="M1184" s="13">
        <v>7.91</v>
      </c>
      <c r="O1184" s="13">
        <f t="shared" si="56"/>
        <v>0.35523809000000028</v>
      </c>
    </row>
    <row r="1185" spans="1:15" x14ac:dyDescent="0.2">
      <c r="A1185" s="48">
        <v>1981</v>
      </c>
      <c r="B1185" s="13">
        <v>8.09</v>
      </c>
      <c r="C1185" s="13">
        <v>8.58</v>
      </c>
      <c r="D1185" s="13">
        <v>7.5549999999999997</v>
      </c>
      <c r="E1185" s="13">
        <v>7.72</v>
      </c>
      <c r="F1185" s="13">
        <v>7.87</v>
      </c>
      <c r="G1185" s="13">
        <v>7.585</v>
      </c>
      <c r="H1185" s="13">
        <v>8.0299999999999994</v>
      </c>
      <c r="I1185" s="13">
        <v>7.54</v>
      </c>
      <c r="J1185" s="13">
        <v>6.97</v>
      </c>
      <c r="K1185" s="13">
        <v>7.0949999999999998</v>
      </c>
      <c r="L1185" s="13">
        <v>6.5750000000000002</v>
      </c>
      <c r="M1185" s="13">
        <v>6.5</v>
      </c>
      <c r="O1185" s="13">
        <f t="shared" si="56"/>
        <v>0.33999999999999986</v>
      </c>
    </row>
    <row r="1186" spans="1:15" x14ac:dyDescent="0.2">
      <c r="A1186" s="48">
        <v>1982</v>
      </c>
      <c r="B1186" s="13">
        <v>7.2850000000000001</v>
      </c>
      <c r="C1186" s="13">
        <v>6.88</v>
      </c>
      <c r="D1186" s="13">
        <v>6.3</v>
      </c>
      <c r="E1186" s="13">
        <v>6.56</v>
      </c>
      <c r="F1186" s="13">
        <v>6.41</v>
      </c>
      <c r="G1186" s="13">
        <v>6.19</v>
      </c>
      <c r="H1186" s="13">
        <v>6.53</v>
      </c>
      <c r="I1186" s="13">
        <v>6.41</v>
      </c>
      <c r="J1186" s="13">
        <v>6.1749999999999998</v>
      </c>
      <c r="K1186" s="13">
        <v>5.9550000000000001</v>
      </c>
      <c r="L1186" s="13">
        <v>5.4550000000000001</v>
      </c>
      <c r="M1186" s="13">
        <v>5.34</v>
      </c>
      <c r="O1186" s="13">
        <f t="shared" si="56"/>
        <v>0.25772727000000017</v>
      </c>
    </row>
    <row r="1187" spans="1:15" x14ac:dyDescent="0.2">
      <c r="A1187" s="48">
        <v>1983</v>
      </c>
      <c r="B1187" s="13">
        <v>5.67</v>
      </c>
      <c r="C1187" s="13">
        <v>5.74</v>
      </c>
      <c r="D1187" s="13">
        <v>5.79</v>
      </c>
      <c r="E1187" s="13">
        <v>5.83</v>
      </c>
      <c r="F1187" s="13">
        <v>5.94</v>
      </c>
      <c r="G1187" s="13">
        <v>5.98</v>
      </c>
      <c r="H1187" s="13">
        <v>6.4850000000000003</v>
      </c>
      <c r="I1187" s="13">
        <v>6.16</v>
      </c>
      <c r="J1187" s="13">
        <v>5.89</v>
      </c>
      <c r="K1187" s="13">
        <v>6.1050000000000004</v>
      </c>
      <c r="L1187" s="13">
        <v>7.05</v>
      </c>
      <c r="M1187" s="13">
        <v>8.3800000000000008</v>
      </c>
      <c r="O1187" s="13">
        <f t="shared" si="56"/>
        <v>1.4506521700000006</v>
      </c>
    </row>
    <row r="1188" spans="1:15" x14ac:dyDescent="0.2">
      <c r="A1188" s="48">
        <v>1984</v>
      </c>
      <c r="B1188" s="13">
        <v>7.34</v>
      </c>
      <c r="C1188" s="13">
        <v>7.19</v>
      </c>
      <c r="D1188" s="13">
        <v>7.1</v>
      </c>
      <c r="E1188" s="13">
        <v>7.24</v>
      </c>
      <c r="F1188" s="13">
        <v>7.0549999999999997</v>
      </c>
      <c r="G1188" s="13">
        <v>7.37</v>
      </c>
      <c r="H1188" s="13">
        <v>7.36</v>
      </c>
      <c r="I1188" s="13">
        <v>7.38</v>
      </c>
      <c r="J1188" s="13">
        <v>7.14</v>
      </c>
      <c r="K1188" s="13">
        <v>6.05</v>
      </c>
      <c r="L1188" s="13">
        <v>6.0549999999999997</v>
      </c>
      <c r="M1188" s="13">
        <v>5.8449999999999998</v>
      </c>
      <c r="O1188" s="13">
        <f t="shared" si="56"/>
        <v>0.32076086000000004</v>
      </c>
    </row>
    <row r="1189" spans="1:15" x14ac:dyDescent="0.2">
      <c r="A1189" s="48">
        <v>1985</v>
      </c>
      <c r="B1189" s="13">
        <v>6.2</v>
      </c>
      <c r="C1189" s="13">
        <v>6.26</v>
      </c>
      <c r="D1189" s="13">
        <v>6.11</v>
      </c>
      <c r="E1189" s="13">
        <v>5.95</v>
      </c>
      <c r="F1189" s="13">
        <v>5.835</v>
      </c>
      <c r="G1189" s="13">
        <v>5.81</v>
      </c>
      <c r="H1189" s="13">
        <v>5.97</v>
      </c>
      <c r="I1189" s="13">
        <v>5.5149999999999997</v>
      </c>
      <c r="J1189" s="13">
        <v>5.4649999999999999</v>
      </c>
      <c r="K1189" s="13">
        <v>5.1550000000000002</v>
      </c>
      <c r="L1189" s="13">
        <v>5.0049999999999999</v>
      </c>
      <c r="M1189" s="13">
        <v>5.0250000000000004</v>
      </c>
      <c r="O1189" s="13">
        <f t="shared" si="56"/>
        <v>0.13488636000000032</v>
      </c>
    </row>
    <row r="1190" spans="1:15" x14ac:dyDescent="0.2">
      <c r="A1190" s="48">
        <v>1986</v>
      </c>
      <c r="B1190" s="13">
        <v>5.2949999999999999</v>
      </c>
      <c r="C1190" s="13">
        <v>4.96</v>
      </c>
      <c r="D1190" s="13">
        <v>5.0549999999999997</v>
      </c>
      <c r="E1190" s="13">
        <v>5.27</v>
      </c>
      <c r="F1190" s="13">
        <v>5.12</v>
      </c>
      <c r="G1190" s="13">
        <v>5.12</v>
      </c>
      <c r="H1190" s="13">
        <v>5.01</v>
      </c>
      <c r="I1190" s="13">
        <v>5.0999999999999996</v>
      </c>
      <c r="J1190" s="13">
        <v>4.8875000000000002</v>
      </c>
      <c r="K1190" s="13">
        <v>4.84</v>
      </c>
      <c r="L1190" s="13">
        <v>4.6749999999999998</v>
      </c>
      <c r="M1190" s="13">
        <v>4.6749999999999998</v>
      </c>
      <c r="O1190" s="13">
        <f t="shared" si="56"/>
        <v>0.13035714000000009</v>
      </c>
    </row>
    <row r="1191" spans="1:15" x14ac:dyDescent="0.2">
      <c r="A1191" s="48">
        <v>1987</v>
      </c>
      <c r="B1191" s="13">
        <v>4.9249999999999998</v>
      </c>
      <c r="C1191" s="13">
        <v>4.9450000000000003</v>
      </c>
      <c r="D1191" s="13">
        <v>4.84</v>
      </c>
      <c r="E1191" s="13">
        <v>4.835</v>
      </c>
      <c r="F1191" s="13">
        <v>4.665</v>
      </c>
      <c r="G1191" s="13">
        <v>4.7350000000000003</v>
      </c>
      <c r="H1191" s="13">
        <v>4.9050000000000002</v>
      </c>
      <c r="I1191" s="13">
        <v>5.2850000000000001</v>
      </c>
      <c r="J1191" s="13">
        <v>5.35</v>
      </c>
      <c r="K1191" s="13">
        <v>5.0549999999999997</v>
      </c>
      <c r="L1191" s="13">
        <v>4.95</v>
      </c>
      <c r="M1191" s="13">
        <v>5.0724999999999998</v>
      </c>
      <c r="O1191" s="13">
        <f t="shared" si="56"/>
        <v>0.12797619000000005</v>
      </c>
    </row>
    <row r="1192" spans="1:15" x14ac:dyDescent="0.2">
      <c r="A1192" s="48">
        <v>1988</v>
      </c>
      <c r="B1192" s="13">
        <v>5.4</v>
      </c>
      <c r="C1192" s="13">
        <v>5.34</v>
      </c>
      <c r="D1192" s="13">
        <v>5.7</v>
      </c>
      <c r="E1192" s="13">
        <v>6.165</v>
      </c>
      <c r="F1192" s="13">
        <v>6.13</v>
      </c>
      <c r="G1192" s="13">
        <v>6.18</v>
      </c>
      <c r="H1192" s="13">
        <v>6.7249999999999996</v>
      </c>
      <c r="I1192" s="13">
        <v>6.9850000000000003</v>
      </c>
      <c r="J1192" s="13">
        <v>7.97</v>
      </c>
      <c r="K1192" s="13">
        <v>7.47</v>
      </c>
      <c r="L1192" s="13">
        <v>8</v>
      </c>
      <c r="M1192" s="13">
        <v>8.17</v>
      </c>
      <c r="O1192" s="13">
        <f t="shared" si="56"/>
        <v>0.52119564999999923</v>
      </c>
    </row>
    <row r="1193" spans="1:15" x14ac:dyDescent="0.2">
      <c r="A1193" s="48">
        <v>1989</v>
      </c>
      <c r="B1193" s="13">
        <v>7.36</v>
      </c>
      <c r="C1193" s="13">
        <v>7.0449999999999999</v>
      </c>
      <c r="D1193" s="13">
        <v>7.04</v>
      </c>
      <c r="E1193" s="13">
        <v>7.34</v>
      </c>
      <c r="F1193" s="13">
        <v>7.1550000000000002</v>
      </c>
      <c r="G1193" s="13">
        <v>7.21</v>
      </c>
      <c r="H1193" s="13">
        <v>6.9524999999999997</v>
      </c>
      <c r="I1193" s="13">
        <v>6.4649999999999999</v>
      </c>
      <c r="J1193" s="13">
        <v>6.27</v>
      </c>
      <c r="K1193" s="13">
        <v>5.875</v>
      </c>
      <c r="L1193" s="13">
        <v>5.67</v>
      </c>
      <c r="M1193" s="13">
        <v>5.63</v>
      </c>
      <c r="O1193" s="13">
        <f t="shared" si="56"/>
        <v>0.17521739000000025</v>
      </c>
    </row>
    <row r="1194" spans="1:15" x14ac:dyDescent="0.2">
      <c r="A1194" s="48">
        <v>1990</v>
      </c>
      <c r="B1194" s="13">
        <v>5.68</v>
      </c>
      <c r="C1194" s="13">
        <v>5.86</v>
      </c>
      <c r="D1194" s="13">
        <v>6.0324999999999998</v>
      </c>
      <c r="E1194" s="13">
        <v>5.83</v>
      </c>
      <c r="F1194" s="13">
        <v>5.8449999999999998</v>
      </c>
      <c r="G1194" s="13">
        <v>5.93</v>
      </c>
      <c r="H1194" s="13">
        <v>6.0049999999999999</v>
      </c>
      <c r="I1194" s="13">
        <v>6.125</v>
      </c>
      <c r="J1194" s="13">
        <v>5.93</v>
      </c>
      <c r="K1194" s="13">
        <v>5.83</v>
      </c>
      <c r="L1194" s="13">
        <v>5.81</v>
      </c>
      <c r="M1194" s="13">
        <v>6</v>
      </c>
      <c r="O1194" s="13">
        <f t="shared" si="56"/>
        <v>0.27684782000000041</v>
      </c>
    </row>
    <row r="1195" spans="1:15" x14ac:dyDescent="0.2">
      <c r="A1195" s="48">
        <v>1991</v>
      </c>
      <c r="B1195" s="13">
        <v>6.22</v>
      </c>
      <c r="C1195" s="13">
        <v>6.01</v>
      </c>
      <c r="D1195" s="13">
        <v>6.0250000000000004</v>
      </c>
      <c r="E1195" s="13">
        <v>5.835</v>
      </c>
      <c r="F1195" s="13">
        <v>5.9625000000000004</v>
      </c>
      <c r="G1195" s="13">
        <v>5.8925000000000001</v>
      </c>
      <c r="H1195" s="13">
        <v>5.9550000000000001</v>
      </c>
      <c r="I1195" s="13">
        <v>5.7249999999999996</v>
      </c>
      <c r="J1195" s="13">
        <v>5.26</v>
      </c>
      <c r="K1195" s="13">
        <v>5.1349999999999998</v>
      </c>
      <c r="L1195" s="13">
        <v>5.1924999999999999</v>
      </c>
      <c r="M1195" s="13">
        <v>5.665</v>
      </c>
      <c r="O1195" s="13">
        <f t="shared" si="56"/>
        <v>0.50056818000000014</v>
      </c>
    </row>
    <row r="1196" spans="1:15" x14ac:dyDescent="0.2">
      <c r="A1196" s="48">
        <v>1992</v>
      </c>
      <c r="B1196" s="13">
        <v>5.72</v>
      </c>
      <c r="C1196" s="13">
        <v>5.665</v>
      </c>
      <c r="D1196" s="13">
        <v>5.71</v>
      </c>
      <c r="E1196" s="13">
        <v>5.68</v>
      </c>
      <c r="F1196" s="13">
        <v>5.8250000000000002</v>
      </c>
      <c r="G1196" s="13">
        <v>6</v>
      </c>
      <c r="H1196" s="13">
        <v>5.81</v>
      </c>
      <c r="I1196" s="13">
        <v>5.8650000000000002</v>
      </c>
      <c r="J1196" s="13">
        <v>5.9850000000000003</v>
      </c>
      <c r="K1196" s="13">
        <v>5.51</v>
      </c>
      <c r="L1196" s="13">
        <v>5.3550000000000004</v>
      </c>
      <c r="M1196" s="13">
        <v>5.5049999999999999</v>
      </c>
      <c r="O1196" s="13">
        <f t="shared" si="56"/>
        <v>0.14511903999999998</v>
      </c>
    </row>
    <row r="1197" spans="1:15" x14ac:dyDescent="0.2">
      <c r="A1197" s="48">
        <v>1993</v>
      </c>
      <c r="B1197" s="13">
        <v>5.5824999999999996</v>
      </c>
      <c r="C1197" s="13">
        <v>5.65</v>
      </c>
      <c r="D1197" s="13">
        <v>5.76</v>
      </c>
      <c r="E1197" s="13">
        <v>5.8049999999999997</v>
      </c>
      <c r="F1197" s="13">
        <v>5.73</v>
      </c>
      <c r="G1197" s="13">
        <v>5.8449999999999998</v>
      </c>
      <c r="H1197" s="13">
        <v>5.8949999999999996</v>
      </c>
      <c r="I1197" s="13">
        <v>5.8825000000000003</v>
      </c>
      <c r="J1197" s="13">
        <v>5.76</v>
      </c>
      <c r="K1197" s="13">
        <v>6.48</v>
      </c>
      <c r="L1197" s="13">
        <v>6.5</v>
      </c>
      <c r="M1197" s="13">
        <v>6.2</v>
      </c>
      <c r="O1197" s="13">
        <f t="shared" si="56"/>
        <v>0.21318181000000003</v>
      </c>
    </row>
    <row r="1198" spans="1:15" x14ac:dyDescent="0.2">
      <c r="A1198" s="48">
        <v>1994</v>
      </c>
      <c r="B1198" s="13">
        <v>6.19</v>
      </c>
      <c r="C1198" s="13">
        <v>6.3</v>
      </c>
      <c r="D1198" s="13">
        <v>6.49</v>
      </c>
      <c r="E1198" s="13">
        <v>6.58</v>
      </c>
      <c r="F1198" s="13">
        <v>6.51</v>
      </c>
      <c r="G1198" s="13">
        <v>6.4749999999999996</v>
      </c>
      <c r="H1198" s="13">
        <v>6.2374999999999998</v>
      </c>
      <c r="I1198" s="13">
        <v>6.2949999999999999</v>
      </c>
      <c r="J1198" s="13">
        <v>6.375</v>
      </c>
      <c r="K1198" s="13">
        <v>5.62</v>
      </c>
      <c r="L1198" s="13">
        <v>5.6050000000000004</v>
      </c>
      <c r="M1198" s="13">
        <v>5.4649999999999999</v>
      </c>
      <c r="O1198" s="13">
        <f t="shared" si="56"/>
        <v>0.11978259999999974</v>
      </c>
    </row>
    <row r="1199" spans="1:15" x14ac:dyDescent="0.2">
      <c r="A1199" s="48">
        <v>1995</v>
      </c>
      <c r="B1199" s="13">
        <v>5.71</v>
      </c>
      <c r="C1199" s="13">
        <v>5.8250000000000002</v>
      </c>
      <c r="D1199" s="13">
        <v>5.79</v>
      </c>
      <c r="E1199" s="13">
        <v>5.6624999999999996</v>
      </c>
      <c r="F1199" s="13">
        <v>5.6475</v>
      </c>
      <c r="G1199" s="13">
        <v>5.7725</v>
      </c>
      <c r="H1199" s="13">
        <v>5.84</v>
      </c>
      <c r="I1199" s="13">
        <v>5.7549999999999999</v>
      </c>
      <c r="J1199" s="13">
        <v>5.835</v>
      </c>
      <c r="K1199" s="13">
        <v>5.915</v>
      </c>
      <c r="L1199" s="13">
        <v>5.77</v>
      </c>
      <c r="M1199" s="13">
        <v>6.12</v>
      </c>
      <c r="O1199" s="13">
        <f t="shared" si="56"/>
        <v>0.20902173000000079</v>
      </c>
    </row>
    <row r="1200" spans="1:15" x14ac:dyDescent="0.2">
      <c r="A1200" s="48">
        <v>1996</v>
      </c>
      <c r="B1200" s="13">
        <v>6.48</v>
      </c>
      <c r="C1200" s="13">
        <v>6.7</v>
      </c>
      <c r="D1200" s="13">
        <v>6.835</v>
      </c>
      <c r="E1200" s="13">
        <v>7.08</v>
      </c>
      <c r="F1200" s="13">
        <v>7.16</v>
      </c>
      <c r="G1200" s="13">
        <v>7.18</v>
      </c>
      <c r="H1200" s="13">
        <v>7.42</v>
      </c>
      <c r="I1200" s="13">
        <v>7.57</v>
      </c>
      <c r="J1200" s="13">
        <v>7.36</v>
      </c>
      <c r="K1200" s="13">
        <v>7.38</v>
      </c>
      <c r="L1200" s="13">
        <v>7.3550000000000004</v>
      </c>
      <c r="M1200" s="13">
        <v>7.9749999999999996</v>
      </c>
      <c r="O1200" s="13">
        <f t="shared" si="56"/>
        <v>0.55034089999999924</v>
      </c>
    </row>
    <row r="1201" spans="1:15" x14ac:dyDescent="0.2">
      <c r="A1201" s="48">
        <v>1997</v>
      </c>
      <c r="B1201" s="13">
        <v>6.67</v>
      </c>
      <c r="C1201" s="13">
        <v>6.56</v>
      </c>
      <c r="D1201" s="13">
        <v>6.62</v>
      </c>
      <c r="E1201" s="13">
        <v>6.71</v>
      </c>
      <c r="F1201" s="13">
        <v>6.98</v>
      </c>
      <c r="G1201" s="13">
        <v>7.47</v>
      </c>
      <c r="H1201" s="13">
        <v>7.4</v>
      </c>
      <c r="I1201" s="13">
        <v>7.05</v>
      </c>
      <c r="J1201" s="13">
        <v>6.44</v>
      </c>
      <c r="K1201" s="13">
        <v>6.05</v>
      </c>
      <c r="L1201" s="13">
        <v>6.4</v>
      </c>
      <c r="M1201" s="13">
        <v>6.65</v>
      </c>
      <c r="O1201" s="13">
        <f t="shared" si="56"/>
        <v>0.21738094999999991</v>
      </c>
    </row>
    <row r="1202" spans="1:15" x14ac:dyDescent="0.2">
      <c r="A1202" s="48">
        <v>1998</v>
      </c>
      <c r="B1202" s="13">
        <v>6.37</v>
      </c>
      <c r="C1202" s="13">
        <v>6.92</v>
      </c>
      <c r="D1202" s="13">
        <v>6.72</v>
      </c>
      <c r="E1202" s="13">
        <v>6.54</v>
      </c>
      <c r="F1202" s="13">
        <v>6.47</v>
      </c>
      <c r="G1202" s="13">
        <v>6.31</v>
      </c>
      <c r="H1202" s="13">
        <v>6.14</v>
      </c>
      <c r="I1202" s="13">
        <v>5.94</v>
      </c>
      <c r="J1202" s="13">
        <v>5.7549999999999999</v>
      </c>
      <c r="K1202" s="13">
        <v>5.64</v>
      </c>
      <c r="L1202" s="13">
        <v>5.1449999999999996</v>
      </c>
      <c r="M1202" s="13">
        <v>5.0925000000000002</v>
      </c>
      <c r="O1202" s="13">
        <f t="shared" si="56"/>
        <v>0.21845238000000045</v>
      </c>
    </row>
    <row r="1203" spans="1:15" x14ac:dyDescent="0.2">
      <c r="A1203" s="48">
        <v>1999</v>
      </c>
      <c r="B1203" s="13">
        <v>5.56</v>
      </c>
      <c r="C1203" s="13">
        <v>5.83</v>
      </c>
      <c r="D1203" s="13">
        <v>5.53</v>
      </c>
      <c r="E1203" s="13">
        <v>5.18</v>
      </c>
      <c r="F1203" s="13">
        <v>4.72</v>
      </c>
      <c r="G1203" s="13">
        <v>4.7549999999999999</v>
      </c>
      <c r="H1203" s="13">
        <v>4.8849999999999998</v>
      </c>
      <c r="I1203" s="13">
        <v>4.5824999999999996</v>
      </c>
      <c r="J1203" s="13">
        <v>4.4800000000000004</v>
      </c>
      <c r="K1203" s="13">
        <v>4.0125000000000002</v>
      </c>
      <c r="L1203" s="13">
        <v>4.3949999999999996</v>
      </c>
      <c r="M1203" s="13">
        <v>4.7699999999999996</v>
      </c>
      <c r="O1203" s="13">
        <f t="shared" si="56"/>
        <v>0.29125000000000068</v>
      </c>
    </row>
    <row r="1204" spans="1:15" x14ac:dyDescent="0.2">
      <c r="A1204" s="48">
        <v>2000</v>
      </c>
      <c r="B1204" s="13">
        <v>5</v>
      </c>
      <c r="C1204" s="13">
        <v>4.78</v>
      </c>
      <c r="D1204" s="13">
        <v>4.67</v>
      </c>
      <c r="E1204" s="13">
        <v>4.8</v>
      </c>
      <c r="F1204" s="13">
        <v>5.0999999999999996</v>
      </c>
      <c r="G1204" s="13">
        <v>5.1449999999999996</v>
      </c>
      <c r="H1204" s="13">
        <v>5.38</v>
      </c>
      <c r="I1204" s="13">
        <v>5.15</v>
      </c>
      <c r="J1204" s="13">
        <v>4.7024999999999997</v>
      </c>
      <c r="K1204" s="13">
        <v>4.4000000000000004</v>
      </c>
      <c r="L1204" s="13">
        <v>4.3674999999999997</v>
      </c>
      <c r="M1204" s="13">
        <v>4.7850000000000001</v>
      </c>
      <c r="O1204" s="13">
        <f t="shared" si="56"/>
        <v>0.20956521000000006</v>
      </c>
    </row>
    <row r="1205" spans="1:15" x14ac:dyDescent="0.2">
      <c r="A1205" s="48">
        <v>2001</v>
      </c>
      <c r="B1205" s="13">
        <v>4.96</v>
      </c>
      <c r="C1205" s="13">
        <v>4.9649999999999999</v>
      </c>
      <c r="D1205" s="13">
        <v>5.13</v>
      </c>
      <c r="E1205" s="13">
        <v>4.6550000000000002</v>
      </c>
      <c r="F1205" s="13">
        <v>4.4800000000000004</v>
      </c>
      <c r="G1205" s="13">
        <v>4.2350000000000003</v>
      </c>
      <c r="H1205" s="13">
        <v>4.1449999999999996</v>
      </c>
      <c r="I1205" s="13">
        <v>4.1849999999999996</v>
      </c>
      <c r="J1205" s="13">
        <v>4.3250000000000002</v>
      </c>
      <c r="K1205" s="13">
        <v>4.6224999999999996</v>
      </c>
      <c r="L1205" s="13">
        <v>4.71</v>
      </c>
      <c r="M1205" s="13">
        <v>4.6100000000000003</v>
      </c>
      <c r="O1205" s="13">
        <f t="shared" si="56"/>
        <v>0.25163042999999963</v>
      </c>
    </row>
    <row r="1206" spans="1:15" x14ac:dyDescent="0.2">
      <c r="A1206" s="48">
        <v>2002</v>
      </c>
      <c r="B1206" s="13">
        <v>4.43</v>
      </c>
      <c r="C1206" s="13">
        <v>4.45</v>
      </c>
      <c r="D1206" s="13">
        <v>4.3099999999999996</v>
      </c>
      <c r="E1206" s="13">
        <v>4.25</v>
      </c>
      <c r="F1206" s="13">
        <v>4.3499999999999996</v>
      </c>
      <c r="G1206" s="13">
        <v>4.47</v>
      </c>
      <c r="H1206" s="13">
        <v>4.5049999999999999</v>
      </c>
      <c r="I1206" s="13">
        <v>4.5025000000000004</v>
      </c>
      <c r="J1206" s="13">
        <v>4.7350000000000003</v>
      </c>
      <c r="K1206" s="13">
        <v>5.0999999999999996</v>
      </c>
      <c r="L1206" s="13">
        <v>5.31</v>
      </c>
      <c r="M1206" s="13">
        <v>5.56</v>
      </c>
      <c r="O1206" s="13">
        <f t="shared" si="56"/>
        <v>0.31125000000000025</v>
      </c>
    </row>
    <row r="1207" spans="1:15" x14ac:dyDescent="0.2">
      <c r="A1207" s="48">
        <v>2003</v>
      </c>
      <c r="B1207" s="13">
        <v>5.13</v>
      </c>
      <c r="C1207" s="13">
        <v>5.165</v>
      </c>
      <c r="D1207" s="13">
        <v>5.2</v>
      </c>
      <c r="E1207" s="13">
        <v>5.18</v>
      </c>
      <c r="F1207" s="13">
        <v>5.33</v>
      </c>
      <c r="G1207" s="13">
        <v>5.2949999999999999</v>
      </c>
      <c r="H1207" s="13">
        <v>5.335</v>
      </c>
      <c r="I1207" s="13">
        <v>5.77</v>
      </c>
      <c r="J1207" s="13">
        <v>5.78</v>
      </c>
      <c r="K1207" s="13">
        <v>5.19</v>
      </c>
      <c r="L1207" s="13">
        <v>5.1550000000000002</v>
      </c>
      <c r="M1207" s="13">
        <v>5.7549999999999999</v>
      </c>
      <c r="O1207" s="13">
        <f t="shared" ref="O1207:O1228" si="57">L1089-L1207</f>
        <v>0.41130951999999965</v>
      </c>
    </row>
    <row r="1208" spans="1:15" x14ac:dyDescent="0.2">
      <c r="A1208" s="48">
        <v>2004</v>
      </c>
      <c r="B1208" s="13">
        <v>6</v>
      </c>
      <c r="C1208" s="13">
        <v>6.3049999999999997</v>
      </c>
      <c r="D1208" s="13">
        <v>6.4550000000000001</v>
      </c>
      <c r="E1208" s="13">
        <v>6.99</v>
      </c>
      <c r="F1208" s="13">
        <v>7.05</v>
      </c>
      <c r="G1208" s="13">
        <v>7.95</v>
      </c>
      <c r="H1208" s="13">
        <v>7.68</v>
      </c>
      <c r="I1208" s="13">
        <v>7.0324999999999998</v>
      </c>
      <c r="J1208" s="13">
        <v>6.82</v>
      </c>
      <c r="K1208" s="13">
        <v>5.74</v>
      </c>
      <c r="L1208" s="13">
        <v>5.57</v>
      </c>
      <c r="M1208" s="13">
        <v>5.56</v>
      </c>
      <c r="O1208" s="13">
        <f t="shared" si="57"/>
        <v>0.35715908999999968</v>
      </c>
    </row>
    <row r="1209" spans="1:15" x14ac:dyDescent="0.2">
      <c r="A1209" s="48">
        <v>2005</v>
      </c>
      <c r="B1209" s="13">
        <v>5.42</v>
      </c>
      <c r="C1209" s="13">
        <v>5.3</v>
      </c>
      <c r="D1209" s="13">
        <v>5.4</v>
      </c>
      <c r="E1209" s="13">
        <v>5.2050000000000001</v>
      </c>
      <c r="F1209" s="13">
        <v>5.12</v>
      </c>
      <c r="G1209" s="13">
        <v>6.0350000000000001</v>
      </c>
      <c r="H1209" s="13">
        <v>6.0250000000000004</v>
      </c>
      <c r="I1209" s="13">
        <v>6.0449999999999999</v>
      </c>
      <c r="J1209" s="13">
        <v>6.54</v>
      </c>
      <c r="K1209" s="13">
        <v>6.6124999999999998</v>
      </c>
      <c r="L1209" s="13">
        <v>5.84</v>
      </c>
      <c r="M1209" s="13">
        <v>5.67</v>
      </c>
      <c r="O1209" s="13">
        <f t="shared" si="57"/>
        <v>0.44467391000000056</v>
      </c>
    </row>
    <row r="1210" spans="1:15" x14ac:dyDescent="0.2">
      <c r="A1210" s="48">
        <v>2006</v>
      </c>
      <c r="B1210" s="13">
        <v>5.8550000000000004</v>
      </c>
      <c r="C1210" s="13">
        <v>5.71</v>
      </c>
      <c r="D1210" s="13">
        <v>5.78</v>
      </c>
      <c r="E1210" s="13">
        <v>5.875</v>
      </c>
      <c r="F1210" s="13">
        <v>5.98</v>
      </c>
      <c r="G1210" s="13">
        <v>5.93</v>
      </c>
      <c r="H1210" s="13">
        <v>5.78</v>
      </c>
      <c r="I1210" s="13">
        <v>5.9</v>
      </c>
      <c r="J1210" s="13">
        <v>5.7949999999999999</v>
      </c>
      <c r="K1210" s="13">
        <v>5.79</v>
      </c>
      <c r="L1210" s="13">
        <v>5.3550000000000004</v>
      </c>
      <c r="M1210" s="13">
        <v>5.2649999999999997</v>
      </c>
      <c r="O1210" s="13">
        <f t="shared" si="57"/>
        <v>0.21434781999999952</v>
      </c>
    </row>
    <row r="1211" spans="1:15" x14ac:dyDescent="0.2">
      <c r="A1211" s="48">
        <v>2007</v>
      </c>
      <c r="B1211" s="13">
        <v>5.97</v>
      </c>
      <c r="C1211" s="13">
        <v>6.85</v>
      </c>
      <c r="D1211" s="13">
        <v>6.94</v>
      </c>
      <c r="E1211" s="13">
        <v>6.98</v>
      </c>
      <c r="F1211" s="13">
        <v>7.61</v>
      </c>
      <c r="G1211" s="13">
        <v>7.65</v>
      </c>
      <c r="H1211" s="13">
        <v>7.38</v>
      </c>
      <c r="I1211" s="13">
        <v>7.49</v>
      </c>
      <c r="J1211" s="13">
        <v>8.08</v>
      </c>
      <c r="K1211" s="13">
        <v>8.1750000000000007</v>
      </c>
      <c r="L1211" s="13">
        <v>7.89</v>
      </c>
      <c r="M1211" s="13">
        <v>8.7249999999999996</v>
      </c>
      <c r="O1211" s="13">
        <f t="shared" si="57"/>
        <v>0.54565216999999944</v>
      </c>
    </row>
    <row r="1212" spans="1:15" x14ac:dyDescent="0.2">
      <c r="A1212" s="48">
        <v>2008</v>
      </c>
      <c r="B1212" s="13">
        <v>9.35</v>
      </c>
      <c r="C1212" s="13">
        <v>9.8000000000000007</v>
      </c>
      <c r="D1212" s="13">
        <v>10.46</v>
      </c>
      <c r="E1212" s="13">
        <v>11.805</v>
      </c>
      <c r="F1212" s="13">
        <v>12.7</v>
      </c>
      <c r="G1212" s="13">
        <v>11.55</v>
      </c>
      <c r="H1212" s="13">
        <v>10.9</v>
      </c>
      <c r="I1212" s="13">
        <v>12.0175</v>
      </c>
      <c r="J1212" s="13">
        <v>13.442500000000001</v>
      </c>
      <c r="K1212" s="13">
        <v>13.5175</v>
      </c>
      <c r="L1212" s="13">
        <v>11.637499999999999</v>
      </c>
      <c r="M1212" s="13">
        <v>11.637499999999999</v>
      </c>
      <c r="O1212" s="13">
        <f t="shared" si="57"/>
        <v>1.156428570000001</v>
      </c>
    </row>
    <row r="1213" spans="1:15" x14ac:dyDescent="0.2">
      <c r="A1213" s="48">
        <v>2009</v>
      </c>
      <c r="B1213" s="13">
        <v>8.7324999999999999</v>
      </c>
      <c r="C1213" s="13">
        <v>8.5924999999999994</v>
      </c>
      <c r="D1213" s="13">
        <v>8.01</v>
      </c>
      <c r="E1213" s="13">
        <v>9.52</v>
      </c>
      <c r="F1213" s="13">
        <v>8.3149999999999995</v>
      </c>
      <c r="G1213" s="13">
        <v>7.9850000000000003</v>
      </c>
      <c r="H1213" s="13">
        <v>9.0175000000000001</v>
      </c>
      <c r="I1213" s="13">
        <v>9.8550000000000004</v>
      </c>
      <c r="J1213" s="13">
        <v>9.99</v>
      </c>
      <c r="K1213" s="13">
        <v>9.1274999999999995</v>
      </c>
      <c r="L1213" s="13">
        <v>9.7675000000000001</v>
      </c>
      <c r="M1213" s="13">
        <v>9.1999999999999993</v>
      </c>
      <c r="O1213" s="13">
        <f t="shared" si="57"/>
        <v>0.89511903999999909</v>
      </c>
    </row>
    <row r="1214" spans="1:15" x14ac:dyDescent="0.2">
      <c r="A1214" s="48">
        <v>2010</v>
      </c>
      <c r="B1214" s="13">
        <v>8.8699999999999992</v>
      </c>
      <c r="C1214" s="13">
        <v>9.56</v>
      </c>
      <c r="D1214" s="13">
        <v>9.8350000000000009</v>
      </c>
      <c r="E1214" s="13">
        <v>9.1675000000000004</v>
      </c>
      <c r="F1214" s="13">
        <v>9.0675000000000008</v>
      </c>
      <c r="G1214" s="13">
        <v>9.1449999999999996</v>
      </c>
      <c r="H1214" s="13">
        <v>9.2125000000000004</v>
      </c>
      <c r="I1214" s="13">
        <v>9.0350000000000001</v>
      </c>
      <c r="J1214" s="13">
        <v>8.93</v>
      </c>
      <c r="K1214" s="13">
        <v>9.0474999999999994</v>
      </c>
      <c r="L1214" s="13">
        <v>9.9425000000000008</v>
      </c>
      <c r="M1214" s="13">
        <v>9.9949999999999992</v>
      </c>
      <c r="O1214" s="13">
        <f t="shared" si="57"/>
        <v>0.2823863599999985</v>
      </c>
    </row>
    <row r="1215" spans="1:15" x14ac:dyDescent="0.2">
      <c r="A1215" s="48">
        <v>2011</v>
      </c>
      <c r="B1215" s="13">
        <v>10.46</v>
      </c>
      <c r="C1215" s="13">
        <v>11.3725</v>
      </c>
      <c r="D1215" s="13">
        <v>12.0375</v>
      </c>
      <c r="E1215" s="13">
        <v>13.055</v>
      </c>
      <c r="F1215" s="13">
        <v>12.8</v>
      </c>
      <c r="G1215" s="13">
        <v>12.56</v>
      </c>
      <c r="H1215" s="13">
        <v>13.025</v>
      </c>
      <c r="I1215" s="13">
        <v>12.967499999999999</v>
      </c>
      <c r="J1215" s="13">
        <v>12.845000000000001</v>
      </c>
      <c r="K1215" s="13">
        <v>12.95</v>
      </c>
      <c r="L1215" s="13">
        <v>12.765000000000001</v>
      </c>
      <c r="M1215" s="13">
        <v>13.73</v>
      </c>
      <c r="O1215" s="13">
        <f t="shared" si="57"/>
        <v>0.86021738999999897</v>
      </c>
    </row>
    <row r="1216" spans="1:15" x14ac:dyDescent="0.2">
      <c r="A1216" s="48">
        <v>2012</v>
      </c>
      <c r="B1216" s="13">
        <v>11.82</v>
      </c>
      <c r="C1216" s="13">
        <v>11.2425</v>
      </c>
      <c r="D1216" s="13">
        <v>11.24</v>
      </c>
      <c r="E1216" s="13">
        <v>11.72</v>
      </c>
      <c r="F1216" s="13">
        <v>12.17</v>
      </c>
      <c r="G1216" s="13">
        <v>12.9</v>
      </c>
      <c r="H1216" s="13">
        <v>13.637499999999999</v>
      </c>
      <c r="I1216" s="13">
        <v>12.875</v>
      </c>
      <c r="J1216" s="13">
        <v>12.715</v>
      </c>
      <c r="K1216" s="13">
        <v>14.54</v>
      </c>
      <c r="L1216" s="13">
        <v>15.702500000000001</v>
      </c>
      <c r="M1216" s="13">
        <v>16.885000000000002</v>
      </c>
      <c r="O1216" s="13">
        <f t="shared" si="57"/>
        <v>1.1053260800000011</v>
      </c>
    </row>
    <row r="1217" spans="1:15" x14ac:dyDescent="0.2">
      <c r="A1217" s="48">
        <v>2013</v>
      </c>
      <c r="B1217" s="13">
        <v>13.54</v>
      </c>
      <c r="C1217" s="13">
        <v>12.8325</v>
      </c>
      <c r="D1217" s="13">
        <v>13.2</v>
      </c>
      <c r="E1217" s="13">
        <v>12.8775</v>
      </c>
      <c r="F1217" s="13">
        <v>12.945</v>
      </c>
      <c r="G1217" s="13">
        <v>12.815</v>
      </c>
      <c r="H1217" s="13">
        <v>12.217499999999999</v>
      </c>
      <c r="I1217" s="13">
        <v>12.4175</v>
      </c>
      <c r="J1217" s="13">
        <v>12.9625</v>
      </c>
      <c r="K1217" s="13">
        <v>12.3725</v>
      </c>
      <c r="L1217" s="13">
        <v>11.865</v>
      </c>
      <c r="M1217" s="13">
        <v>13.8025</v>
      </c>
      <c r="O1217" s="13">
        <f t="shared" si="57"/>
        <v>1.1480681799999992</v>
      </c>
    </row>
    <row r="1218" spans="1:15" x14ac:dyDescent="0.2">
      <c r="A1218" s="48">
        <v>2014</v>
      </c>
      <c r="B1218" s="13">
        <v>11.78</v>
      </c>
      <c r="C1218" s="13">
        <v>11.72</v>
      </c>
      <c r="D1218" s="13">
        <v>11.7225</v>
      </c>
      <c r="E1218" s="13">
        <v>11.3025</v>
      </c>
      <c r="F1218" s="13">
        <v>11.414999999999999</v>
      </c>
      <c r="G1218" s="13">
        <v>12.2425</v>
      </c>
      <c r="H1218" s="13">
        <v>12.435</v>
      </c>
      <c r="I1218" s="13">
        <v>12.647500000000001</v>
      </c>
      <c r="J1218" s="13">
        <v>11.88</v>
      </c>
      <c r="K1218" s="13">
        <v>10.782500000000001</v>
      </c>
      <c r="L1218" s="13">
        <v>10.6425</v>
      </c>
      <c r="M1218" s="13">
        <v>10.45</v>
      </c>
      <c r="O1218" s="13">
        <f t="shared" si="57"/>
        <v>0.38166666000000049</v>
      </c>
    </row>
    <row r="1219" spans="1:15" x14ac:dyDescent="0.2">
      <c r="A1219" s="48">
        <v>2015</v>
      </c>
      <c r="B1219" s="13">
        <v>9.3625000000000007</v>
      </c>
      <c r="C1219" s="13">
        <v>9.9649999999999999</v>
      </c>
      <c r="D1219" s="13">
        <v>9.85</v>
      </c>
      <c r="E1219" s="13">
        <v>9.5225000000000009</v>
      </c>
      <c r="F1219" s="13">
        <v>9.5399999999999991</v>
      </c>
      <c r="G1219" s="13">
        <v>9.4324999999999992</v>
      </c>
      <c r="H1219" s="13">
        <v>9.4049999999999994</v>
      </c>
      <c r="I1219" s="13">
        <v>9</v>
      </c>
      <c r="J1219" s="13">
        <v>8.9849999999999994</v>
      </c>
      <c r="K1219" s="13">
        <v>9.375</v>
      </c>
      <c r="L1219" s="13">
        <v>8.74</v>
      </c>
      <c r="M1219" s="13">
        <v>8.6374999999999993</v>
      </c>
      <c r="O1219" s="13">
        <f t="shared" si="57"/>
        <v>0.5311904700000003</v>
      </c>
    </row>
    <row r="1220" spans="1:15" x14ac:dyDescent="0.2">
      <c r="A1220" s="48">
        <v>2016</v>
      </c>
      <c r="B1220" s="13">
        <v>8.8000000000000007</v>
      </c>
      <c r="C1220" s="13">
        <v>8.5775000000000006</v>
      </c>
      <c r="D1220" s="13">
        <v>8.68</v>
      </c>
      <c r="E1220" s="13">
        <v>8.6524999999999999</v>
      </c>
      <c r="F1220" s="13">
        <v>8.6875</v>
      </c>
      <c r="G1220" s="13">
        <v>8.6475000000000009</v>
      </c>
      <c r="H1220" s="13">
        <v>9.1225000000000005</v>
      </c>
      <c r="I1220" s="13">
        <v>10.022500000000001</v>
      </c>
      <c r="J1220" s="13">
        <v>10.5375</v>
      </c>
      <c r="K1220" s="13">
        <v>9.7375000000000007</v>
      </c>
      <c r="L1220" s="13">
        <v>9.6050000000000004</v>
      </c>
      <c r="M1220" s="13">
        <v>9.33</v>
      </c>
      <c r="O1220" s="13">
        <f t="shared" si="57"/>
        <v>0.42409090909090885</v>
      </c>
    </row>
    <row r="1221" spans="1:15" x14ac:dyDescent="0.2">
      <c r="A1221" s="48">
        <v>2017</v>
      </c>
      <c r="B1221" s="13">
        <v>9.5574999999999992</v>
      </c>
      <c r="C1221" s="13">
        <v>9.8524999999999991</v>
      </c>
      <c r="D1221" s="13">
        <v>9.9450000000000003</v>
      </c>
      <c r="E1221" s="13">
        <v>9.9350000000000005</v>
      </c>
      <c r="F1221" s="13">
        <v>10.135</v>
      </c>
      <c r="G1221" s="13">
        <v>9.5274999999999999</v>
      </c>
      <c r="H1221" s="13">
        <v>9.42</v>
      </c>
      <c r="I1221" s="13">
        <v>9.1374999999999993</v>
      </c>
      <c r="J1221" s="13">
        <v>9.0525000000000002</v>
      </c>
      <c r="K1221" s="13">
        <v>9.58</v>
      </c>
      <c r="L1221" s="13">
        <v>9.1724999999999994</v>
      </c>
      <c r="M1221" s="13">
        <v>9.7249999999999996</v>
      </c>
      <c r="O1221" s="13">
        <f t="shared" si="57"/>
        <v>0.24543478260869733</v>
      </c>
    </row>
    <row r="1222" spans="1:15" x14ac:dyDescent="0.2">
      <c r="A1222" s="48">
        <v>2018</v>
      </c>
      <c r="B1222" s="13">
        <v>9.8175000000000008</v>
      </c>
      <c r="C1222" s="13">
        <v>9.8925000000000001</v>
      </c>
      <c r="D1222" s="13">
        <v>9.7449999999999992</v>
      </c>
      <c r="E1222" s="13">
        <v>9.6724999999999994</v>
      </c>
      <c r="F1222" s="13">
        <v>9.8849999999999998</v>
      </c>
      <c r="G1222" s="13">
        <v>10.15</v>
      </c>
      <c r="H1222" s="13">
        <v>9.9674999999999994</v>
      </c>
      <c r="I1222" s="13">
        <v>9.9849999999999994</v>
      </c>
      <c r="J1222" s="13">
        <v>8.5350000000000001</v>
      </c>
      <c r="K1222" s="13">
        <v>8.1649999999999991</v>
      </c>
      <c r="L1222" s="13">
        <v>8.16</v>
      </c>
      <c r="M1222" s="13">
        <v>8.7324999999999999</v>
      </c>
      <c r="O1222" s="13">
        <f t="shared" si="57"/>
        <v>0.47956521739130409</v>
      </c>
    </row>
    <row r="1223" spans="1:15" x14ac:dyDescent="0.2">
      <c r="A1223" s="48">
        <v>2019</v>
      </c>
      <c r="B1223" s="13">
        <v>8.9275000000000002</v>
      </c>
      <c r="C1223" s="13">
        <v>8.9324999999999992</v>
      </c>
      <c r="D1223" s="13">
        <v>9.1524999999999999</v>
      </c>
      <c r="E1223" s="13">
        <v>9.27</v>
      </c>
      <c r="F1223" s="13">
        <v>9.3000000000000007</v>
      </c>
      <c r="G1223" s="13">
        <v>9.0875000000000004</v>
      </c>
      <c r="H1223" s="13">
        <v>8.625</v>
      </c>
      <c r="I1223" s="13">
        <v>8.0374999999999996</v>
      </c>
      <c r="J1223" s="13">
        <v>8.6199999999999992</v>
      </c>
      <c r="K1223" s="13">
        <v>8.6750000000000007</v>
      </c>
      <c r="L1223" s="13">
        <v>8.3949999999999996</v>
      </c>
      <c r="M1223" s="13">
        <v>9.0975000000000001</v>
      </c>
      <c r="O1223" s="13">
        <f t="shared" si="57"/>
        <v>0.1913636363636364</v>
      </c>
    </row>
    <row r="1224" spans="1:15" x14ac:dyDescent="0.2">
      <c r="A1224" s="48">
        <v>2020</v>
      </c>
      <c r="B1224" s="13">
        <v>9.49</v>
      </c>
      <c r="C1224" s="13">
        <v>9.2225000000000001</v>
      </c>
      <c r="D1224" s="13">
        <v>9.17</v>
      </c>
      <c r="E1224" s="13">
        <v>9.0649999999999995</v>
      </c>
      <c r="F1224" s="13">
        <v>8.9525000000000006</v>
      </c>
      <c r="G1224" s="13">
        <v>8.3350000000000009</v>
      </c>
      <c r="H1224" s="13">
        <v>8.25</v>
      </c>
      <c r="I1224" s="13">
        <v>8.3375000000000004</v>
      </c>
      <c r="J1224" s="13">
        <v>8.3925000000000001</v>
      </c>
      <c r="K1224" s="13">
        <v>8.68</v>
      </c>
      <c r="L1224" s="13">
        <v>8.6325000000000003</v>
      </c>
      <c r="M1224" s="13">
        <v>9.49</v>
      </c>
      <c r="O1224" s="13">
        <f t="shared" si="57"/>
        <v>0.37535714285714228</v>
      </c>
    </row>
    <row r="1225" spans="1:15" x14ac:dyDescent="0.2">
      <c r="A1225" s="48">
        <v>2021</v>
      </c>
      <c r="B1225" s="13">
        <v>9.8074999999999992</v>
      </c>
      <c r="C1225" s="13">
        <v>9.9324999999999992</v>
      </c>
      <c r="D1225" s="13">
        <v>10.664999999999999</v>
      </c>
      <c r="E1225" s="13">
        <v>11.475</v>
      </c>
      <c r="F1225" s="13">
        <v>11.88</v>
      </c>
      <c r="G1225" s="13">
        <v>12.307499999999999</v>
      </c>
      <c r="H1225" s="13">
        <v>12.7</v>
      </c>
      <c r="I1225" s="13"/>
      <c r="J1225" s="13"/>
      <c r="K1225" s="13"/>
      <c r="L1225" s="35">
        <v>13.124564935064933</v>
      </c>
      <c r="M1225" s="13"/>
      <c r="O1225" s="13">
        <f t="shared" si="57"/>
        <v>0.5931623376623385</v>
      </c>
    </row>
    <row r="1226" spans="1:15" x14ac:dyDescent="0.2">
      <c r="A1226" s="48">
        <v>2022</v>
      </c>
      <c r="L1226" s="35">
        <v>14.571610333145117</v>
      </c>
      <c r="O1226" s="13">
        <f t="shared" si="57"/>
        <v>1.1269766233766241</v>
      </c>
    </row>
    <row r="1227" spans="1:15" x14ac:dyDescent="0.2">
      <c r="A1227" s="48">
        <v>2023</v>
      </c>
      <c r="L1227" s="35">
        <f>(SUM(L1222:L1226)-SUM(L1104:L1108))/5+L1109-0.25</f>
        <v>13.080736747600227</v>
      </c>
      <c r="O1227" s="13">
        <f t="shared" si="57"/>
        <v>0.80328499153020871</v>
      </c>
    </row>
    <row r="1228" spans="1:15" x14ac:dyDescent="0.2">
      <c r="A1228" s="48">
        <v>2024</v>
      </c>
      <c r="L1228" s="35">
        <f>(SUM(L1223:L1227)-SUM(L1105:L1109))/5+L1110-0.25</f>
        <v>9.2740960536420118</v>
      </c>
      <c r="O1228" s="13">
        <f t="shared" si="57"/>
        <v>0.86802894635798822</v>
      </c>
    </row>
    <row r="1229" spans="1:15" x14ac:dyDescent="0.2">
      <c r="A1229" s="48">
        <v>2025</v>
      </c>
      <c r="L1229" s="35">
        <f>(SUM(L1224:L1228)-SUM(L1106:L1110))/5+L1111-0.25</f>
        <v>8.8440243552795028</v>
      </c>
    </row>
    <row r="1230" spans="1:15" x14ac:dyDescent="0.2">
      <c r="A1230" s="48">
        <v>2026</v>
      </c>
      <c r="L1230" s="35">
        <f>(SUM(L1225:L1229)-SUM(L1107:L1111))/5+L1112-0.25</f>
        <v>8.8210370185431941</v>
      </c>
    </row>
    <row r="1231" spans="1:15" x14ac:dyDescent="0.2">
      <c r="A1231" s="48">
        <v>2027</v>
      </c>
      <c r="L1231" s="35">
        <f>(SUM(L1226:L1230)-SUM(L1108:L1112))/5+L1113-0.25</f>
        <v>10.013876889784303</v>
      </c>
    </row>
  </sheetData>
  <pageMargins left="0.7" right="0.7" top="0.75" bottom="0.75" header="0.3" footer="0.3"/>
  <ignoredErrors>
    <ignoredError sqref="L1228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7D671-BD9B-4D70-A527-E23B3CFE2034}">
  <dimension ref="A2:P341"/>
  <sheetViews>
    <sheetView topLeftCell="A316" zoomScale="85" zoomScaleNormal="85" workbookViewId="0">
      <selection activeCell="B334" sqref="B334:M339"/>
    </sheetView>
  </sheetViews>
  <sheetFormatPr defaultRowHeight="12.75" x14ac:dyDescent="0.2"/>
  <sheetData>
    <row r="2" spans="1:13" ht="15.75" x14ac:dyDescent="0.25">
      <c r="A2" s="40" t="s">
        <v>176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ht="13.5" x14ac:dyDescent="0.25">
      <c r="A3" s="42" t="s">
        <v>155</v>
      </c>
      <c r="B3" s="43" t="s">
        <v>86</v>
      </c>
      <c r="C3" s="43" t="s">
        <v>87</v>
      </c>
      <c r="D3" s="43" t="s">
        <v>88</v>
      </c>
      <c r="E3" s="43" t="s">
        <v>89</v>
      </c>
      <c r="F3" s="43" t="s">
        <v>90</v>
      </c>
      <c r="G3" s="43" t="s">
        <v>91</v>
      </c>
      <c r="H3" s="43" t="s">
        <v>92</v>
      </c>
      <c r="I3" s="43" t="s">
        <v>93</v>
      </c>
      <c r="J3" s="43" t="s">
        <v>94</v>
      </c>
      <c r="K3" s="43" t="s">
        <v>83</v>
      </c>
      <c r="L3" s="43" t="s">
        <v>84</v>
      </c>
      <c r="M3" s="43" t="s">
        <v>85</v>
      </c>
    </row>
    <row r="4" spans="1:13" x14ac:dyDescent="0.2">
      <c r="A4" s="44">
        <v>1971</v>
      </c>
      <c r="B4" s="54"/>
      <c r="C4" s="54"/>
      <c r="D4" s="54">
        <v>38.75</v>
      </c>
      <c r="E4" s="54">
        <v>28.828946999999999</v>
      </c>
      <c r="F4" s="54">
        <v>26.113636</v>
      </c>
      <c r="G4" s="54">
        <v>25.512499999999999</v>
      </c>
      <c r="H4" s="54">
        <v>24.513157</v>
      </c>
      <c r="I4" s="54">
        <v>21.5</v>
      </c>
      <c r="J4" s="54">
        <v>11.738095</v>
      </c>
      <c r="K4" s="54">
        <v>10.25</v>
      </c>
      <c r="L4" s="54">
        <v>6.9204540000000003</v>
      </c>
      <c r="M4" s="54">
        <v>4.875</v>
      </c>
    </row>
    <row r="5" spans="1:13" x14ac:dyDescent="0.2">
      <c r="A5" s="44">
        <v>1972</v>
      </c>
      <c r="B5" s="54"/>
      <c r="C5" s="54"/>
      <c r="D5" s="54"/>
      <c r="E5" s="54">
        <v>22.857142</v>
      </c>
      <c r="F5" s="54">
        <v>17.416665999999999</v>
      </c>
      <c r="G5" s="54">
        <v>20.285713999999999</v>
      </c>
      <c r="H5" s="54">
        <v>26.45</v>
      </c>
      <c r="I5" s="54">
        <v>32.727271999999999</v>
      </c>
      <c r="J5" s="54">
        <v>35.575000000000003</v>
      </c>
      <c r="K5" s="54">
        <v>34.011363000000003</v>
      </c>
      <c r="L5" s="54">
        <v>26.136362999999999</v>
      </c>
      <c r="M5" s="54">
        <v>28.211538000000001</v>
      </c>
    </row>
    <row r="6" spans="1:13" x14ac:dyDescent="0.2">
      <c r="A6" s="44">
        <v>1973</v>
      </c>
      <c r="B6" s="54"/>
      <c r="C6" s="54">
        <v>27</v>
      </c>
      <c r="D6" s="54">
        <v>22.977271999999999</v>
      </c>
      <c r="E6" s="54">
        <v>33.924999999999997</v>
      </c>
      <c r="F6" s="54">
        <v>59.592104999999997</v>
      </c>
      <c r="G6" s="54">
        <v>65.357141999999996</v>
      </c>
      <c r="H6" s="54">
        <v>134.64473599999999</v>
      </c>
      <c r="I6" s="54">
        <v>157.59090900000001</v>
      </c>
      <c r="J6" s="54">
        <v>172.51249999999999</v>
      </c>
      <c r="K6" s="54">
        <v>332.73863599999999</v>
      </c>
      <c r="L6" s="54">
        <v>466.44736799999998</v>
      </c>
      <c r="M6" s="54">
        <v>242.28571400000001</v>
      </c>
    </row>
    <row r="7" spans="1:13" x14ac:dyDescent="0.2">
      <c r="A7" s="44">
        <v>1974</v>
      </c>
      <c r="B7" s="54"/>
      <c r="C7" s="54">
        <v>42.802630999999998</v>
      </c>
      <c r="D7" s="54">
        <v>23.488636</v>
      </c>
      <c r="E7" s="54">
        <v>19.023809</v>
      </c>
      <c r="F7" s="54">
        <v>15</v>
      </c>
      <c r="G7" s="54">
        <v>14.113636</v>
      </c>
      <c r="H7" s="54">
        <v>26.041665999999999</v>
      </c>
      <c r="I7" s="54">
        <v>19.369046999999998</v>
      </c>
      <c r="J7" s="54">
        <v>18.797619000000001</v>
      </c>
      <c r="K7" s="54">
        <v>11.613636</v>
      </c>
      <c r="L7" s="54">
        <v>6.9249999999999998</v>
      </c>
      <c r="M7" s="54">
        <v>3.4166660000000002</v>
      </c>
    </row>
    <row r="8" spans="1:13" x14ac:dyDescent="0.2">
      <c r="A8" s="44">
        <v>1975</v>
      </c>
      <c r="B8" s="54"/>
      <c r="C8" s="54">
        <v>64.833332999999996</v>
      </c>
      <c r="D8" s="54">
        <v>104.586956</v>
      </c>
      <c r="E8" s="54">
        <v>89.421052000000003</v>
      </c>
      <c r="F8" s="54">
        <v>65.642857000000006</v>
      </c>
      <c r="G8" s="54">
        <v>33.579545000000003</v>
      </c>
      <c r="H8" s="54">
        <v>10.763157</v>
      </c>
      <c r="I8" s="54">
        <v>8.3375000000000004</v>
      </c>
      <c r="J8" s="54">
        <v>13.443180999999999</v>
      </c>
      <c r="K8" s="54">
        <v>12.154761000000001</v>
      </c>
      <c r="L8" s="54">
        <v>14.75</v>
      </c>
      <c r="M8" s="54">
        <v>9.3000000000000007</v>
      </c>
    </row>
    <row r="9" spans="1:13" x14ac:dyDescent="0.2">
      <c r="A9" s="44">
        <v>1976</v>
      </c>
      <c r="B9" s="54"/>
      <c r="C9" s="54"/>
      <c r="D9" s="54">
        <v>3.6136360000000001</v>
      </c>
      <c r="E9" s="54">
        <v>-6.9210520000000004</v>
      </c>
      <c r="F9" s="54">
        <v>-13.559523</v>
      </c>
      <c r="G9" s="54">
        <v>-13.428571</v>
      </c>
      <c r="H9" s="54">
        <v>-12.723684</v>
      </c>
      <c r="I9" s="54">
        <v>-13.717390999999999</v>
      </c>
      <c r="J9" s="54">
        <v>-15.666665999999999</v>
      </c>
      <c r="K9" s="54">
        <v>-12.512499999999999</v>
      </c>
      <c r="L9" s="54">
        <v>-13.443180999999999</v>
      </c>
      <c r="M9" s="54">
        <v>-15.553571</v>
      </c>
    </row>
    <row r="10" spans="1:13" x14ac:dyDescent="0.2">
      <c r="A10" s="44">
        <v>1977</v>
      </c>
      <c r="B10" s="54"/>
      <c r="C10" s="54"/>
      <c r="D10" s="54">
        <v>37.966665999999996</v>
      </c>
      <c r="E10" s="54">
        <v>58.762500000000003</v>
      </c>
      <c r="F10" s="54">
        <v>60.023809</v>
      </c>
      <c r="G10" s="54">
        <v>52.5</v>
      </c>
      <c r="H10" s="54">
        <v>49.539473000000001</v>
      </c>
      <c r="I10" s="54">
        <v>130.195652</v>
      </c>
      <c r="J10" s="54">
        <v>255.7</v>
      </c>
      <c r="K10" s="54">
        <v>222.9375</v>
      </c>
      <c r="L10" s="54">
        <v>107.53409000000001</v>
      </c>
      <c r="M10" s="54">
        <v>35.673076000000002</v>
      </c>
    </row>
    <row r="11" spans="1:13" x14ac:dyDescent="0.2">
      <c r="A11" s="44">
        <v>1978</v>
      </c>
      <c r="B11" s="54"/>
      <c r="C11" s="54"/>
      <c r="D11" s="54">
        <v>5.1785709999999998</v>
      </c>
      <c r="E11" s="54">
        <v>19.083333</v>
      </c>
      <c r="F11" s="54">
        <v>22.5</v>
      </c>
      <c r="G11" s="54">
        <v>19.5</v>
      </c>
      <c r="H11" s="54">
        <v>9.1315779999999993</v>
      </c>
      <c r="I11" s="54">
        <v>70.272727000000003</v>
      </c>
      <c r="J11" s="54">
        <v>75.775000000000006</v>
      </c>
      <c r="K11" s="54">
        <v>83.352271999999999</v>
      </c>
      <c r="L11" s="54">
        <v>53.261363000000003</v>
      </c>
      <c r="M11" s="54">
        <v>56.75</v>
      </c>
    </row>
    <row r="12" spans="1:13" x14ac:dyDescent="0.2">
      <c r="A12" s="44">
        <v>1979</v>
      </c>
      <c r="B12" s="54"/>
      <c r="C12" s="54"/>
      <c r="D12" s="54">
        <v>39.772727000000003</v>
      </c>
      <c r="E12" s="54">
        <v>41.8</v>
      </c>
      <c r="F12" s="54">
        <v>43.487499999999997</v>
      </c>
      <c r="G12" s="54">
        <v>41.215909000000003</v>
      </c>
      <c r="H12" s="54">
        <v>71.947367999999997</v>
      </c>
      <c r="I12" s="54">
        <v>63.772727000000003</v>
      </c>
      <c r="J12" s="54">
        <v>49.75</v>
      </c>
      <c r="K12" s="54">
        <v>18.215909</v>
      </c>
      <c r="L12" s="54">
        <v>3.1547610000000001</v>
      </c>
      <c r="M12" s="54">
        <v>3.9821420000000001</v>
      </c>
    </row>
    <row r="13" spans="1:13" x14ac:dyDescent="0.2">
      <c r="A13" s="44">
        <v>1980</v>
      </c>
      <c r="B13" s="54"/>
      <c r="C13" s="54">
        <v>14.535714</v>
      </c>
      <c r="D13" s="54">
        <v>-5.1956519999999999</v>
      </c>
      <c r="E13" s="54">
        <v>-15.333333</v>
      </c>
      <c r="F13" s="54">
        <v>-18.210526000000002</v>
      </c>
      <c r="G13" s="54">
        <v>-24.925000000000001</v>
      </c>
      <c r="H13" s="54">
        <v>-26.6875</v>
      </c>
      <c r="I13" s="54">
        <v>-34.761904000000001</v>
      </c>
      <c r="J13" s="54">
        <v>-34.166665999999999</v>
      </c>
      <c r="K13" s="54">
        <v>-30.142856999999999</v>
      </c>
      <c r="L13" s="54">
        <v>-31.214285</v>
      </c>
      <c r="M13" s="54">
        <v>-26.65</v>
      </c>
    </row>
    <row r="14" spans="1:13" x14ac:dyDescent="0.2">
      <c r="A14" s="44">
        <v>1981</v>
      </c>
      <c r="B14" s="54"/>
      <c r="C14" s="54">
        <v>67.357141999999996</v>
      </c>
      <c r="D14" s="54">
        <v>110.29347799999999</v>
      </c>
      <c r="E14" s="54">
        <v>138.52777699999999</v>
      </c>
      <c r="F14" s="54">
        <v>59.333333000000003</v>
      </c>
      <c r="G14" s="54">
        <v>-1.6071420000000001</v>
      </c>
      <c r="H14" s="54">
        <v>-25.710526000000002</v>
      </c>
      <c r="I14" s="54">
        <v>-30.363636</v>
      </c>
      <c r="J14" s="54">
        <v>-30.869046999999998</v>
      </c>
      <c r="K14" s="54">
        <v>-20.212499999999999</v>
      </c>
      <c r="L14" s="54">
        <v>-27.522727</v>
      </c>
      <c r="M14" s="54">
        <v>-35.583333000000003</v>
      </c>
    </row>
    <row r="15" spans="1:13" x14ac:dyDescent="0.2">
      <c r="A15" s="44">
        <v>1982</v>
      </c>
      <c r="B15" s="54"/>
      <c r="C15" s="54">
        <v>-14.785714</v>
      </c>
      <c r="D15" s="54">
        <v>-12.352271999999999</v>
      </c>
      <c r="E15" s="54">
        <v>-10.5</v>
      </c>
      <c r="F15" s="54">
        <v>-4.0795450000000004</v>
      </c>
      <c r="G15" s="54">
        <v>-8.2125000000000004</v>
      </c>
      <c r="H15" s="54">
        <v>-14.5</v>
      </c>
      <c r="I15" s="54">
        <v>-9.7173909999999992</v>
      </c>
      <c r="J15" s="54">
        <v>-9.7380949999999995</v>
      </c>
      <c r="K15" s="54">
        <v>-8.6750000000000007</v>
      </c>
      <c r="L15" s="54">
        <v>-11.920453999999999</v>
      </c>
      <c r="M15" s="54">
        <v>-2.071428</v>
      </c>
    </row>
    <row r="16" spans="1:13" x14ac:dyDescent="0.2">
      <c r="A16" s="44">
        <v>1983</v>
      </c>
      <c r="B16" s="54">
        <v>-4.571428</v>
      </c>
      <c r="C16" s="54">
        <v>-6.2142850000000003</v>
      </c>
      <c r="D16" s="54">
        <v>-0.13095200000000001</v>
      </c>
      <c r="E16" s="54">
        <v>8.4875000000000007</v>
      </c>
      <c r="F16" s="54">
        <v>3.3333330000000001</v>
      </c>
      <c r="G16" s="54">
        <v>-4.8452380000000002</v>
      </c>
      <c r="H16" s="54">
        <v>-14.644736</v>
      </c>
      <c r="I16" s="54">
        <v>-21.445651999999999</v>
      </c>
      <c r="J16" s="54">
        <v>-24.65</v>
      </c>
      <c r="K16" s="54">
        <v>-21.869046999999998</v>
      </c>
      <c r="L16" s="54">
        <v>-19.784089999999999</v>
      </c>
      <c r="M16" s="54">
        <v>-28.942307</v>
      </c>
    </row>
    <row r="17" spans="1:13" x14ac:dyDescent="0.2">
      <c r="A17" s="44">
        <v>1984</v>
      </c>
      <c r="B17" s="54">
        <v>161.81521699999999</v>
      </c>
      <c r="C17" s="54">
        <v>191.22619</v>
      </c>
      <c r="D17" s="54">
        <v>180.98809499999999</v>
      </c>
      <c r="E17" s="54">
        <v>160.51190399999999</v>
      </c>
      <c r="F17" s="54">
        <v>126.690476</v>
      </c>
      <c r="G17" s="54">
        <v>68.607141999999996</v>
      </c>
      <c r="H17" s="54">
        <v>39.987499999999997</v>
      </c>
      <c r="I17" s="54">
        <v>65.829544999999996</v>
      </c>
      <c r="J17" s="54">
        <v>75.174999999999997</v>
      </c>
      <c r="K17" s="54">
        <v>120.68181800000001</v>
      </c>
      <c r="L17" s="54">
        <v>55.595238000000002</v>
      </c>
      <c r="M17" s="54">
        <v>37.196427999999997</v>
      </c>
    </row>
    <row r="18" spans="1:13" x14ac:dyDescent="0.2">
      <c r="A18" s="44">
        <v>1985</v>
      </c>
      <c r="B18" s="54">
        <v>38.945652000000003</v>
      </c>
      <c r="C18" s="54">
        <v>26.710526000000002</v>
      </c>
      <c r="D18" s="54">
        <v>11.445652000000001</v>
      </c>
      <c r="E18" s="54">
        <v>13.607142</v>
      </c>
      <c r="F18" s="54">
        <v>4.5999999999999996</v>
      </c>
      <c r="G18" s="54">
        <v>3.3409089999999999</v>
      </c>
      <c r="H18" s="54">
        <v>-1.0263150000000001</v>
      </c>
      <c r="I18" s="54">
        <v>2.2023799999999998</v>
      </c>
      <c r="J18" s="54">
        <v>-4.1785709999999998</v>
      </c>
      <c r="K18" s="54">
        <v>-6.53409</v>
      </c>
      <c r="L18" s="54">
        <v>9.3125</v>
      </c>
      <c r="M18" s="54">
        <v>0.1</v>
      </c>
    </row>
    <row r="19" spans="1:13" x14ac:dyDescent="0.2">
      <c r="A19" s="44">
        <v>1986</v>
      </c>
      <c r="B19" s="54">
        <v>10.625</v>
      </c>
      <c r="C19" s="54">
        <v>8.4375</v>
      </c>
      <c r="D19" s="54">
        <v>12.945652000000001</v>
      </c>
      <c r="E19" s="54">
        <v>15.3</v>
      </c>
      <c r="F19" s="54">
        <v>20.773809</v>
      </c>
      <c r="G19" s="54">
        <v>26.306818</v>
      </c>
      <c r="H19" s="54">
        <v>24.342105</v>
      </c>
      <c r="I19" s="54">
        <v>20.475000000000001</v>
      </c>
      <c r="J19" s="54">
        <v>14.761362999999999</v>
      </c>
      <c r="K19" s="54">
        <v>13.071427999999999</v>
      </c>
      <c r="L19" s="54">
        <v>25.333333</v>
      </c>
      <c r="M19" s="54">
        <v>34.433332999999998</v>
      </c>
    </row>
    <row r="20" spans="1:13" x14ac:dyDescent="0.2">
      <c r="A20" s="44">
        <v>1987</v>
      </c>
      <c r="B20" s="54">
        <v>9.3333329999999997</v>
      </c>
      <c r="C20" s="54">
        <v>1.6547609999999999</v>
      </c>
      <c r="D20" s="54">
        <v>5.7065210000000004</v>
      </c>
      <c r="E20" s="54">
        <v>9.4868419999999993</v>
      </c>
      <c r="F20" s="54">
        <v>6.9886359999999996</v>
      </c>
      <c r="G20" s="54">
        <v>13.571427999999999</v>
      </c>
      <c r="H20" s="54">
        <v>15.618421</v>
      </c>
      <c r="I20" s="54">
        <v>11.386362999999999</v>
      </c>
      <c r="J20" s="54">
        <v>5.0595230000000004</v>
      </c>
      <c r="K20" s="54">
        <v>-6.9625000000000004</v>
      </c>
      <c r="L20" s="54">
        <v>-14.068180999999999</v>
      </c>
      <c r="M20" s="54">
        <v>11.65</v>
      </c>
    </row>
    <row r="21" spans="1:13" x14ac:dyDescent="0.2">
      <c r="A21" s="44">
        <v>1988</v>
      </c>
      <c r="B21" s="54">
        <v>9.3571419999999996</v>
      </c>
      <c r="C21" s="54">
        <v>13.285714</v>
      </c>
      <c r="D21" s="54">
        <v>15.602271999999999</v>
      </c>
      <c r="E21" s="54">
        <v>15.1875</v>
      </c>
      <c r="F21" s="54">
        <v>27.818180999999999</v>
      </c>
      <c r="G21" s="54">
        <v>5.45</v>
      </c>
      <c r="H21" s="54">
        <v>-7.1749999999999998</v>
      </c>
      <c r="I21" s="54">
        <v>-11.956521</v>
      </c>
      <c r="J21" s="54">
        <v>-13.8125</v>
      </c>
      <c r="K21" s="54">
        <v>-16.214285</v>
      </c>
      <c r="L21" s="54">
        <v>8.375</v>
      </c>
      <c r="M21" s="54">
        <v>1.8076920000000001</v>
      </c>
    </row>
    <row r="22" spans="1:13" x14ac:dyDescent="0.2">
      <c r="A22" s="44">
        <v>1989</v>
      </c>
      <c r="B22" s="54">
        <v>129.29347799999999</v>
      </c>
      <c r="C22" s="54">
        <v>111.25</v>
      </c>
      <c r="D22" s="54">
        <v>88.964285000000004</v>
      </c>
      <c r="E22" s="54">
        <v>72.821427999999997</v>
      </c>
      <c r="F22" s="54">
        <v>95.071427999999997</v>
      </c>
      <c r="G22" s="54">
        <v>68.595237999999995</v>
      </c>
      <c r="H22" s="54">
        <v>43.197367999999997</v>
      </c>
      <c r="I22" s="54">
        <v>41.352271999999999</v>
      </c>
      <c r="J22" s="54">
        <v>19.712499999999999</v>
      </c>
      <c r="K22" s="54">
        <v>39.829545000000003</v>
      </c>
      <c r="L22" s="54">
        <v>81.102271999999999</v>
      </c>
      <c r="M22" s="54">
        <v>67.365384000000006</v>
      </c>
    </row>
    <row r="23" spans="1:13" x14ac:dyDescent="0.2">
      <c r="A23" s="44">
        <v>1990</v>
      </c>
      <c r="B23" s="54">
        <v>27.163042999999998</v>
      </c>
      <c r="C23" s="54">
        <v>26.675000000000001</v>
      </c>
      <c r="D23" s="54">
        <v>19.647727</v>
      </c>
      <c r="E23" s="54">
        <v>12.607142</v>
      </c>
      <c r="F23" s="54">
        <v>-3.0625</v>
      </c>
      <c r="G23" s="54">
        <v>-9.7954539999999994</v>
      </c>
      <c r="H23" s="54">
        <v>-6.4342100000000002</v>
      </c>
      <c r="I23" s="54">
        <v>-9.625</v>
      </c>
      <c r="J23" s="54">
        <v>-11</v>
      </c>
      <c r="K23" s="54">
        <v>-13.931818</v>
      </c>
      <c r="L23" s="54">
        <v>-18.809522999999999</v>
      </c>
      <c r="M23" s="54">
        <v>-22</v>
      </c>
    </row>
    <row r="24" spans="1:13" x14ac:dyDescent="0.2">
      <c r="A24" s="44">
        <v>1991</v>
      </c>
      <c r="B24" s="54">
        <v>30.923912999999999</v>
      </c>
      <c r="C24" s="54">
        <v>38.539473000000001</v>
      </c>
      <c r="D24" s="54">
        <v>39.391303999999998</v>
      </c>
      <c r="E24" s="54">
        <v>12.440476</v>
      </c>
      <c r="F24" s="54">
        <v>3.9125000000000001</v>
      </c>
      <c r="G24" s="54">
        <v>-8.7159089999999999</v>
      </c>
      <c r="H24" s="54">
        <v>-16.5</v>
      </c>
      <c r="I24" s="54">
        <v>-18.337499999999999</v>
      </c>
      <c r="J24" s="54">
        <v>-18.022727</v>
      </c>
      <c r="K24" s="54">
        <v>-13.477271999999999</v>
      </c>
      <c r="L24" s="54">
        <v>-10.387499999999999</v>
      </c>
      <c r="M24" s="54">
        <v>-1.95</v>
      </c>
    </row>
    <row r="25" spans="1:13" x14ac:dyDescent="0.2">
      <c r="A25" s="44">
        <v>1992</v>
      </c>
      <c r="B25" s="54">
        <v>20.170453999999999</v>
      </c>
      <c r="C25" s="54">
        <v>36.125</v>
      </c>
      <c r="D25" s="54">
        <v>10.586956000000001</v>
      </c>
      <c r="E25" s="54">
        <v>1.9875</v>
      </c>
      <c r="F25" s="54">
        <v>-7.821428</v>
      </c>
      <c r="G25" s="54">
        <v>-11.875</v>
      </c>
      <c r="H25" s="54">
        <v>-15.18421</v>
      </c>
      <c r="I25" s="54">
        <v>-15.829545</v>
      </c>
      <c r="J25" s="54">
        <v>-14.565789000000001</v>
      </c>
      <c r="K25" s="54">
        <v>-14.8375</v>
      </c>
      <c r="L25" s="54">
        <v>-15.340909</v>
      </c>
      <c r="M25" s="54">
        <v>-10.116666</v>
      </c>
    </row>
    <row r="26" spans="1:13" x14ac:dyDescent="0.2">
      <c r="A26" s="44">
        <v>1993</v>
      </c>
      <c r="B26" s="54">
        <v>0.63095199999999996</v>
      </c>
      <c r="C26" s="54">
        <v>-1.3690469999999999</v>
      </c>
      <c r="D26" s="54">
        <v>-7.7045450000000004</v>
      </c>
      <c r="E26" s="54">
        <v>-7.2750000000000004</v>
      </c>
      <c r="F26" s="54">
        <v>-5.875</v>
      </c>
      <c r="G26" s="54">
        <v>-5.2625000000000002</v>
      </c>
      <c r="H26" s="54">
        <v>-8.5263150000000003</v>
      </c>
      <c r="I26" s="54">
        <v>-8.8913039999999999</v>
      </c>
      <c r="J26" s="54">
        <v>-7.273809</v>
      </c>
      <c r="K26" s="54">
        <v>-0.51249999999999996</v>
      </c>
      <c r="L26" s="54">
        <v>0.86363599999999996</v>
      </c>
      <c r="M26" s="54">
        <v>-3.946428</v>
      </c>
    </row>
    <row r="27" spans="1:13" x14ac:dyDescent="0.2">
      <c r="A27" s="44">
        <v>1994</v>
      </c>
      <c r="B27" s="54">
        <v>61.613636</v>
      </c>
      <c r="C27" s="54">
        <v>33.404761000000001</v>
      </c>
      <c r="D27" s="54">
        <v>18.238095000000001</v>
      </c>
      <c r="E27" s="54">
        <v>43.845238000000002</v>
      </c>
      <c r="F27" s="54">
        <v>56.321427999999997</v>
      </c>
      <c r="G27" s="54">
        <v>52.571427999999997</v>
      </c>
      <c r="H27" s="54">
        <v>39.697367999999997</v>
      </c>
      <c r="I27" s="54">
        <v>35.673912999999999</v>
      </c>
      <c r="J27" s="54">
        <v>41.197367999999997</v>
      </c>
      <c r="K27" s="54">
        <v>41.761904000000001</v>
      </c>
      <c r="L27" s="54">
        <v>25.363636</v>
      </c>
      <c r="M27" s="54">
        <v>39.096153000000001</v>
      </c>
    </row>
    <row r="28" spans="1:13" x14ac:dyDescent="0.2">
      <c r="A28" s="44">
        <v>1995</v>
      </c>
      <c r="B28" s="54">
        <v>-3.1413039999999999</v>
      </c>
      <c r="C28" s="54">
        <v>-7.071428</v>
      </c>
      <c r="D28" s="54">
        <v>-14.488095</v>
      </c>
      <c r="E28" s="54">
        <v>-10.845238</v>
      </c>
      <c r="F28" s="54">
        <v>-10.547618999999999</v>
      </c>
      <c r="G28" s="54">
        <v>-13.428571</v>
      </c>
      <c r="H28" s="54">
        <v>-12.592105</v>
      </c>
      <c r="I28" s="54">
        <v>-13.858695000000001</v>
      </c>
      <c r="J28" s="54">
        <v>-15.473684</v>
      </c>
      <c r="K28" s="54">
        <v>-17.386362999999999</v>
      </c>
      <c r="L28" s="54">
        <v>-18.386362999999999</v>
      </c>
      <c r="M28" s="54">
        <v>-11.961537999999999</v>
      </c>
    </row>
    <row r="29" spans="1:13" x14ac:dyDescent="0.2">
      <c r="A29" s="44">
        <v>1996</v>
      </c>
      <c r="B29" s="54">
        <v>17.684781999999998</v>
      </c>
      <c r="C29" s="54">
        <v>21.725000000000001</v>
      </c>
      <c r="D29" s="54">
        <v>24.295453999999999</v>
      </c>
      <c r="E29" s="54">
        <v>29.261904000000001</v>
      </c>
      <c r="F29" s="54">
        <v>39.200000000000003</v>
      </c>
      <c r="G29" s="54">
        <v>45.579545000000003</v>
      </c>
      <c r="H29" s="54">
        <v>24.587499999999999</v>
      </c>
      <c r="I29" s="54">
        <v>11.95238</v>
      </c>
      <c r="J29" s="54">
        <v>23.428571000000002</v>
      </c>
      <c r="K29" s="54">
        <v>32.181818</v>
      </c>
      <c r="L29" s="54">
        <v>32.5625</v>
      </c>
      <c r="M29" s="54">
        <v>32.85</v>
      </c>
    </row>
    <row r="30" spans="1:13" x14ac:dyDescent="0.2">
      <c r="A30" s="44">
        <v>1997</v>
      </c>
      <c r="B30" s="54">
        <v>74.295454000000007</v>
      </c>
      <c r="C30" s="54">
        <v>71.724999999999994</v>
      </c>
      <c r="D30" s="54">
        <v>36.108694999999997</v>
      </c>
      <c r="E30" s="54">
        <v>26.324999999999999</v>
      </c>
      <c r="F30" s="54">
        <v>30.476189999999999</v>
      </c>
      <c r="G30" s="54">
        <v>48.806818</v>
      </c>
      <c r="H30" s="54">
        <v>66.5</v>
      </c>
      <c r="I30" s="54">
        <v>120.5125</v>
      </c>
      <c r="J30" s="54">
        <v>159.01136299999999</v>
      </c>
      <c r="K30" s="54">
        <v>171.547619</v>
      </c>
      <c r="L30" s="54">
        <v>162.36904699999999</v>
      </c>
      <c r="M30" s="54">
        <v>168.85</v>
      </c>
    </row>
    <row r="31" spans="1:13" x14ac:dyDescent="0.2">
      <c r="A31" s="44">
        <v>1998</v>
      </c>
      <c r="B31" s="54">
        <v>19.761904000000001</v>
      </c>
      <c r="C31" s="54">
        <v>21.702380000000002</v>
      </c>
      <c r="D31" s="54">
        <v>26.413042999999998</v>
      </c>
      <c r="E31" s="54">
        <v>37.065789000000002</v>
      </c>
      <c r="F31" s="54">
        <v>29.056818</v>
      </c>
      <c r="G31" s="54">
        <v>19.287500000000001</v>
      </c>
      <c r="H31" s="54">
        <v>17.013157</v>
      </c>
      <c r="I31" s="54">
        <v>18.704545</v>
      </c>
      <c r="J31" s="54">
        <v>21.916665999999999</v>
      </c>
      <c r="K31" s="54">
        <v>22.875</v>
      </c>
      <c r="L31" s="54">
        <v>27.454545</v>
      </c>
      <c r="M31" s="54">
        <v>55.366666000000002</v>
      </c>
    </row>
    <row r="32" spans="1:13" x14ac:dyDescent="0.2">
      <c r="A32" s="44">
        <v>1999</v>
      </c>
      <c r="B32" s="54">
        <v>-11.797618999999999</v>
      </c>
      <c r="C32" s="54">
        <v>-11.261903999999999</v>
      </c>
      <c r="D32" s="54">
        <v>-8.5</v>
      </c>
      <c r="E32" s="54">
        <v>-7.0875000000000004</v>
      </c>
      <c r="F32" s="54">
        <v>-6.3863630000000002</v>
      </c>
      <c r="G32" s="54">
        <v>-6.0657889999999997</v>
      </c>
      <c r="H32" s="54">
        <v>-11.118421</v>
      </c>
      <c r="I32" s="54">
        <v>-12.760869</v>
      </c>
      <c r="J32" s="54">
        <v>-14.583333</v>
      </c>
      <c r="K32" s="54">
        <v>-12.6</v>
      </c>
      <c r="L32" s="54">
        <v>-8.9772719999999993</v>
      </c>
      <c r="M32" s="54">
        <v>-2.446428</v>
      </c>
    </row>
    <row r="33" spans="1:13" x14ac:dyDescent="0.2">
      <c r="A33" s="44">
        <v>2000</v>
      </c>
      <c r="B33" s="54">
        <v>-7.25</v>
      </c>
      <c r="C33" s="54">
        <v>-6.4761899999999999</v>
      </c>
      <c r="D33" s="54">
        <v>-4.9523799999999998</v>
      </c>
      <c r="E33" s="54">
        <v>-5.5476190000000001</v>
      </c>
      <c r="F33" s="54">
        <v>-6.6071419999999996</v>
      </c>
      <c r="G33" s="54">
        <v>-9.1</v>
      </c>
      <c r="H33" s="54">
        <v>-8.6750000000000007</v>
      </c>
      <c r="I33" s="54">
        <v>-10.195652000000001</v>
      </c>
      <c r="J33" s="54">
        <v>-12.657894000000001</v>
      </c>
      <c r="K33" s="54">
        <v>-11.056818</v>
      </c>
      <c r="L33" s="54">
        <v>4.1022720000000001</v>
      </c>
      <c r="M33" s="54">
        <v>7.0833329999999997</v>
      </c>
    </row>
    <row r="34" spans="1:13" x14ac:dyDescent="0.2">
      <c r="A34" s="44">
        <v>2001</v>
      </c>
      <c r="B34" s="54">
        <v>-8.4021729999999994</v>
      </c>
      <c r="C34" s="54">
        <v>-1.6125</v>
      </c>
      <c r="D34" s="54">
        <v>-6.0795450000000004</v>
      </c>
      <c r="E34" s="54">
        <v>-5.2142850000000003</v>
      </c>
      <c r="F34" s="54">
        <v>2.5874999999999999</v>
      </c>
      <c r="G34" s="54">
        <v>2.9761899999999999</v>
      </c>
      <c r="H34" s="54">
        <v>-1.68421</v>
      </c>
      <c r="I34" s="54">
        <v>-0.89772700000000005</v>
      </c>
      <c r="J34" s="54">
        <v>3.4375</v>
      </c>
      <c r="K34" s="54">
        <v>11.943180999999999</v>
      </c>
      <c r="L34" s="54">
        <v>18.476189999999999</v>
      </c>
      <c r="M34" s="54">
        <v>11.111110999999999</v>
      </c>
    </row>
    <row r="35" spans="1:13" x14ac:dyDescent="0.2">
      <c r="A35" s="44">
        <v>2002</v>
      </c>
      <c r="B35" s="54">
        <v>10.836956000000001</v>
      </c>
      <c r="C35" s="54">
        <v>6.375</v>
      </c>
      <c r="D35" s="54">
        <v>-1.456521</v>
      </c>
      <c r="E35" s="54">
        <v>-2.773809</v>
      </c>
      <c r="F35" s="54">
        <v>-4.2763150000000003</v>
      </c>
      <c r="G35" s="54">
        <v>-3.6666660000000002</v>
      </c>
      <c r="H35" s="54">
        <v>-5.394736</v>
      </c>
      <c r="I35" s="54">
        <v>-2.5125000000000002</v>
      </c>
      <c r="J35" s="54">
        <v>6.193181</v>
      </c>
      <c r="K35" s="54">
        <v>15.113636</v>
      </c>
      <c r="L35" s="54">
        <v>25.774999999999999</v>
      </c>
      <c r="M35" s="54">
        <v>54.111111000000001</v>
      </c>
    </row>
    <row r="36" spans="1:13" x14ac:dyDescent="0.2">
      <c r="A36" s="44">
        <v>2003</v>
      </c>
      <c r="B36" s="54">
        <v>28.909089999999999</v>
      </c>
      <c r="C36" s="54">
        <v>41.0625</v>
      </c>
      <c r="D36" s="54">
        <v>39.163043000000002</v>
      </c>
      <c r="E36" s="54">
        <v>44.887500000000003</v>
      </c>
      <c r="F36" s="54">
        <v>42.237499999999997</v>
      </c>
      <c r="G36" s="54">
        <v>36.75</v>
      </c>
      <c r="H36" s="54">
        <v>41.092104999999997</v>
      </c>
      <c r="I36" s="54">
        <v>52.845238000000002</v>
      </c>
      <c r="J36" s="54">
        <v>72.440476000000004</v>
      </c>
      <c r="K36" s="54">
        <v>72.321427999999997</v>
      </c>
      <c r="L36" s="54">
        <v>59.880952000000001</v>
      </c>
      <c r="M36" s="54">
        <v>78.805554999999998</v>
      </c>
    </row>
    <row r="37" spans="1:13" x14ac:dyDescent="0.2">
      <c r="A37" s="44">
        <v>2004</v>
      </c>
      <c r="B37" s="54">
        <v>14.345238</v>
      </c>
      <c r="C37" s="54">
        <v>57.011904000000001</v>
      </c>
      <c r="D37" s="54">
        <v>97.597825999999998</v>
      </c>
      <c r="E37" s="54">
        <v>134.85526300000001</v>
      </c>
      <c r="F37" s="54">
        <v>134.76136299999999</v>
      </c>
      <c r="G37" s="54">
        <v>150.5625</v>
      </c>
      <c r="H37" s="54">
        <v>171.486842</v>
      </c>
      <c r="I37" s="54">
        <v>217.64130399999999</v>
      </c>
      <c r="J37" s="54">
        <v>235.25</v>
      </c>
      <c r="K37" s="54">
        <v>209.625</v>
      </c>
      <c r="L37" s="54">
        <v>186.92857100000001</v>
      </c>
      <c r="M37" s="54">
        <v>285.36111099999999</v>
      </c>
    </row>
    <row r="38" spans="1:13" x14ac:dyDescent="0.2">
      <c r="A38" s="44">
        <v>2005</v>
      </c>
      <c r="B38" s="54">
        <v>14.215909</v>
      </c>
      <c r="C38" s="54">
        <v>11.785714</v>
      </c>
      <c r="D38" s="54">
        <v>-6.6666660000000002</v>
      </c>
      <c r="E38" s="54">
        <v>-13.380952000000001</v>
      </c>
      <c r="F38" s="54">
        <v>-11.773809</v>
      </c>
      <c r="G38" s="54">
        <v>-11.512499999999999</v>
      </c>
      <c r="H38" s="54">
        <v>-9.3289469999999994</v>
      </c>
      <c r="I38" s="54">
        <v>24.602271999999999</v>
      </c>
      <c r="J38" s="54">
        <v>14.476190000000001</v>
      </c>
      <c r="K38" s="54">
        <v>4.4047609999999997</v>
      </c>
      <c r="L38" s="54">
        <v>-14.375</v>
      </c>
      <c r="M38" s="54">
        <v>-13.166665999999999</v>
      </c>
    </row>
    <row r="39" spans="1:13" x14ac:dyDescent="0.2">
      <c r="A39" s="44">
        <v>2006</v>
      </c>
      <c r="B39" s="54">
        <v>24.565217000000001</v>
      </c>
      <c r="C39" s="54">
        <v>3.559523</v>
      </c>
      <c r="D39" s="54">
        <v>-2.5476190000000001</v>
      </c>
      <c r="E39" s="54">
        <v>-5.9166660000000002</v>
      </c>
      <c r="F39" s="54">
        <v>-3.559523</v>
      </c>
      <c r="G39" s="54">
        <v>-8.3249999999999993</v>
      </c>
      <c r="H39" s="54">
        <v>-11.644736</v>
      </c>
      <c r="I39" s="54">
        <v>-14.565217000000001</v>
      </c>
      <c r="J39" s="54">
        <v>-18.736841999999999</v>
      </c>
      <c r="K39" s="54">
        <v>-21.522727</v>
      </c>
      <c r="L39" s="54">
        <v>-26.954545</v>
      </c>
      <c r="M39" s="54">
        <v>-25.888888000000001</v>
      </c>
    </row>
    <row r="40" spans="1:13" x14ac:dyDescent="0.2">
      <c r="A40" s="44">
        <v>2007</v>
      </c>
      <c r="B40" s="54">
        <v>-16.228259999999999</v>
      </c>
      <c r="C40" s="54">
        <v>-16.725000000000001</v>
      </c>
      <c r="D40" s="54">
        <v>-14.738636</v>
      </c>
      <c r="E40" s="54">
        <v>-10.630952000000001</v>
      </c>
      <c r="F40" s="54">
        <v>-17.925000000000001</v>
      </c>
      <c r="G40" s="54">
        <v>-22.05</v>
      </c>
      <c r="H40" s="54">
        <v>-22.342105</v>
      </c>
      <c r="I40" s="54">
        <v>-24.988636</v>
      </c>
      <c r="J40" s="54">
        <v>-27.5</v>
      </c>
      <c r="K40" s="54">
        <v>-29</v>
      </c>
      <c r="L40" s="54">
        <v>-33.095238000000002</v>
      </c>
      <c r="M40" s="54">
        <v>-32.25</v>
      </c>
    </row>
    <row r="41" spans="1:13" x14ac:dyDescent="0.2">
      <c r="A41" s="44">
        <v>2008</v>
      </c>
      <c r="B41" s="54">
        <v>20.456520999999999</v>
      </c>
      <c r="C41" s="54">
        <v>53.25</v>
      </c>
      <c r="D41" s="54">
        <v>56.576085999999997</v>
      </c>
      <c r="E41" s="54">
        <v>86.369046999999995</v>
      </c>
      <c r="F41" s="54">
        <v>117.3875</v>
      </c>
      <c r="G41" s="54">
        <v>76.452380000000005</v>
      </c>
      <c r="H41" s="54">
        <v>76.987499999999997</v>
      </c>
      <c r="I41" s="54">
        <v>105.425</v>
      </c>
      <c r="J41" s="54">
        <v>93.034090000000006</v>
      </c>
      <c r="K41" s="54">
        <v>35.440475999999997</v>
      </c>
      <c r="L41" s="54">
        <v>14.678571</v>
      </c>
      <c r="M41" s="54">
        <v>26.027777</v>
      </c>
    </row>
    <row r="42" spans="1:13" x14ac:dyDescent="0.2">
      <c r="A42" s="44">
        <v>2009</v>
      </c>
      <c r="B42" s="54">
        <v>52.976190000000003</v>
      </c>
      <c r="C42" s="54">
        <v>54.523809</v>
      </c>
      <c r="D42" s="54">
        <v>4.3804340000000002</v>
      </c>
      <c r="E42" s="54">
        <v>3.644736</v>
      </c>
      <c r="F42" s="54">
        <v>-1.704545</v>
      </c>
      <c r="G42" s="54">
        <v>40.887500000000003</v>
      </c>
      <c r="H42" s="54">
        <v>57.315789000000002</v>
      </c>
      <c r="I42" s="54">
        <v>53.829545000000003</v>
      </c>
      <c r="J42" s="54">
        <v>91.369046999999995</v>
      </c>
      <c r="K42" s="54">
        <v>140.83750000000001</v>
      </c>
      <c r="L42" s="54">
        <v>173.55681799999999</v>
      </c>
      <c r="M42" s="54">
        <v>209.91666599999999</v>
      </c>
    </row>
    <row r="43" spans="1:13" x14ac:dyDescent="0.2">
      <c r="A43" s="44">
        <v>2010</v>
      </c>
      <c r="B43" s="54">
        <v>45.690475999999997</v>
      </c>
      <c r="C43" s="54">
        <v>32.619047000000002</v>
      </c>
      <c r="D43" s="54">
        <v>10.397727</v>
      </c>
      <c r="E43" s="54">
        <v>15.362500000000001</v>
      </c>
      <c r="F43" s="54">
        <v>34.681818</v>
      </c>
      <c r="G43" s="54">
        <v>34.18421</v>
      </c>
      <c r="H43" s="54">
        <v>32.355263000000001</v>
      </c>
      <c r="I43" s="54">
        <v>31.391304000000002</v>
      </c>
      <c r="J43" s="54">
        <v>27.690476</v>
      </c>
      <c r="K43" s="54">
        <v>27.65</v>
      </c>
      <c r="L43" s="54">
        <v>35.409089999999999</v>
      </c>
      <c r="M43" s="54">
        <v>66.583332999999996</v>
      </c>
    </row>
    <row r="44" spans="1:13" x14ac:dyDescent="0.2">
      <c r="A44" s="44">
        <v>2011</v>
      </c>
      <c r="B44" s="54">
        <v>28.863636</v>
      </c>
      <c r="C44" s="54">
        <v>39.023809</v>
      </c>
      <c r="D44" s="54">
        <v>56.690475999999997</v>
      </c>
      <c r="E44" s="54">
        <v>87.857141999999996</v>
      </c>
      <c r="F44" s="54">
        <v>99.943180999999996</v>
      </c>
      <c r="G44" s="54">
        <v>96.537499999999994</v>
      </c>
      <c r="H44" s="54">
        <v>62.894736000000002</v>
      </c>
      <c r="I44" s="54">
        <v>37</v>
      </c>
      <c r="J44" s="54">
        <v>7.2374999999999998</v>
      </c>
      <c r="K44" s="54">
        <v>17.690476</v>
      </c>
      <c r="L44" s="54">
        <v>7</v>
      </c>
      <c r="M44" s="54">
        <v>8.5833329999999997</v>
      </c>
    </row>
    <row r="45" spans="1:13" x14ac:dyDescent="0.2">
      <c r="A45" s="44">
        <v>2012</v>
      </c>
      <c r="B45" s="54">
        <v>56.663043000000002</v>
      </c>
      <c r="C45" s="54">
        <v>43.654761000000001</v>
      </c>
      <c r="D45" s="54">
        <v>28.988095000000001</v>
      </c>
      <c r="E45" s="54">
        <v>14.011903999999999</v>
      </c>
      <c r="F45" s="54">
        <v>10.773809</v>
      </c>
      <c r="G45" s="54">
        <v>20.037500000000001</v>
      </c>
      <c r="H45" s="54">
        <v>17.837499999999999</v>
      </c>
      <c r="I45" s="54">
        <v>46.454545000000003</v>
      </c>
      <c r="J45" s="54">
        <v>80.6875</v>
      </c>
      <c r="K45" s="54">
        <v>102.18181800000001</v>
      </c>
      <c r="L45" s="54">
        <v>72.261904000000001</v>
      </c>
      <c r="M45" s="54">
        <v>102.222222</v>
      </c>
    </row>
    <row r="46" spans="1:13" x14ac:dyDescent="0.2">
      <c r="A46" s="44">
        <v>2013</v>
      </c>
      <c r="B46" s="54">
        <v>168.51086900000001</v>
      </c>
      <c r="C46" s="54">
        <v>178.55263099999999</v>
      </c>
      <c r="D46" s="54">
        <v>113.934782</v>
      </c>
      <c r="E46" s="54">
        <v>94.273809</v>
      </c>
      <c r="F46" s="54">
        <v>112.7625</v>
      </c>
      <c r="G46" s="54">
        <v>104.66666600000001</v>
      </c>
      <c r="H46" s="54">
        <v>147.71052599999999</v>
      </c>
      <c r="I46" s="54">
        <v>158.13749999999999</v>
      </c>
      <c r="J46" s="54">
        <v>147.73863600000001</v>
      </c>
      <c r="K46" s="54">
        <v>205.23863600000001</v>
      </c>
      <c r="L46" s="54">
        <v>227.6875</v>
      </c>
      <c r="M46" s="54">
        <v>329.75</v>
      </c>
    </row>
    <row r="47" spans="1:13" x14ac:dyDescent="0.2">
      <c r="A47" s="44">
        <v>2014</v>
      </c>
      <c r="B47" s="54">
        <v>56.022727000000003</v>
      </c>
      <c r="C47" s="54">
        <v>106.1</v>
      </c>
      <c r="D47" s="54">
        <v>78.413043000000002</v>
      </c>
      <c r="E47" s="54">
        <v>100.8625</v>
      </c>
      <c r="F47" s="54">
        <v>128.19047599999999</v>
      </c>
      <c r="G47" s="54">
        <v>143.19047599999999</v>
      </c>
      <c r="H47" s="54">
        <v>185.10526300000001</v>
      </c>
      <c r="I47" s="54">
        <v>213.46428499999999</v>
      </c>
      <c r="J47" s="54">
        <v>251.40476100000001</v>
      </c>
      <c r="K47" s="54">
        <v>248.547619</v>
      </c>
      <c r="L47" s="54">
        <v>216.821428</v>
      </c>
      <c r="M47" s="54">
        <v>233.97222199999999</v>
      </c>
    </row>
    <row r="48" spans="1:13" x14ac:dyDescent="0.2">
      <c r="A48" s="44">
        <v>2015</v>
      </c>
      <c r="B48" s="54">
        <v>20.166665999999999</v>
      </c>
      <c r="C48" s="54">
        <v>13.154761000000001</v>
      </c>
      <c r="D48" s="54">
        <v>19.217390999999999</v>
      </c>
      <c r="E48" s="54">
        <v>33.43421</v>
      </c>
      <c r="F48" s="54">
        <v>38.215909000000003</v>
      </c>
      <c r="G48" s="54">
        <v>30.212499999999999</v>
      </c>
      <c r="H48" s="54">
        <v>28.565788999999999</v>
      </c>
      <c r="I48" s="54">
        <v>24.306818</v>
      </c>
      <c r="J48" s="54">
        <v>18.107142</v>
      </c>
      <c r="K48" s="54">
        <v>22.925000000000001</v>
      </c>
      <c r="L48" s="54">
        <v>26.488636</v>
      </c>
      <c r="M48" s="54">
        <v>40.56818181818182</v>
      </c>
    </row>
    <row r="49" spans="1:16" x14ac:dyDescent="0.2">
      <c r="A49" s="44">
        <v>2016</v>
      </c>
      <c r="B49" s="54">
        <v>26.702380952380953</v>
      </c>
      <c r="C49" s="54">
        <v>14.345238095238095</v>
      </c>
      <c r="D49" s="54">
        <v>10.863636363636363</v>
      </c>
      <c r="E49" s="54">
        <v>-1.5874999999999999</v>
      </c>
      <c r="F49" s="54">
        <v>-4</v>
      </c>
      <c r="G49" s="54">
        <v>-3.0657894736842106</v>
      </c>
      <c r="H49" s="54">
        <v>-4.0875000000000004</v>
      </c>
      <c r="I49" s="54">
        <v>-5.7954545454545459</v>
      </c>
      <c r="J49" s="54">
        <v>4.75</v>
      </c>
      <c r="K49" s="54">
        <v>18.702380952380953</v>
      </c>
      <c r="L49" s="54">
        <v>25.238095238095237</v>
      </c>
      <c r="M49" s="54">
        <v>61.712499999999999</v>
      </c>
    </row>
    <row r="50" spans="1:16" x14ac:dyDescent="0.2">
      <c r="A50" s="44">
        <v>2017</v>
      </c>
      <c r="B50" s="54">
        <v>45.630434782608695</v>
      </c>
      <c r="C50" s="54">
        <v>32.952380952380949</v>
      </c>
      <c r="D50" s="54">
        <v>24.404761904761905</v>
      </c>
      <c r="E50" s="54">
        <v>29.357142857142858</v>
      </c>
      <c r="F50" s="54">
        <v>35.488095238095241</v>
      </c>
      <c r="G50" s="54">
        <v>40.9375</v>
      </c>
      <c r="H50" s="54">
        <v>37.236842105263158</v>
      </c>
      <c r="I50" s="54">
        <v>15.478260869565217</v>
      </c>
      <c r="J50" s="54">
        <v>2.2236842105263159</v>
      </c>
      <c r="K50" s="54">
        <v>2.7613636363636362</v>
      </c>
      <c r="L50" s="54">
        <v>-7.8068181818181817</v>
      </c>
      <c r="M50" s="54">
        <v>27.725000000000001</v>
      </c>
    </row>
    <row r="51" spans="1:16" x14ac:dyDescent="0.2">
      <c r="A51" s="44">
        <v>2018</v>
      </c>
      <c r="B51" s="54">
        <v>15.804347826086957</v>
      </c>
      <c r="C51" s="54">
        <v>15.8</v>
      </c>
      <c r="D51" s="54">
        <v>18.272727272727273</v>
      </c>
      <c r="E51" s="54">
        <v>17.357142857142858</v>
      </c>
      <c r="F51" s="54">
        <v>12.8375</v>
      </c>
      <c r="G51" s="54">
        <v>3.1904761904761907</v>
      </c>
      <c r="H51" s="54">
        <v>14.684210526315789</v>
      </c>
      <c r="I51" s="54">
        <v>20.261904761904763</v>
      </c>
      <c r="J51" s="54">
        <v>9.0476190476190474</v>
      </c>
      <c r="K51" s="54">
        <v>-7.4431818181818183</v>
      </c>
      <c r="L51" s="54">
        <v>-20.952380952380953</v>
      </c>
      <c r="M51" s="54">
        <v>5.9523809523809526</v>
      </c>
    </row>
    <row r="52" spans="1:16" x14ac:dyDescent="0.2">
      <c r="A52" s="44">
        <v>2019</v>
      </c>
      <c r="B52" s="54">
        <v>2.3804347826086958</v>
      </c>
      <c r="C52" s="54">
        <v>-11.565789473684211</v>
      </c>
      <c r="D52" s="54">
        <v>-13.456521739130435</v>
      </c>
      <c r="E52" s="54">
        <v>-9.9285714285714288</v>
      </c>
      <c r="F52" s="54">
        <v>-11.137499999999999</v>
      </c>
      <c r="G52" s="54">
        <v>-13.857142857142858</v>
      </c>
      <c r="H52" s="54">
        <v>-16.118421052631579</v>
      </c>
      <c r="I52" s="54">
        <v>-20.63095238095238</v>
      </c>
      <c r="J52" s="54">
        <v>-19.845238095238095</v>
      </c>
      <c r="K52" s="54">
        <v>-24.727272727272727</v>
      </c>
      <c r="L52" s="54">
        <v>-25.987500000000001</v>
      </c>
      <c r="M52" s="54">
        <v>-0.89772727272727271</v>
      </c>
    </row>
    <row r="53" spans="1:16" x14ac:dyDescent="0.2">
      <c r="A53" s="44">
        <v>2020</v>
      </c>
      <c r="B53" s="54">
        <v>-12.613636363636363</v>
      </c>
      <c r="C53" s="54">
        <v>-12.025</v>
      </c>
      <c r="D53" s="54">
        <v>-4.3478260869565216E-2</v>
      </c>
      <c r="E53" s="54">
        <v>-3.7250000000000001</v>
      </c>
      <c r="F53" s="54">
        <v>-4.1309523809523814</v>
      </c>
      <c r="G53" s="54">
        <v>-6.0714285714285712</v>
      </c>
      <c r="H53" s="54">
        <v>-9.1315789473684212</v>
      </c>
      <c r="I53" s="54">
        <v>-0.96590909090909094</v>
      </c>
      <c r="J53" s="54">
        <v>-5.0357142857142856</v>
      </c>
      <c r="K53" s="54">
        <v>-7.2625000000000002</v>
      </c>
      <c r="L53" s="54">
        <v>-5.9761904761904763</v>
      </c>
      <c r="M53" s="54">
        <v>9.795454545454545</v>
      </c>
    </row>
    <row r="54" spans="1:16" x14ac:dyDescent="0.2">
      <c r="A54" s="44">
        <v>2021</v>
      </c>
      <c r="B54" s="54">
        <v>9.1428571428571423</v>
      </c>
      <c r="C54" s="54">
        <v>42.928571428571431</v>
      </c>
      <c r="D54" s="54">
        <v>65.5</v>
      </c>
      <c r="E54" s="54">
        <v>107.3125</v>
      </c>
      <c r="F54" s="54">
        <v>139.25</v>
      </c>
      <c r="G54" s="54">
        <v>198.03947368421052</v>
      </c>
      <c r="H54" s="54" t="e">
        <v>#REF!</v>
      </c>
      <c r="I54" s="54">
        <v>172.16304347826087</v>
      </c>
      <c r="J54" s="54">
        <v>154.89285714285714</v>
      </c>
      <c r="K54" s="55">
        <v>171.1124999999999</v>
      </c>
      <c r="L54" s="55">
        <v>95.842532467532493</v>
      </c>
      <c r="M54" s="54"/>
    </row>
    <row r="55" spans="1:16" x14ac:dyDescent="0.2">
      <c r="A55" s="44">
        <v>2022</v>
      </c>
      <c r="B55" s="54"/>
      <c r="C55" s="54"/>
      <c r="D55" s="54"/>
      <c r="E55" s="54"/>
      <c r="F55" s="54"/>
      <c r="G55" s="54"/>
      <c r="H55" s="54"/>
      <c r="I55" s="54"/>
      <c r="J55" s="54"/>
      <c r="K55" s="55">
        <f>('Futures Averages'!K754-'Futures Averages'!G56)*100</f>
        <v>317.0238095238094</v>
      </c>
      <c r="L55" s="55">
        <f>('Futures Averages'!L754-'Futures Averages'!H56)*100</f>
        <v>340.08333333333314</v>
      </c>
      <c r="M55" s="54"/>
    </row>
    <row r="56" spans="1:16" x14ac:dyDescent="0.2">
      <c r="A56" s="44"/>
      <c r="K56" s="39"/>
      <c r="L56" s="39"/>
    </row>
    <row r="59" spans="1:16" ht="15.75" x14ac:dyDescent="0.25">
      <c r="A59" s="40" t="s">
        <v>177</v>
      </c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</row>
    <row r="60" spans="1:16" ht="13.5" x14ac:dyDescent="0.25">
      <c r="A60" s="42" t="s">
        <v>155</v>
      </c>
      <c r="B60" s="43" t="s">
        <v>86</v>
      </c>
      <c r="C60" s="43" t="s">
        <v>87</v>
      </c>
      <c r="D60" s="43" t="s">
        <v>88</v>
      </c>
      <c r="E60" s="43" t="s">
        <v>89</v>
      </c>
      <c r="F60" s="43" t="s">
        <v>90</v>
      </c>
      <c r="G60" s="43" t="s">
        <v>91</v>
      </c>
      <c r="H60" s="43" t="s">
        <v>92</v>
      </c>
      <c r="I60" s="43" t="s">
        <v>93</v>
      </c>
      <c r="J60" s="43" t="s">
        <v>94</v>
      </c>
      <c r="K60" s="43" t="s">
        <v>83</v>
      </c>
      <c r="L60" s="43" t="s">
        <v>84</v>
      </c>
      <c r="M60" s="43" t="s">
        <v>85</v>
      </c>
      <c r="O60" t="str">
        <f>_xlfn.CONCAT(K60," ","Error")</f>
        <v>May Error</v>
      </c>
      <c r="P60" t="str">
        <f>_xlfn.CONCAT(L60," ","Error")</f>
        <v>Jun Error</v>
      </c>
    </row>
    <row r="61" spans="1:16" x14ac:dyDescent="0.2">
      <c r="A61" s="44">
        <v>1971</v>
      </c>
      <c r="B61" s="54"/>
      <c r="C61" s="54"/>
      <c r="D61" s="54">
        <v>42</v>
      </c>
      <c r="E61" s="54">
        <v>36.75</v>
      </c>
      <c r="F61" s="54">
        <v>30</v>
      </c>
      <c r="G61" s="54">
        <v>27.5</v>
      </c>
      <c r="H61" s="54">
        <v>28</v>
      </c>
      <c r="I61" s="54">
        <v>27</v>
      </c>
      <c r="J61" s="54">
        <v>13.5</v>
      </c>
      <c r="K61" s="54">
        <v>12.5</v>
      </c>
      <c r="L61" s="54">
        <v>11</v>
      </c>
      <c r="M61" s="54">
        <v>11.5</v>
      </c>
      <c r="O61" s="11">
        <f>K61-K4</f>
        <v>2.25</v>
      </c>
      <c r="P61" s="11">
        <f>L61-L4</f>
        <v>4.0795459999999997</v>
      </c>
    </row>
    <row r="62" spans="1:16" x14ac:dyDescent="0.2">
      <c r="A62" s="44">
        <v>1972</v>
      </c>
      <c r="B62" s="54"/>
      <c r="C62" s="54"/>
      <c r="D62" s="54"/>
      <c r="E62" s="54">
        <v>30.25</v>
      </c>
      <c r="F62" s="54">
        <v>20.5</v>
      </c>
      <c r="G62" s="54">
        <v>23</v>
      </c>
      <c r="H62" s="54">
        <v>30.25</v>
      </c>
      <c r="I62" s="54">
        <v>36</v>
      </c>
      <c r="J62" s="54">
        <v>40</v>
      </c>
      <c r="K62" s="54">
        <v>37.75</v>
      </c>
      <c r="L62" s="54">
        <v>30</v>
      </c>
      <c r="M62" s="54">
        <v>32.25</v>
      </c>
      <c r="O62" s="11">
        <f t="shared" ref="O62:P77" si="0">K62-K5</f>
        <v>3.7386369999999971</v>
      </c>
      <c r="P62" s="11">
        <f t="shared" si="0"/>
        <v>3.8636370000000007</v>
      </c>
    </row>
    <row r="63" spans="1:16" x14ac:dyDescent="0.2">
      <c r="A63" s="44">
        <v>1973</v>
      </c>
      <c r="B63" s="54"/>
      <c r="C63" s="54">
        <v>27.5</v>
      </c>
      <c r="D63" s="54">
        <v>27</v>
      </c>
      <c r="E63" s="54">
        <v>45</v>
      </c>
      <c r="F63" s="54">
        <v>69.25</v>
      </c>
      <c r="G63" s="54">
        <v>87.5</v>
      </c>
      <c r="H63" s="54">
        <v>177.5</v>
      </c>
      <c r="I63" s="54">
        <v>199.25</v>
      </c>
      <c r="J63" s="54">
        <v>220</v>
      </c>
      <c r="K63" s="54">
        <v>427</v>
      </c>
      <c r="L63" s="54">
        <v>533</v>
      </c>
      <c r="M63" s="54">
        <v>429.25</v>
      </c>
      <c r="O63" s="11">
        <f t="shared" si="0"/>
        <v>94.261364000000015</v>
      </c>
      <c r="P63" s="11">
        <f t="shared" si="0"/>
        <v>66.552632000000017</v>
      </c>
    </row>
    <row r="64" spans="1:16" x14ac:dyDescent="0.2">
      <c r="A64" s="44">
        <v>1974</v>
      </c>
      <c r="B64" s="54"/>
      <c r="C64" s="54">
        <v>62</v>
      </c>
      <c r="D64" s="54">
        <v>29.5</v>
      </c>
      <c r="E64" s="54">
        <v>22.5</v>
      </c>
      <c r="F64" s="54">
        <v>18.75</v>
      </c>
      <c r="G64" s="54">
        <v>21.75</v>
      </c>
      <c r="H64" s="54">
        <v>36.25</v>
      </c>
      <c r="I64" s="54">
        <v>29</v>
      </c>
      <c r="J64" s="54">
        <v>29.5</v>
      </c>
      <c r="K64" s="54">
        <v>15.25</v>
      </c>
      <c r="L64" s="54">
        <v>14</v>
      </c>
      <c r="M64" s="54">
        <v>14.5</v>
      </c>
      <c r="O64" s="11">
        <f t="shared" si="0"/>
        <v>3.6363640000000004</v>
      </c>
      <c r="P64" s="11">
        <f t="shared" si="0"/>
        <v>7.0750000000000002</v>
      </c>
    </row>
    <row r="65" spans="1:16" x14ac:dyDescent="0.2">
      <c r="A65" s="44">
        <v>1975</v>
      </c>
      <c r="B65" s="54"/>
      <c r="C65" s="54">
        <v>69.5</v>
      </c>
      <c r="D65" s="54">
        <v>128.5</v>
      </c>
      <c r="E65" s="54">
        <v>104.5</v>
      </c>
      <c r="F65" s="54">
        <v>78</v>
      </c>
      <c r="G65" s="54">
        <v>53</v>
      </c>
      <c r="H65" s="54">
        <v>17.5</v>
      </c>
      <c r="I65" s="54">
        <v>16</v>
      </c>
      <c r="J65" s="54">
        <v>18.75</v>
      </c>
      <c r="K65" s="54">
        <v>17.5</v>
      </c>
      <c r="L65" s="54">
        <v>21.75</v>
      </c>
      <c r="M65" s="54">
        <v>12.5</v>
      </c>
      <c r="O65" s="11">
        <f t="shared" si="0"/>
        <v>5.3452389999999994</v>
      </c>
      <c r="P65" s="11">
        <f t="shared" si="0"/>
        <v>7</v>
      </c>
    </row>
    <row r="66" spans="1:16" x14ac:dyDescent="0.2">
      <c r="A66" s="44">
        <v>1976</v>
      </c>
      <c r="B66" s="54"/>
      <c r="C66" s="54"/>
      <c r="D66" s="54">
        <v>14.75</v>
      </c>
      <c r="E66" s="54">
        <v>-2.5</v>
      </c>
      <c r="F66" s="54">
        <v>-8.25</v>
      </c>
      <c r="G66" s="54">
        <v>-10.5</v>
      </c>
      <c r="H66" s="54">
        <v>-11.25</v>
      </c>
      <c r="I66" s="54">
        <v>-11.75</v>
      </c>
      <c r="J66" s="54">
        <v>-13.75</v>
      </c>
      <c r="K66" s="54">
        <v>-9</v>
      </c>
      <c r="L66" s="54">
        <v>-9.5</v>
      </c>
      <c r="M66" s="54">
        <v>-12.5</v>
      </c>
      <c r="O66" s="11">
        <f t="shared" si="0"/>
        <v>3.5124999999999993</v>
      </c>
      <c r="P66" s="11">
        <f t="shared" si="0"/>
        <v>3.9431809999999992</v>
      </c>
    </row>
    <row r="67" spans="1:16" x14ac:dyDescent="0.2">
      <c r="A67" s="44">
        <v>1977</v>
      </c>
      <c r="B67" s="54"/>
      <c r="C67" s="54"/>
      <c r="D67" s="54">
        <v>67.5</v>
      </c>
      <c r="E67" s="54">
        <v>69</v>
      </c>
      <c r="F67" s="54">
        <v>63.25</v>
      </c>
      <c r="G67" s="54">
        <v>62.5</v>
      </c>
      <c r="H67" s="54">
        <v>70</v>
      </c>
      <c r="I67" s="54">
        <v>174.5</v>
      </c>
      <c r="J67" s="54">
        <v>309.5</v>
      </c>
      <c r="K67" s="54">
        <v>290.25</v>
      </c>
      <c r="L67" s="54">
        <v>205.5</v>
      </c>
      <c r="M67" s="54">
        <v>75</v>
      </c>
      <c r="O67" s="11">
        <f t="shared" si="0"/>
        <v>67.3125</v>
      </c>
      <c r="P67" s="11">
        <f t="shared" si="0"/>
        <v>97.965909999999994</v>
      </c>
    </row>
    <row r="68" spans="1:16" x14ac:dyDescent="0.2">
      <c r="A68" s="44">
        <v>1978</v>
      </c>
      <c r="B68" s="54"/>
      <c r="C68" s="54"/>
      <c r="D68" s="54">
        <v>7</v>
      </c>
      <c r="E68" s="54">
        <v>28.5</v>
      </c>
      <c r="F68" s="54">
        <v>28.75</v>
      </c>
      <c r="G68" s="54">
        <v>30.5</v>
      </c>
      <c r="H68" s="54">
        <v>12.75</v>
      </c>
      <c r="I68" s="54">
        <v>123.25</v>
      </c>
      <c r="J68" s="54">
        <v>92.5</v>
      </c>
      <c r="K68" s="54">
        <v>103</v>
      </c>
      <c r="L68" s="54">
        <v>64.5</v>
      </c>
      <c r="M68" s="54">
        <v>79</v>
      </c>
      <c r="O68" s="11">
        <f t="shared" si="0"/>
        <v>19.647728000000001</v>
      </c>
      <c r="P68" s="11">
        <f t="shared" si="0"/>
        <v>11.238636999999997</v>
      </c>
    </row>
    <row r="69" spans="1:16" x14ac:dyDescent="0.2">
      <c r="A69" s="44">
        <v>1979</v>
      </c>
      <c r="B69" s="54"/>
      <c r="C69" s="54"/>
      <c r="D69" s="54">
        <v>53.5</v>
      </c>
      <c r="E69" s="54">
        <v>50.25</v>
      </c>
      <c r="F69" s="54">
        <v>49.25</v>
      </c>
      <c r="G69" s="54">
        <v>45.5</v>
      </c>
      <c r="H69" s="54">
        <v>85</v>
      </c>
      <c r="I69" s="54">
        <v>74.25</v>
      </c>
      <c r="J69" s="54">
        <v>67.75</v>
      </c>
      <c r="K69" s="54">
        <v>31</v>
      </c>
      <c r="L69" s="54">
        <v>39</v>
      </c>
      <c r="M69" s="54">
        <v>16</v>
      </c>
      <c r="O69" s="11">
        <f t="shared" si="0"/>
        <v>12.784091</v>
      </c>
      <c r="P69" s="11">
        <f t="shared" si="0"/>
        <v>35.845238999999999</v>
      </c>
    </row>
    <row r="70" spans="1:16" x14ac:dyDescent="0.2">
      <c r="A70" s="44">
        <v>1980</v>
      </c>
      <c r="B70" s="54"/>
      <c r="C70" s="54">
        <v>21.5</v>
      </c>
      <c r="D70" s="54">
        <v>6.75</v>
      </c>
      <c r="E70" s="54">
        <v>-12.5</v>
      </c>
      <c r="F70" s="54">
        <v>-15</v>
      </c>
      <c r="G70" s="54">
        <v>-22.25</v>
      </c>
      <c r="H70" s="54">
        <v>-18</v>
      </c>
      <c r="I70" s="54">
        <v>-27</v>
      </c>
      <c r="J70" s="54">
        <v>-30.75</v>
      </c>
      <c r="K70" s="54">
        <v>-26</v>
      </c>
      <c r="L70" s="54">
        <v>-29</v>
      </c>
      <c r="M70" s="54">
        <v>-7.5</v>
      </c>
      <c r="O70" s="11">
        <f t="shared" si="0"/>
        <v>4.1428569999999993</v>
      </c>
      <c r="P70" s="11">
        <f t="shared" si="0"/>
        <v>2.2142850000000003</v>
      </c>
    </row>
    <row r="71" spans="1:16" x14ac:dyDescent="0.2">
      <c r="A71" s="44">
        <v>1981</v>
      </c>
      <c r="B71" s="54"/>
      <c r="C71" s="54">
        <v>88.5</v>
      </c>
      <c r="D71" s="54">
        <v>152.75</v>
      </c>
      <c r="E71" s="54">
        <v>164.5</v>
      </c>
      <c r="F71" s="54">
        <v>121.5</v>
      </c>
      <c r="G71" s="54">
        <v>45</v>
      </c>
      <c r="H71" s="54">
        <v>-16</v>
      </c>
      <c r="I71" s="54">
        <v>-24.25</v>
      </c>
      <c r="J71" s="54">
        <v>-23.5</v>
      </c>
      <c r="K71" s="54">
        <v>-10.25</v>
      </c>
      <c r="L71" s="54">
        <v>-10.75</v>
      </c>
      <c r="M71" s="54">
        <v>-23.25</v>
      </c>
      <c r="O71" s="11">
        <f t="shared" si="0"/>
        <v>9.9624999999999986</v>
      </c>
      <c r="P71" s="11">
        <f t="shared" si="0"/>
        <v>16.772727</v>
      </c>
    </row>
    <row r="72" spans="1:16" x14ac:dyDescent="0.2">
      <c r="A72" s="44">
        <v>1982</v>
      </c>
      <c r="B72" s="54"/>
      <c r="C72" s="54">
        <v>-4</v>
      </c>
      <c r="D72" s="54">
        <v>-9.5</v>
      </c>
      <c r="E72" s="54">
        <v>-5.5</v>
      </c>
      <c r="F72" s="54">
        <v>3.5</v>
      </c>
      <c r="G72" s="54">
        <v>-4</v>
      </c>
      <c r="H72" s="54">
        <v>-9</v>
      </c>
      <c r="I72" s="54">
        <v>-5.5</v>
      </c>
      <c r="J72" s="54">
        <v>-6.25</v>
      </c>
      <c r="K72" s="54">
        <v>-5</v>
      </c>
      <c r="L72" s="54">
        <v>-7.25</v>
      </c>
      <c r="M72" s="54">
        <v>4.5</v>
      </c>
      <c r="O72" s="11">
        <f t="shared" si="0"/>
        <v>3.6750000000000007</v>
      </c>
      <c r="P72" s="11">
        <f t="shared" si="0"/>
        <v>4.6704539999999994</v>
      </c>
    </row>
    <row r="73" spans="1:16" x14ac:dyDescent="0.2">
      <c r="A73" s="44">
        <v>1983</v>
      </c>
      <c r="B73" s="54">
        <v>-2</v>
      </c>
      <c r="C73" s="54">
        <v>-4.5</v>
      </c>
      <c r="D73" s="54">
        <v>5.25</v>
      </c>
      <c r="E73" s="54">
        <v>14.75</v>
      </c>
      <c r="F73" s="54">
        <v>9</v>
      </c>
      <c r="G73" s="54">
        <v>1.5</v>
      </c>
      <c r="H73" s="54">
        <v>-12</v>
      </c>
      <c r="I73" s="54">
        <v>-18</v>
      </c>
      <c r="J73" s="54">
        <v>-21.75</v>
      </c>
      <c r="K73" s="54">
        <v>-16.25</v>
      </c>
      <c r="L73" s="54">
        <v>-16.5</v>
      </c>
      <c r="M73" s="54">
        <v>-26.5</v>
      </c>
      <c r="O73" s="11">
        <f t="shared" si="0"/>
        <v>5.6190469999999983</v>
      </c>
      <c r="P73" s="11">
        <f t="shared" si="0"/>
        <v>3.2840899999999991</v>
      </c>
    </row>
    <row r="74" spans="1:16" x14ac:dyDescent="0.2">
      <c r="A74" s="44">
        <v>1984</v>
      </c>
      <c r="B74" s="54">
        <v>194.5</v>
      </c>
      <c r="C74" s="54">
        <v>210.5</v>
      </c>
      <c r="D74" s="54">
        <v>196</v>
      </c>
      <c r="E74" s="54">
        <v>198.5</v>
      </c>
      <c r="F74" s="54">
        <v>140.25</v>
      </c>
      <c r="G74" s="54">
        <v>113.5</v>
      </c>
      <c r="H74" s="54">
        <v>52.25</v>
      </c>
      <c r="I74" s="54">
        <v>84.25</v>
      </c>
      <c r="J74" s="54">
        <v>90.75</v>
      </c>
      <c r="K74" s="54">
        <v>149</v>
      </c>
      <c r="L74" s="54">
        <v>99.5</v>
      </c>
      <c r="M74" s="54">
        <v>72</v>
      </c>
      <c r="O74" s="11">
        <f t="shared" si="0"/>
        <v>28.318181999999993</v>
      </c>
      <c r="P74" s="11">
        <f t="shared" si="0"/>
        <v>43.904761999999998</v>
      </c>
    </row>
    <row r="75" spans="1:16" x14ac:dyDescent="0.2">
      <c r="A75" s="44">
        <v>1985</v>
      </c>
      <c r="B75" s="54">
        <v>60</v>
      </c>
      <c r="C75" s="54">
        <v>49</v>
      </c>
      <c r="D75" s="54">
        <v>15.5</v>
      </c>
      <c r="E75" s="54">
        <v>19.5</v>
      </c>
      <c r="F75" s="54">
        <v>14.5</v>
      </c>
      <c r="G75" s="54">
        <v>10.5</v>
      </c>
      <c r="H75" s="54">
        <v>7.75</v>
      </c>
      <c r="I75" s="54">
        <v>6.25</v>
      </c>
      <c r="J75" s="54">
        <v>3.5</v>
      </c>
      <c r="K75" s="54">
        <v>6.25</v>
      </c>
      <c r="L75" s="54">
        <v>17</v>
      </c>
      <c r="M75" s="54">
        <v>9.25</v>
      </c>
      <c r="O75" s="11">
        <f t="shared" si="0"/>
        <v>12.784089999999999</v>
      </c>
      <c r="P75" s="11">
        <f t="shared" si="0"/>
        <v>7.6875</v>
      </c>
    </row>
    <row r="76" spans="1:16" x14ac:dyDescent="0.2">
      <c r="A76" s="44">
        <v>1986</v>
      </c>
      <c r="B76" s="54">
        <v>22.75</v>
      </c>
      <c r="C76" s="54">
        <v>13.5</v>
      </c>
      <c r="D76" s="54">
        <v>20</v>
      </c>
      <c r="E76" s="54">
        <v>25.25</v>
      </c>
      <c r="F76" s="54">
        <v>29.25</v>
      </c>
      <c r="G76" s="54">
        <v>32.25</v>
      </c>
      <c r="H76" s="54">
        <v>30.5</v>
      </c>
      <c r="I76" s="54">
        <v>27.5</v>
      </c>
      <c r="J76" s="54">
        <v>18.25</v>
      </c>
      <c r="K76" s="54">
        <v>22</v>
      </c>
      <c r="L76" s="54">
        <v>29.75</v>
      </c>
      <c r="M76" s="54">
        <v>43.25</v>
      </c>
      <c r="O76" s="11">
        <f t="shared" si="0"/>
        <v>8.9285720000000008</v>
      </c>
      <c r="P76" s="11">
        <f t="shared" si="0"/>
        <v>4.4166670000000003</v>
      </c>
    </row>
    <row r="77" spans="1:16" x14ac:dyDescent="0.2">
      <c r="A77" s="44">
        <v>1987</v>
      </c>
      <c r="B77" s="54">
        <v>20.75</v>
      </c>
      <c r="C77" s="54">
        <v>3.75</v>
      </c>
      <c r="D77" s="54">
        <v>9</v>
      </c>
      <c r="E77" s="54">
        <v>12.5</v>
      </c>
      <c r="F77" s="54">
        <v>11</v>
      </c>
      <c r="G77" s="54">
        <v>16.75</v>
      </c>
      <c r="H77" s="54">
        <v>18.5</v>
      </c>
      <c r="I77" s="54">
        <v>13.25</v>
      </c>
      <c r="J77" s="54">
        <v>8.75</v>
      </c>
      <c r="K77" s="54">
        <v>3.5</v>
      </c>
      <c r="L77" s="54">
        <v>-2</v>
      </c>
      <c r="M77" s="54">
        <v>28.75</v>
      </c>
      <c r="O77" s="11">
        <f t="shared" si="0"/>
        <v>10.4625</v>
      </c>
      <c r="P77" s="11">
        <f t="shared" si="0"/>
        <v>12.068180999999999</v>
      </c>
    </row>
    <row r="78" spans="1:16" x14ac:dyDescent="0.2">
      <c r="A78" s="44">
        <v>1988</v>
      </c>
      <c r="B78" s="54">
        <v>13</v>
      </c>
      <c r="C78" s="54">
        <v>20.75</v>
      </c>
      <c r="D78" s="54">
        <v>23.5</v>
      </c>
      <c r="E78" s="54">
        <v>35.25</v>
      </c>
      <c r="F78" s="54">
        <v>39.75</v>
      </c>
      <c r="G78" s="54">
        <v>19</v>
      </c>
      <c r="H78" s="54">
        <v>-1.5</v>
      </c>
      <c r="I78" s="54">
        <v>-8.25</v>
      </c>
      <c r="J78" s="54">
        <v>-9.75</v>
      </c>
      <c r="K78" s="54">
        <v>-11.5</v>
      </c>
      <c r="L78" s="54">
        <v>44</v>
      </c>
      <c r="M78" s="54">
        <v>42.5</v>
      </c>
      <c r="O78" s="11">
        <f t="shared" ref="O78:P93" si="1">K78-K21</f>
        <v>4.7142850000000003</v>
      </c>
      <c r="P78" s="11">
        <f t="shared" si="1"/>
        <v>35.625</v>
      </c>
    </row>
    <row r="79" spans="1:16" x14ac:dyDescent="0.2">
      <c r="A79" s="44">
        <v>1989</v>
      </c>
      <c r="B79" s="54">
        <v>151</v>
      </c>
      <c r="C79" s="54">
        <v>135.25</v>
      </c>
      <c r="D79" s="54">
        <v>110</v>
      </c>
      <c r="E79" s="54">
        <v>98.25</v>
      </c>
      <c r="F79" s="54">
        <v>104.75</v>
      </c>
      <c r="G79" s="54">
        <v>100.25</v>
      </c>
      <c r="H79" s="54">
        <v>50.75</v>
      </c>
      <c r="I79" s="54">
        <v>50.5</v>
      </c>
      <c r="J79" s="54">
        <v>31.5</v>
      </c>
      <c r="K79" s="54">
        <v>85.5</v>
      </c>
      <c r="L79" s="54">
        <v>97.5</v>
      </c>
      <c r="M79" s="54">
        <v>97.5</v>
      </c>
      <c r="O79" s="11">
        <f t="shared" si="1"/>
        <v>45.670454999999997</v>
      </c>
      <c r="P79" s="11">
        <f t="shared" si="1"/>
        <v>16.397728000000001</v>
      </c>
    </row>
    <row r="80" spans="1:16" x14ac:dyDescent="0.2">
      <c r="A80" s="44">
        <v>1990</v>
      </c>
      <c r="B80" s="54">
        <v>44</v>
      </c>
      <c r="C80" s="54">
        <v>35.75</v>
      </c>
      <c r="D80" s="54">
        <v>21.75</v>
      </c>
      <c r="E80" s="54">
        <v>19.75</v>
      </c>
      <c r="F80" s="54">
        <v>3.25</v>
      </c>
      <c r="G80" s="54">
        <v>-7</v>
      </c>
      <c r="H80" s="54">
        <v>-4</v>
      </c>
      <c r="I80" s="54">
        <v>-6.5</v>
      </c>
      <c r="J80" s="54">
        <v>-8.75</v>
      </c>
      <c r="K80" s="54">
        <v>-10.5</v>
      </c>
      <c r="L80" s="54">
        <v>-13.25</v>
      </c>
      <c r="M80" s="54">
        <v>-4.25</v>
      </c>
      <c r="O80" s="11">
        <f t="shared" si="1"/>
        <v>3.4318179999999998</v>
      </c>
      <c r="P80" s="11">
        <f t="shared" si="1"/>
        <v>5.5595229999999987</v>
      </c>
    </row>
    <row r="81" spans="1:16" x14ac:dyDescent="0.2">
      <c r="A81" s="44">
        <v>1991</v>
      </c>
      <c r="B81" s="54">
        <v>45.25</v>
      </c>
      <c r="C81" s="54">
        <v>46.25</v>
      </c>
      <c r="D81" s="54">
        <v>56.75</v>
      </c>
      <c r="E81" s="54">
        <v>33.75</v>
      </c>
      <c r="F81" s="54">
        <v>13.75</v>
      </c>
      <c r="G81" s="54">
        <v>-2</v>
      </c>
      <c r="H81" s="54">
        <v>-12.5</v>
      </c>
      <c r="I81" s="54">
        <v>-13.5</v>
      </c>
      <c r="J81" s="54">
        <v>-14.5</v>
      </c>
      <c r="K81" s="54">
        <v>-9.5</v>
      </c>
      <c r="L81" s="54">
        <v>-6</v>
      </c>
      <c r="M81" s="54">
        <v>2</v>
      </c>
      <c r="O81" s="11">
        <f t="shared" si="1"/>
        <v>3.9772719999999993</v>
      </c>
      <c r="P81" s="11">
        <f t="shared" si="1"/>
        <v>4.3874999999999993</v>
      </c>
    </row>
    <row r="82" spans="1:16" x14ac:dyDescent="0.2">
      <c r="A82" s="44">
        <v>1992</v>
      </c>
      <c r="B82" s="54">
        <v>52.5</v>
      </c>
      <c r="C82" s="54">
        <v>48</v>
      </c>
      <c r="D82" s="54">
        <v>36</v>
      </c>
      <c r="E82" s="54">
        <v>10</v>
      </c>
      <c r="F82" s="54">
        <v>-3.5</v>
      </c>
      <c r="G82" s="54">
        <v>-6.5</v>
      </c>
      <c r="H82" s="54">
        <v>-12.25</v>
      </c>
      <c r="I82" s="54">
        <v>-14.25</v>
      </c>
      <c r="J82" s="54">
        <v>-13</v>
      </c>
      <c r="K82" s="54">
        <v>-13.25</v>
      </c>
      <c r="L82" s="54">
        <v>-13.25</v>
      </c>
      <c r="M82" s="54">
        <v>-4.75</v>
      </c>
      <c r="O82" s="11">
        <f t="shared" si="1"/>
        <v>1.5875000000000004</v>
      </c>
      <c r="P82" s="11">
        <f t="shared" si="1"/>
        <v>2.0909089999999999</v>
      </c>
    </row>
    <row r="83" spans="1:16" x14ac:dyDescent="0.2">
      <c r="A83" s="44">
        <v>1993</v>
      </c>
      <c r="B83" s="54">
        <v>6</v>
      </c>
      <c r="C83" s="54">
        <v>4.5</v>
      </c>
      <c r="D83" s="54">
        <v>-6.25</v>
      </c>
      <c r="E83" s="54">
        <v>-5.5</v>
      </c>
      <c r="F83" s="54">
        <v>-4</v>
      </c>
      <c r="G83" s="54">
        <v>-2.75</v>
      </c>
      <c r="H83" s="54">
        <v>-7.25</v>
      </c>
      <c r="I83" s="54">
        <v>-7.75</v>
      </c>
      <c r="J83" s="54">
        <v>-4</v>
      </c>
      <c r="K83" s="54">
        <v>3.75</v>
      </c>
      <c r="L83" s="54">
        <v>6.25</v>
      </c>
      <c r="M83" s="54">
        <v>5.25</v>
      </c>
      <c r="O83" s="11">
        <f t="shared" si="1"/>
        <v>4.2625000000000002</v>
      </c>
      <c r="P83" s="11">
        <f t="shared" si="1"/>
        <v>5.3863640000000004</v>
      </c>
    </row>
    <row r="84" spans="1:16" x14ac:dyDescent="0.2">
      <c r="A84" s="44">
        <v>1994</v>
      </c>
      <c r="B84" s="54">
        <v>90.75</v>
      </c>
      <c r="C84" s="54">
        <v>48.5</v>
      </c>
      <c r="D84" s="54">
        <v>20.75</v>
      </c>
      <c r="E84" s="54">
        <v>58.75</v>
      </c>
      <c r="F84" s="54">
        <v>65.5</v>
      </c>
      <c r="G84" s="54">
        <v>62</v>
      </c>
      <c r="H84" s="54">
        <v>50</v>
      </c>
      <c r="I84" s="54">
        <v>41.75</v>
      </c>
      <c r="J84" s="54">
        <v>46</v>
      </c>
      <c r="K84" s="54">
        <v>52</v>
      </c>
      <c r="L84" s="54">
        <v>30.5</v>
      </c>
      <c r="M84" s="54">
        <v>45</v>
      </c>
      <c r="O84" s="11">
        <f t="shared" si="1"/>
        <v>10.238095999999999</v>
      </c>
      <c r="P84" s="11">
        <f t="shared" si="1"/>
        <v>5.1363640000000004</v>
      </c>
    </row>
    <row r="85" spans="1:16" x14ac:dyDescent="0.2">
      <c r="A85" s="44">
        <v>1995</v>
      </c>
      <c r="B85" s="54">
        <v>3.5</v>
      </c>
      <c r="C85" s="54">
        <v>-3</v>
      </c>
      <c r="D85" s="54">
        <v>-12.25</v>
      </c>
      <c r="E85" s="54">
        <v>-8</v>
      </c>
      <c r="F85" s="54">
        <v>-9</v>
      </c>
      <c r="G85" s="54">
        <v>-12.25</v>
      </c>
      <c r="H85" s="54">
        <v>-11.25</v>
      </c>
      <c r="I85" s="54">
        <v>-12.5</v>
      </c>
      <c r="J85" s="54">
        <v>-13</v>
      </c>
      <c r="K85" s="54">
        <v>-16</v>
      </c>
      <c r="L85" s="54">
        <v>-17</v>
      </c>
      <c r="M85" s="54">
        <v>-8.25</v>
      </c>
      <c r="O85" s="11">
        <f t="shared" si="1"/>
        <v>1.3863629999999993</v>
      </c>
      <c r="P85" s="11">
        <f t="shared" si="1"/>
        <v>1.3863629999999993</v>
      </c>
    </row>
    <row r="86" spans="1:16" x14ac:dyDescent="0.2">
      <c r="A86" s="44">
        <v>1996</v>
      </c>
      <c r="B86" s="54">
        <v>23.75</v>
      </c>
      <c r="C86" s="54">
        <v>28.5</v>
      </c>
      <c r="D86" s="54">
        <v>30</v>
      </c>
      <c r="E86" s="54">
        <v>32.5</v>
      </c>
      <c r="F86" s="54">
        <v>52</v>
      </c>
      <c r="G86" s="54">
        <v>58.25</v>
      </c>
      <c r="H86" s="54">
        <v>39.75</v>
      </c>
      <c r="I86" s="54">
        <v>20.75</v>
      </c>
      <c r="J86" s="54">
        <v>44.25</v>
      </c>
      <c r="K86" s="54">
        <v>37</v>
      </c>
      <c r="L86" s="54">
        <v>38.75</v>
      </c>
      <c r="M86" s="54">
        <v>39.75</v>
      </c>
      <c r="O86" s="11">
        <f t="shared" si="1"/>
        <v>4.8181820000000002</v>
      </c>
      <c r="P86" s="11">
        <f t="shared" si="1"/>
        <v>6.1875</v>
      </c>
    </row>
    <row r="87" spans="1:16" x14ac:dyDescent="0.2">
      <c r="A87" s="44">
        <v>1997</v>
      </c>
      <c r="B87" s="54">
        <v>82.25</v>
      </c>
      <c r="C87" s="54">
        <v>78.25</v>
      </c>
      <c r="D87" s="54">
        <v>50</v>
      </c>
      <c r="E87" s="54">
        <v>33.75</v>
      </c>
      <c r="F87" s="54">
        <v>34.5</v>
      </c>
      <c r="G87" s="54">
        <v>60</v>
      </c>
      <c r="H87" s="54">
        <v>89.25</v>
      </c>
      <c r="I87" s="54">
        <v>165</v>
      </c>
      <c r="J87" s="54">
        <v>189.5</v>
      </c>
      <c r="K87" s="54">
        <v>195.75</v>
      </c>
      <c r="L87" s="54">
        <v>184</v>
      </c>
      <c r="M87" s="54">
        <v>197.25</v>
      </c>
      <c r="O87" s="11">
        <f t="shared" si="1"/>
        <v>24.202381000000003</v>
      </c>
      <c r="P87" s="11">
        <f t="shared" si="1"/>
        <v>21.630953000000005</v>
      </c>
    </row>
    <row r="88" spans="1:16" x14ac:dyDescent="0.2">
      <c r="A88" s="44">
        <v>1998</v>
      </c>
      <c r="B88" s="54">
        <v>42.5</v>
      </c>
      <c r="C88" s="54">
        <v>25.25</v>
      </c>
      <c r="D88" s="54">
        <v>33</v>
      </c>
      <c r="E88" s="54">
        <v>42.25</v>
      </c>
      <c r="F88" s="54">
        <v>40.75</v>
      </c>
      <c r="G88" s="54">
        <v>23.5</v>
      </c>
      <c r="H88" s="54">
        <v>19</v>
      </c>
      <c r="I88" s="54">
        <v>24</v>
      </c>
      <c r="J88" s="54">
        <v>26.25</v>
      </c>
      <c r="K88" s="54">
        <v>29.75</v>
      </c>
      <c r="L88" s="54">
        <v>35.25</v>
      </c>
      <c r="M88" s="54">
        <v>75.25</v>
      </c>
      <c r="O88" s="11">
        <f t="shared" si="1"/>
        <v>6.875</v>
      </c>
      <c r="P88" s="11">
        <f t="shared" si="1"/>
        <v>7.7954550000000005</v>
      </c>
    </row>
    <row r="89" spans="1:16" x14ac:dyDescent="0.2">
      <c r="A89" s="44">
        <v>1999</v>
      </c>
      <c r="B89" s="54">
        <v>-6.5</v>
      </c>
      <c r="C89" s="54">
        <v>-8.5</v>
      </c>
      <c r="D89" s="54">
        <v>-5.25</v>
      </c>
      <c r="E89" s="54">
        <v>-4</v>
      </c>
      <c r="F89" s="54">
        <v>-4.75</v>
      </c>
      <c r="G89" s="54">
        <v>-4</v>
      </c>
      <c r="H89" s="54">
        <v>-7.5</v>
      </c>
      <c r="I89" s="54">
        <v>-10.5</v>
      </c>
      <c r="J89" s="54">
        <v>-13.25</v>
      </c>
      <c r="K89" s="54">
        <v>-11.25</v>
      </c>
      <c r="L89" s="54">
        <v>-3.5</v>
      </c>
      <c r="M89" s="54">
        <v>5.25</v>
      </c>
      <c r="O89" s="11">
        <f t="shared" si="1"/>
        <v>1.3499999999999996</v>
      </c>
      <c r="P89" s="11">
        <f t="shared" si="1"/>
        <v>5.4772719999999993</v>
      </c>
    </row>
    <row r="90" spans="1:16" x14ac:dyDescent="0.2">
      <c r="A90" s="44">
        <v>2000</v>
      </c>
      <c r="B90" s="54">
        <v>-4.5</v>
      </c>
      <c r="C90" s="54">
        <v>-1</v>
      </c>
      <c r="D90" s="54">
        <v>-2.5</v>
      </c>
      <c r="E90" s="54">
        <v>-3.25</v>
      </c>
      <c r="F90" s="54">
        <v>-4.75</v>
      </c>
      <c r="G90" s="54">
        <v>-7</v>
      </c>
      <c r="H90" s="54">
        <v>-5.75</v>
      </c>
      <c r="I90" s="54">
        <v>-6</v>
      </c>
      <c r="J90" s="54">
        <v>-11.5</v>
      </c>
      <c r="K90" s="54">
        <v>-7</v>
      </c>
      <c r="L90" s="54">
        <v>24.5</v>
      </c>
      <c r="M90" s="54">
        <v>13.5</v>
      </c>
      <c r="O90" s="11">
        <f t="shared" si="1"/>
        <v>4.0568179999999998</v>
      </c>
      <c r="P90" s="11">
        <f t="shared" si="1"/>
        <v>20.397728000000001</v>
      </c>
    </row>
    <row r="91" spans="1:16" x14ac:dyDescent="0.2">
      <c r="A91" s="44">
        <v>2001</v>
      </c>
      <c r="B91" s="54">
        <v>-5</v>
      </c>
      <c r="C91" s="54">
        <v>2</v>
      </c>
      <c r="D91" s="54">
        <v>-2</v>
      </c>
      <c r="E91" s="54">
        <v>-1.25</v>
      </c>
      <c r="F91" s="54">
        <v>6.5</v>
      </c>
      <c r="G91" s="54">
        <v>6.25</v>
      </c>
      <c r="H91" s="54">
        <v>0.25</v>
      </c>
      <c r="I91" s="54">
        <v>4.5</v>
      </c>
      <c r="J91" s="54">
        <v>8</v>
      </c>
      <c r="K91" s="54">
        <v>18.75</v>
      </c>
      <c r="L91" s="54">
        <v>23.25</v>
      </c>
      <c r="M91" s="54">
        <v>19</v>
      </c>
      <c r="O91" s="11">
        <f t="shared" si="1"/>
        <v>6.8068190000000008</v>
      </c>
      <c r="P91" s="11">
        <f t="shared" si="1"/>
        <v>4.773810000000001</v>
      </c>
    </row>
    <row r="92" spans="1:16" x14ac:dyDescent="0.2">
      <c r="A92" s="44">
        <v>2002</v>
      </c>
      <c r="B92" s="54">
        <v>16.5</v>
      </c>
      <c r="C92" s="54">
        <v>9.5</v>
      </c>
      <c r="D92" s="54">
        <v>3.5</v>
      </c>
      <c r="E92" s="54">
        <v>-1.25</v>
      </c>
      <c r="F92" s="54">
        <v>-2.25</v>
      </c>
      <c r="G92" s="54">
        <v>-0.75</v>
      </c>
      <c r="H92" s="54">
        <v>-3.25</v>
      </c>
      <c r="I92" s="54">
        <v>1.75</v>
      </c>
      <c r="J92" s="54">
        <v>13.75</v>
      </c>
      <c r="K92" s="54">
        <v>23.25</v>
      </c>
      <c r="L92" s="54">
        <v>32.5</v>
      </c>
      <c r="M92" s="54">
        <v>70.5</v>
      </c>
      <c r="O92" s="11">
        <f t="shared" si="1"/>
        <v>8.1363640000000004</v>
      </c>
      <c r="P92" s="11">
        <f t="shared" si="1"/>
        <v>6.7250000000000014</v>
      </c>
    </row>
    <row r="93" spans="1:16" x14ac:dyDescent="0.2">
      <c r="A93" s="44">
        <v>2003</v>
      </c>
      <c r="B93" s="54">
        <v>38.75</v>
      </c>
      <c r="C93" s="54">
        <v>50</v>
      </c>
      <c r="D93" s="54">
        <v>45.25</v>
      </c>
      <c r="E93" s="54">
        <v>49</v>
      </c>
      <c r="F93" s="54">
        <v>48.75</v>
      </c>
      <c r="G93" s="54">
        <v>47.25</v>
      </c>
      <c r="H93" s="54">
        <v>56</v>
      </c>
      <c r="I93" s="54">
        <v>58.75</v>
      </c>
      <c r="J93" s="54">
        <v>83.75</v>
      </c>
      <c r="K93" s="54">
        <v>85.75</v>
      </c>
      <c r="L93" s="54">
        <v>73.25</v>
      </c>
      <c r="M93" s="54">
        <v>92.5</v>
      </c>
      <c r="O93" s="11">
        <f t="shared" si="1"/>
        <v>13.428572000000003</v>
      </c>
      <c r="P93" s="11">
        <f t="shared" si="1"/>
        <v>13.369047999999999</v>
      </c>
    </row>
    <row r="94" spans="1:16" x14ac:dyDescent="0.2">
      <c r="A94" s="44">
        <v>2004</v>
      </c>
      <c r="B94" s="54">
        <v>40</v>
      </c>
      <c r="C94" s="54">
        <v>79.25</v>
      </c>
      <c r="D94" s="54">
        <v>136.5</v>
      </c>
      <c r="E94" s="54">
        <v>149.5</v>
      </c>
      <c r="F94" s="54">
        <v>141.25</v>
      </c>
      <c r="G94" s="54">
        <v>164.5</v>
      </c>
      <c r="H94" s="54">
        <v>191</v>
      </c>
      <c r="I94" s="54">
        <v>264.25</v>
      </c>
      <c r="J94" s="54">
        <v>268.25</v>
      </c>
      <c r="K94" s="54">
        <v>267.5</v>
      </c>
      <c r="L94" s="54">
        <v>226.5</v>
      </c>
      <c r="M94" s="54">
        <v>327.5</v>
      </c>
      <c r="O94" s="11">
        <f t="shared" ref="O94:P109" si="2">K94-K37</f>
        <v>57.875</v>
      </c>
      <c r="P94" s="11">
        <f t="shared" si="2"/>
        <v>39.571428999999995</v>
      </c>
    </row>
    <row r="95" spans="1:16" x14ac:dyDescent="0.2">
      <c r="A95" s="44">
        <v>2005</v>
      </c>
      <c r="B95" s="54">
        <v>32.75</v>
      </c>
      <c r="C95" s="54">
        <v>38</v>
      </c>
      <c r="D95" s="54">
        <v>-2</v>
      </c>
      <c r="E95" s="54">
        <v>-9.5</v>
      </c>
      <c r="F95" s="54">
        <v>-8.75</v>
      </c>
      <c r="G95" s="54">
        <v>-7.75</v>
      </c>
      <c r="H95" s="54">
        <v>6</v>
      </c>
      <c r="I95" s="54">
        <v>43.25</v>
      </c>
      <c r="J95" s="54">
        <v>23.25</v>
      </c>
      <c r="K95" s="54">
        <v>15</v>
      </c>
      <c r="L95" s="54">
        <v>-4</v>
      </c>
      <c r="M95" s="54">
        <v>-8</v>
      </c>
      <c r="O95" s="11">
        <f t="shared" si="2"/>
        <v>10.595238999999999</v>
      </c>
      <c r="P95" s="11">
        <f t="shared" si="2"/>
        <v>10.375</v>
      </c>
    </row>
    <row r="96" spans="1:16" x14ac:dyDescent="0.2">
      <c r="A96" s="44">
        <v>2006</v>
      </c>
      <c r="B96" s="54">
        <v>48.5</v>
      </c>
      <c r="C96" s="54">
        <v>16</v>
      </c>
      <c r="D96" s="54">
        <v>3.25</v>
      </c>
      <c r="E96" s="54">
        <v>-1.25</v>
      </c>
      <c r="F96" s="54">
        <v>5.25</v>
      </c>
      <c r="G96" s="54">
        <v>1.5</v>
      </c>
      <c r="H96" s="54">
        <v>-5.5</v>
      </c>
      <c r="I96" s="54">
        <v>-10.25</v>
      </c>
      <c r="J96" s="54">
        <v>-15.25</v>
      </c>
      <c r="K96" s="54">
        <v>-18.25</v>
      </c>
      <c r="L96" s="54">
        <v>-24.25</v>
      </c>
      <c r="M96" s="54">
        <v>-23</v>
      </c>
      <c r="O96" s="11">
        <f t="shared" si="2"/>
        <v>3.2727269999999997</v>
      </c>
      <c r="P96" s="11">
        <f t="shared" si="2"/>
        <v>2.7045449999999995</v>
      </c>
    </row>
    <row r="97" spans="1:16" x14ac:dyDescent="0.2">
      <c r="A97" s="44">
        <v>2007</v>
      </c>
      <c r="B97" s="54">
        <v>-12.25</v>
      </c>
      <c r="C97" s="54">
        <v>-15</v>
      </c>
      <c r="D97" s="54">
        <v>-10</v>
      </c>
      <c r="E97" s="54">
        <v>-5.25</v>
      </c>
      <c r="F97" s="54">
        <v>-13.5</v>
      </c>
      <c r="G97" s="54">
        <v>-18.75</v>
      </c>
      <c r="H97" s="54">
        <v>-20.25</v>
      </c>
      <c r="I97" s="54">
        <v>-22</v>
      </c>
      <c r="J97" s="54">
        <v>-25.5</v>
      </c>
      <c r="K97" s="54">
        <v>-27.25</v>
      </c>
      <c r="L97" s="54">
        <v>-29.75</v>
      </c>
      <c r="M97" s="54">
        <v>-31.25</v>
      </c>
      <c r="O97" s="11">
        <f t="shared" si="2"/>
        <v>1.75</v>
      </c>
      <c r="P97" s="11">
        <f t="shared" si="2"/>
        <v>3.3452380000000019</v>
      </c>
    </row>
    <row r="98" spans="1:16" x14ac:dyDescent="0.2">
      <c r="A98" s="44">
        <v>2008</v>
      </c>
      <c r="B98" s="54">
        <v>31.5</v>
      </c>
      <c r="C98" s="54">
        <v>70</v>
      </c>
      <c r="D98" s="54">
        <v>73.25</v>
      </c>
      <c r="E98" s="54">
        <v>103</v>
      </c>
      <c r="F98" s="54">
        <v>144</v>
      </c>
      <c r="G98" s="54">
        <v>129.5</v>
      </c>
      <c r="H98" s="54">
        <v>120</v>
      </c>
      <c r="I98" s="54">
        <v>134</v>
      </c>
      <c r="J98" s="54">
        <v>127.5</v>
      </c>
      <c r="K98" s="54">
        <v>86</v>
      </c>
      <c r="L98" s="54">
        <v>31</v>
      </c>
      <c r="M98" s="54">
        <v>36</v>
      </c>
      <c r="O98" s="11">
        <f t="shared" si="2"/>
        <v>50.559524000000003</v>
      </c>
      <c r="P98" s="11">
        <f t="shared" si="2"/>
        <v>16.321429000000002</v>
      </c>
    </row>
    <row r="99" spans="1:16" x14ac:dyDescent="0.2">
      <c r="A99" s="44">
        <v>2009</v>
      </c>
      <c r="B99" s="54">
        <v>71.25</v>
      </c>
      <c r="C99" s="54">
        <v>71.5</v>
      </c>
      <c r="D99" s="54">
        <v>28</v>
      </c>
      <c r="E99" s="54">
        <v>9.5</v>
      </c>
      <c r="F99" s="54">
        <v>3.75</v>
      </c>
      <c r="G99" s="54">
        <v>80</v>
      </c>
      <c r="H99" s="54">
        <v>75.5</v>
      </c>
      <c r="I99" s="54">
        <v>67.25</v>
      </c>
      <c r="J99" s="54">
        <v>115</v>
      </c>
      <c r="K99" s="54">
        <v>166</v>
      </c>
      <c r="L99" s="54">
        <v>245.25</v>
      </c>
      <c r="M99" s="54">
        <v>243</v>
      </c>
      <c r="O99" s="11">
        <f t="shared" si="2"/>
        <v>25.162499999999994</v>
      </c>
      <c r="P99" s="11">
        <f t="shared" si="2"/>
        <v>71.693182000000007</v>
      </c>
    </row>
    <row r="100" spans="1:16" x14ac:dyDescent="0.2">
      <c r="A100" s="44">
        <v>2010</v>
      </c>
      <c r="B100" s="54">
        <v>56.5</v>
      </c>
      <c r="C100" s="54">
        <v>49</v>
      </c>
      <c r="D100" s="54">
        <v>18</v>
      </c>
      <c r="E100" s="54">
        <v>31</v>
      </c>
      <c r="F100" s="54">
        <v>49.25</v>
      </c>
      <c r="G100" s="54">
        <v>47</v>
      </c>
      <c r="H100" s="54">
        <v>40.75</v>
      </c>
      <c r="I100" s="54">
        <v>54.25</v>
      </c>
      <c r="J100" s="54">
        <v>33.5</v>
      </c>
      <c r="K100" s="54">
        <v>36</v>
      </c>
      <c r="L100" s="54">
        <v>47</v>
      </c>
      <c r="M100" s="54">
        <v>80.75</v>
      </c>
      <c r="O100" s="11">
        <f t="shared" si="2"/>
        <v>8.3500000000000014</v>
      </c>
      <c r="P100" s="11">
        <f t="shared" si="2"/>
        <v>11.590910000000001</v>
      </c>
    </row>
    <row r="101" spans="1:16" x14ac:dyDescent="0.2">
      <c r="A101" s="44">
        <v>2011</v>
      </c>
      <c r="B101" s="54">
        <v>35.75</v>
      </c>
      <c r="C101" s="54">
        <v>51.25</v>
      </c>
      <c r="D101" s="54">
        <v>79.25</v>
      </c>
      <c r="E101" s="54">
        <v>100.75</v>
      </c>
      <c r="F101" s="54">
        <v>117.25</v>
      </c>
      <c r="G101" s="54">
        <v>119.5</v>
      </c>
      <c r="H101" s="54">
        <v>85.5</v>
      </c>
      <c r="I101" s="54">
        <v>60.25</v>
      </c>
      <c r="J101" s="54">
        <v>19.75</v>
      </c>
      <c r="K101" s="54">
        <v>30</v>
      </c>
      <c r="L101" s="54">
        <v>17.5</v>
      </c>
      <c r="M101" s="54">
        <v>14.25</v>
      </c>
      <c r="O101" s="11">
        <f t="shared" si="2"/>
        <v>12.309524</v>
      </c>
      <c r="P101" s="11">
        <f t="shared" si="2"/>
        <v>10.5</v>
      </c>
    </row>
    <row r="102" spans="1:16" x14ac:dyDescent="0.2">
      <c r="A102" s="44">
        <v>2012</v>
      </c>
      <c r="B102" s="54">
        <v>81</v>
      </c>
      <c r="C102" s="54">
        <v>68.5</v>
      </c>
      <c r="D102" s="54">
        <v>44.75</v>
      </c>
      <c r="E102" s="54">
        <v>21.25</v>
      </c>
      <c r="F102" s="54">
        <v>22.75</v>
      </c>
      <c r="G102" s="54">
        <v>29.25</v>
      </c>
      <c r="H102" s="54">
        <v>38.75</v>
      </c>
      <c r="I102" s="54">
        <v>56.5</v>
      </c>
      <c r="J102" s="54">
        <v>131.5</v>
      </c>
      <c r="K102" s="54">
        <v>131.5</v>
      </c>
      <c r="L102" s="54">
        <v>98</v>
      </c>
      <c r="M102" s="54">
        <v>117.25</v>
      </c>
      <c r="O102" s="11">
        <f t="shared" si="2"/>
        <v>29.318181999999993</v>
      </c>
      <c r="P102" s="11">
        <f t="shared" si="2"/>
        <v>25.738095999999999</v>
      </c>
    </row>
    <row r="103" spans="1:16" x14ac:dyDescent="0.2">
      <c r="A103" s="44">
        <v>2013</v>
      </c>
      <c r="B103" s="54">
        <v>201.5</v>
      </c>
      <c r="C103" s="54">
        <v>212</v>
      </c>
      <c r="D103" s="54">
        <v>140</v>
      </c>
      <c r="E103" s="54">
        <v>124.75</v>
      </c>
      <c r="F103" s="54">
        <v>135.5</v>
      </c>
      <c r="G103" s="54">
        <v>124.5</v>
      </c>
      <c r="H103" s="54">
        <v>177.5</v>
      </c>
      <c r="I103" s="54">
        <v>184.75</v>
      </c>
      <c r="J103" s="54">
        <v>179.5</v>
      </c>
      <c r="K103" s="54">
        <v>257.5</v>
      </c>
      <c r="L103" s="54">
        <v>312.5</v>
      </c>
      <c r="M103" s="54">
        <v>359.75</v>
      </c>
      <c r="O103" s="11">
        <f t="shared" si="2"/>
        <v>52.261363999999986</v>
      </c>
      <c r="P103" s="11">
        <f t="shared" si="2"/>
        <v>84.8125</v>
      </c>
    </row>
    <row r="104" spans="1:16" x14ac:dyDescent="0.2">
      <c r="A104" s="44">
        <v>2014</v>
      </c>
      <c r="B104" s="54">
        <v>95.5</v>
      </c>
      <c r="C104" s="54">
        <v>136</v>
      </c>
      <c r="D104" s="54">
        <v>85.25</v>
      </c>
      <c r="E104" s="54">
        <v>141</v>
      </c>
      <c r="F104" s="54">
        <v>138.25</v>
      </c>
      <c r="G104" s="54">
        <v>163.25</v>
      </c>
      <c r="H104" s="54">
        <v>216</v>
      </c>
      <c r="I104" s="54">
        <v>242.25</v>
      </c>
      <c r="J104" s="54">
        <v>271.5</v>
      </c>
      <c r="K104" s="54">
        <v>264.75</v>
      </c>
      <c r="L104" s="54">
        <v>270.75</v>
      </c>
      <c r="M104" s="54">
        <v>254.25</v>
      </c>
      <c r="O104" s="11">
        <f t="shared" si="2"/>
        <v>16.202381000000003</v>
      </c>
      <c r="P104" s="11">
        <f t="shared" si="2"/>
        <v>53.928572000000003</v>
      </c>
    </row>
    <row r="105" spans="1:16" x14ac:dyDescent="0.2">
      <c r="A105" s="44">
        <v>2015</v>
      </c>
      <c r="B105" s="54">
        <v>28.5</v>
      </c>
      <c r="C105" s="54">
        <v>18.5</v>
      </c>
      <c r="D105" s="54">
        <v>48.5</v>
      </c>
      <c r="E105" s="54">
        <v>41.5</v>
      </c>
      <c r="F105" s="54">
        <v>46.25</v>
      </c>
      <c r="G105" s="54">
        <v>42.5</v>
      </c>
      <c r="H105" s="54">
        <v>37.25</v>
      </c>
      <c r="I105" s="54">
        <v>32.5</v>
      </c>
      <c r="J105" s="54">
        <v>26.25</v>
      </c>
      <c r="K105" s="54">
        <v>30.25</v>
      </c>
      <c r="L105" s="54">
        <v>35.75</v>
      </c>
      <c r="M105" s="54">
        <v>48</v>
      </c>
      <c r="O105" s="11">
        <v>7.3249999999999993</v>
      </c>
      <c r="P105" s="11">
        <f t="shared" si="2"/>
        <v>9.2613640000000004</v>
      </c>
    </row>
    <row r="106" spans="1:16" x14ac:dyDescent="0.2">
      <c r="A106" s="44">
        <v>2016</v>
      </c>
      <c r="B106" s="54">
        <v>43.25</v>
      </c>
      <c r="C106" s="54">
        <v>21.5</v>
      </c>
      <c r="D106" s="54">
        <v>17.75</v>
      </c>
      <c r="E106" s="54">
        <v>10</v>
      </c>
      <c r="F106" s="54">
        <v>-1.25</v>
      </c>
      <c r="G106" s="54">
        <v>0.75</v>
      </c>
      <c r="H106" s="54">
        <v>-1.75</v>
      </c>
      <c r="I106" s="54">
        <v>-4.25</v>
      </c>
      <c r="J106" s="54">
        <v>27.25</v>
      </c>
      <c r="K106" s="54">
        <v>33</v>
      </c>
      <c r="L106" s="54">
        <v>75</v>
      </c>
      <c r="M106" s="54">
        <v>94</v>
      </c>
      <c r="O106" s="11">
        <v>14.297619047619047</v>
      </c>
      <c r="P106" s="11">
        <f t="shared" si="2"/>
        <v>49.761904761904759</v>
      </c>
    </row>
    <row r="107" spans="1:16" x14ac:dyDescent="0.2">
      <c r="A107" s="44">
        <v>2017</v>
      </c>
      <c r="B107" s="54">
        <v>56.75</v>
      </c>
      <c r="C107" s="54">
        <v>49</v>
      </c>
      <c r="D107" s="54">
        <v>37.25</v>
      </c>
      <c r="E107" s="54">
        <v>43.75</v>
      </c>
      <c r="F107" s="54">
        <v>43.75</v>
      </c>
      <c r="G107" s="54">
        <v>60.5</v>
      </c>
      <c r="H107" s="54">
        <v>50.25</v>
      </c>
      <c r="I107" s="54">
        <v>27.5</v>
      </c>
      <c r="J107" s="54">
        <v>5.25</v>
      </c>
      <c r="K107" s="54">
        <v>9.25</v>
      </c>
      <c r="L107" s="54">
        <v>-3</v>
      </c>
      <c r="M107" s="54">
        <v>34</v>
      </c>
      <c r="O107" s="11">
        <v>6.4886363636363633</v>
      </c>
      <c r="P107" s="11">
        <f t="shared" si="2"/>
        <v>4.8068181818181817</v>
      </c>
    </row>
    <row r="108" spans="1:16" x14ac:dyDescent="0.2">
      <c r="A108" s="44">
        <v>2018</v>
      </c>
      <c r="B108" s="54">
        <v>31</v>
      </c>
      <c r="C108" s="54">
        <v>20.5</v>
      </c>
      <c r="D108" s="54">
        <v>25.5</v>
      </c>
      <c r="E108" s="54">
        <v>20</v>
      </c>
      <c r="F108" s="54">
        <v>22.5</v>
      </c>
      <c r="G108" s="54">
        <v>8.5</v>
      </c>
      <c r="H108" s="54">
        <v>33</v>
      </c>
      <c r="I108" s="54">
        <v>47.5</v>
      </c>
      <c r="J108" s="54">
        <v>20</v>
      </c>
      <c r="K108" s="54">
        <v>4</v>
      </c>
      <c r="L108" s="54">
        <v>-15.5</v>
      </c>
      <c r="M108" s="54">
        <v>12.75</v>
      </c>
      <c r="O108" s="11">
        <v>11.443181818181818</v>
      </c>
      <c r="P108" s="11">
        <f t="shared" si="2"/>
        <v>5.4523809523809526</v>
      </c>
    </row>
    <row r="109" spans="1:16" x14ac:dyDescent="0.2">
      <c r="A109" s="44">
        <v>2019</v>
      </c>
      <c r="B109" s="54">
        <v>9.25</v>
      </c>
      <c r="C109" s="54">
        <v>-5.5</v>
      </c>
      <c r="D109" s="54">
        <v>-9.5</v>
      </c>
      <c r="E109" s="54">
        <v>-6.5</v>
      </c>
      <c r="F109" s="54">
        <v>-0.75</v>
      </c>
      <c r="G109" s="54">
        <v>-10.5</v>
      </c>
      <c r="H109" s="54">
        <v>-12</v>
      </c>
      <c r="I109" s="54">
        <v>-19.25</v>
      </c>
      <c r="J109" s="54">
        <v>-18.25</v>
      </c>
      <c r="K109" s="54">
        <v>-20.75</v>
      </c>
      <c r="L109" s="54">
        <v>-23.25</v>
      </c>
      <c r="M109" s="54">
        <v>5</v>
      </c>
      <c r="O109" s="11">
        <v>3.9772727272727266</v>
      </c>
      <c r="P109" s="11">
        <f t="shared" si="2"/>
        <v>2.7375000000000007</v>
      </c>
    </row>
    <row r="110" spans="1:16" x14ac:dyDescent="0.2">
      <c r="A110" s="44">
        <v>2020</v>
      </c>
      <c r="B110" s="54">
        <v>-8.25</v>
      </c>
      <c r="C110" s="54">
        <v>-7.25</v>
      </c>
      <c r="D110" s="54">
        <v>7.5</v>
      </c>
      <c r="E110" s="54">
        <v>1.5</v>
      </c>
      <c r="F110" s="54">
        <v>1.25</v>
      </c>
      <c r="G110" s="54">
        <v>1.5</v>
      </c>
      <c r="H110" s="54">
        <v>-4.5</v>
      </c>
      <c r="I110" s="54">
        <v>13.25</v>
      </c>
      <c r="J110" s="54">
        <v>11.75</v>
      </c>
      <c r="K110" s="54">
        <v>-2.25</v>
      </c>
      <c r="L110" s="54">
        <v>4.5</v>
      </c>
      <c r="M110" s="54">
        <v>12.25</v>
      </c>
      <c r="O110" s="11">
        <v>5.0125000000000002</v>
      </c>
      <c r="P110" s="11">
        <f t="shared" ref="O110:P112" si="3">L110-L53</f>
        <v>10.476190476190476</v>
      </c>
    </row>
    <row r="111" spans="1:16" x14ac:dyDescent="0.2">
      <c r="A111" s="44">
        <v>2021</v>
      </c>
      <c r="B111" s="54">
        <v>25.5</v>
      </c>
      <c r="C111" s="54">
        <v>59.25</v>
      </c>
      <c r="D111" s="54">
        <v>78.25</v>
      </c>
      <c r="E111" s="54">
        <v>134.5</v>
      </c>
      <c r="F111" s="54">
        <v>191</v>
      </c>
      <c r="G111" s="54">
        <v>229</v>
      </c>
      <c r="H111" s="54">
        <v>205</v>
      </c>
      <c r="I111" s="54">
        <v>191.75</v>
      </c>
      <c r="J111" s="54">
        <v>196</v>
      </c>
      <c r="K111" s="55">
        <v>179.35634199134188</v>
      </c>
      <c r="L111" s="55">
        <v>110.48949134199137</v>
      </c>
      <c r="M111" s="54"/>
      <c r="O111" s="11">
        <v>8.2438419913419807</v>
      </c>
      <c r="P111" s="11">
        <f t="shared" si="3"/>
        <v>14.646958874458875</v>
      </c>
    </row>
    <row r="112" spans="1:16" x14ac:dyDescent="0.2">
      <c r="A112" s="44">
        <v>2022</v>
      </c>
      <c r="B112" s="54"/>
      <c r="C112" s="54"/>
      <c r="D112" s="54"/>
      <c r="E112" s="54"/>
      <c r="F112" s="54"/>
      <c r="G112" s="54"/>
      <c r="H112" s="54"/>
      <c r="I112" s="54"/>
      <c r="J112" s="54"/>
      <c r="K112" s="55">
        <f>((SUM(K107:K111)-SUM(K50:K54))/5)+K55</f>
        <v>324.05689610389601</v>
      </c>
      <c r="L112" s="55">
        <f>((SUM(L107:L111)-SUM(L50:L54))/5)+L55</f>
        <v>347.70730303030285</v>
      </c>
      <c r="M112" s="54"/>
      <c r="O112" s="11">
        <f t="shared" si="3"/>
        <v>7.0330865800866036</v>
      </c>
      <c r="P112" s="11">
        <f t="shared" si="3"/>
        <v>7.6239696969697093</v>
      </c>
    </row>
    <row r="113" spans="1:16" x14ac:dyDescent="0.2">
      <c r="O113" s="11"/>
      <c r="P113" s="11"/>
    </row>
    <row r="115" spans="1:16" ht="15.75" x14ac:dyDescent="0.25">
      <c r="A115" s="40" t="s">
        <v>178</v>
      </c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</row>
    <row r="116" spans="1:16" ht="13.5" x14ac:dyDescent="0.25">
      <c r="A116" s="42" t="s">
        <v>155</v>
      </c>
      <c r="B116" s="43" t="s">
        <v>86</v>
      </c>
      <c r="C116" s="43" t="s">
        <v>87</v>
      </c>
      <c r="D116" s="43" t="s">
        <v>88</v>
      </c>
      <c r="E116" s="43" t="s">
        <v>89</v>
      </c>
      <c r="F116" s="43" t="s">
        <v>90</v>
      </c>
      <c r="G116" s="43" t="s">
        <v>91</v>
      </c>
      <c r="H116" s="43" t="s">
        <v>92</v>
      </c>
      <c r="I116" s="43" t="s">
        <v>93</v>
      </c>
      <c r="J116" s="43" t="s">
        <v>94</v>
      </c>
      <c r="K116" s="43" t="s">
        <v>83</v>
      </c>
      <c r="L116" s="43" t="s">
        <v>84</v>
      </c>
      <c r="M116" s="43" t="s">
        <v>85</v>
      </c>
      <c r="O116" t="str">
        <f>_xlfn.CONCAT(K116," ","Error")</f>
        <v>May Error</v>
      </c>
      <c r="P116" t="str">
        <f>_xlfn.CONCAT(L116," ","Error")</f>
        <v>Jun Error</v>
      </c>
    </row>
    <row r="117" spans="1:16" x14ac:dyDescent="0.2">
      <c r="A117" s="44">
        <v>1971</v>
      </c>
      <c r="B117" s="54"/>
      <c r="C117" s="54"/>
      <c r="D117" s="54">
        <v>35.75</v>
      </c>
      <c r="E117" s="54">
        <v>21.75</v>
      </c>
      <c r="F117" s="54">
        <v>21.5</v>
      </c>
      <c r="G117" s="54">
        <v>23.75</v>
      </c>
      <c r="H117" s="54">
        <v>20.5</v>
      </c>
      <c r="I117" s="54">
        <v>14</v>
      </c>
      <c r="J117" s="54">
        <v>9.25</v>
      </c>
      <c r="K117" s="54">
        <v>6.25</v>
      </c>
      <c r="L117" s="54">
        <v>0.25</v>
      </c>
      <c r="M117" s="54">
        <v>1.5</v>
      </c>
      <c r="O117" s="11">
        <f>K4-K117</f>
        <v>4</v>
      </c>
      <c r="P117" s="11">
        <f>L4-L117</f>
        <v>6.6704540000000003</v>
      </c>
    </row>
    <row r="118" spans="1:16" x14ac:dyDescent="0.2">
      <c r="A118" s="44">
        <v>1972</v>
      </c>
      <c r="B118" s="54"/>
      <c r="C118" s="54"/>
      <c r="D118" s="54"/>
      <c r="E118" s="54">
        <v>16.5</v>
      </c>
      <c r="F118" s="54">
        <v>15.5</v>
      </c>
      <c r="G118" s="54">
        <v>16</v>
      </c>
      <c r="H118" s="54">
        <v>22.75</v>
      </c>
      <c r="I118" s="54">
        <v>30</v>
      </c>
      <c r="J118" s="54">
        <v>31.25</v>
      </c>
      <c r="K118" s="54">
        <v>25</v>
      </c>
      <c r="L118" s="54">
        <v>23</v>
      </c>
      <c r="M118" s="54">
        <v>24.25</v>
      </c>
      <c r="O118" s="11">
        <f t="shared" ref="O118:P133" si="4">K5-K118</f>
        <v>9.0113630000000029</v>
      </c>
      <c r="P118" s="11">
        <f t="shared" si="4"/>
        <v>3.1363629999999993</v>
      </c>
    </row>
    <row r="119" spans="1:16" x14ac:dyDescent="0.2">
      <c r="A119" s="44">
        <v>1973</v>
      </c>
      <c r="B119" s="54"/>
      <c r="C119" s="54">
        <v>26.5</v>
      </c>
      <c r="D119" s="54">
        <v>19</v>
      </c>
      <c r="E119" s="54">
        <v>26.5</v>
      </c>
      <c r="F119" s="54">
        <v>44.5</v>
      </c>
      <c r="G119" s="54">
        <v>54.5</v>
      </c>
      <c r="H119" s="54">
        <v>94</v>
      </c>
      <c r="I119" s="54">
        <v>112.5</v>
      </c>
      <c r="J119" s="54">
        <v>118.5</v>
      </c>
      <c r="K119" s="54">
        <v>224.25</v>
      </c>
      <c r="L119" s="54">
        <v>372.5</v>
      </c>
      <c r="M119" s="54">
        <v>132.25</v>
      </c>
      <c r="O119" s="11">
        <f t="shared" si="4"/>
        <v>108.48863599999999</v>
      </c>
      <c r="P119" s="11">
        <f t="shared" si="4"/>
        <v>93.947367999999983</v>
      </c>
    </row>
    <row r="120" spans="1:16" x14ac:dyDescent="0.2">
      <c r="A120" s="44">
        <v>1974</v>
      </c>
      <c r="B120" s="54"/>
      <c r="C120" s="54">
        <v>24.5</v>
      </c>
      <c r="D120" s="54">
        <v>15.5</v>
      </c>
      <c r="E120" s="54">
        <v>13</v>
      </c>
      <c r="F120" s="54">
        <v>9.75</v>
      </c>
      <c r="G120" s="54">
        <v>8.5</v>
      </c>
      <c r="H120" s="54">
        <v>14</v>
      </c>
      <c r="I120" s="54">
        <v>11.5</v>
      </c>
      <c r="J120" s="54">
        <v>10</v>
      </c>
      <c r="K120" s="54">
        <v>7</v>
      </c>
      <c r="L120" s="54">
        <v>-2.25</v>
      </c>
      <c r="M120" s="54">
        <v>-3.5</v>
      </c>
      <c r="O120" s="11">
        <f t="shared" si="4"/>
        <v>4.6136359999999996</v>
      </c>
      <c r="P120" s="11">
        <f t="shared" si="4"/>
        <v>9.1750000000000007</v>
      </c>
    </row>
    <row r="121" spans="1:16" x14ac:dyDescent="0.2">
      <c r="A121" s="44">
        <v>1975</v>
      </c>
      <c r="B121" s="54"/>
      <c r="C121" s="54">
        <v>55.5</v>
      </c>
      <c r="D121" s="54">
        <v>74.5</v>
      </c>
      <c r="E121" s="54">
        <v>71.5</v>
      </c>
      <c r="F121" s="54">
        <v>50</v>
      </c>
      <c r="G121" s="54">
        <v>16.5</v>
      </c>
      <c r="H121" s="54">
        <v>2</v>
      </c>
      <c r="I121" s="54">
        <v>1.5</v>
      </c>
      <c r="J121" s="54">
        <v>7.25</v>
      </c>
      <c r="K121" s="54">
        <v>7.75</v>
      </c>
      <c r="L121" s="54">
        <v>9.25</v>
      </c>
      <c r="M121" s="54">
        <v>-4.5</v>
      </c>
      <c r="O121" s="11">
        <f t="shared" si="4"/>
        <v>4.4047610000000006</v>
      </c>
      <c r="P121" s="11">
        <f t="shared" si="4"/>
        <v>5.5</v>
      </c>
    </row>
    <row r="122" spans="1:16" x14ac:dyDescent="0.2">
      <c r="A122" s="44">
        <v>1976</v>
      </c>
      <c r="B122" s="54"/>
      <c r="C122" s="54"/>
      <c r="D122" s="54">
        <v>-6.5</v>
      </c>
      <c r="E122" s="54">
        <v>-9.5</v>
      </c>
      <c r="F122" s="54">
        <v>-16.5</v>
      </c>
      <c r="G122" s="54">
        <v>-15.25</v>
      </c>
      <c r="H122" s="54">
        <v>-16</v>
      </c>
      <c r="I122" s="54">
        <v>-15.75</v>
      </c>
      <c r="J122" s="54">
        <v>-17.25</v>
      </c>
      <c r="K122" s="54">
        <v>-17.25</v>
      </c>
      <c r="L122" s="54">
        <v>-21</v>
      </c>
      <c r="M122" s="54">
        <v>-20.25</v>
      </c>
      <c r="O122" s="11">
        <f t="shared" si="4"/>
        <v>4.7375000000000007</v>
      </c>
      <c r="P122" s="11">
        <f t="shared" si="4"/>
        <v>7.5568190000000008</v>
      </c>
    </row>
    <row r="123" spans="1:16" x14ac:dyDescent="0.2">
      <c r="A123" s="44">
        <v>1977</v>
      </c>
      <c r="B123" s="54"/>
      <c r="C123" s="54"/>
      <c r="D123" s="54">
        <v>8.5</v>
      </c>
      <c r="E123" s="54">
        <v>46.5</v>
      </c>
      <c r="F123" s="54">
        <v>55.75</v>
      </c>
      <c r="G123" s="54">
        <v>36</v>
      </c>
      <c r="H123" s="54">
        <v>40.25</v>
      </c>
      <c r="I123" s="54">
        <v>75.75</v>
      </c>
      <c r="J123" s="54">
        <v>196</v>
      </c>
      <c r="K123" s="54">
        <v>177</v>
      </c>
      <c r="L123" s="54">
        <v>49</v>
      </c>
      <c r="M123" s="54">
        <v>11</v>
      </c>
      <c r="O123" s="11">
        <f t="shared" si="4"/>
        <v>45.9375</v>
      </c>
      <c r="P123" s="11">
        <f t="shared" si="4"/>
        <v>58.534090000000006</v>
      </c>
    </row>
    <row r="124" spans="1:16" x14ac:dyDescent="0.2">
      <c r="A124" s="44">
        <v>1978</v>
      </c>
      <c r="B124" s="54"/>
      <c r="C124" s="54"/>
      <c r="D124" s="54">
        <v>3</v>
      </c>
      <c r="E124" s="54">
        <v>9.5</v>
      </c>
      <c r="F124" s="54">
        <v>19</v>
      </c>
      <c r="G124" s="54">
        <v>12.75</v>
      </c>
      <c r="H124" s="54">
        <v>4.25</v>
      </c>
      <c r="I124" s="54">
        <v>21.25</v>
      </c>
      <c r="J124" s="54">
        <v>55.25</v>
      </c>
      <c r="K124" s="54">
        <v>58.5</v>
      </c>
      <c r="L124" s="54">
        <v>39.5</v>
      </c>
      <c r="M124" s="54">
        <v>33.25</v>
      </c>
      <c r="O124" s="11">
        <f t="shared" si="4"/>
        <v>24.852271999999999</v>
      </c>
      <c r="P124" s="11">
        <f t="shared" si="4"/>
        <v>13.761363000000003</v>
      </c>
    </row>
    <row r="125" spans="1:16" x14ac:dyDescent="0.2">
      <c r="A125" s="44">
        <v>1979</v>
      </c>
      <c r="B125" s="54"/>
      <c r="C125" s="54"/>
      <c r="D125" s="54">
        <v>28.5</v>
      </c>
      <c r="E125" s="54">
        <v>34</v>
      </c>
      <c r="F125" s="54">
        <v>39</v>
      </c>
      <c r="G125" s="54">
        <v>35</v>
      </c>
      <c r="H125" s="54">
        <v>45.25</v>
      </c>
      <c r="I125" s="54">
        <v>54.75</v>
      </c>
      <c r="J125" s="54">
        <v>25.25</v>
      </c>
      <c r="K125" s="54">
        <v>10.5</v>
      </c>
      <c r="L125" s="54">
        <v>-16</v>
      </c>
      <c r="M125" s="54">
        <v>-8.25</v>
      </c>
      <c r="O125" s="11">
        <f t="shared" si="4"/>
        <v>7.7159089999999999</v>
      </c>
      <c r="P125" s="11">
        <f t="shared" si="4"/>
        <v>19.154761000000001</v>
      </c>
    </row>
    <row r="126" spans="1:16" x14ac:dyDescent="0.2">
      <c r="A126" s="44">
        <v>1980</v>
      </c>
      <c r="B126" s="54"/>
      <c r="C126" s="54">
        <v>4</v>
      </c>
      <c r="D126" s="54">
        <v>-17.5</v>
      </c>
      <c r="E126" s="54">
        <v>-20.25</v>
      </c>
      <c r="F126" s="54">
        <v>-22.25</v>
      </c>
      <c r="G126" s="54">
        <v>-27.25</v>
      </c>
      <c r="H126" s="54">
        <v>-31.75</v>
      </c>
      <c r="I126" s="54">
        <v>-40</v>
      </c>
      <c r="J126" s="54">
        <v>-37.5</v>
      </c>
      <c r="K126" s="54">
        <v>-35</v>
      </c>
      <c r="L126" s="54">
        <v>-33.5</v>
      </c>
      <c r="M126" s="54">
        <v>-34.5</v>
      </c>
      <c r="O126" s="11">
        <f t="shared" si="4"/>
        <v>4.8571430000000007</v>
      </c>
      <c r="P126" s="11">
        <f t="shared" si="4"/>
        <v>2.2857149999999997</v>
      </c>
    </row>
    <row r="127" spans="1:16" x14ac:dyDescent="0.2">
      <c r="A127" s="44">
        <v>1981</v>
      </c>
      <c r="B127" s="54"/>
      <c r="C127" s="54">
        <v>41.75</v>
      </c>
      <c r="D127" s="54">
        <v>76</v>
      </c>
      <c r="E127" s="54">
        <v>119</v>
      </c>
      <c r="F127" s="54">
        <v>30.5</v>
      </c>
      <c r="G127" s="54">
        <v>-31.5</v>
      </c>
      <c r="H127" s="54">
        <v>-33.5</v>
      </c>
      <c r="I127" s="54">
        <v>-36</v>
      </c>
      <c r="J127" s="54">
        <v>-34.25</v>
      </c>
      <c r="K127" s="54">
        <v>-31.75</v>
      </c>
      <c r="L127" s="54">
        <v>-45</v>
      </c>
      <c r="M127" s="54">
        <v>-42</v>
      </c>
      <c r="O127" s="11">
        <f t="shared" si="4"/>
        <v>11.537500000000001</v>
      </c>
      <c r="P127" s="11">
        <f t="shared" si="4"/>
        <v>17.477273</v>
      </c>
    </row>
    <row r="128" spans="1:16" x14ac:dyDescent="0.2">
      <c r="A128" s="44">
        <v>1982</v>
      </c>
      <c r="B128" s="54"/>
      <c r="C128" s="54">
        <v>-18</v>
      </c>
      <c r="D128" s="54">
        <v>-16.25</v>
      </c>
      <c r="E128" s="54">
        <v>-13.5</v>
      </c>
      <c r="F128" s="54">
        <v>-10.5</v>
      </c>
      <c r="G128" s="54">
        <v>-16</v>
      </c>
      <c r="H128" s="54">
        <v>-19.5</v>
      </c>
      <c r="I128" s="54">
        <v>-18.5</v>
      </c>
      <c r="J128" s="54">
        <v>-13.5</v>
      </c>
      <c r="K128" s="54">
        <v>-12.5</v>
      </c>
      <c r="L128" s="54">
        <v>-16.5</v>
      </c>
      <c r="M128" s="54">
        <v>-11.5</v>
      </c>
      <c r="O128" s="11">
        <f t="shared" si="4"/>
        <v>3.8249999999999993</v>
      </c>
      <c r="P128" s="11">
        <f t="shared" si="4"/>
        <v>4.5795460000000006</v>
      </c>
    </row>
    <row r="129" spans="1:16" x14ac:dyDescent="0.2">
      <c r="A129" s="44">
        <v>1983</v>
      </c>
      <c r="B129" s="54">
        <v>-8</v>
      </c>
      <c r="C129" s="54">
        <v>-8</v>
      </c>
      <c r="D129" s="54">
        <v>-5.5</v>
      </c>
      <c r="E129" s="54">
        <v>3.5</v>
      </c>
      <c r="F129" s="54">
        <v>-3.5</v>
      </c>
      <c r="G129" s="54">
        <v>-13.5</v>
      </c>
      <c r="H129" s="54">
        <v>-19</v>
      </c>
      <c r="I129" s="54">
        <v>-26.25</v>
      </c>
      <c r="J129" s="54">
        <v>-26.75</v>
      </c>
      <c r="K129" s="54">
        <v>-25.25</v>
      </c>
      <c r="L129" s="54">
        <v>-22.25</v>
      </c>
      <c r="M129" s="54">
        <v>-33</v>
      </c>
      <c r="O129" s="11">
        <f t="shared" si="4"/>
        <v>3.3809530000000017</v>
      </c>
      <c r="P129" s="11">
        <f t="shared" si="4"/>
        <v>2.4659100000000009</v>
      </c>
    </row>
    <row r="130" spans="1:16" x14ac:dyDescent="0.2">
      <c r="A130" s="44">
        <v>1984</v>
      </c>
      <c r="B130" s="54">
        <v>87</v>
      </c>
      <c r="C130" s="54">
        <v>171.5</v>
      </c>
      <c r="D130" s="54">
        <v>168.5</v>
      </c>
      <c r="E130" s="54">
        <v>114</v>
      </c>
      <c r="F130" s="54">
        <v>106.25</v>
      </c>
      <c r="G130" s="54">
        <v>39.75</v>
      </c>
      <c r="H130" s="54">
        <v>22.5</v>
      </c>
      <c r="I130" s="54">
        <v>48</v>
      </c>
      <c r="J130" s="54">
        <v>61.25</v>
      </c>
      <c r="K130" s="54">
        <v>77</v>
      </c>
      <c r="L130" s="54">
        <v>7.25</v>
      </c>
      <c r="M130" s="54">
        <v>12.25</v>
      </c>
      <c r="O130" s="11">
        <f t="shared" si="4"/>
        <v>43.681818000000007</v>
      </c>
      <c r="P130" s="11">
        <f t="shared" si="4"/>
        <v>48.345238000000002</v>
      </c>
    </row>
    <row r="131" spans="1:16" x14ac:dyDescent="0.2">
      <c r="A131" s="44">
        <v>1985</v>
      </c>
      <c r="B131" s="54">
        <v>14.5</v>
      </c>
      <c r="C131" s="54">
        <v>7.25</v>
      </c>
      <c r="D131" s="54">
        <v>7.5</v>
      </c>
      <c r="E131" s="54">
        <v>7.75</v>
      </c>
      <c r="F131" s="54">
        <v>-8.25</v>
      </c>
      <c r="G131" s="54">
        <v>-8.25</v>
      </c>
      <c r="H131" s="54">
        <v>-6.25</v>
      </c>
      <c r="I131" s="54">
        <v>-4.25</v>
      </c>
      <c r="J131" s="54">
        <v>-14</v>
      </c>
      <c r="K131" s="54">
        <v>-11.5</v>
      </c>
      <c r="L131" s="54">
        <v>3.25</v>
      </c>
      <c r="M131" s="54">
        <v>-11.25</v>
      </c>
      <c r="O131" s="11">
        <f t="shared" si="4"/>
        <v>4.96591</v>
      </c>
      <c r="P131" s="11">
        <f t="shared" si="4"/>
        <v>6.0625</v>
      </c>
    </row>
    <row r="132" spans="1:16" x14ac:dyDescent="0.2">
      <c r="A132" s="44">
        <v>1986</v>
      </c>
      <c r="B132" s="54">
        <v>4</v>
      </c>
      <c r="C132" s="54">
        <v>2</v>
      </c>
      <c r="D132" s="54">
        <v>5</v>
      </c>
      <c r="E132" s="54">
        <v>1.25</v>
      </c>
      <c r="F132" s="54">
        <v>7</v>
      </c>
      <c r="G132" s="54">
        <v>20</v>
      </c>
      <c r="H132" s="54">
        <v>20.25</v>
      </c>
      <c r="I132" s="54">
        <v>16</v>
      </c>
      <c r="J132" s="54">
        <v>9.25</v>
      </c>
      <c r="K132" s="54">
        <v>1</v>
      </c>
      <c r="L132" s="54">
        <v>20.5</v>
      </c>
      <c r="M132" s="54">
        <v>22.75</v>
      </c>
      <c r="O132" s="11">
        <f t="shared" si="4"/>
        <v>12.071427999999999</v>
      </c>
      <c r="P132" s="11">
        <f t="shared" si="4"/>
        <v>4.8333329999999997</v>
      </c>
    </row>
    <row r="133" spans="1:16" x14ac:dyDescent="0.2">
      <c r="A133" s="44">
        <v>1987</v>
      </c>
      <c r="B133" s="54">
        <v>2.25</v>
      </c>
      <c r="C133" s="54">
        <v>-0.75</v>
      </c>
      <c r="D133" s="54">
        <v>2.5</v>
      </c>
      <c r="E133" s="54">
        <v>7.5</v>
      </c>
      <c r="F133" s="54">
        <v>3.75</v>
      </c>
      <c r="G133" s="54">
        <v>6.5</v>
      </c>
      <c r="H133" s="54">
        <v>12.75</v>
      </c>
      <c r="I133" s="54">
        <v>8.5</v>
      </c>
      <c r="J133" s="54">
        <v>0.75</v>
      </c>
      <c r="K133" s="54">
        <v>-20</v>
      </c>
      <c r="L133" s="54">
        <v>-21.75</v>
      </c>
      <c r="M133" s="54">
        <v>-11.75</v>
      </c>
      <c r="O133" s="11">
        <f t="shared" si="4"/>
        <v>13.0375</v>
      </c>
      <c r="P133" s="11">
        <f t="shared" si="4"/>
        <v>7.6818190000000008</v>
      </c>
    </row>
    <row r="134" spans="1:16" x14ac:dyDescent="0.2">
      <c r="A134" s="44">
        <v>1988</v>
      </c>
      <c r="B134" s="54">
        <v>6.5</v>
      </c>
      <c r="C134" s="54">
        <v>6.75</v>
      </c>
      <c r="D134" s="54">
        <v>1</v>
      </c>
      <c r="E134" s="54">
        <v>8</v>
      </c>
      <c r="F134" s="54">
        <v>15</v>
      </c>
      <c r="G134" s="54">
        <v>-6.25</v>
      </c>
      <c r="H134" s="54">
        <v>-11</v>
      </c>
      <c r="I134" s="54">
        <v>-14.25</v>
      </c>
      <c r="J134" s="54">
        <v>-17</v>
      </c>
      <c r="K134" s="54">
        <v>-20.5</v>
      </c>
      <c r="L134" s="54">
        <v>-15.25</v>
      </c>
      <c r="M134" s="54">
        <v>-42</v>
      </c>
      <c r="O134" s="11">
        <f t="shared" ref="O134:P149" si="5">K21-K134</f>
        <v>4.2857149999999997</v>
      </c>
      <c r="P134" s="11">
        <f t="shared" si="5"/>
        <v>23.625</v>
      </c>
    </row>
    <row r="135" spans="1:16" x14ac:dyDescent="0.2">
      <c r="A135" s="44">
        <v>1989</v>
      </c>
      <c r="B135" s="54">
        <v>113</v>
      </c>
      <c r="C135" s="54">
        <v>88</v>
      </c>
      <c r="D135" s="54">
        <v>70.5</v>
      </c>
      <c r="E135" s="54">
        <v>56.5</v>
      </c>
      <c r="F135" s="54">
        <v>83</v>
      </c>
      <c r="G135" s="54">
        <v>39.25</v>
      </c>
      <c r="H135" s="54">
        <v>33</v>
      </c>
      <c r="I135" s="54">
        <v>32.25</v>
      </c>
      <c r="J135" s="54">
        <v>8</v>
      </c>
      <c r="K135" s="54">
        <v>21</v>
      </c>
      <c r="L135" s="54">
        <v>66.5</v>
      </c>
      <c r="M135" s="54">
        <v>45</v>
      </c>
      <c r="O135" s="11">
        <f t="shared" si="5"/>
        <v>18.829545000000003</v>
      </c>
      <c r="P135" s="11">
        <f t="shared" si="5"/>
        <v>14.602271999999999</v>
      </c>
    </row>
    <row r="136" spans="1:16" x14ac:dyDescent="0.2">
      <c r="A136" s="44">
        <v>1990</v>
      </c>
      <c r="B136" s="54">
        <v>12</v>
      </c>
      <c r="C136" s="54">
        <v>16.75</v>
      </c>
      <c r="D136" s="54">
        <v>14.75</v>
      </c>
      <c r="E136" s="54">
        <v>5.5</v>
      </c>
      <c r="F136" s="54">
        <v>-9.75</v>
      </c>
      <c r="G136" s="54">
        <v>-12.75</v>
      </c>
      <c r="H136" s="54">
        <v>-9</v>
      </c>
      <c r="I136" s="54">
        <v>-13.25</v>
      </c>
      <c r="J136" s="54">
        <v>-13</v>
      </c>
      <c r="K136" s="54">
        <v>-16.75</v>
      </c>
      <c r="L136" s="54">
        <v>-27</v>
      </c>
      <c r="M136" s="54">
        <v>-28</v>
      </c>
      <c r="O136" s="11">
        <f t="shared" si="5"/>
        <v>2.8181820000000002</v>
      </c>
      <c r="P136" s="11">
        <f t="shared" si="5"/>
        <v>8.1904770000000013</v>
      </c>
    </row>
    <row r="137" spans="1:16" x14ac:dyDescent="0.2">
      <c r="A137" s="44">
        <v>1991</v>
      </c>
      <c r="B137" s="54">
        <v>11.75</v>
      </c>
      <c r="C137" s="54">
        <v>31.25</v>
      </c>
      <c r="D137" s="54">
        <v>27.5</v>
      </c>
      <c r="E137" s="54">
        <v>0.25</v>
      </c>
      <c r="F137" s="54">
        <v>-6.5</v>
      </c>
      <c r="G137" s="54">
        <v>-15</v>
      </c>
      <c r="H137" s="54">
        <v>-19.75</v>
      </c>
      <c r="I137" s="54">
        <v>-21.75</v>
      </c>
      <c r="J137" s="54">
        <v>-21.75</v>
      </c>
      <c r="K137" s="54">
        <v>-16.25</v>
      </c>
      <c r="L137" s="54">
        <v>-13</v>
      </c>
      <c r="M137" s="54">
        <v>-10.5</v>
      </c>
      <c r="O137" s="11">
        <f t="shared" si="5"/>
        <v>2.7727280000000007</v>
      </c>
      <c r="P137" s="11">
        <f t="shared" si="5"/>
        <v>2.6125000000000007</v>
      </c>
    </row>
    <row r="138" spans="1:16" x14ac:dyDescent="0.2">
      <c r="A138" s="44">
        <v>1992</v>
      </c>
      <c r="B138" s="54">
        <v>-2.5</v>
      </c>
      <c r="C138" s="54">
        <v>27.75</v>
      </c>
      <c r="D138" s="54">
        <v>-0.25</v>
      </c>
      <c r="E138" s="54">
        <v>-4</v>
      </c>
      <c r="F138" s="54">
        <v>-11.25</v>
      </c>
      <c r="G138" s="54">
        <v>-15</v>
      </c>
      <c r="H138" s="54">
        <v>-17.5</v>
      </c>
      <c r="I138" s="54">
        <v>-17.5</v>
      </c>
      <c r="J138" s="54">
        <v>-16.5</v>
      </c>
      <c r="K138" s="54">
        <v>-16.5</v>
      </c>
      <c r="L138" s="54">
        <v>-18</v>
      </c>
      <c r="M138" s="54">
        <v>-16.5</v>
      </c>
      <c r="O138" s="11">
        <f t="shared" si="5"/>
        <v>1.6624999999999996</v>
      </c>
      <c r="P138" s="11">
        <f t="shared" si="5"/>
        <v>2.6590910000000001</v>
      </c>
    </row>
    <row r="139" spans="1:16" x14ac:dyDescent="0.2">
      <c r="A139" s="44">
        <v>1993</v>
      </c>
      <c r="B139" s="54">
        <v>-4.75</v>
      </c>
      <c r="C139" s="54">
        <v>-7.25</v>
      </c>
      <c r="D139" s="54">
        <v>-9.25</v>
      </c>
      <c r="E139" s="54">
        <v>-9.25</v>
      </c>
      <c r="F139" s="54">
        <v>-7.75</v>
      </c>
      <c r="G139" s="54">
        <v>-7.25</v>
      </c>
      <c r="H139" s="54">
        <v>-10</v>
      </c>
      <c r="I139" s="54">
        <v>-9.75</v>
      </c>
      <c r="J139" s="54">
        <v>-9.5</v>
      </c>
      <c r="K139" s="54">
        <v>-3.25</v>
      </c>
      <c r="L139" s="54">
        <v>-6.5</v>
      </c>
      <c r="M139" s="54">
        <v>-8.25</v>
      </c>
      <c r="O139" s="11">
        <f t="shared" si="5"/>
        <v>2.7374999999999998</v>
      </c>
      <c r="P139" s="11">
        <f t="shared" si="5"/>
        <v>7.3636359999999996</v>
      </c>
    </row>
    <row r="140" spans="1:16" x14ac:dyDescent="0.2">
      <c r="A140" s="44">
        <v>1994</v>
      </c>
      <c r="B140" s="54">
        <v>46.5</v>
      </c>
      <c r="C140" s="54">
        <v>24</v>
      </c>
      <c r="D140" s="54">
        <v>14</v>
      </c>
      <c r="E140" s="54">
        <v>17.75</v>
      </c>
      <c r="F140" s="54">
        <v>47</v>
      </c>
      <c r="G140" s="54">
        <v>43.25</v>
      </c>
      <c r="H140" s="54">
        <v>33</v>
      </c>
      <c r="I140" s="54">
        <v>29.75</v>
      </c>
      <c r="J140" s="54">
        <v>35.25</v>
      </c>
      <c r="K140" s="54">
        <v>27.25</v>
      </c>
      <c r="L140" s="54">
        <v>16</v>
      </c>
      <c r="M140" s="54">
        <v>33.25</v>
      </c>
      <c r="O140" s="11">
        <f t="shared" si="5"/>
        <v>14.511904000000001</v>
      </c>
      <c r="P140" s="11">
        <f t="shared" si="5"/>
        <v>9.3636359999999996</v>
      </c>
    </row>
    <row r="141" spans="1:16" x14ac:dyDescent="0.2">
      <c r="A141" s="44">
        <v>1995</v>
      </c>
      <c r="B141" s="54">
        <v>-6.75</v>
      </c>
      <c r="C141" s="54">
        <v>-13</v>
      </c>
      <c r="D141" s="54">
        <v>-17.5</v>
      </c>
      <c r="E141" s="54">
        <v>-14.5</v>
      </c>
      <c r="F141" s="54">
        <v>-12</v>
      </c>
      <c r="G141" s="54">
        <v>-14.5</v>
      </c>
      <c r="H141" s="54">
        <v>-13.75</v>
      </c>
      <c r="I141" s="54">
        <v>-16</v>
      </c>
      <c r="J141" s="54">
        <v>-18</v>
      </c>
      <c r="K141" s="54">
        <v>-19.5</v>
      </c>
      <c r="L141" s="54">
        <v>-19.5</v>
      </c>
      <c r="M141" s="54">
        <v>-18</v>
      </c>
      <c r="O141" s="11">
        <f t="shared" si="5"/>
        <v>2.1136370000000007</v>
      </c>
      <c r="P141" s="11">
        <f t="shared" si="5"/>
        <v>1.1136370000000007</v>
      </c>
    </row>
    <row r="142" spans="1:16" x14ac:dyDescent="0.2">
      <c r="A142" s="44">
        <v>1996</v>
      </c>
      <c r="B142" s="54">
        <v>13.75</v>
      </c>
      <c r="C142" s="54">
        <v>11.5</v>
      </c>
      <c r="D142" s="54">
        <v>20.25</v>
      </c>
      <c r="E142" s="54">
        <v>27.25</v>
      </c>
      <c r="F142" s="54">
        <v>27.25</v>
      </c>
      <c r="G142" s="54">
        <v>40.5</v>
      </c>
      <c r="H142" s="54">
        <v>14.25</v>
      </c>
      <c r="I142" s="54">
        <v>4.75</v>
      </c>
      <c r="J142" s="54">
        <v>11.25</v>
      </c>
      <c r="K142" s="54">
        <v>23</v>
      </c>
      <c r="L142" s="54">
        <v>25.5</v>
      </c>
      <c r="M142" s="54">
        <v>26.75</v>
      </c>
      <c r="O142" s="11">
        <f t="shared" si="5"/>
        <v>9.1818179999999998</v>
      </c>
      <c r="P142" s="11">
        <f t="shared" si="5"/>
        <v>7.0625</v>
      </c>
    </row>
    <row r="143" spans="1:16" x14ac:dyDescent="0.2">
      <c r="A143" s="44">
        <v>1997</v>
      </c>
      <c r="B143" s="54">
        <v>63.25</v>
      </c>
      <c r="C143" s="54">
        <v>55</v>
      </c>
      <c r="D143" s="54">
        <v>23</v>
      </c>
      <c r="E143" s="54">
        <v>19.75</v>
      </c>
      <c r="F143" s="54">
        <v>25.25</v>
      </c>
      <c r="G143" s="54">
        <v>29.5</v>
      </c>
      <c r="H143" s="54">
        <v>47.75</v>
      </c>
      <c r="I143" s="54">
        <v>90</v>
      </c>
      <c r="J143" s="54">
        <v>134.5</v>
      </c>
      <c r="K143" s="54">
        <v>152.25</v>
      </c>
      <c r="L143" s="54">
        <v>132</v>
      </c>
      <c r="M143" s="54">
        <v>125.5</v>
      </c>
      <c r="O143" s="11">
        <f t="shared" si="5"/>
        <v>19.297618999999997</v>
      </c>
      <c r="P143" s="11">
        <f t="shared" si="5"/>
        <v>30.369046999999995</v>
      </c>
    </row>
    <row r="144" spans="1:16" x14ac:dyDescent="0.2">
      <c r="A144" s="44">
        <v>1998</v>
      </c>
      <c r="B144" s="54">
        <v>10</v>
      </c>
      <c r="C144" s="54">
        <v>17</v>
      </c>
      <c r="D144" s="54">
        <v>17</v>
      </c>
      <c r="E144" s="54">
        <v>29.5</v>
      </c>
      <c r="F144" s="54">
        <v>20.5</v>
      </c>
      <c r="G144" s="54">
        <v>16.25</v>
      </c>
      <c r="H144" s="54">
        <v>14.25</v>
      </c>
      <c r="I144" s="54">
        <v>12.5</v>
      </c>
      <c r="J144" s="54">
        <v>17.25</v>
      </c>
      <c r="K144" s="54">
        <v>18</v>
      </c>
      <c r="L144" s="54">
        <v>12.75</v>
      </c>
      <c r="M144" s="54">
        <v>32</v>
      </c>
      <c r="O144" s="11">
        <f t="shared" si="5"/>
        <v>4.875</v>
      </c>
      <c r="P144" s="11">
        <f t="shared" si="5"/>
        <v>14.704545</v>
      </c>
    </row>
    <row r="145" spans="1:16" x14ac:dyDescent="0.2">
      <c r="A145" s="44">
        <v>1999</v>
      </c>
      <c r="B145" s="54">
        <v>-16</v>
      </c>
      <c r="C145" s="54">
        <v>-13.25</v>
      </c>
      <c r="D145" s="54">
        <v>-12.5</v>
      </c>
      <c r="E145" s="54">
        <v>-8.5</v>
      </c>
      <c r="F145" s="54">
        <v>-8.25</v>
      </c>
      <c r="G145" s="54">
        <v>-9.25</v>
      </c>
      <c r="H145" s="54">
        <v>-16.75</v>
      </c>
      <c r="I145" s="54">
        <v>-15</v>
      </c>
      <c r="J145" s="54">
        <v>-15.75</v>
      </c>
      <c r="K145" s="54">
        <v>-14</v>
      </c>
      <c r="L145" s="54">
        <v>-12.25</v>
      </c>
      <c r="M145" s="54">
        <v>-15</v>
      </c>
      <c r="O145" s="11">
        <f t="shared" si="5"/>
        <v>1.4000000000000004</v>
      </c>
      <c r="P145" s="11">
        <f t="shared" si="5"/>
        <v>3.2727280000000007</v>
      </c>
    </row>
    <row r="146" spans="1:16" x14ac:dyDescent="0.2">
      <c r="A146" s="44">
        <v>2000</v>
      </c>
      <c r="B146" s="54">
        <v>-9.5</v>
      </c>
      <c r="C146" s="54">
        <v>-10.75</v>
      </c>
      <c r="D146" s="54">
        <v>-7.5</v>
      </c>
      <c r="E146" s="54">
        <v>-8.5</v>
      </c>
      <c r="F146" s="54">
        <v>-8.25</v>
      </c>
      <c r="G146" s="54">
        <v>-11.25</v>
      </c>
      <c r="H146" s="54">
        <v>-11.25</v>
      </c>
      <c r="I146" s="54">
        <v>-14</v>
      </c>
      <c r="J146" s="54">
        <v>-13.75</v>
      </c>
      <c r="K146" s="54">
        <v>-14</v>
      </c>
      <c r="L146" s="54">
        <v>-11.5</v>
      </c>
      <c r="M146" s="54">
        <v>-2</v>
      </c>
      <c r="O146" s="11">
        <f t="shared" si="5"/>
        <v>2.9431820000000002</v>
      </c>
      <c r="P146" s="11">
        <f t="shared" si="5"/>
        <v>15.602271999999999</v>
      </c>
    </row>
    <row r="147" spans="1:16" x14ac:dyDescent="0.2">
      <c r="A147" s="44">
        <v>2001</v>
      </c>
      <c r="B147" s="54">
        <v>-11</v>
      </c>
      <c r="C147" s="54">
        <v>-5.5</v>
      </c>
      <c r="D147" s="54">
        <v>-10</v>
      </c>
      <c r="E147" s="54">
        <v>-7</v>
      </c>
      <c r="F147" s="54">
        <v>-2.75</v>
      </c>
      <c r="G147" s="54">
        <v>-1.75</v>
      </c>
      <c r="H147" s="54">
        <v>-3.75</v>
      </c>
      <c r="I147" s="54">
        <v>-3.25</v>
      </c>
      <c r="J147" s="54">
        <v>0.5</v>
      </c>
      <c r="K147" s="54">
        <v>3.5</v>
      </c>
      <c r="L147" s="54">
        <v>14.25</v>
      </c>
      <c r="M147" s="54">
        <v>-0.75</v>
      </c>
      <c r="O147" s="11">
        <f t="shared" si="5"/>
        <v>8.4431809999999992</v>
      </c>
      <c r="P147" s="11">
        <f t="shared" si="5"/>
        <v>4.226189999999999</v>
      </c>
    </row>
    <row r="148" spans="1:16" x14ac:dyDescent="0.2">
      <c r="A148" s="44">
        <v>2002</v>
      </c>
      <c r="B148" s="54">
        <v>6</v>
      </c>
      <c r="C148" s="54">
        <v>2.5</v>
      </c>
      <c r="D148" s="54">
        <v>-5</v>
      </c>
      <c r="E148" s="54">
        <v>-4.5</v>
      </c>
      <c r="F148" s="54">
        <v>-5.25</v>
      </c>
      <c r="G148" s="54">
        <v>-6</v>
      </c>
      <c r="H148" s="54">
        <v>-8</v>
      </c>
      <c r="I148" s="54">
        <v>-5.75</v>
      </c>
      <c r="J148" s="54">
        <v>-0.5</v>
      </c>
      <c r="K148" s="54">
        <v>6.25</v>
      </c>
      <c r="L148" s="54">
        <v>19</v>
      </c>
      <c r="M148" s="54">
        <v>30.75</v>
      </c>
      <c r="O148" s="11">
        <f t="shared" si="5"/>
        <v>8.8636359999999996</v>
      </c>
      <c r="P148" s="11">
        <f t="shared" si="5"/>
        <v>6.7749999999999986</v>
      </c>
    </row>
    <row r="149" spans="1:16" x14ac:dyDescent="0.2">
      <c r="A149" s="44">
        <v>2003</v>
      </c>
      <c r="B149" s="54">
        <v>24.25</v>
      </c>
      <c r="C149" s="54">
        <v>24.75</v>
      </c>
      <c r="D149" s="54">
        <v>31.25</v>
      </c>
      <c r="E149" s="54">
        <v>40.5</v>
      </c>
      <c r="F149" s="54">
        <v>38</v>
      </c>
      <c r="G149" s="54">
        <v>29.5</v>
      </c>
      <c r="H149" s="54">
        <v>32</v>
      </c>
      <c r="I149" s="54">
        <v>44</v>
      </c>
      <c r="J149" s="54">
        <v>60.25</v>
      </c>
      <c r="K149" s="54">
        <v>60.5</v>
      </c>
      <c r="L149" s="54">
        <v>47</v>
      </c>
      <c r="M149" s="54">
        <v>67.25</v>
      </c>
      <c r="O149" s="11">
        <f t="shared" si="5"/>
        <v>11.821427999999997</v>
      </c>
      <c r="P149" s="11">
        <f t="shared" si="5"/>
        <v>12.880952000000001</v>
      </c>
    </row>
    <row r="150" spans="1:16" x14ac:dyDescent="0.2">
      <c r="A150" s="44">
        <v>2004</v>
      </c>
      <c r="B150" s="54">
        <v>-3.25</v>
      </c>
      <c r="C150" s="54">
        <v>32.5</v>
      </c>
      <c r="D150" s="54">
        <v>76.5</v>
      </c>
      <c r="E150" s="54">
        <v>121</v>
      </c>
      <c r="F150" s="54">
        <v>123.75</v>
      </c>
      <c r="G150" s="54">
        <v>130</v>
      </c>
      <c r="H150" s="54">
        <v>145.25</v>
      </c>
      <c r="I150" s="54">
        <v>174</v>
      </c>
      <c r="J150" s="54">
        <v>205.5</v>
      </c>
      <c r="K150" s="54">
        <v>129.5</v>
      </c>
      <c r="L150" s="54">
        <v>118.5</v>
      </c>
      <c r="M150" s="54">
        <v>194.25</v>
      </c>
      <c r="O150" s="11">
        <f t="shared" ref="O150:P165" si="6">K37-K150</f>
        <v>80.125</v>
      </c>
      <c r="P150" s="11">
        <f t="shared" si="6"/>
        <v>68.428571000000005</v>
      </c>
    </row>
    <row r="151" spans="1:16" x14ac:dyDescent="0.2">
      <c r="A151" s="44">
        <v>2005</v>
      </c>
      <c r="B151" s="54">
        <v>-3</v>
      </c>
      <c r="C151" s="54">
        <v>-4</v>
      </c>
      <c r="D151" s="54">
        <v>-10.25</v>
      </c>
      <c r="E151" s="54">
        <v>-16</v>
      </c>
      <c r="F151" s="54">
        <v>-15</v>
      </c>
      <c r="G151" s="54">
        <v>-13.75</v>
      </c>
      <c r="H151" s="54">
        <v>-14.5</v>
      </c>
      <c r="I151" s="54">
        <v>3.25</v>
      </c>
      <c r="J151" s="54">
        <v>5.25</v>
      </c>
      <c r="K151" s="54">
        <v>-1.75</v>
      </c>
      <c r="L151" s="54">
        <v>-21.25</v>
      </c>
      <c r="M151" s="54">
        <v>-15.75</v>
      </c>
      <c r="O151" s="11">
        <f t="shared" si="6"/>
        <v>6.1547609999999997</v>
      </c>
      <c r="P151" s="11">
        <f t="shared" si="6"/>
        <v>6.875</v>
      </c>
    </row>
    <row r="152" spans="1:16" x14ac:dyDescent="0.2">
      <c r="A152" s="44">
        <v>2006</v>
      </c>
      <c r="B152" s="54">
        <v>10.25</v>
      </c>
      <c r="C152" s="54">
        <v>-4.5</v>
      </c>
      <c r="D152" s="54">
        <v>-6</v>
      </c>
      <c r="E152" s="54">
        <v>-10</v>
      </c>
      <c r="F152" s="54">
        <v>-8.75</v>
      </c>
      <c r="G152" s="54">
        <v>-13</v>
      </c>
      <c r="H152" s="54">
        <v>-14.75</v>
      </c>
      <c r="I152" s="54">
        <v>-17.25</v>
      </c>
      <c r="J152" s="54">
        <v>-21</v>
      </c>
      <c r="K152" s="54">
        <v>-25.5</v>
      </c>
      <c r="L152" s="54">
        <v>-29.75</v>
      </c>
      <c r="M152" s="54">
        <v>-27.75</v>
      </c>
      <c r="O152" s="11">
        <f t="shared" si="6"/>
        <v>3.9772730000000003</v>
      </c>
      <c r="P152" s="11">
        <f t="shared" si="6"/>
        <v>2.7954550000000005</v>
      </c>
    </row>
    <row r="153" spans="1:16" x14ac:dyDescent="0.2">
      <c r="A153" s="44">
        <v>2007</v>
      </c>
      <c r="B153" s="54">
        <v>-20</v>
      </c>
      <c r="C153" s="54">
        <v>-19.25</v>
      </c>
      <c r="D153" s="54">
        <v>-18.75</v>
      </c>
      <c r="E153" s="54">
        <v>-15</v>
      </c>
      <c r="F153" s="54">
        <v>-19.5</v>
      </c>
      <c r="G153" s="54">
        <v>-24.75</v>
      </c>
      <c r="H153" s="54">
        <v>-24.25</v>
      </c>
      <c r="I153" s="54">
        <v>-28.25</v>
      </c>
      <c r="J153" s="54">
        <v>-29.25</v>
      </c>
      <c r="K153" s="54">
        <v>-30</v>
      </c>
      <c r="L153" s="54">
        <v>-35.5</v>
      </c>
      <c r="M153" s="54">
        <v>-35.75</v>
      </c>
      <c r="O153" s="11">
        <f t="shared" si="6"/>
        <v>1</v>
      </c>
      <c r="P153" s="11">
        <f t="shared" si="6"/>
        <v>2.4047619999999981</v>
      </c>
    </row>
    <row r="154" spans="1:16" x14ac:dyDescent="0.2">
      <c r="A154" s="44">
        <v>2008</v>
      </c>
      <c r="B154" s="54">
        <v>4.5</v>
      </c>
      <c r="C154" s="54">
        <v>26</v>
      </c>
      <c r="D154" s="54">
        <v>38</v>
      </c>
      <c r="E154" s="54">
        <v>71.5</v>
      </c>
      <c r="F154" s="54">
        <v>89</v>
      </c>
      <c r="G154" s="54">
        <v>35.5</v>
      </c>
      <c r="H154" s="54">
        <v>61</v>
      </c>
      <c r="I154" s="54">
        <v>82</v>
      </c>
      <c r="J154" s="54">
        <v>57.5</v>
      </c>
      <c r="K154" s="54">
        <v>-6</v>
      </c>
      <c r="L154" s="54">
        <v>5</v>
      </c>
      <c r="M154" s="54">
        <v>15.75</v>
      </c>
      <c r="O154" s="11">
        <f t="shared" si="6"/>
        <v>41.440475999999997</v>
      </c>
      <c r="P154" s="11">
        <f t="shared" si="6"/>
        <v>9.6785709999999998</v>
      </c>
    </row>
    <row r="155" spans="1:16" x14ac:dyDescent="0.2">
      <c r="A155" s="44">
        <v>2009</v>
      </c>
      <c r="B155" s="54">
        <v>28.25</v>
      </c>
      <c r="C155" s="54">
        <v>25</v>
      </c>
      <c r="D155" s="54">
        <v>-5.5</v>
      </c>
      <c r="E155" s="54">
        <v>-5.25</v>
      </c>
      <c r="F155" s="54">
        <v>-6.75</v>
      </c>
      <c r="G155" s="54">
        <v>-3.5</v>
      </c>
      <c r="H155" s="54">
        <v>35.25</v>
      </c>
      <c r="I155" s="54">
        <v>40</v>
      </c>
      <c r="J155" s="54">
        <v>59.5</v>
      </c>
      <c r="K155" s="54">
        <v>120</v>
      </c>
      <c r="L155" s="54">
        <v>126.5</v>
      </c>
      <c r="M155" s="54">
        <v>156</v>
      </c>
      <c r="O155" s="11">
        <f t="shared" si="6"/>
        <v>20.837500000000006</v>
      </c>
      <c r="P155" s="11">
        <f t="shared" si="6"/>
        <v>47.056817999999993</v>
      </c>
    </row>
    <row r="156" spans="1:16" x14ac:dyDescent="0.2">
      <c r="A156" s="44">
        <v>2010</v>
      </c>
      <c r="B156" s="54">
        <v>32</v>
      </c>
      <c r="C156" s="54">
        <v>19.5</v>
      </c>
      <c r="D156" s="54">
        <v>3.75</v>
      </c>
      <c r="E156" s="54">
        <v>3</v>
      </c>
      <c r="F156" s="54">
        <v>20</v>
      </c>
      <c r="G156" s="54">
        <v>21.5</v>
      </c>
      <c r="H156" s="54">
        <v>20</v>
      </c>
      <c r="I156" s="54">
        <v>19.5</v>
      </c>
      <c r="J156" s="54">
        <v>18.5</v>
      </c>
      <c r="K156" s="54">
        <v>20</v>
      </c>
      <c r="L156" s="54">
        <v>24.25</v>
      </c>
      <c r="M156" s="54">
        <v>48</v>
      </c>
      <c r="O156" s="11">
        <f t="shared" si="6"/>
        <v>7.6499999999999986</v>
      </c>
      <c r="P156" s="11">
        <f t="shared" si="6"/>
        <v>11.159089999999999</v>
      </c>
    </row>
    <row r="157" spans="1:16" x14ac:dyDescent="0.2">
      <c r="A157" s="44">
        <v>2011</v>
      </c>
      <c r="B157" s="54">
        <v>24.5</v>
      </c>
      <c r="C157" s="54">
        <v>31.25</v>
      </c>
      <c r="D157" s="54">
        <v>31.5</v>
      </c>
      <c r="E157" s="54">
        <v>64.5</v>
      </c>
      <c r="F157" s="54">
        <v>92</v>
      </c>
      <c r="G157" s="54">
        <v>79.25</v>
      </c>
      <c r="H157" s="54">
        <v>44.5</v>
      </c>
      <c r="I157" s="54">
        <v>17.25</v>
      </c>
      <c r="J157" s="54">
        <v>-6.5</v>
      </c>
      <c r="K157" s="54">
        <v>9.5</v>
      </c>
      <c r="L157" s="54">
        <v>-2.25</v>
      </c>
      <c r="M157" s="54">
        <v>5.5</v>
      </c>
      <c r="O157" s="11">
        <f t="shared" si="6"/>
        <v>8.1904760000000003</v>
      </c>
      <c r="P157" s="11">
        <f t="shared" si="6"/>
        <v>9.25</v>
      </c>
    </row>
    <row r="158" spans="1:16" x14ac:dyDescent="0.2">
      <c r="A158" s="44">
        <v>2012</v>
      </c>
      <c r="B158" s="54">
        <v>44.75</v>
      </c>
      <c r="C158" s="54">
        <v>18</v>
      </c>
      <c r="D158" s="54">
        <v>16.5</v>
      </c>
      <c r="E158" s="54">
        <v>9.75</v>
      </c>
      <c r="F158" s="54">
        <v>1.75</v>
      </c>
      <c r="G158" s="54">
        <v>7.75</v>
      </c>
      <c r="H158" s="54">
        <v>7.25</v>
      </c>
      <c r="I158" s="54">
        <v>35.25</v>
      </c>
      <c r="J158" s="54">
        <v>42</v>
      </c>
      <c r="K158" s="54">
        <v>69.75</v>
      </c>
      <c r="L158" s="54">
        <v>45</v>
      </c>
      <c r="M158" s="54">
        <v>89.5</v>
      </c>
      <c r="O158" s="11">
        <f t="shared" si="6"/>
        <v>32.431818000000007</v>
      </c>
      <c r="P158" s="11">
        <f t="shared" si="6"/>
        <v>27.261904000000001</v>
      </c>
    </row>
    <row r="159" spans="1:16" x14ac:dyDescent="0.2">
      <c r="A159" s="44">
        <v>2013</v>
      </c>
      <c r="B159" s="54">
        <v>150</v>
      </c>
      <c r="C159" s="54">
        <v>144.5</v>
      </c>
      <c r="D159" s="54">
        <v>93.25</v>
      </c>
      <c r="E159" s="54">
        <v>80.5</v>
      </c>
      <c r="F159" s="54">
        <v>92.5</v>
      </c>
      <c r="G159" s="54">
        <v>78</v>
      </c>
      <c r="H159" s="54">
        <v>122.75</v>
      </c>
      <c r="I159" s="54">
        <v>132.5</v>
      </c>
      <c r="J159" s="54">
        <v>115.75</v>
      </c>
      <c r="K159" s="54">
        <v>162</v>
      </c>
      <c r="L159" s="54">
        <v>192.75</v>
      </c>
      <c r="M159" s="54">
        <v>306</v>
      </c>
      <c r="O159" s="11">
        <f t="shared" si="6"/>
        <v>43.238636000000014</v>
      </c>
      <c r="P159" s="11">
        <f t="shared" si="6"/>
        <v>34.9375</v>
      </c>
    </row>
    <row r="160" spans="1:16" x14ac:dyDescent="0.2">
      <c r="A160" s="44">
        <v>2014</v>
      </c>
      <c r="B160" s="54">
        <v>26</v>
      </c>
      <c r="C160" s="54">
        <v>86.75</v>
      </c>
      <c r="D160" s="54">
        <v>71</v>
      </c>
      <c r="E160" s="54">
        <v>78.25</v>
      </c>
      <c r="F160" s="54">
        <v>122</v>
      </c>
      <c r="G160" s="54">
        <v>117.25</v>
      </c>
      <c r="H160" s="54">
        <v>153.75</v>
      </c>
      <c r="I160" s="54">
        <v>192.25</v>
      </c>
      <c r="J160" s="54">
        <v>232.5</v>
      </c>
      <c r="K160" s="54">
        <v>229</v>
      </c>
      <c r="L160" s="54">
        <v>184.25</v>
      </c>
      <c r="M160" s="54">
        <v>208.75</v>
      </c>
      <c r="O160" s="11">
        <f t="shared" si="6"/>
        <v>19.547618999999997</v>
      </c>
      <c r="P160" s="11">
        <f t="shared" si="6"/>
        <v>32.571427999999997</v>
      </c>
    </row>
    <row r="161" spans="1:16" x14ac:dyDescent="0.2">
      <c r="A161" s="44">
        <v>2015</v>
      </c>
      <c r="B161" s="54">
        <v>12</v>
      </c>
      <c r="C161" s="54">
        <v>7</v>
      </c>
      <c r="D161" s="54">
        <v>6.25</v>
      </c>
      <c r="E161" s="54">
        <v>25.75</v>
      </c>
      <c r="F161" s="54">
        <v>31.5</v>
      </c>
      <c r="G161" s="54">
        <v>24.25</v>
      </c>
      <c r="H161" s="54">
        <v>25.5</v>
      </c>
      <c r="I161" s="54">
        <v>19</v>
      </c>
      <c r="J161" s="54">
        <v>13</v>
      </c>
      <c r="K161" s="54">
        <v>17.25</v>
      </c>
      <c r="L161" s="54">
        <v>16</v>
      </c>
      <c r="M161" s="54">
        <v>31.5</v>
      </c>
      <c r="O161" s="11">
        <f t="shared" si="6"/>
        <v>5.6750000000000007</v>
      </c>
      <c r="P161" s="11">
        <f t="shared" si="6"/>
        <v>10.488636</v>
      </c>
    </row>
    <row r="162" spans="1:16" x14ac:dyDescent="0.2">
      <c r="A162" s="44">
        <v>2016</v>
      </c>
      <c r="B162" s="54">
        <v>12.75</v>
      </c>
      <c r="C162" s="54">
        <v>8.75</v>
      </c>
      <c r="D162" s="54">
        <v>8.25</v>
      </c>
      <c r="E162" s="54">
        <v>-8</v>
      </c>
      <c r="F162" s="54">
        <v>-6.75</v>
      </c>
      <c r="G162" s="54">
        <v>-5.25</v>
      </c>
      <c r="H162" s="54">
        <v>-6</v>
      </c>
      <c r="I162" s="54">
        <v>-7.5</v>
      </c>
      <c r="J162" s="54">
        <v>-7.25</v>
      </c>
      <c r="K162" s="54">
        <v>7.5</v>
      </c>
      <c r="L162" s="54">
        <v>10.25</v>
      </c>
      <c r="M162" s="54">
        <v>32.5</v>
      </c>
      <c r="O162" s="11">
        <f t="shared" si="6"/>
        <v>11.202380952380953</v>
      </c>
      <c r="P162" s="11">
        <f t="shared" si="6"/>
        <v>14.988095238095237</v>
      </c>
    </row>
    <row r="163" spans="1:16" x14ac:dyDescent="0.2">
      <c r="A163" s="44">
        <v>2017</v>
      </c>
      <c r="B163" s="54">
        <v>34.75</v>
      </c>
      <c r="C163" s="54">
        <v>19.25</v>
      </c>
      <c r="D163" s="54">
        <v>17.25</v>
      </c>
      <c r="E163" s="54">
        <v>20</v>
      </c>
      <c r="F163" s="54">
        <v>29.75</v>
      </c>
      <c r="G163" s="54">
        <v>26.25</v>
      </c>
      <c r="H163" s="54">
        <v>24.25</v>
      </c>
      <c r="I163" s="54">
        <v>5.5</v>
      </c>
      <c r="J163" s="54">
        <v>-1</v>
      </c>
      <c r="K163" s="54">
        <v>-7.75</v>
      </c>
      <c r="L163" s="54">
        <v>-10.25</v>
      </c>
      <c r="M163" s="54">
        <v>18.75</v>
      </c>
      <c r="O163" s="11">
        <f t="shared" si="6"/>
        <v>10.511363636363637</v>
      </c>
      <c r="P163" s="11">
        <f t="shared" si="6"/>
        <v>2.4431818181818183</v>
      </c>
    </row>
    <row r="164" spans="1:16" x14ac:dyDescent="0.2">
      <c r="A164" s="44">
        <v>2018</v>
      </c>
      <c r="B164" s="54">
        <v>11.75</v>
      </c>
      <c r="C164" s="54">
        <v>12.5</v>
      </c>
      <c r="D164" s="54">
        <v>13.75</v>
      </c>
      <c r="E164" s="54">
        <v>14.75</v>
      </c>
      <c r="F164" s="54">
        <v>5.5</v>
      </c>
      <c r="G164" s="54">
        <v>-2.25</v>
      </c>
      <c r="H164" s="54">
        <v>-0.5</v>
      </c>
      <c r="I164" s="54">
        <v>7.75</v>
      </c>
      <c r="J164" s="54">
        <v>-3.25</v>
      </c>
      <c r="K164" s="54">
        <v>-16</v>
      </c>
      <c r="L164" s="54">
        <v>-25.25</v>
      </c>
      <c r="M164" s="54">
        <v>-0.75</v>
      </c>
      <c r="O164" s="11">
        <f t="shared" si="6"/>
        <v>8.5568181818181817</v>
      </c>
      <c r="P164" s="11">
        <f t="shared" si="6"/>
        <v>4.2976190476190474</v>
      </c>
    </row>
    <row r="165" spans="1:16" x14ac:dyDescent="0.2">
      <c r="A165" s="44">
        <v>2019</v>
      </c>
      <c r="B165" s="54">
        <v>-7</v>
      </c>
      <c r="C165" s="54">
        <v>-18</v>
      </c>
      <c r="D165" s="54">
        <v>-17.75</v>
      </c>
      <c r="E165" s="54">
        <v>-13.25</v>
      </c>
      <c r="F165" s="54">
        <v>-17</v>
      </c>
      <c r="G165" s="54">
        <v>-17.5</v>
      </c>
      <c r="H165" s="54">
        <v>-19.75</v>
      </c>
      <c r="I165" s="54">
        <v>-22.5</v>
      </c>
      <c r="J165" s="54">
        <v>-21</v>
      </c>
      <c r="K165" s="54">
        <v>-27</v>
      </c>
      <c r="L165" s="54">
        <v>-27.75</v>
      </c>
      <c r="M165" s="54">
        <v>-8.25</v>
      </c>
      <c r="O165" s="11">
        <f t="shared" si="6"/>
        <v>2.2727272727272734</v>
      </c>
      <c r="P165" s="11">
        <f t="shared" si="6"/>
        <v>1.7624999999999993</v>
      </c>
    </row>
    <row r="166" spans="1:16" x14ac:dyDescent="0.2">
      <c r="A166" s="44">
        <v>2020</v>
      </c>
      <c r="B166" s="54">
        <v>-18</v>
      </c>
      <c r="C166" s="54">
        <v>-17</v>
      </c>
      <c r="D166" s="54">
        <v>-7.25</v>
      </c>
      <c r="E166" s="54">
        <v>-8.75</v>
      </c>
      <c r="F166" s="54">
        <v>-12</v>
      </c>
      <c r="G166" s="54">
        <v>-11.75</v>
      </c>
      <c r="H166" s="54">
        <v>-13.75</v>
      </c>
      <c r="I166" s="54">
        <v>-14</v>
      </c>
      <c r="J166" s="54">
        <v>-12.5</v>
      </c>
      <c r="K166" s="54">
        <v>-12.25</v>
      </c>
      <c r="L166" s="54">
        <v>-14</v>
      </c>
      <c r="M166" s="54">
        <v>6.5</v>
      </c>
      <c r="O166" s="11">
        <f t="shared" ref="O166:P168" si="7">K53-K166</f>
        <v>4.9874999999999998</v>
      </c>
      <c r="P166" s="11">
        <f t="shared" si="7"/>
        <v>8.0238095238095237</v>
      </c>
    </row>
    <row r="167" spans="1:16" x14ac:dyDescent="0.2">
      <c r="A167" s="44">
        <v>2021</v>
      </c>
      <c r="B167" s="54">
        <v>3.25</v>
      </c>
      <c r="C167" s="54">
        <v>19</v>
      </c>
      <c r="D167" s="54">
        <v>51.5</v>
      </c>
      <c r="E167" s="54">
        <v>69.25</v>
      </c>
      <c r="F167" s="54">
        <v>111</v>
      </c>
      <c r="G167" s="54">
        <v>170.25</v>
      </c>
      <c r="H167" s="54">
        <v>159.25</v>
      </c>
      <c r="I167" s="54">
        <v>154.25</v>
      </c>
      <c r="J167" s="54">
        <v>129</v>
      </c>
      <c r="K167" s="55">
        <v>163.60634199134188</v>
      </c>
      <c r="L167" s="55">
        <v>89.539491341991365</v>
      </c>
      <c r="M167" s="54"/>
      <c r="O167" s="11">
        <f t="shared" si="7"/>
        <v>7.5061580086580193</v>
      </c>
      <c r="P167" s="11">
        <f t="shared" si="7"/>
        <v>6.3030411255411281</v>
      </c>
    </row>
    <row r="168" spans="1:16" x14ac:dyDescent="0.2">
      <c r="A168" s="44">
        <v>2022</v>
      </c>
      <c r="B168" s="54"/>
      <c r="C168" s="54"/>
      <c r="D168" s="54"/>
      <c r="E168" s="54"/>
      <c r="F168" s="54"/>
      <c r="G168" s="54"/>
      <c r="H168" s="54"/>
      <c r="I168" s="54"/>
      <c r="J168" s="54"/>
      <c r="K168" s="55">
        <f>((SUM(K163:K167)-SUM(K50:K54))/5)+K55</f>
        <v>310.256896103896</v>
      </c>
      <c r="L168" s="55">
        <f>((SUM(L163:L167)-SUM(L50:L54))/5)+L55</f>
        <v>335.51730303030286</v>
      </c>
      <c r="M168" s="54"/>
      <c r="O168" s="11">
        <f t="shared" si="7"/>
        <v>6.7669134199134078</v>
      </c>
      <c r="P168" s="11">
        <f t="shared" si="7"/>
        <v>4.5660303030302885</v>
      </c>
    </row>
    <row r="169" spans="1:16" x14ac:dyDescent="0.2">
      <c r="O169" s="11"/>
      <c r="P169" s="11"/>
    </row>
    <row r="171" spans="1:16" ht="15.75" x14ac:dyDescent="0.25">
      <c r="A171" s="40" t="s">
        <v>179</v>
      </c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</row>
    <row r="172" spans="1:16" ht="13.5" x14ac:dyDescent="0.25">
      <c r="A172" s="42" t="s">
        <v>155</v>
      </c>
      <c r="B172" s="43" t="s">
        <v>90</v>
      </c>
      <c r="C172" s="43" t="s">
        <v>91</v>
      </c>
      <c r="D172" s="43" t="s">
        <v>92</v>
      </c>
      <c r="E172" s="43" t="s">
        <v>93</v>
      </c>
      <c r="F172" s="43" t="s">
        <v>94</v>
      </c>
      <c r="G172" s="43" t="s">
        <v>83</v>
      </c>
      <c r="H172" s="43" t="s">
        <v>84</v>
      </c>
      <c r="I172" s="43" t="s">
        <v>85</v>
      </c>
      <c r="J172" s="43" t="s">
        <v>86</v>
      </c>
      <c r="K172" s="43" t="s">
        <v>87</v>
      </c>
      <c r="L172" s="43" t="s">
        <v>88</v>
      </c>
      <c r="M172" s="43" t="s">
        <v>89</v>
      </c>
    </row>
    <row r="173" spans="1:16" x14ac:dyDescent="0.2">
      <c r="A173" s="44">
        <v>1970</v>
      </c>
      <c r="B173" s="54"/>
      <c r="C173" s="54">
        <v>-4.5357139999999996</v>
      </c>
      <c r="D173" s="54">
        <v>-4.5263150000000003</v>
      </c>
      <c r="E173" s="54">
        <v>-4.8928570000000002</v>
      </c>
      <c r="F173" s="54">
        <v>-4.78409</v>
      </c>
      <c r="G173" s="54">
        <v>-4.4874999999999998</v>
      </c>
      <c r="H173" s="54">
        <v>-4.78409</v>
      </c>
      <c r="I173" s="54">
        <v>-5.193181</v>
      </c>
      <c r="J173" s="54">
        <v>-5.3809519999999997</v>
      </c>
      <c r="K173" s="54">
        <v>-5.2619040000000004</v>
      </c>
      <c r="L173" s="54">
        <v>-4.625</v>
      </c>
      <c r="M173" s="54">
        <v>-3.2708330000000001</v>
      </c>
    </row>
    <row r="174" spans="1:16" x14ac:dyDescent="0.2">
      <c r="A174" s="44">
        <v>1971</v>
      </c>
      <c r="B174" s="54">
        <v>-4.0568179999999998</v>
      </c>
      <c r="C174" s="54">
        <v>-4.2874999999999996</v>
      </c>
      <c r="D174" s="54">
        <v>-4.4078939999999998</v>
      </c>
      <c r="E174" s="54">
        <v>-4.2934780000000003</v>
      </c>
      <c r="F174" s="54">
        <v>-4.2142850000000003</v>
      </c>
      <c r="G174" s="54">
        <v>-4.3</v>
      </c>
      <c r="H174" s="54">
        <v>-4.0568179999999998</v>
      </c>
      <c r="I174" s="54">
        <v>-3.4047610000000001</v>
      </c>
      <c r="J174" s="54">
        <v>-3.5568179999999998</v>
      </c>
      <c r="K174" s="54">
        <v>-3.9047610000000001</v>
      </c>
      <c r="L174" s="54">
        <v>-3.2380949999999999</v>
      </c>
      <c r="M174" s="54">
        <v>-4.4285709999999998</v>
      </c>
    </row>
    <row r="175" spans="1:16" x14ac:dyDescent="0.2">
      <c r="A175" s="44">
        <v>1972</v>
      </c>
      <c r="B175" s="54">
        <v>-3.9404759999999999</v>
      </c>
      <c r="C175" s="54">
        <v>-3.9761899999999999</v>
      </c>
      <c r="D175" s="54">
        <v>-4.0125000000000002</v>
      </c>
      <c r="E175" s="54">
        <v>-4.1363630000000002</v>
      </c>
      <c r="F175" s="54">
        <v>-4.0125000000000002</v>
      </c>
      <c r="G175" s="54">
        <v>-3.7613629999999998</v>
      </c>
      <c r="H175" s="54">
        <v>-4.068181</v>
      </c>
      <c r="I175" s="54">
        <v>-4.0999999999999996</v>
      </c>
      <c r="J175" s="54">
        <v>-4.1413039999999999</v>
      </c>
      <c r="K175" s="54">
        <v>-4.8125</v>
      </c>
      <c r="L175" s="54">
        <v>-3.3409089999999999</v>
      </c>
      <c r="M175" s="54">
        <v>3.25</v>
      </c>
    </row>
    <row r="176" spans="1:16" x14ac:dyDescent="0.2">
      <c r="A176" s="44">
        <v>1973</v>
      </c>
      <c r="B176" s="54"/>
      <c r="C176" s="54">
        <v>-2.0499999999999998</v>
      </c>
      <c r="D176" s="54">
        <v>2.6315780000000002</v>
      </c>
      <c r="E176" s="54">
        <v>1.204545</v>
      </c>
      <c r="F176" s="54">
        <v>-0.8125</v>
      </c>
      <c r="G176" s="54">
        <v>1.818181</v>
      </c>
      <c r="H176" s="54">
        <v>16.026315</v>
      </c>
      <c r="I176" s="54">
        <v>10.119047</v>
      </c>
      <c r="J176" s="54">
        <v>10.456521</v>
      </c>
      <c r="K176" s="54">
        <v>-1.671052</v>
      </c>
      <c r="L176" s="54">
        <v>-1.681818</v>
      </c>
      <c r="M176" s="54">
        <v>2.410714</v>
      </c>
    </row>
    <row r="177" spans="1:13" x14ac:dyDescent="0.2">
      <c r="A177" s="44">
        <v>1974</v>
      </c>
      <c r="B177" s="54">
        <v>-2.25</v>
      </c>
      <c r="C177" s="54">
        <v>-3.0227270000000002</v>
      </c>
      <c r="D177" s="54">
        <v>-4.4583329999999997</v>
      </c>
      <c r="E177" s="54">
        <v>-2.785714</v>
      </c>
      <c r="F177" s="54">
        <v>-2.5833330000000001</v>
      </c>
      <c r="G177" s="54">
        <v>-4.3409089999999999</v>
      </c>
      <c r="H177" s="54">
        <v>-4.0750000000000002</v>
      </c>
      <c r="I177" s="54">
        <v>-2.375</v>
      </c>
      <c r="J177" s="54">
        <v>-1.5227269999999999</v>
      </c>
      <c r="K177" s="54">
        <v>-6.6749999999999998</v>
      </c>
      <c r="L177" s="54">
        <v>-14.413043</v>
      </c>
      <c r="M177" s="54">
        <v>-16.083333</v>
      </c>
    </row>
    <row r="178" spans="1:13" x14ac:dyDescent="0.2">
      <c r="A178" s="44">
        <v>1975</v>
      </c>
      <c r="B178" s="54">
        <v>-6.2380950000000004</v>
      </c>
      <c r="C178" s="54">
        <v>-6.3522720000000001</v>
      </c>
      <c r="D178" s="54">
        <v>-6.5921050000000001</v>
      </c>
      <c r="E178" s="54">
        <v>-6.1624999999999996</v>
      </c>
      <c r="F178" s="54">
        <v>-5.4204540000000003</v>
      </c>
      <c r="G178" s="54">
        <v>-6.1666660000000002</v>
      </c>
      <c r="H178" s="54">
        <v>-6.7261899999999999</v>
      </c>
      <c r="I178" s="54">
        <v>-8.6477269999999997</v>
      </c>
      <c r="J178" s="54">
        <v>-8.7023799999999998</v>
      </c>
      <c r="K178" s="54">
        <v>-9.7619039999999995</v>
      </c>
      <c r="L178" s="54">
        <v>-10.771739</v>
      </c>
      <c r="M178" s="54">
        <v>-7.4791660000000002</v>
      </c>
    </row>
    <row r="179" spans="1:13" x14ac:dyDescent="0.2">
      <c r="A179" s="44">
        <v>1976</v>
      </c>
      <c r="B179" s="54">
        <v>-8.4047610000000006</v>
      </c>
      <c r="C179" s="54">
        <v>-6.6309519999999997</v>
      </c>
      <c r="D179" s="54">
        <v>-6.7631569999999996</v>
      </c>
      <c r="E179" s="54">
        <v>-6.8695649999999997</v>
      </c>
      <c r="F179" s="54">
        <v>-7.5119040000000004</v>
      </c>
      <c r="G179" s="54">
        <v>-6.0374999999999996</v>
      </c>
      <c r="H179" s="54">
        <v>-4.693181</v>
      </c>
      <c r="I179" s="54">
        <v>-5.2857139999999996</v>
      </c>
      <c r="J179" s="54">
        <v>-7.40909</v>
      </c>
      <c r="K179" s="54">
        <v>-6.1666660000000002</v>
      </c>
      <c r="L179" s="54">
        <v>-7.5119040000000004</v>
      </c>
      <c r="M179" s="54">
        <v>-4.7884609999999999</v>
      </c>
    </row>
    <row r="180" spans="1:13" x14ac:dyDescent="0.2">
      <c r="A180" s="44">
        <v>1977</v>
      </c>
      <c r="B180" s="54">
        <v>-5.125</v>
      </c>
      <c r="C180" s="54">
        <v>-4.9761899999999999</v>
      </c>
      <c r="D180" s="54">
        <v>-5.0526309999999999</v>
      </c>
      <c r="E180" s="54">
        <v>-5</v>
      </c>
      <c r="F180" s="54">
        <v>-3.55</v>
      </c>
      <c r="G180" s="54">
        <v>-4.3</v>
      </c>
      <c r="H180" s="54">
        <v>-3.9204539999999999</v>
      </c>
      <c r="I180" s="54">
        <v>-6.3875000000000002</v>
      </c>
      <c r="J180" s="54">
        <v>-6.9891300000000003</v>
      </c>
      <c r="K180" s="54">
        <v>-7.6071419999999996</v>
      </c>
      <c r="L180" s="54">
        <v>-7.0476190000000001</v>
      </c>
      <c r="M180" s="54">
        <v>-7.1785709999999998</v>
      </c>
    </row>
    <row r="181" spans="1:13" x14ac:dyDescent="0.2">
      <c r="A181" s="44">
        <v>1978</v>
      </c>
      <c r="B181" s="54">
        <v>-5.4761899999999999</v>
      </c>
      <c r="C181" s="54">
        <v>-6.6785709999999998</v>
      </c>
      <c r="D181" s="54">
        <v>-6.697368</v>
      </c>
      <c r="E181" s="54">
        <v>-6.3522720000000001</v>
      </c>
      <c r="F181" s="54">
        <v>-4.875</v>
      </c>
      <c r="G181" s="54">
        <v>-4.8977269999999997</v>
      </c>
      <c r="H181" s="54">
        <v>-4.03409</v>
      </c>
      <c r="I181" s="54">
        <v>-5.7625000000000002</v>
      </c>
      <c r="J181" s="54">
        <v>-6.4347820000000002</v>
      </c>
      <c r="K181" s="54">
        <v>-6.8375000000000004</v>
      </c>
      <c r="L181" s="54">
        <v>-7.7045450000000004</v>
      </c>
      <c r="M181" s="54">
        <v>-11.307691999999999</v>
      </c>
    </row>
    <row r="182" spans="1:13" x14ac:dyDescent="0.2">
      <c r="A182" s="44">
        <v>1979</v>
      </c>
      <c r="B182" s="54">
        <v>-7.6</v>
      </c>
      <c r="C182" s="54">
        <v>-8.0795449999999995</v>
      </c>
      <c r="D182" s="54">
        <v>-7.9605259999999998</v>
      </c>
      <c r="E182" s="54">
        <v>-8.7159089999999999</v>
      </c>
      <c r="F182" s="54">
        <v>-9.1624999999999996</v>
      </c>
      <c r="G182" s="54">
        <v>-9.9545449999999995</v>
      </c>
      <c r="H182" s="54">
        <v>-10.25</v>
      </c>
      <c r="I182" s="54">
        <v>-10.011903999999999</v>
      </c>
      <c r="J182" s="54">
        <v>-13.347826</v>
      </c>
      <c r="K182" s="54">
        <v>-15.565789000000001</v>
      </c>
      <c r="L182" s="54">
        <v>-19.880434000000001</v>
      </c>
      <c r="M182" s="54">
        <v>-19.571428000000001</v>
      </c>
    </row>
    <row r="183" spans="1:13" x14ac:dyDescent="0.2">
      <c r="A183" s="44">
        <v>1980</v>
      </c>
      <c r="B183" s="54">
        <v>-14.802631</v>
      </c>
      <c r="C183" s="54">
        <v>-16.837499999999999</v>
      </c>
      <c r="D183" s="54">
        <v>-16.837499999999999</v>
      </c>
      <c r="E183" s="54">
        <v>-17.404761000000001</v>
      </c>
      <c r="F183" s="54">
        <v>-16.702380000000002</v>
      </c>
      <c r="G183" s="54">
        <v>-14.940476</v>
      </c>
      <c r="H183" s="54">
        <v>-14.976190000000001</v>
      </c>
      <c r="I183" s="54">
        <v>-11.534090000000001</v>
      </c>
      <c r="J183" s="54">
        <v>-12.70238</v>
      </c>
      <c r="K183" s="54">
        <v>-19.892856999999999</v>
      </c>
      <c r="L183" s="54">
        <v>-24.576086</v>
      </c>
      <c r="M183" s="54">
        <v>-22.954545</v>
      </c>
    </row>
    <row r="184" spans="1:13" x14ac:dyDescent="0.2">
      <c r="A184" s="44">
        <v>1981</v>
      </c>
      <c r="B184" s="54">
        <v>-16.190476</v>
      </c>
      <c r="C184" s="54">
        <v>-18.547619000000001</v>
      </c>
      <c r="D184" s="54">
        <v>-18.236841999999999</v>
      </c>
      <c r="E184" s="54">
        <v>-18.318180999999999</v>
      </c>
      <c r="F184" s="54">
        <v>-18.857142</v>
      </c>
      <c r="G184" s="54">
        <v>-18.8</v>
      </c>
      <c r="H184" s="54">
        <v>-18.227271999999999</v>
      </c>
      <c r="I184" s="54">
        <v>-18.795453999999999</v>
      </c>
      <c r="J184" s="54">
        <v>-19.523809</v>
      </c>
      <c r="K184" s="54">
        <v>-21.083333</v>
      </c>
      <c r="L184" s="54">
        <v>-20.647727</v>
      </c>
      <c r="M184" s="54">
        <v>-16.596153000000001</v>
      </c>
    </row>
    <row r="185" spans="1:13" x14ac:dyDescent="0.2">
      <c r="A185" s="44">
        <v>1982</v>
      </c>
      <c r="B185" s="54">
        <v>-14.863636</v>
      </c>
      <c r="C185" s="54">
        <v>-14.4125</v>
      </c>
      <c r="D185" s="54">
        <v>-13.671052</v>
      </c>
      <c r="E185" s="54">
        <v>-12.663043</v>
      </c>
      <c r="F185" s="54">
        <v>-12.785714</v>
      </c>
      <c r="G185" s="54">
        <v>-12.85</v>
      </c>
      <c r="H185" s="54">
        <v>-15.25</v>
      </c>
      <c r="I185" s="54">
        <v>-15.559523</v>
      </c>
      <c r="J185" s="54">
        <v>-14.602271999999999</v>
      </c>
      <c r="K185" s="54">
        <v>-14.630952000000001</v>
      </c>
      <c r="L185" s="54">
        <v>-14.119047</v>
      </c>
      <c r="M185" s="54">
        <v>-11.423076</v>
      </c>
    </row>
    <row r="186" spans="1:13" x14ac:dyDescent="0.2">
      <c r="A186" s="44">
        <v>1983</v>
      </c>
      <c r="B186" s="54">
        <v>-12.488095</v>
      </c>
      <c r="C186" s="54">
        <v>-12.488095</v>
      </c>
      <c r="D186" s="54">
        <v>-12.381577999999999</v>
      </c>
      <c r="E186" s="54">
        <v>-12.021739</v>
      </c>
      <c r="F186" s="54">
        <v>-12.5875</v>
      </c>
      <c r="G186" s="54">
        <v>-12.45238</v>
      </c>
      <c r="H186" s="54">
        <v>-11.136362999999999</v>
      </c>
      <c r="I186" s="54">
        <v>-13.875</v>
      </c>
      <c r="J186" s="54">
        <v>-11.336956000000001</v>
      </c>
      <c r="K186" s="54">
        <v>-14</v>
      </c>
      <c r="L186" s="54">
        <v>-16.142856999999999</v>
      </c>
      <c r="M186" s="54">
        <v>-16.214285</v>
      </c>
    </row>
    <row r="187" spans="1:13" x14ac:dyDescent="0.2">
      <c r="A187" s="44">
        <v>1984</v>
      </c>
      <c r="B187" s="54">
        <v>-12.214285</v>
      </c>
      <c r="C187" s="54">
        <v>-12.880952000000001</v>
      </c>
      <c r="D187" s="54">
        <v>-12.5375</v>
      </c>
      <c r="E187" s="54">
        <v>-11.488636</v>
      </c>
      <c r="F187" s="54">
        <v>-11.6</v>
      </c>
      <c r="G187" s="54">
        <v>-10.397727</v>
      </c>
      <c r="H187" s="54">
        <v>-11.630952000000001</v>
      </c>
      <c r="I187" s="54">
        <v>-12.511903999999999</v>
      </c>
      <c r="J187" s="54">
        <v>-12.891304</v>
      </c>
      <c r="K187" s="54">
        <v>-11.68421</v>
      </c>
      <c r="L187" s="54">
        <v>-10.858695000000001</v>
      </c>
      <c r="M187" s="54">
        <v>-12.321427999999999</v>
      </c>
    </row>
    <row r="188" spans="1:13" x14ac:dyDescent="0.2">
      <c r="A188" s="44">
        <v>1985</v>
      </c>
      <c r="B188" s="54">
        <v>-13.95</v>
      </c>
      <c r="C188" s="54">
        <v>-12.931818</v>
      </c>
      <c r="D188" s="54">
        <v>-11.93421</v>
      </c>
      <c r="E188" s="54">
        <v>-10.964285</v>
      </c>
      <c r="F188" s="54">
        <v>-11</v>
      </c>
      <c r="G188" s="54">
        <v>-10.409090000000001</v>
      </c>
      <c r="H188" s="54">
        <v>-9.35</v>
      </c>
      <c r="I188" s="54">
        <v>-9.8522719999999993</v>
      </c>
      <c r="J188" s="54">
        <v>-9.0113629999999993</v>
      </c>
      <c r="K188" s="54">
        <v>-10.8125</v>
      </c>
      <c r="L188" s="54">
        <v>-12.978260000000001</v>
      </c>
      <c r="M188" s="54">
        <v>-8.9615379999999991</v>
      </c>
    </row>
    <row r="189" spans="1:13" x14ac:dyDescent="0.2">
      <c r="A189" s="44">
        <v>1986</v>
      </c>
      <c r="B189" s="54">
        <v>-10.369047</v>
      </c>
      <c r="C189" s="54">
        <v>-10.568180999999999</v>
      </c>
      <c r="D189" s="54">
        <v>-10.263157</v>
      </c>
      <c r="E189" s="54">
        <v>-9.6</v>
      </c>
      <c r="F189" s="54">
        <v>-8.8295449999999995</v>
      </c>
      <c r="G189" s="54">
        <v>-9.0714279999999992</v>
      </c>
      <c r="H189" s="54">
        <v>-8.8928569999999993</v>
      </c>
      <c r="I189" s="54">
        <v>-8.375</v>
      </c>
      <c r="J189" s="54">
        <v>-8.8333329999999997</v>
      </c>
      <c r="K189" s="54">
        <v>-8.3452380000000002</v>
      </c>
      <c r="L189" s="54">
        <v>-6.7391300000000003</v>
      </c>
      <c r="M189" s="54">
        <v>-0.77083299999999999</v>
      </c>
    </row>
    <row r="190" spans="1:13" x14ac:dyDescent="0.2">
      <c r="A190" s="44">
        <v>1987</v>
      </c>
      <c r="B190" s="54">
        <v>-7.5909089999999999</v>
      </c>
      <c r="C190" s="54">
        <v>-6.8452380000000002</v>
      </c>
      <c r="D190" s="54">
        <v>-6.1052629999999999</v>
      </c>
      <c r="E190" s="54">
        <v>-6.3863630000000002</v>
      </c>
      <c r="F190" s="54">
        <v>-6.9880950000000004</v>
      </c>
      <c r="G190" s="54">
        <v>-7.9749999999999996</v>
      </c>
      <c r="H190" s="54">
        <v>-8.8636359999999996</v>
      </c>
      <c r="I190" s="54">
        <v>-8.1818179999999998</v>
      </c>
      <c r="J190" s="54">
        <v>-6.2142850000000003</v>
      </c>
      <c r="K190" s="54">
        <v>-6.1309519999999997</v>
      </c>
      <c r="L190" s="54">
        <v>-8.3863629999999993</v>
      </c>
      <c r="M190" s="54">
        <v>-6.961538</v>
      </c>
    </row>
    <row r="191" spans="1:13" x14ac:dyDescent="0.2">
      <c r="A191" s="44">
        <v>1988</v>
      </c>
      <c r="B191" s="54">
        <v>-7.1704540000000003</v>
      </c>
      <c r="C191" s="54">
        <v>-7.1</v>
      </c>
      <c r="D191" s="54">
        <v>-7.2625000000000002</v>
      </c>
      <c r="E191" s="54">
        <v>-7.6521730000000003</v>
      </c>
      <c r="F191" s="54">
        <v>-7.8624999999999998</v>
      </c>
      <c r="G191" s="54">
        <v>-8.2023799999999998</v>
      </c>
      <c r="H191" s="54">
        <v>1.579545</v>
      </c>
      <c r="I191" s="54">
        <v>5.7750000000000004</v>
      </c>
      <c r="J191" s="54">
        <v>-2.097826</v>
      </c>
      <c r="K191" s="54">
        <v>-9.7976189999999992</v>
      </c>
      <c r="L191" s="54">
        <v>-12.940476</v>
      </c>
      <c r="M191" s="54">
        <v>-11.625</v>
      </c>
    </row>
    <row r="192" spans="1:13" x14ac:dyDescent="0.2">
      <c r="A192" s="44">
        <v>1989</v>
      </c>
      <c r="B192" s="54">
        <v>-8.3690470000000001</v>
      </c>
      <c r="C192" s="54">
        <v>-8.8452380000000002</v>
      </c>
      <c r="D192" s="54">
        <v>-7.0526309999999999</v>
      </c>
      <c r="E192" s="54">
        <v>-7.318181</v>
      </c>
      <c r="F192" s="54">
        <v>-8.875</v>
      </c>
      <c r="G192" s="54">
        <v>-8.6363629999999993</v>
      </c>
      <c r="H192" s="54">
        <v>-8.5113629999999993</v>
      </c>
      <c r="I192" s="54">
        <v>-8.15</v>
      </c>
      <c r="J192" s="54">
        <v>-9.5978259999999995</v>
      </c>
      <c r="K192" s="54">
        <v>-10.2875</v>
      </c>
      <c r="L192" s="54">
        <v>-12.136362999999999</v>
      </c>
      <c r="M192" s="54">
        <v>-12.696427999999999</v>
      </c>
    </row>
    <row r="193" spans="1:13" x14ac:dyDescent="0.2">
      <c r="A193" s="44">
        <v>1990</v>
      </c>
      <c r="B193" s="54">
        <v>-9.9749999999999996</v>
      </c>
      <c r="C193" s="54">
        <v>-9.625</v>
      </c>
      <c r="D193" s="54">
        <v>-9.3684209999999997</v>
      </c>
      <c r="E193" s="54">
        <v>-9.6590900000000008</v>
      </c>
      <c r="F193" s="54">
        <v>-10.2875</v>
      </c>
      <c r="G193" s="54">
        <v>-10.420453999999999</v>
      </c>
      <c r="H193" s="54">
        <v>-10.785714</v>
      </c>
      <c r="I193" s="54">
        <v>-11.357142</v>
      </c>
      <c r="J193" s="54">
        <v>-11.902172999999999</v>
      </c>
      <c r="K193" s="54">
        <v>-14.18421</v>
      </c>
      <c r="L193" s="54">
        <v>-15.097826</v>
      </c>
      <c r="M193" s="54">
        <v>-13.75</v>
      </c>
    </row>
    <row r="194" spans="1:13" x14ac:dyDescent="0.2">
      <c r="A194" s="44">
        <v>1991</v>
      </c>
      <c r="B194" s="54">
        <v>-11.55</v>
      </c>
      <c r="C194" s="54">
        <v>-12</v>
      </c>
      <c r="D194" s="54">
        <v>-11.421052</v>
      </c>
      <c r="E194" s="54">
        <v>-10.75</v>
      </c>
      <c r="F194" s="54">
        <v>-11.068180999999999</v>
      </c>
      <c r="G194" s="54">
        <v>-11.113636</v>
      </c>
      <c r="H194" s="54">
        <v>-10.3125</v>
      </c>
      <c r="I194" s="54">
        <v>-9.6136359999999996</v>
      </c>
      <c r="J194" s="54">
        <v>-10.477271999999999</v>
      </c>
      <c r="K194" s="54">
        <v>-10.85</v>
      </c>
      <c r="L194" s="54">
        <v>-11.141304</v>
      </c>
      <c r="M194" s="54">
        <v>-2.1538460000000001</v>
      </c>
    </row>
    <row r="195" spans="1:13" x14ac:dyDescent="0.2">
      <c r="A195" s="44">
        <v>1992</v>
      </c>
      <c r="B195" s="54">
        <v>-9.5119039999999995</v>
      </c>
      <c r="C195" s="54">
        <v>-8.4545449999999995</v>
      </c>
      <c r="D195" s="54">
        <v>-8.894736</v>
      </c>
      <c r="E195" s="54">
        <v>-8.4318179999999998</v>
      </c>
      <c r="F195" s="54">
        <v>-8.8684209999999997</v>
      </c>
      <c r="G195" s="54">
        <v>-7.95</v>
      </c>
      <c r="H195" s="54">
        <v>-7.5</v>
      </c>
      <c r="I195" s="54">
        <v>-7.7272720000000001</v>
      </c>
      <c r="J195" s="54">
        <v>-7.071428</v>
      </c>
      <c r="K195" s="54">
        <v>-6.9880950000000004</v>
      </c>
      <c r="L195" s="54">
        <v>-5.90909</v>
      </c>
      <c r="M195" s="54">
        <v>-1.923076</v>
      </c>
    </row>
    <row r="196" spans="1:13" x14ac:dyDescent="0.2">
      <c r="A196" s="44">
        <v>1993</v>
      </c>
      <c r="B196" s="54">
        <v>-8.0454539999999994</v>
      </c>
      <c r="C196" s="54">
        <v>-7.5125000000000002</v>
      </c>
      <c r="D196" s="54">
        <v>-7.3421050000000001</v>
      </c>
      <c r="E196" s="54">
        <v>-7.4891300000000003</v>
      </c>
      <c r="F196" s="54">
        <v>-6.773809</v>
      </c>
      <c r="G196" s="54">
        <v>-6.1749999999999998</v>
      </c>
      <c r="H196" s="54">
        <v>-5.6022720000000001</v>
      </c>
      <c r="I196" s="54">
        <v>-2.2619039999999999</v>
      </c>
      <c r="J196" s="54">
        <v>-4.53409</v>
      </c>
      <c r="K196" s="54">
        <v>-5.7619040000000004</v>
      </c>
      <c r="L196" s="54">
        <v>-7.2857139999999996</v>
      </c>
      <c r="M196" s="54">
        <v>-6.5892850000000003</v>
      </c>
    </row>
    <row r="197" spans="1:13" x14ac:dyDescent="0.2">
      <c r="A197" s="44">
        <v>1994</v>
      </c>
      <c r="B197" s="54">
        <v>-5.4404760000000003</v>
      </c>
      <c r="C197" s="54">
        <v>-5.3452380000000002</v>
      </c>
      <c r="D197" s="54">
        <v>-5.197368</v>
      </c>
      <c r="E197" s="54">
        <v>-5.0978260000000004</v>
      </c>
      <c r="F197" s="54">
        <v>-5.6710520000000004</v>
      </c>
      <c r="G197" s="54">
        <v>-5.7142850000000003</v>
      </c>
      <c r="H197" s="54">
        <v>-5.3636359999999996</v>
      </c>
      <c r="I197" s="54">
        <v>-7.1875</v>
      </c>
      <c r="J197" s="54">
        <v>-8.3913039999999999</v>
      </c>
      <c r="K197" s="54">
        <v>-9.0357140000000005</v>
      </c>
      <c r="L197" s="54">
        <v>-11.178571</v>
      </c>
      <c r="M197" s="54">
        <v>-9.9464279999999992</v>
      </c>
    </row>
    <row r="198" spans="1:13" x14ac:dyDescent="0.2">
      <c r="A198" s="44">
        <v>1995</v>
      </c>
      <c r="B198" s="54">
        <v>-6.9047609999999997</v>
      </c>
      <c r="C198" s="54">
        <v>-7.7142850000000003</v>
      </c>
      <c r="D198" s="54">
        <v>-8.2763150000000003</v>
      </c>
      <c r="E198" s="54">
        <v>-7.608695</v>
      </c>
      <c r="F198" s="54">
        <v>-7.9342100000000002</v>
      </c>
      <c r="G198" s="54">
        <v>-8</v>
      </c>
      <c r="H198" s="54">
        <v>-6.9318179999999998</v>
      </c>
      <c r="I198" s="54">
        <v>-6.15</v>
      </c>
      <c r="J198" s="54">
        <v>-9.25</v>
      </c>
      <c r="K198" s="54">
        <v>-10.074999999999999</v>
      </c>
      <c r="L198" s="54">
        <v>-10.170453999999999</v>
      </c>
      <c r="M198" s="54">
        <v>-5.696428</v>
      </c>
    </row>
    <row r="199" spans="1:13" x14ac:dyDescent="0.2">
      <c r="A199" s="44">
        <v>1996</v>
      </c>
      <c r="B199" s="54">
        <v>-5.9375</v>
      </c>
      <c r="C199" s="54">
        <v>-4.5</v>
      </c>
      <c r="D199" s="54">
        <v>-5</v>
      </c>
      <c r="E199" s="54">
        <v>-5.6428570000000002</v>
      </c>
      <c r="F199" s="54">
        <v>-6.0952380000000002</v>
      </c>
      <c r="G199" s="54">
        <v>-5.943181</v>
      </c>
      <c r="H199" s="54">
        <v>-6.4625000000000004</v>
      </c>
      <c r="I199" s="54">
        <v>-7.78409</v>
      </c>
      <c r="J199" s="54">
        <v>-7</v>
      </c>
      <c r="K199" s="54">
        <v>-7.4</v>
      </c>
      <c r="L199" s="54">
        <v>-4.663043</v>
      </c>
      <c r="M199" s="54">
        <v>1.692307</v>
      </c>
    </row>
    <row r="200" spans="1:13" x14ac:dyDescent="0.2">
      <c r="A200" s="44">
        <v>1997</v>
      </c>
      <c r="B200" s="54">
        <v>-6.4880950000000004</v>
      </c>
      <c r="C200" s="54">
        <v>-5.78409</v>
      </c>
      <c r="D200" s="54">
        <v>-5.5131569999999996</v>
      </c>
      <c r="E200" s="54">
        <v>-5.0125000000000002</v>
      </c>
      <c r="F200" s="54">
        <v>-5.625</v>
      </c>
      <c r="G200" s="54">
        <v>-4.3571419999999996</v>
      </c>
      <c r="H200" s="54">
        <v>-2.285714</v>
      </c>
      <c r="I200" s="54">
        <v>-3.4204539999999999</v>
      </c>
      <c r="J200" s="54">
        <v>-3.25</v>
      </c>
      <c r="K200" s="54">
        <v>-2.5952380000000002</v>
      </c>
      <c r="L200" s="54">
        <v>-4.7608689999999996</v>
      </c>
      <c r="M200" s="54">
        <v>0.5625</v>
      </c>
    </row>
    <row r="201" spans="1:13" x14ac:dyDescent="0.2">
      <c r="A201" s="44">
        <v>1998</v>
      </c>
      <c r="B201" s="54">
        <v>-4.0454540000000003</v>
      </c>
      <c r="C201" s="54">
        <v>-4.9124999999999996</v>
      </c>
      <c r="D201" s="54">
        <v>-5.4605259999999998</v>
      </c>
      <c r="E201" s="54">
        <v>-5.8522720000000001</v>
      </c>
      <c r="F201" s="54">
        <v>-7.0952380000000002</v>
      </c>
      <c r="G201" s="54">
        <v>-7</v>
      </c>
      <c r="H201" s="54">
        <v>-6.9886359999999996</v>
      </c>
      <c r="I201" s="54">
        <v>-8.4659089999999999</v>
      </c>
      <c r="J201" s="54">
        <v>-10.011903999999999</v>
      </c>
      <c r="K201" s="54">
        <v>-10.369047</v>
      </c>
      <c r="L201" s="54">
        <v>-10.125</v>
      </c>
      <c r="M201" s="54">
        <v>-7.5384609999999999</v>
      </c>
    </row>
    <row r="202" spans="1:13" x14ac:dyDescent="0.2">
      <c r="A202" s="44">
        <v>1999</v>
      </c>
      <c r="B202" s="54">
        <v>-7.193181</v>
      </c>
      <c r="C202" s="54">
        <v>-7.6842100000000002</v>
      </c>
      <c r="D202" s="54">
        <v>-9.5921050000000001</v>
      </c>
      <c r="E202" s="54">
        <v>-10.315217000000001</v>
      </c>
      <c r="F202" s="54">
        <v>-10.642856999999999</v>
      </c>
      <c r="G202" s="54">
        <v>-10.237500000000001</v>
      </c>
      <c r="H202" s="54">
        <v>-10.068180999999999</v>
      </c>
      <c r="I202" s="54">
        <v>-9.6428569999999993</v>
      </c>
      <c r="J202" s="54">
        <v>-9.8636359999999996</v>
      </c>
      <c r="K202" s="54">
        <v>-9.5</v>
      </c>
      <c r="L202" s="54">
        <v>-10.845238</v>
      </c>
      <c r="M202" s="54">
        <v>-8.9464279999999992</v>
      </c>
    </row>
    <row r="203" spans="1:13" x14ac:dyDescent="0.2">
      <c r="A203" s="44">
        <v>2000</v>
      </c>
      <c r="B203" s="54"/>
      <c r="C203" s="54">
        <v>-6.5147050000000002</v>
      </c>
      <c r="D203" s="54">
        <v>-6.85</v>
      </c>
      <c r="E203" s="54">
        <v>-7.3152169999999996</v>
      </c>
      <c r="F203" s="54">
        <v>-7.644736</v>
      </c>
      <c r="G203" s="54">
        <v>-7.375</v>
      </c>
      <c r="H203" s="54">
        <v>-9</v>
      </c>
      <c r="I203" s="54">
        <v>-10.475</v>
      </c>
      <c r="J203" s="54">
        <v>-10.478260000000001</v>
      </c>
      <c r="K203" s="54">
        <v>-10.050000000000001</v>
      </c>
      <c r="L203" s="54">
        <v>-10.625</v>
      </c>
      <c r="M203" s="54">
        <v>-9.5</v>
      </c>
    </row>
    <row r="204" spans="1:13" x14ac:dyDescent="0.2">
      <c r="A204" s="44">
        <v>2001</v>
      </c>
      <c r="B204" s="54">
        <v>-8.5250000000000004</v>
      </c>
      <c r="C204" s="54">
        <v>-9.2380949999999995</v>
      </c>
      <c r="D204" s="54">
        <v>-10.18421</v>
      </c>
      <c r="E204" s="54">
        <v>-8.9545449999999995</v>
      </c>
      <c r="F204" s="54">
        <v>-9.7249999999999996</v>
      </c>
      <c r="G204" s="54">
        <v>-9.3636359999999996</v>
      </c>
      <c r="H204" s="54">
        <v>-7.5119040000000004</v>
      </c>
      <c r="I204" s="54">
        <v>-3.9761899999999999</v>
      </c>
      <c r="J204" s="54">
        <v>-4.8152169999999996</v>
      </c>
      <c r="K204" s="54">
        <v>-7.0416660000000002</v>
      </c>
      <c r="L204" s="54">
        <v>-6.8260860000000001</v>
      </c>
      <c r="M204" s="54">
        <v>-3.4249999999999998</v>
      </c>
    </row>
    <row r="205" spans="1:13" x14ac:dyDescent="0.2">
      <c r="A205" s="44">
        <v>2002</v>
      </c>
      <c r="B205" s="54">
        <v>-6.0357139999999996</v>
      </c>
      <c r="C205" s="54">
        <v>-5.8452380000000002</v>
      </c>
      <c r="D205" s="54">
        <v>-6.9078939999999998</v>
      </c>
      <c r="E205" s="54">
        <v>-4.6624999999999996</v>
      </c>
      <c r="F205" s="54">
        <v>-4.8977269999999997</v>
      </c>
      <c r="G205" s="54">
        <v>-4.1022720000000001</v>
      </c>
      <c r="H205" s="54">
        <v>-2.1</v>
      </c>
      <c r="I205" s="54">
        <v>-0.34090900000000002</v>
      </c>
      <c r="J205" s="54">
        <v>-1.1704540000000001</v>
      </c>
      <c r="K205" s="54">
        <v>-3.1625000000000001</v>
      </c>
      <c r="L205" s="54">
        <v>-3.0760860000000001</v>
      </c>
      <c r="M205" s="54">
        <v>4.3</v>
      </c>
    </row>
    <row r="206" spans="1:13" x14ac:dyDescent="0.2">
      <c r="A206" s="44">
        <v>2003</v>
      </c>
      <c r="B206" s="54">
        <v>-3.2374999999999998</v>
      </c>
      <c r="C206" s="54">
        <v>-2.9761899999999999</v>
      </c>
      <c r="D206" s="54">
        <v>-2.0526309999999999</v>
      </c>
      <c r="E206" s="54">
        <v>-2.7380949999999999</v>
      </c>
      <c r="F206" s="54">
        <v>-2.3333330000000001</v>
      </c>
      <c r="G206" s="54">
        <v>-2.9047610000000001</v>
      </c>
      <c r="H206" s="54">
        <v>-2.1666660000000002</v>
      </c>
      <c r="I206" s="54">
        <v>-3.329545</v>
      </c>
      <c r="J206" s="54">
        <v>-3.1904759999999999</v>
      </c>
      <c r="K206" s="54">
        <v>-1.9880949999999999</v>
      </c>
      <c r="L206" s="54">
        <v>-2.0760860000000001</v>
      </c>
      <c r="M206" s="54">
        <v>-4.8499999999999996</v>
      </c>
    </row>
    <row r="207" spans="1:13" x14ac:dyDescent="0.2">
      <c r="A207" s="44">
        <v>2004</v>
      </c>
      <c r="B207" s="54">
        <v>1.1363E-2</v>
      </c>
      <c r="C207" s="54">
        <v>-0.8125</v>
      </c>
      <c r="D207" s="54">
        <v>-0.42105199999999998</v>
      </c>
      <c r="E207" s="54">
        <v>1.3913040000000001</v>
      </c>
      <c r="F207" s="54">
        <v>3.5714000000000003E-2</v>
      </c>
      <c r="G207" s="54">
        <v>-0.72499999999999998</v>
      </c>
      <c r="H207" s="54">
        <v>-0.90476100000000004</v>
      </c>
      <c r="I207" s="54">
        <v>-5.321428</v>
      </c>
      <c r="J207" s="54">
        <v>-6.0568179999999998</v>
      </c>
      <c r="K207" s="54">
        <v>-7.523809</v>
      </c>
      <c r="L207" s="54">
        <v>-6.1309519999999997</v>
      </c>
      <c r="M207" s="54">
        <v>0.15</v>
      </c>
    </row>
    <row r="208" spans="1:13" x14ac:dyDescent="0.2">
      <c r="A208" s="44">
        <v>2005</v>
      </c>
      <c r="B208" s="54">
        <v>-3.4880949999999999</v>
      </c>
      <c r="C208" s="54">
        <v>-4.9124999999999996</v>
      </c>
      <c r="D208" s="54">
        <v>-3.644736</v>
      </c>
      <c r="E208" s="54">
        <v>-2.0113629999999998</v>
      </c>
      <c r="F208" s="54">
        <v>-1.5</v>
      </c>
      <c r="G208" s="54">
        <v>-1.3571420000000001</v>
      </c>
      <c r="H208" s="54">
        <v>-0.67045399999999999</v>
      </c>
      <c r="I208" s="54">
        <v>-1.9875</v>
      </c>
      <c r="J208" s="54">
        <v>-5.6521730000000003</v>
      </c>
      <c r="K208" s="54">
        <v>-8.7142850000000003</v>
      </c>
      <c r="L208" s="54">
        <v>-12.214285</v>
      </c>
      <c r="M208" s="54">
        <v>-10.175000000000001</v>
      </c>
    </row>
    <row r="209" spans="1:13" x14ac:dyDescent="0.2">
      <c r="A209" s="44">
        <v>2006</v>
      </c>
      <c r="B209" s="54">
        <v>-2.6547610000000001</v>
      </c>
      <c r="C209" s="54">
        <v>-4.9124999999999996</v>
      </c>
      <c r="D209" s="54">
        <v>-5.1578939999999998</v>
      </c>
      <c r="E209" s="54">
        <v>-6.4239129999999998</v>
      </c>
      <c r="F209" s="54">
        <v>-7.6842100000000002</v>
      </c>
      <c r="G209" s="54">
        <v>-7.9545450000000004</v>
      </c>
      <c r="H209" s="54">
        <v>-9.375</v>
      </c>
      <c r="I209" s="54">
        <v>-11.025</v>
      </c>
      <c r="J209" s="54">
        <v>-12.804347</v>
      </c>
      <c r="K209" s="54">
        <v>-13.4375</v>
      </c>
      <c r="L209" s="54">
        <v>-14.113636</v>
      </c>
      <c r="M209" s="54">
        <v>-12.725</v>
      </c>
    </row>
    <row r="210" spans="1:13" x14ac:dyDescent="0.2">
      <c r="A210" s="44">
        <v>2007</v>
      </c>
      <c r="B210" s="54">
        <v>-2.9624999999999999</v>
      </c>
      <c r="C210" s="54">
        <v>-5.1749999999999998</v>
      </c>
      <c r="D210" s="54">
        <v>-4.447368</v>
      </c>
      <c r="E210" s="54">
        <v>-6.8977269999999997</v>
      </c>
      <c r="F210" s="54">
        <v>-9.5749999999999993</v>
      </c>
      <c r="G210" s="54">
        <v>-9.0113629999999993</v>
      </c>
      <c r="H210" s="54">
        <v>-9.75</v>
      </c>
      <c r="I210" s="54">
        <v>-14.369047</v>
      </c>
      <c r="J210" s="54">
        <v>-14.782608</v>
      </c>
      <c r="K210" s="54">
        <v>-15.43421</v>
      </c>
      <c r="L210" s="54">
        <v>-18.076086</v>
      </c>
      <c r="M210" s="54">
        <v>-14.1</v>
      </c>
    </row>
    <row r="211" spans="1:13" x14ac:dyDescent="0.2">
      <c r="A211" s="44">
        <v>2008</v>
      </c>
      <c r="B211" s="54">
        <v>-2.6124999999999998</v>
      </c>
      <c r="C211" s="54">
        <v>-4.7380950000000004</v>
      </c>
      <c r="D211" s="54">
        <v>-5.7125000000000004</v>
      </c>
      <c r="E211" s="54">
        <v>-9.4375</v>
      </c>
      <c r="F211" s="54">
        <v>-13.079545</v>
      </c>
      <c r="G211" s="54">
        <v>-13.25</v>
      </c>
      <c r="H211" s="54">
        <v>-13.869047</v>
      </c>
      <c r="I211" s="54">
        <v>-15.715909</v>
      </c>
      <c r="J211" s="54">
        <v>-17.607142</v>
      </c>
      <c r="K211" s="54">
        <v>-16.309522999999999</v>
      </c>
      <c r="L211" s="54">
        <v>-11.826086</v>
      </c>
      <c r="M211" s="54">
        <v>-9.4499999999999993</v>
      </c>
    </row>
    <row r="212" spans="1:13" x14ac:dyDescent="0.2">
      <c r="A212" s="44">
        <v>2009</v>
      </c>
      <c r="B212" s="54">
        <v>-6</v>
      </c>
      <c r="C212" s="54">
        <v>-7.8125</v>
      </c>
      <c r="D212" s="54">
        <v>-9.1842100000000002</v>
      </c>
      <c r="E212" s="54">
        <v>-9.7840900000000008</v>
      </c>
      <c r="F212" s="54">
        <v>-6.8452380000000002</v>
      </c>
      <c r="G212" s="54">
        <v>-2.9874999999999998</v>
      </c>
      <c r="H212" s="54">
        <v>-5.5909089999999999</v>
      </c>
      <c r="I212" s="54">
        <v>-6.03409</v>
      </c>
      <c r="J212" s="54">
        <v>-3.4285709999999998</v>
      </c>
      <c r="K212" s="54">
        <v>-5.0595230000000004</v>
      </c>
      <c r="L212" s="54">
        <v>-3.1704539999999999</v>
      </c>
      <c r="M212" s="54">
        <v>-5.3</v>
      </c>
    </row>
    <row r="213" spans="1:13" x14ac:dyDescent="0.2">
      <c r="A213" s="44">
        <v>2010</v>
      </c>
      <c r="B213" s="54">
        <v>-8.2272719999999993</v>
      </c>
      <c r="C213" s="54">
        <v>-8.7894729999999992</v>
      </c>
      <c r="D213" s="54">
        <v>-9.0526309999999999</v>
      </c>
      <c r="E213" s="54">
        <v>-8.5760860000000001</v>
      </c>
      <c r="F213" s="54">
        <v>-7.9047609999999997</v>
      </c>
      <c r="G213" s="54">
        <v>-8.9124999999999996</v>
      </c>
      <c r="H213" s="54">
        <v>-9.6704539999999994</v>
      </c>
      <c r="I213" s="54">
        <v>-8.2380949999999995</v>
      </c>
      <c r="J213" s="54">
        <v>-6.8977269999999997</v>
      </c>
      <c r="K213" s="54">
        <v>-9.5476189999999992</v>
      </c>
      <c r="L213" s="54">
        <v>-10.857142</v>
      </c>
      <c r="M213" s="54">
        <v>-9.5250000000000004</v>
      </c>
    </row>
    <row r="214" spans="1:13" x14ac:dyDescent="0.2">
      <c r="A214" s="44">
        <v>2011</v>
      </c>
      <c r="B214" s="54">
        <v>-4.7727269999999997</v>
      </c>
      <c r="C214" s="54">
        <v>-3.1124999999999998</v>
      </c>
      <c r="D214" s="54">
        <v>-2.644736</v>
      </c>
      <c r="E214" s="54">
        <v>-4.2282599999999997</v>
      </c>
      <c r="F214" s="54">
        <v>-7.0750000000000002</v>
      </c>
      <c r="G214" s="54">
        <v>-8.3809520000000006</v>
      </c>
      <c r="H214" s="54">
        <v>-9.1818179999999998</v>
      </c>
      <c r="I214" s="54">
        <v>-9.7249999999999996</v>
      </c>
      <c r="J214" s="54">
        <v>-10.478260000000001</v>
      </c>
      <c r="K214" s="54">
        <v>-10.880952000000001</v>
      </c>
      <c r="L214" s="54">
        <v>-9.3214279999999992</v>
      </c>
      <c r="M214" s="54">
        <v>-9.0250000000000004</v>
      </c>
    </row>
    <row r="215" spans="1:13" x14ac:dyDescent="0.2">
      <c r="A215" s="44">
        <v>2012</v>
      </c>
      <c r="B215" s="54">
        <v>-9.3928569999999993</v>
      </c>
      <c r="C215" s="54">
        <v>-8.3125</v>
      </c>
      <c r="D215" s="54">
        <v>-5.0250000000000004</v>
      </c>
      <c r="E215" s="54">
        <v>-0.82954499999999998</v>
      </c>
      <c r="F215" s="54">
        <v>0.78749999999999998</v>
      </c>
      <c r="G215" s="54">
        <v>1.7386360000000001</v>
      </c>
      <c r="H215" s="54">
        <v>5.9523E-2</v>
      </c>
      <c r="I215" s="54">
        <v>8.8452380000000002</v>
      </c>
      <c r="J215" s="54">
        <v>7.8695649999999997</v>
      </c>
      <c r="K215" s="54">
        <v>-2.6315000000000002E-2</v>
      </c>
      <c r="L215" s="54">
        <v>-0.86956500000000003</v>
      </c>
      <c r="M215" s="54">
        <v>4.5750000000000002</v>
      </c>
    </row>
    <row r="216" spans="1:13" x14ac:dyDescent="0.2">
      <c r="A216" s="44">
        <v>2013</v>
      </c>
      <c r="B216" s="54">
        <v>-5.7249999999999996</v>
      </c>
      <c r="C216" s="54">
        <v>-5.6071419999999996</v>
      </c>
      <c r="D216" s="54">
        <v>-3.9605260000000002</v>
      </c>
      <c r="E216" s="54">
        <v>-4.0374999999999996</v>
      </c>
      <c r="F216" s="54">
        <v>-6.7272720000000001</v>
      </c>
      <c r="G216" s="54">
        <v>-7</v>
      </c>
      <c r="H216" s="54">
        <v>-4.8</v>
      </c>
      <c r="I216" s="54">
        <v>-5.0454540000000003</v>
      </c>
      <c r="J216" s="54">
        <v>-2.193181</v>
      </c>
      <c r="K216" s="54">
        <v>-0.35</v>
      </c>
      <c r="L216" s="54">
        <v>3.2282600000000001</v>
      </c>
      <c r="M216" s="54">
        <v>8.15</v>
      </c>
    </row>
    <row r="217" spans="1:13" x14ac:dyDescent="0.2">
      <c r="A217" s="44">
        <v>2014</v>
      </c>
      <c r="B217" s="54">
        <v>-4.8690470000000001</v>
      </c>
      <c r="C217" s="54">
        <v>-5.6547609999999997</v>
      </c>
      <c r="D217" s="54">
        <v>-4.2236840000000004</v>
      </c>
      <c r="E217" s="54">
        <v>-4.1309519999999997</v>
      </c>
      <c r="F217" s="54">
        <v>-5.0952380000000002</v>
      </c>
      <c r="G217" s="54">
        <v>-5.9166660000000002</v>
      </c>
      <c r="H217" s="54">
        <v>-6.4523799999999998</v>
      </c>
      <c r="I217" s="54">
        <v>-8.0568179999999998</v>
      </c>
      <c r="J217" s="54">
        <v>-8.1190470000000001</v>
      </c>
      <c r="K217" s="54">
        <v>-7.7142850000000003</v>
      </c>
      <c r="L217" s="54">
        <v>-7.3913039999999999</v>
      </c>
      <c r="M217" s="54">
        <v>0.72499999999999998</v>
      </c>
    </row>
    <row r="218" spans="1:13" x14ac:dyDescent="0.2">
      <c r="A218" s="44">
        <v>2015</v>
      </c>
      <c r="B218" s="54">
        <v>-5.5113630000000002</v>
      </c>
      <c r="C218" s="54">
        <v>-5.45</v>
      </c>
      <c r="D218" s="54">
        <v>-5.0526309999999999</v>
      </c>
      <c r="E218" s="54">
        <v>-4.7272720000000001</v>
      </c>
      <c r="F218" s="54">
        <v>-6.1190470000000001</v>
      </c>
      <c r="G218" s="54">
        <v>-6.7374999999999998</v>
      </c>
      <c r="H218" s="54">
        <v>-6.2954540000000003</v>
      </c>
      <c r="I218" s="54">
        <v>-5.8977269999999997</v>
      </c>
      <c r="J218" s="54">
        <v>-4.8095230000000004</v>
      </c>
      <c r="K218" s="54">
        <v>-3.7976190000000001</v>
      </c>
      <c r="L218" s="54">
        <v>-3.193181</v>
      </c>
      <c r="M218" s="54">
        <v>-5.6749999999999998</v>
      </c>
    </row>
    <row r="219" spans="1:13" x14ac:dyDescent="0.2">
      <c r="A219" s="44">
        <v>2016</v>
      </c>
      <c r="B219" s="54">
        <v>-5.4886359999999996</v>
      </c>
      <c r="C219" s="54">
        <v>-5</v>
      </c>
      <c r="D219" s="54">
        <v>-4.7625000000000002</v>
      </c>
      <c r="E219" s="54">
        <v>-4.3522720000000001</v>
      </c>
      <c r="F219" s="54">
        <v>-2.9523799999999998</v>
      </c>
      <c r="G219" s="54">
        <v>1.571428</v>
      </c>
      <c r="H219" s="54">
        <v>3.3068179999999998</v>
      </c>
      <c r="I219" s="54">
        <v>0.6</v>
      </c>
      <c r="J219" s="54">
        <v>-0.63043400000000005</v>
      </c>
      <c r="K219" s="54">
        <v>-4.9761899999999999</v>
      </c>
      <c r="L219" s="54">
        <v>-8.4047610000000006</v>
      </c>
      <c r="M219" s="54">
        <v>-0.83333333333333337</v>
      </c>
    </row>
    <row r="220" spans="1:13" x14ac:dyDescent="0.2">
      <c r="A220" s="44">
        <v>2017</v>
      </c>
      <c r="B220" s="54">
        <v>-1.5714285714285714</v>
      </c>
      <c r="C220" s="54">
        <v>-3.2124999999999999</v>
      </c>
      <c r="D220" s="54">
        <v>-4.0394736842105265</v>
      </c>
      <c r="E220" s="54">
        <v>-4.9673913043478262</v>
      </c>
      <c r="F220" s="54">
        <v>-6.5</v>
      </c>
      <c r="G220" s="54">
        <v>-7.2727272727272725</v>
      </c>
      <c r="H220" s="54">
        <v>-7.6022727272727275</v>
      </c>
      <c r="I220" s="54">
        <v>-8.1999999999999993</v>
      </c>
      <c r="J220" s="54">
        <v>-8.7065217391304355</v>
      </c>
      <c r="K220" s="54">
        <v>-10.2125</v>
      </c>
      <c r="L220" s="54">
        <v>-10.659090909090908</v>
      </c>
      <c r="M220" s="54">
        <v>-5.8452380952380949</v>
      </c>
    </row>
    <row r="221" spans="1:13" x14ac:dyDescent="0.2">
      <c r="A221" s="44">
        <v>2018</v>
      </c>
      <c r="B221" s="54">
        <v>-6.2</v>
      </c>
      <c r="C221" s="54">
        <v>-7.1309523809523814</v>
      </c>
      <c r="D221" s="54">
        <v>-4.3421052631578947</v>
      </c>
      <c r="E221" s="54">
        <v>-2.9880952380952381</v>
      </c>
      <c r="F221" s="54">
        <v>-3.5238095238095237</v>
      </c>
      <c r="G221" s="54">
        <v>-4.0681818181818183</v>
      </c>
      <c r="H221" s="54">
        <v>-8.1547619047619051</v>
      </c>
      <c r="I221" s="54">
        <v>-10.035714285714286</v>
      </c>
      <c r="J221" s="54">
        <v>-12.271739130434783</v>
      </c>
      <c r="K221" s="54">
        <v>-13.657894736842104</v>
      </c>
      <c r="L221" s="54">
        <v>-13.706521739130435</v>
      </c>
      <c r="M221" s="54">
        <v>-10.226190476190476</v>
      </c>
    </row>
    <row r="222" spans="1:13" x14ac:dyDescent="0.2">
      <c r="A222" s="44">
        <v>2019</v>
      </c>
      <c r="B222" s="54">
        <v>-9.0625</v>
      </c>
      <c r="C222" s="54">
        <v>-10.857142857142858</v>
      </c>
      <c r="D222" s="54">
        <v>-9.3815789473684212</v>
      </c>
      <c r="E222" s="54">
        <v>-8.75</v>
      </c>
      <c r="F222" s="54">
        <v>-10.011904761904763</v>
      </c>
      <c r="G222" s="54">
        <v>-11.920454545454545</v>
      </c>
      <c r="H222" s="54">
        <v>-12.3</v>
      </c>
      <c r="I222" s="54">
        <v>-12.431818181818182</v>
      </c>
      <c r="J222" s="54">
        <v>-13.488636363636363</v>
      </c>
      <c r="K222" s="54">
        <v>-13.775</v>
      </c>
      <c r="L222" s="54">
        <v>-14.25</v>
      </c>
      <c r="M222" s="54">
        <v>-3.9750000000000001</v>
      </c>
    </row>
    <row r="223" spans="1:13" x14ac:dyDescent="0.2">
      <c r="A223" s="44">
        <v>2020</v>
      </c>
      <c r="B223" s="54">
        <v>-3.7738095238095237</v>
      </c>
      <c r="C223" s="54">
        <v>-4.5595238095238093</v>
      </c>
      <c r="D223" s="54">
        <v>-4.1447368421052628</v>
      </c>
      <c r="E223" s="54">
        <v>-1.0113636363636365</v>
      </c>
      <c r="F223" s="54">
        <v>-2.0238095238095237</v>
      </c>
      <c r="G223" s="54">
        <v>-2.7374999999999998</v>
      </c>
      <c r="H223" s="54">
        <v>-3.7727272727272729</v>
      </c>
      <c r="I223" s="54">
        <v>-5.0909090909090908</v>
      </c>
      <c r="J223" s="54">
        <v>-6</v>
      </c>
      <c r="K223" s="54">
        <v>-4.4047619047619051</v>
      </c>
      <c r="L223" s="54">
        <v>3.4090909090909088E-2</v>
      </c>
      <c r="M223" s="54">
        <v>1.9750000000000001</v>
      </c>
    </row>
    <row r="224" spans="1:13" x14ac:dyDescent="0.2">
      <c r="A224" s="44">
        <v>2021</v>
      </c>
      <c r="B224" s="54">
        <v>1.0909090909090908</v>
      </c>
      <c r="C224" s="54">
        <v>5.2631578947368425</v>
      </c>
      <c r="D224" s="54" t="e">
        <v>#REF!</v>
      </c>
      <c r="E224" s="54">
        <v>2.5760869565217392</v>
      </c>
      <c r="F224" s="54">
        <v>1.6190476190476191</v>
      </c>
      <c r="G224" s="54"/>
      <c r="H224" s="54"/>
      <c r="I224" s="54"/>
      <c r="J224" s="54"/>
      <c r="K224" s="55">
        <v>0.3100000000000005</v>
      </c>
      <c r="L224" s="55">
        <v>-0.2979761904761915</v>
      </c>
      <c r="M224" s="54"/>
    </row>
    <row r="225" spans="1:16" x14ac:dyDescent="0.2">
      <c r="A225" s="44">
        <v>2022</v>
      </c>
      <c r="K225" s="55">
        <f>'Futures Averages'!K56-'Futures Averages'!I233</f>
        <v>0.10714285714285765</v>
      </c>
      <c r="L225" s="55">
        <f>'Futures Averages'!L56-'Futures Averages'!J233</f>
        <v>-0.4869047619047624</v>
      </c>
    </row>
    <row r="226" spans="1:16" x14ac:dyDescent="0.2">
      <c r="A226" s="44"/>
    </row>
    <row r="228" spans="1:16" x14ac:dyDescent="0.2"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</row>
    <row r="229" spans="1:16" ht="15.75" x14ac:dyDescent="0.25">
      <c r="A229" s="40" t="s">
        <v>180</v>
      </c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</row>
    <row r="230" spans="1:16" ht="13.5" x14ac:dyDescent="0.25">
      <c r="A230" s="42" t="s">
        <v>155</v>
      </c>
      <c r="B230" s="43" t="s">
        <v>90</v>
      </c>
      <c r="C230" s="43" t="s">
        <v>91</v>
      </c>
      <c r="D230" s="43" t="s">
        <v>92</v>
      </c>
      <c r="E230" s="43" t="s">
        <v>93</v>
      </c>
      <c r="F230" s="43" t="s">
        <v>94</v>
      </c>
      <c r="G230" s="43" t="s">
        <v>83</v>
      </c>
      <c r="H230" s="43" t="s">
        <v>84</v>
      </c>
      <c r="I230" s="43" t="s">
        <v>85</v>
      </c>
      <c r="J230" s="43" t="s">
        <v>86</v>
      </c>
      <c r="K230" s="43" t="s">
        <v>87</v>
      </c>
      <c r="L230" s="43" t="s">
        <v>88</v>
      </c>
      <c r="M230" s="43" t="s">
        <v>89</v>
      </c>
      <c r="O230" t="str">
        <f>_xlfn.CONCAT(K230," ","Error")</f>
        <v>Sep Error</v>
      </c>
      <c r="P230" t="str">
        <f>_xlfn.CONCAT(L230," ","Error")</f>
        <v>Oct Error</v>
      </c>
    </row>
    <row r="231" spans="1:16" x14ac:dyDescent="0.2">
      <c r="A231" s="44">
        <v>1970</v>
      </c>
      <c r="B231" s="54"/>
      <c r="C231" s="54">
        <v>-4.25</v>
      </c>
      <c r="D231" s="54">
        <v>-3.5</v>
      </c>
      <c r="E231" s="54">
        <v>-4.5</v>
      </c>
      <c r="F231" s="54">
        <v>-4.5</v>
      </c>
      <c r="G231" s="54">
        <v>-4</v>
      </c>
      <c r="H231" s="54">
        <v>-4.25</v>
      </c>
      <c r="I231" s="54">
        <v>-4.5</v>
      </c>
      <c r="J231" s="54">
        <v>-4.75</v>
      </c>
      <c r="K231" s="54">
        <v>-4.75</v>
      </c>
      <c r="L231" s="54">
        <v>-3.5</v>
      </c>
      <c r="M231" s="54">
        <v>-2.25</v>
      </c>
      <c r="O231" s="16">
        <f>K231-K173</f>
        <v>0.51190400000000036</v>
      </c>
      <c r="P231" s="16">
        <f>L231-L173</f>
        <v>1.125</v>
      </c>
    </row>
    <row r="232" spans="1:16" x14ac:dyDescent="0.2">
      <c r="A232" s="44">
        <v>1971</v>
      </c>
      <c r="B232" s="54">
        <v>-3.75</v>
      </c>
      <c r="C232" s="54">
        <v>-3.75</v>
      </c>
      <c r="D232" s="54">
        <v>-3.75</v>
      </c>
      <c r="E232" s="54">
        <v>-4</v>
      </c>
      <c r="F232" s="54">
        <v>-4</v>
      </c>
      <c r="G232" s="54">
        <v>-3.75</v>
      </c>
      <c r="H232" s="54">
        <v>-3.5</v>
      </c>
      <c r="I232" s="54">
        <v>-2.5</v>
      </c>
      <c r="J232" s="54">
        <v>-2.5</v>
      </c>
      <c r="K232" s="54">
        <v>-3.25</v>
      </c>
      <c r="L232" s="54">
        <v>-2</v>
      </c>
      <c r="M232" s="54">
        <v>-3.5</v>
      </c>
      <c r="O232" s="16">
        <f t="shared" ref="O232:P283" si="8">K232-K174</f>
        <v>0.65476100000000015</v>
      </c>
      <c r="P232" s="16">
        <f t="shared" si="8"/>
        <v>1.2380949999999999</v>
      </c>
    </row>
    <row r="233" spans="1:16" x14ac:dyDescent="0.2">
      <c r="A233" s="44">
        <v>1972</v>
      </c>
      <c r="B233" s="54">
        <v>-3.5</v>
      </c>
      <c r="C233" s="54">
        <v>-3.75</v>
      </c>
      <c r="D233" s="54">
        <v>-3.75</v>
      </c>
      <c r="E233" s="54">
        <v>-3.5</v>
      </c>
      <c r="F233" s="54">
        <v>-2.5</v>
      </c>
      <c r="G233" s="54">
        <v>-3.25</v>
      </c>
      <c r="H233" s="54">
        <v>-3.75</v>
      </c>
      <c r="I233" s="54">
        <v>-3.75</v>
      </c>
      <c r="J233" s="54">
        <v>-3.5</v>
      </c>
      <c r="K233" s="54">
        <v>-4.25</v>
      </c>
      <c r="L233" s="54">
        <v>-1</v>
      </c>
      <c r="M233" s="54">
        <v>9</v>
      </c>
      <c r="O233" s="16">
        <f t="shared" si="8"/>
        <v>0.5625</v>
      </c>
      <c r="P233" s="16">
        <f t="shared" si="8"/>
        <v>2.3409089999999999</v>
      </c>
    </row>
    <row r="234" spans="1:16" x14ac:dyDescent="0.2">
      <c r="A234" s="44">
        <v>1973</v>
      </c>
      <c r="B234" s="54"/>
      <c r="C234" s="54">
        <v>1.75</v>
      </c>
      <c r="D234" s="54">
        <v>3.75</v>
      </c>
      <c r="E234" s="54">
        <v>7</v>
      </c>
      <c r="F234" s="54">
        <v>0.75</v>
      </c>
      <c r="G234" s="54">
        <v>11</v>
      </c>
      <c r="H234" s="54">
        <v>34</v>
      </c>
      <c r="I234" s="54">
        <v>27.75</v>
      </c>
      <c r="J234" s="54">
        <v>20</v>
      </c>
      <c r="K234" s="54">
        <v>0.5</v>
      </c>
      <c r="L234" s="54">
        <v>4.5</v>
      </c>
      <c r="M234" s="54">
        <v>11</v>
      </c>
      <c r="O234" s="16">
        <f t="shared" si="8"/>
        <v>2.171052</v>
      </c>
      <c r="P234" s="16">
        <f t="shared" si="8"/>
        <v>6.1818179999999998</v>
      </c>
    </row>
    <row r="235" spans="1:16" x14ac:dyDescent="0.2">
      <c r="A235" s="44">
        <v>1974</v>
      </c>
      <c r="B235" s="54">
        <v>-1.5</v>
      </c>
      <c r="C235" s="54">
        <v>-1.75</v>
      </c>
      <c r="D235" s="54">
        <v>-2</v>
      </c>
      <c r="E235" s="54">
        <v>-1</v>
      </c>
      <c r="F235" s="54">
        <v>-1.75</v>
      </c>
      <c r="G235" s="54">
        <v>-2.5</v>
      </c>
      <c r="H235" s="54">
        <v>-1.75</v>
      </c>
      <c r="I235" s="54">
        <v>4.5</v>
      </c>
      <c r="J235" s="54">
        <v>4.5</v>
      </c>
      <c r="K235" s="54">
        <v>-4.5</v>
      </c>
      <c r="L235" s="54">
        <v>-5</v>
      </c>
      <c r="M235" s="54">
        <v>-13.5</v>
      </c>
      <c r="O235" s="16">
        <f t="shared" si="8"/>
        <v>2.1749999999999998</v>
      </c>
      <c r="P235" s="16">
        <f t="shared" si="8"/>
        <v>9.413043</v>
      </c>
    </row>
    <row r="236" spans="1:16" x14ac:dyDescent="0.2">
      <c r="A236" s="44">
        <v>1975</v>
      </c>
      <c r="B236" s="54">
        <v>-5</v>
      </c>
      <c r="C236" s="54">
        <v>-5</v>
      </c>
      <c r="D236" s="54">
        <v>-5</v>
      </c>
      <c r="E236" s="54">
        <v>-4.5</v>
      </c>
      <c r="F236" s="54">
        <v>-3.5</v>
      </c>
      <c r="G236" s="54">
        <v>-4.5</v>
      </c>
      <c r="H236" s="54">
        <v>-5</v>
      </c>
      <c r="I236" s="54">
        <v>-6.5</v>
      </c>
      <c r="J236" s="54">
        <v>-6.5</v>
      </c>
      <c r="K236" s="54">
        <v>-8.5</v>
      </c>
      <c r="L236" s="54">
        <v>-9.25</v>
      </c>
      <c r="M236" s="54">
        <v>1.25</v>
      </c>
      <c r="O236" s="16">
        <f t="shared" si="8"/>
        <v>1.2619039999999995</v>
      </c>
      <c r="P236" s="16">
        <f t="shared" si="8"/>
        <v>1.5217390000000002</v>
      </c>
    </row>
    <row r="237" spans="1:16" x14ac:dyDescent="0.2">
      <c r="A237" s="44">
        <v>1976</v>
      </c>
      <c r="B237" s="54">
        <v>-7</v>
      </c>
      <c r="C237" s="54">
        <v>-4.5</v>
      </c>
      <c r="D237" s="54">
        <v>-5.5</v>
      </c>
      <c r="E237" s="54">
        <v>-5.75</v>
      </c>
      <c r="F237" s="54">
        <v>-6.5</v>
      </c>
      <c r="G237" s="54">
        <v>-1.75</v>
      </c>
      <c r="H237" s="54">
        <v>-0.75</v>
      </c>
      <c r="I237" s="54">
        <v>-2.5</v>
      </c>
      <c r="J237" s="54">
        <v>-5.5</v>
      </c>
      <c r="K237" s="54">
        <v>-4.5</v>
      </c>
      <c r="L237" s="54">
        <v>-5.5</v>
      </c>
      <c r="M237" s="54">
        <v>2</v>
      </c>
      <c r="O237" s="16">
        <f t="shared" si="8"/>
        <v>1.6666660000000002</v>
      </c>
      <c r="P237" s="16">
        <f t="shared" si="8"/>
        <v>2.0119040000000004</v>
      </c>
    </row>
    <row r="238" spans="1:16" x14ac:dyDescent="0.2">
      <c r="A238" s="44">
        <v>1977</v>
      </c>
      <c r="B238" s="54">
        <v>-4.25</v>
      </c>
      <c r="C238" s="54">
        <v>-3.75</v>
      </c>
      <c r="D238" s="54">
        <v>-3.5</v>
      </c>
      <c r="E238" s="54">
        <v>-3.5</v>
      </c>
      <c r="F238" s="54">
        <v>-0.5</v>
      </c>
      <c r="G238" s="54">
        <v>-2</v>
      </c>
      <c r="H238" s="54">
        <v>-1</v>
      </c>
      <c r="I238" s="54">
        <v>-4.5</v>
      </c>
      <c r="J238" s="54">
        <v>-6</v>
      </c>
      <c r="K238" s="54">
        <v>-6.25</v>
      </c>
      <c r="L238" s="54">
        <v>-4</v>
      </c>
      <c r="M238" s="54">
        <v>-4.5</v>
      </c>
      <c r="O238" s="16">
        <f t="shared" si="8"/>
        <v>1.3571419999999996</v>
      </c>
      <c r="P238" s="16">
        <f t="shared" si="8"/>
        <v>3.0476190000000001</v>
      </c>
    </row>
    <row r="239" spans="1:16" x14ac:dyDescent="0.2">
      <c r="A239" s="44">
        <v>1978</v>
      </c>
      <c r="B239" s="54">
        <v>-4.5</v>
      </c>
      <c r="C239" s="54">
        <v>-5.25</v>
      </c>
      <c r="D239" s="54">
        <v>-5.5</v>
      </c>
      <c r="E239" s="54">
        <v>-4</v>
      </c>
      <c r="F239" s="54">
        <v>-3</v>
      </c>
      <c r="G239" s="54">
        <v>-3</v>
      </c>
      <c r="H239" s="54">
        <v>-2.5</v>
      </c>
      <c r="I239" s="54">
        <v>-4</v>
      </c>
      <c r="J239" s="54">
        <v>-4.5</v>
      </c>
      <c r="K239" s="54">
        <v>-5.5</v>
      </c>
      <c r="L239" s="54">
        <v>-4</v>
      </c>
      <c r="M239" s="54">
        <v>-9</v>
      </c>
      <c r="O239" s="16">
        <f t="shared" si="8"/>
        <v>1.3375000000000004</v>
      </c>
      <c r="P239" s="16">
        <f t="shared" si="8"/>
        <v>3.7045450000000004</v>
      </c>
    </row>
    <row r="240" spans="1:16" x14ac:dyDescent="0.2">
      <c r="A240" s="44">
        <v>1979</v>
      </c>
      <c r="B240" s="54">
        <v>-6.75</v>
      </c>
      <c r="C240" s="54">
        <v>-6.5</v>
      </c>
      <c r="D240" s="54">
        <v>-6.75</v>
      </c>
      <c r="E240" s="54">
        <v>-8</v>
      </c>
      <c r="F240" s="54">
        <v>-7.5</v>
      </c>
      <c r="G240" s="54">
        <v>-8.5</v>
      </c>
      <c r="H240" s="54">
        <v>-8.75</v>
      </c>
      <c r="I240" s="54">
        <v>-8.25</v>
      </c>
      <c r="J240" s="54">
        <v>-11.5</v>
      </c>
      <c r="K240" s="54">
        <v>-13.5</v>
      </c>
      <c r="L240" s="54">
        <v>-15.75</v>
      </c>
      <c r="M240" s="54">
        <v>-14.5</v>
      </c>
      <c r="O240" s="16">
        <f t="shared" si="8"/>
        <v>2.0657890000000005</v>
      </c>
      <c r="P240" s="16">
        <f t="shared" si="8"/>
        <v>4.130434000000001</v>
      </c>
    </row>
    <row r="241" spans="1:16" x14ac:dyDescent="0.2">
      <c r="A241" s="44">
        <v>1980</v>
      </c>
      <c r="B241" s="54">
        <v>-13.75</v>
      </c>
      <c r="C241" s="54">
        <v>-14.75</v>
      </c>
      <c r="D241" s="54">
        <v>-15.5</v>
      </c>
      <c r="E241" s="54">
        <v>-15.75</v>
      </c>
      <c r="F241" s="54">
        <v>-15</v>
      </c>
      <c r="G241" s="54">
        <v>-13.75</v>
      </c>
      <c r="H241" s="54">
        <v>-13.25</v>
      </c>
      <c r="I241" s="54">
        <v>-5</v>
      </c>
      <c r="J241" s="54">
        <v>-9</v>
      </c>
      <c r="K241" s="54">
        <v>-17.25</v>
      </c>
      <c r="L241" s="54">
        <v>-21.5</v>
      </c>
      <c r="M241" s="54">
        <v>-16</v>
      </c>
      <c r="O241" s="16">
        <f t="shared" si="8"/>
        <v>2.6428569999999993</v>
      </c>
      <c r="P241" s="16">
        <f t="shared" si="8"/>
        <v>3.0760860000000001</v>
      </c>
    </row>
    <row r="242" spans="1:16" x14ac:dyDescent="0.2">
      <c r="A242" s="44">
        <v>1981</v>
      </c>
      <c r="B242" s="54">
        <v>-13.5</v>
      </c>
      <c r="C242" s="54">
        <v>-15.75</v>
      </c>
      <c r="D242" s="54">
        <v>-16.5</v>
      </c>
      <c r="E242" s="54">
        <v>-16.5</v>
      </c>
      <c r="F242" s="54">
        <v>-16.25</v>
      </c>
      <c r="G242" s="54">
        <v>-15.75</v>
      </c>
      <c r="H242" s="54">
        <v>-15.75</v>
      </c>
      <c r="I242" s="54">
        <v>-16.75</v>
      </c>
      <c r="J242" s="54">
        <v>-17</v>
      </c>
      <c r="K242" s="54">
        <v>-18</v>
      </c>
      <c r="L242" s="54">
        <v>-18.75</v>
      </c>
      <c r="M242" s="54">
        <v>-11.5</v>
      </c>
      <c r="O242" s="16">
        <f t="shared" si="8"/>
        <v>3.0833329999999997</v>
      </c>
      <c r="P242" s="16">
        <f t="shared" si="8"/>
        <v>1.8977269999999997</v>
      </c>
    </row>
    <row r="243" spans="1:16" x14ac:dyDescent="0.2">
      <c r="A243" s="44">
        <v>1982</v>
      </c>
      <c r="B243" s="54">
        <v>-11.75</v>
      </c>
      <c r="C243" s="54">
        <v>-12</v>
      </c>
      <c r="D243" s="54">
        <v>-12.25</v>
      </c>
      <c r="E243" s="54">
        <v>-11.75</v>
      </c>
      <c r="F243" s="54">
        <v>-11.5</v>
      </c>
      <c r="G243" s="54">
        <v>-11.75</v>
      </c>
      <c r="H243" s="54">
        <v>-13.25</v>
      </c>
      <c r="I243" s="54">
        <v>-14.25</v>
      </c>
      <c r="J243" s="54">
        <v>-12.75</v>
      </c>
      <c r="K243" s="54">
        <v>-13.75</v>
      </c>
      <c r="L243" s="54">
        <v>-12.75</v>
      </c>
      <c r="M243" s="54">
        <v>-9.5</v>
      </c>
      <c r="O243" s="16">
        <f t="shared" si="8"/>
        <v>0.88095200000000062</v>
      </c>
      <c r="P243" s="16">
        <f t="shared" si="8"/>
        <v>1.3690470000000001</v>
      </c>
    </row>
    <row r="244" spans="1:16" x14ac:dyDescent="0.2">
      <c r="A244" s="44">
        <v>1983</v>
      </c>
      <c r="B244" s="54">
        <v>-11.75</v>
      </c>
      <c r="C244" s="54">
        <v>-11.5</v>
      </c>
      <c r="D244" s="54">
        <v>-11.5</v>
      </c>
      <c r="E244" s="54">
        <v>-11</v>
      </c>
      <c r="F244" s="54">
        <v>-12</v>
      </c>
      <c r="G244" s="54">
        <v>-11.75</v>
      </c>
      <c r="H244" s="54">
        <v>-10</v>
      </c>
      <c r="I244" s="54">
        <v>-12.5</v>
      </c>
      <c r="J244" s="54">
        <v>-9</v>
      </c>
      <c r="K244" s="54">
        <v>-10</v>
      </c>
      <c r="L244" s="54">
        <v>-10</v>
      </c>
      <c r="M244" s="54">
        <v>2</v>
      </c>
      <c r="O244" s="16">
        <f t="shared" si="8"/>
        <v>4</v>
      </c>
      <c r="P244" s="16">
        <f t="shared" si="8"/>
        <v>6.1428569999999993</v>
      </c>
    </row>
    <row r="245" spans="1:16" x14ac:dyDescent="0.2">
      <c r="A245" s="44">
        <v>1984</v>
      </c>
      <c r="B245" s="54">
        <v>-7.5</v>
      </c>
      <c r="C245" s="54">
        <v>-12</v>
      </c>
      <c r="D245" s="54">
        <v>-11.5</v>
      </c>
      <c r="E245" s="54">
        <v>-9.75</v>
      </c>
      <c r="F245" s="54">
        <v>-10.25</v>
      </c>
      <c r="G245" s="54">
        <v>-8.75</v>
      </c>
      <c r="H245" s="54">
        <v>-10</v>
      </c>
      <c r="I245" s="54">
        <v>-10</v>
      </c>
      <c r="J245" s="54">
        <v>-11.25</v>
      </c>
      <c r="K245" s="54">
        <v>-9.5</v>
      </c>
      <c r="L245" s="54">
        <v>-9.5</v>
      </c>
      <c r="M245" s="54">
        <v>-10.25</v>
      </c>
      <c r="O245" s="16">
        <f t="shared" si="8"/>
        <v>2.1842100000000002</v>
      </c>
      <c r="P245" s="16">
        <f t="shared" si="8"/>
        <v>1.3586950000000009</v>
      </c>
    </row>
    <row r="246" spans="1:16" x14ac:dyDescent="0.2">
      <c r="A246" s="44">
        <v>1985</v>
      </c>
      <c r="B246" s="54">
        <v>-12.75</v>
      </c>
      <c r="C246" s="54">
        <v>-12.5</v>
      </c>
      <c r="D246" s="54">
        <v>-10.75</v>
      </c>
      <c r="E246" s="54">
        <v>-9.75</v>
      </c>
      <c r="F246" s="54">
        <v>-10</v>
      </c>
      <c r="G246" s="54">
        <v>-9.75</v>
      </c>
      <c r="H246" s="54">
        <v>-8</v>
      </c>
      <c r="I246" s="54">
        <v>-8.5</v>
      </c>
      <c r="J246" s="54">
        <v>-7.75</v>
      </c>
      <c r="K246" s="54">
        <v>-9.25</v>
      </c>
      <c r="L246" s="54">
        <v>-11.75</v>
      </c>
      <c r="M246" s="54">
        <v>-2.75</v>
      </c>
      <c r="O246" s="16">
        <f t="shared" si="8"/>
        <v>1.5625</v>
      </c>
      <c r="P246" s="16">
        <f t="shared" si="8"/>
        <v>1.2282600000000006</v>
      </c>
    </row>
    <row r="247" spans="1:16" x14ac:dyDescent="0.2">
      <c r="A247" s="44">
        <v>1986</v>
      </c>
      <c r="B247" s="54">
        <v>-9</v>
      </c>
      <c r="C247" s="54">
        <v>-9.75</v>
      </c>
      <c r="D247" s="54">
        <v>-9.5</v>
      </c>
      <c r="E247" s="54">
        <v>-8</v>
      </c>
      <c r="F247" s="54">
        <v>-8</v>
      </c>
      <c r="G247" s="54">
        <v>-8</v>
      </c>
      <c r="H247" s="54">
        <v>-8.25</v>
      </c>
      <c r="I247" s="54">
        <v>-3.25</v>
      </c>
      <c r="J247" s="54">
        <v>-7.75</v>
      </c>
      <c r="K247" s="54">
        <v>-7.5</v>
      </c>
      <c r="L247" s="54">
        <v>-1.75</v>
      </c>
      <c r="M247" s="54">
        <v>4.25</v>
      </c>
      <c r="O247" s="16">
        <f t="shared" si="8"/>
        <v>0.84523800000000016</v>
      </c>
      <c r="P247" s="16">
        <f t="shared" si="8"/>
        <v>4.9891300000000003</v>
      </c>
    </row>
    <row r="248" spans="1:16" x14ac:dyDescent="0.2">
      <c r="A248" s="44">
        <v>1987</v>
      </c>
      <c r="B248" s="54">
        <v>-6.5</v>
      </c>
      <c r="C248" s="54">
        <v>-5.75</v>
      </c>
      <c r="D248" s="54">
        <v>-5.5</v>
      </c>
      <c r="E248" s="54">
        <v>-5.75</v>
      </c>
      <c r="F248" s="54">
        <v>-5.75</v>
      </c>
      <c r="G248" s="54">
        <v>-6.75</v>
      </c>
      <c r="H248" s="54">
        <v>-7.75</v>
      </c>
      <c r="I248" s="54">
        <v>-7</v>
      </c>
      <c r="J248" s="54">
        <v>-4.5</v>
      </c>
      <c r="K248" s="54">
        <v>-5</v>
      </c>
      <c r="L248" s="54">
        <v>-6</v>
      </c>
      <c r="M248" s="54">
        <v>-3</v>
      </c>
      <c r="O248" s="16">
        <f t="shared" si="8"/>
        <v>1.1309519999999997</v>
      </c>
      <c r="P248" s="16">
        <f t="shared" si="8"/>
        <v>2.3863629999999993</v>
      </c>
    </row>
    <row r="249" spans="1:16" x14ac:dyDescent="0.2">
      <c r="A249" s="44">
        <v>1988</v>
      </c>
      <c r="B249" s="54">
        <v>-5.5</v>
      </c>
      <c r="C249" s="54">
        <v>-5.5</v>
      </c>
      <c r="D249" s="54">
        <v>-5.5</v>
      </c>
      <c r="E249" s="54">
        <v>-6.5</v>
      </c>
      <c r="F249" s="54">
        <v>-6.75</v>
      </c>
      <c r="G249" s="54">
        <v>-6.5</v>
      </c>
      <c r="H249" s="54">
        <v>12</v>
      </c>
      <c r="I249" s="54">
        <v>11.5</v>
      </c>
      <c r="J249" s="54">
        <v>3</v>
      </c>
      <c r="K249" s="54">
        <v>-6.5</v>
      </c>
      <c r="L249" s="54">
        <v>-8.75</v>
      </c>
      <c r="M249" s="54">
        <v>-3.25</v>
      </c>
      <c r="O249" s="16">
        <f t="shared" si="8"/>
        <v>3.2976189999999992</v>
      </c>
      <c r="P249" s="16">
        <f t="shared" si="8"/>
        <v>4.1904760000000003</v>
      </c>
    </row>
    <row r="250" spans="1:16" x14ac:dyDescent="0.2">
      <c r="A250" s="44">
        <v>1989</v>
      </c>
      <c r="B250" s="54">
        <v>-6</v>
      </c>
      <c r="C250" s="54">
        <v>-6.25</v>
      </c>
      <c r="D250" s="54">
        <v>-5.75</v>
      </c>
      <c r="E250" s="54">
        <v>-5.5</v>
      </c>
      <c r="F250" s="54">
        <v>-6.75</v>
      </c>
      <c r="G250" s="54">
        <v>-7.25</v>
      </c>
      <c r="H250" s="54">
        <v>-5.25</v>
      </c>
      <c r="I250" s="54">
        <v>-6.75</v>
      </c>
      <c r="J250" s="54">
        <v>-8</v>
      </c>
      <c r="K250" s="54">
        <v>-8.75</v>
      </c>
      <c r="L250" s="54">
        <v>-10.5</v>
      </c>
      <c r="M250" s="54">
        <v>-9.25</v>
      </c>
      <c r="O250" s="16">
        <f t="shared" si="8"/>
        <v>1.5374999999999996</v>
      </c>
      <c r="P250" s="16">
        <f t="shared" si="8"/>
        <v>1.6363629999999993</v>
      </c>
    </row>
    <row r="251" spans="1:16" x14ac:dyDescent="0.2">
      <c r="A251" s="44">
        <v>1990</v>
      </c>
      <c r="B251" s="54">
        <v>-8.75</v>
      </c>
      <c r="C251" s="54">
        <v>-8.5</v>
      </c>
      <c r="D251" s="54">
        <v>-8.75</v>
      </c>
      <c r="E251" s="54">
        <v>-8.75</v>
      </c>
      <c r="F251" s="54">
        <v>-9.25</v>
      </c>
      <c r="G251" s="54">
        <v>-9.5</v>
      </c>
      <c r="H251" s="54">
        <v>-9.5</v>
      </c>
      <c r="I251" s="54">
        <v>-10.25</v>
      </c>
      <c r="J251" s="54">
        <v>-9</v>
      </c>
      <c r="K251" s="54">
        <v>-13.25</v>
      </c>
      <c r="L251" s="54">
        <v>-13.5</v>
      </c>
      <c r="M251" s="54">
        <v>-10.75</v>
      </c>
      <c r="O251" s="16">
        <f t="shared" si="8"/>
        <v>0.93421000000000021</v>
      </c>
      <c r="P251" s="16">
        <f t="shared" si="8"/>
        <v>1.5978259999999995</v>
      </c>
    </row>
    <row r="252" spans="1:16" x14ac:dyDescent="0.2">
      <c r="A252" s="44">
        <v>1991</v>
      </c>
      <c r="B252" s="54">
        <v>-10.25</v>
      </c>
      <c r="C252" s="54">
        <v>-11</v>
      </c>
      <c r="D252" s="54">
        <v>-10.5</v>
      </c>
      <c r="E252" s="54">
        <v>-9.75</v>
      </c>
      <c r="F252" s="54">
        <v>-10</v>
      </c>
      <c r="G252" s="54">
        <v>-10</v>
      </c>
      <c r="H252" s="54">
        <v>-9.5</v>
      </c>
      <c r="I252" s="54">
        <v>-7.75</v>
      </c>
      <c r="J252" s="54">
        <v>-8.5</v>
      </c>
      <c r="K252" s="54">
        <v>-10</v>
      </c>
      <c r="L252" s="54">
        <v>-9</v>
      </c>
      <c r="M252" s="54">
        <v>2.5</v>
      </c>
      <c r="O252" s="16">
        <f t="shared" si="8"/>
        <v>0.84999999999999964</v>
      </c>
      <c r="P252" s="16">
        <f t="shared" si="8"/>
        <v>2.1413039999999999</v>
      </c>
    </row>
    <row r="253" spans="1:16" x14ac:dyDescent="0.2">
      <c r="A253" s="44">
        <v>1992</v>
      </c>
      <c r="B253" s="54">
        <v>-6.5</v>
      </c>
      <c r="C253" s="54">
        <v>-7</v>
      </c>
      <c r="D253" s="54">
        <v>-7.5</v>
      </c>
      <c r="E253" s="54">
        <v>-6.75</v>
      </c>
      <c r="F253" s="54">
        <v>-8</v>
      </c>
      <c r="G253" s="54">
        <v>-6.5</v>
      </c>
      <c r="H253" s="54">
        <v>-6.5</v>
      </c>
      <c r="I253" s="54">
        <v>-6.75</v>
      </c>
      <c r="J253" s="54">
        <v>-5.5</v>
      </c>
      <c r="K253" s="54">
        <v>-6.25</v>
      </c>
      <c r="L253" s="54">
        <v>-3.5</v>
      </c>
      <c r="M253" s="54">
        <v>-0.5</v>
      </c>
      <c r="O253" s="16">
        <f t="shared" si="8"/>
        <v>0.73809500000000039</v>
      </c>
      <c r="P253" s="16">
        <f t="shared" si="8"/>
        <v>2.40909</v>
      </c>
    </row>
    <row r="254" spans="1:16" x14ac:dyDescent="0.2">
      <c r="A254" s="44">
        <v>1993</v>
      </c>
      <c r="B254" s="54">
        <v>-7</v>
      </c>
      <c r="C254" s="54">
        <v>-6.75</v>
      </c>
      <c r="D254" s="54">
        <v>-6.75</v>
      </c>
      <c r="E254" s="54">
        <v>-6.75</v>
      </c>
      <c r="F254" s="54">
        <v>-6</v>
      </c>
      <c r="G254" s="54">
        <v>-5.5</v>
      </c>
      <c r="H254" s="54">
        <v>-3</v>
      </c>
      <c r="I254" s="54">
        <v>-1</v>
      </c>
      <c r="J254" s="54">
        <v>-2</v>
      </c>
      <c r="K254" s="54">
        <v>-4.75</v>
      </c>
      <c r="L254" s="54">
        <v>-6</v>
      </c>
      <c r="M254" s="54">
        <v>10</v>
      </c>
      <c r="O254" s="16">
        <f t="shared" si="8"/>
        <v>1.0119040000000004</v>
      </c>
      <c r="P254" s="16">
        <f t="shared" si="8"/>
        <v>1.2857139999999996</v>
      </c>
    </row>
    <row r="255" spans="1:16" x14ac:dyDescent="0.2">
      <c r="A255" s="44">
        <v>1994</v>
      </c>
      <c r="B255" s="54">
        <v>-4.25</v>
      </c>
      <c r="C255" s="54">
        <v>-3.75</v>
      </c>
      <c r="D255" s="54">
        <v>-4.5</v>
      </c>
      <c r="E255" s="54">
        <v>-3.5</v>
      </c>
      <c r="F255" s="54">
        <v>-5</v>
      </c>
      <c r="G255" s="54">
        <v>-4.25</v>
      </c>
      <c r="H255" s="54">
        <v>-3.25</v>
      </c>
      <c r="I255" s="54">
        <v>-5.75</v>
      </c>
      <c r="J255" s="54">
        <v>-7.25</v>
      </c>
      <c r="K255" s="54">
        <v>-7</v>
      </c>
      <c r="L255" s="54">
        <v>-10.25</v>
      </c>
      <c r="M255" s="54">
        <v>-6.75</v>
      </c>
      <c r="O255" s="16">
        <f t="shared" si="8"/>
        <v>2.0357140000000005</v>
      </c>
      <c r="P255" s="16">
        <f t="shared" si="8"/>
        <v>0.92857099999999981</v>
      </c>
    </row>
    <row r="256" spans="1:16" x14ac:dyDescent="0.2">
      <c r="A256" s="44">
        <v>1995</v>
      </c>
      <c r="B256" s="54">
        <v>-6.25</v>
      </c>
      <c r="C256" s="54">
        <v>-6.5</v>
      </c>
      <c r="D256" s="54">
        <v>-7.75</v>
      </c>
      <c r="E256" s="54">
        <v>-6.75</v>
      </c>
      <c r="F256" s="54">
        <v>-6.75</v>
      </c>
      <c r="G256" s="54">
        <v>-5.75</v>
      </c>
      <c r="H256" s="54">
        <v>-6</v>
      </c>
      <c r="I256" s="54">
        <v>-5</v>
      </c>
      <c r="J256" s="54">
        <v>-8.25</v>
      </c>
      <c r="K256" s="54">
        <v>-9.5</v>
      </c>
      <c r="L256" s="54">
        <v>-8.25</v>
      </c>
      <c r="M256" s="54">
        <v>2.5</v>
      </c>
      <c r="O256" s="16">
        <f t="shared" si="8"/>
        <v>0.57499999999999929</v>
      </c>
      <c r="P256" s="16">
        <f t="shared" si="8"/>
        <v>1.9204539999999994</v>
      </c>
    </row>
    <row r="257" spans="1:16" x14ac:dyDescent="0.2">
      <c r="A257" s="44">
        <v>1996</v>
      </c>
      <c r="B257" s="54">
        <v>-4</v>
      </c>
      <c r="C257" s="54">
        <v>-2.75</v>
      </c>
      <c r="D257" s="54">
        <v>-4</v>
      </c>
      <c r="E257" s="54">
        <v>-4.75</v>
      </c>
      <c r="F257" s="54">
        <v>-2.5</v>
      </c>
      <c r="G257" s="54">
        <v>-3.5</v>
      </c>
      <c r="H257" s="54">
        <v>-5.5</v>
      </c>
      <c r="I257" s="54">
        <v>-5.5</v>
      </c>
      <c r="J257" s="54">
        <v>-5</v>
      </c>
      <c r="K257" s="54">
        <v>-6</v>
      </c>
      <c r="L257" s="54">
        <v>1.5</v>
      </c>
      <c r="M257" s="54">
        <v>10</v>
      </c>
      <c r="O257" s="16">
        <f t="shared" si="8"/>
        <v>1.4000000000000004</v>
      </c>
      <c r="P257" s="16">
        <f t="shared" si="8"/>
        <v>6.163043</v>
      </c>
    </row>
    <row r="258" spans="1:16" x14ac:dyDescent="0.2">
      <c r="A258" s="44">
        <v>1997</v>
      </c>
      <c r="B258" s="54">
        <v>-4.5</v>
      </c>
      <c r="C258" s="54">
        <v>-4.25</v>
      </c>
      <c r="D258" s="54">
        <v>-3.75</v>
      </c>
      <c r="E258" s="54">
        <v>-2.5</v>
      </c>
      <c r="F258" s="54">
        <v>-3.75</v>
      </c>
      <c r="G258" s="54">
        <v>-2</v>
      </c>
      <c r="H258" s="54">
        <v>-0.75</v>
      </c>
      <c r="I258" s="54">
        <v>-1.5</v>
      </c>
      <c r="J258" s="54">
        <v>-1.25</v>
      </c>
      <c r="K258" s="54">
        <v>-1</v>
      </c>
      <c r="L258" s="54">
        <v>-1.75</v>
      </c>
      <c r="M258" s="54">
        <v>7.5</v>
      </c>
      <c r="O258" s="16">
        <f t="shared" si="8"/>
        <v>1.5952380000000002</v>
      </c>
      <c r="P258" s="16">
        <f t="shared" si="8"/>
        <v>3.0108689999999996</v>
      </c>
    </row>
    <row r="259" spans="1:16" x14ac:dyDescent="0.2">
      <c r="A259" s="44">
        <v>1998</v>
      </c>
      <c r="B259" s="54">
        <v>-2.25</v>
      </c>
      <c r="C259" s="54">
        <v>-4</v>
      </c>
      <c r="D259" s="54">
        <v>-5.25</v>
      </c>
      <c r="E259" s="54">
        <v>-5.25</v>
      </c>
      <c r="F259" s="54">
        <v>-6</v>
      </c>
      <c r="G259" s="54">
        <v>-6</v>
      </c>
      <c r="H259" s="54">
        <v>-5</v>
      </c>
      <c r="I259" s="54">
        <v>-6.75</v>
      </c>
      <c r="J259" s="54">
        <v>-8.75</v>
      </c>
      <c r="K259" s="54">
        <v>-9.5</v>
      </c>
      <c r="L259" s="54">
        <v>-8</v>
      </c>
      <c r="M259" s="54">
        <v>-5.5</v>
      </c>
      <c r="O259" s="16">
        <f t="shared" si="8"/>
        <v>0.86904700000000012</v>
      </c>
      <c r="P259" s="16">
        <f t="shared" si="8"/>
        <v>2.125</v>
      </c>
    </row>
    <row r="260" spans="1:16" x14ac:dyDescent="0.2">
      <c r="A260" s="44">
        <v>1999</v>
      </c>
      <c r="B260" s="54">
        <v>-5.5</v>
      </c>
      <c r="C260" s="54">
        <v>-6.75</v>
      </c>
      <c r="D260" s="54">
        <v>-8.5</v>
      </c>
      <c r="E260" s="54">
        <v>-9.25</v>
      </c>
      <c r="F260" s="54">
        <v>-10</v>
      </c>
      <c r="G260" s="54">
        <v>-9.5</v>
      </c>
      <c r="H260" s="54">
        <v>-9.25</v>
      </c>
      <c r="I260" s="54">
        <v>-7.75</v>
      </c>
      <c r="J260" s="54">
        <v>-9.5</v>
      </c>
      <c r="K260" s="54">
        <v>-8.25</v>
      </c>
      <c r="L260" s="54">
        <v>-9.75</v>
      </c>
      <c r="M260" s="54">
        <v>-4</v>
      </c>
      <c r="O260" s="16">
        <f t="shared" si="8"/>
        <v>1.25</v>
      </c>
      <c r="P260" s="16">
        <f t="shared" si="8"/>
        <v>1.0952380000000002</v>
      </c>
    </row>
    <row r="261" spans="1:16" x14ac:dyDescent="0.2">
      <c r="A261" s="44">
        <v>2000</v>
      </c>
      <c r="B261" s="54"/>
      <c r="C261" s="54">
        <v>-6</v>
      </c>
      <c r="D261" s="54">
        <v>-4.75</v>
      </c>
      <c r="E261" s="54">
        <v>-6.25</v>
      </c>
      <c r="F261" s="54">
        <v>-6.25</v>
      </c>
      <c r="G261" s="54">
        <v>-4.5</v>
      </c>
      <c r="H261" s="54">
        <v>-7.5</v>
      </c>
      <c r="I261" s="54">
        <v>-9.5</v>
      </c>
      <c r="J261" s="54">
        <v>-10</v>
      </c>
      <c r="K261" s="54">
        <v>-9</v>
      </c>
      <c r="L261" s="54">
        <v>-9.25</v>
      </c>
      <c r="M261" s="54">
        <v>-5.75</v>
      </c>
      <c r="O261" s="16">
        <f t="shared" si="8"/>
        <v>1.0500000000000007</v>
      </c>
      <c r="P261" s="16">
        <f t="shared" si="8"/>
        <v>1.375</v>
      </c>
    </row>
    <row r="262" spans="1:16" x14ac:dyDescent="0.2">
      <c r="A262" s="44">
        <v>2001</v>
      </c>
      <c r="B262" s="54">
        <v>-7.75</v>
      </c>
      <c r="C262" s="54">
        <v>-8</v>
      </c>
      <c r="D262" s="54">
        <v>-9.75</v>
      </c>
      <c r="E262" s="54">
        <v>-8.25</v>
      </c>
      <c r="F262" s="54">
        <v>-9</v>
      </c>
      <c r="G262" s="54">
        <v>-8.25</v>
      </c>
      <c r="H262" s="54">
        <v>-6</v>
      </c>
      <c r="I262" s="54">
        <v>0</v>
      </c>
      <c r="J262" s="54">
        <v>-2.75</v>
      </c>
      <c r="K262" s="54">
        <v>-5.75</v>
      </c>
      <c r="L262" s="54">
        <v>-3.75</v>
      </c>
      <c r="M262" s="54">
        <v>0.75</v>
      </c>
      <c r="O262" s="16">
        <f t="shared" si="8"/>
        <v>1.2916660000000002</v>
      </c>
      <c r="P262" s="16">
        <f t="shared" si="8"/>
        <v>3.0760860000000001</v>
      </c>
    </row>
    <row r="263" spans="1:16" x14ac:dyDescent="0.2">
      <c r="A263" s="44">
        <v>2002</v>
      </c>
      <c r="B263" s="54">
        <v>-5.25</v>
      </c>
      <c r="C263" s="54">
        <v>-4.5</v>
      </c>
      <c r="D263" s="54">
        <v>-5.75</v>
      </c>
      <c r="E263" s="54">
        <v>-2.75</v>
      </c>
      <c r="F263" s="54">
        <v>-3.5</v>
      </c>
      <c r="G263" s="54">
        <v>-2.5</v>
      </c>
      <c r="H263" s="54">
        <v>-0.25</v>
      </c>
      <c r="I263" s="54">
        <v>1.25</v>
      </c>
      <c r="J263" s="54">
        <v>1.5</v>
      </c>
      <c r="K263" s="54">
        <v>-1.5</v>
      </c>
      <c r="L263" s="54">
        <v>-0.25</v>
      </c>
      <c r="M263" s="54">
        <v>7</v>
      </c>
      <c r="O263" s="16">
        <f t="shared" si="8"/>
        <v>1.6625000000000001</v>
      </c>
      <c r="P263" s="16">
        <f t="shared" si="8"/>
        <v>2.8260860000000001</v>
      </c>
    </row>
    <row r="264" spans="1:16" x14ac:dyDescent="0.2">
      <c r="A264" s="44">
        <v>2003</v>
      </c>
      <c r="B264" s="54">
        <v>-2</v>
      </c>
      <c r="C264" s="54">
        <v>-1</v>
      </c>
      <c r="D264" s="54">
        <v>-1</v>
      </c>
      <c r="E264" s="54">
        <v>-1.25</v>
      </c>
      <c r="F264" s="54">
        <v>-0.5</v>
      </c>
      <c r="G264" s="54">
        <v>-0.5</v>
      </c>
      <c r="H264" s="54">
        <v>-0.5</v>
      </c>
      <c r="I264" s="54">
        <v>-1.25</v>
      </c>
      <c r="J264" s="54">
        <v>-1.25</v>
      </c>
      <c r="K264" s="54">
        <v>-1</v>
      </c>
      <c r="L264" s="54">
        <v>6</v>
      </c>
      <c r="M264" s="54">
        <v>1.25</v>
      </c>
      <c r="O264" s="16">
        <f t="shared" si="8"/>
        <v>0.98809499999999995</v>
      </c>
      <c r="P264" s="16">
        <f t="shared" si="8"/>
        <v>8.0760860000000001</v>
      </c>
    </row>
    <row r="265" spans="1:16" x14ac:dyDescent="0.2">
      <c r="A265" s="44">
        <v>2004</v>
      </c>
      <c r="B265" s="54">
        <v>3</v>
      </c>
      <c r="C265" s="54">
        <v>1</v>
      </c>
      <c r="D265" s="54">
        <v>1.25</v>
      </c>
      <c r="E265" s="54">
        <v>3.5</v>
      </c>
      <c r="F265" s="54">
        <v>4.5</v>
      </c>
      <c r="G265" s="54">
        <v>3</v>
      </c>
      <c r="H265" s="54">
        <v>3</v>
      </c>
      <c r="I265" s="54">
        <v>-1.5</v>
      </c>
      <c r="J265" s="54">
        <v>-5</v>
      </c>
      <c r="K265" s="54">
        <v>-6.25</v>
      </c>
      <c r="L265" s="54">
        <v>-2</v>
      </c>
      <c r="M265" s="54">
        <v>5.75</v>
      </c>
      <c r="O265" s="16">
        <f t="shared" si="8"/>
        <v>1.273809</v>
      </c>
      <c r="P265" s="16">
        <f t="shared" si="8"/>
        <v>4.1309519999999997</v>
      </c>
    </row>
    <row r="266" spans="1:16" x14ac:dyDescent="0.2">
      <c r="A266" s="44">
        <v>2005</v>
      </c>
      <c r="B266" s="54">
        <v>-1.5</v>
      </c>
      <c r="C266" s="54">
        <v>-1.5</v>
      </c>
      <c r="D266" s="54">
        <v>1.25</v>
      </c>
      <c r="E266" s="54">
        <v>0.25</v>
      </c>
      <c r="F266" s="54">
        <v>-0.25</v>
      </c>
      <c r="G266" s="54">
        <v>0.75</v>
      </c>
      <c r="H266" s="54">
        <v>1.25</v>
      </c>
      <c r="I266" s="54">
        <v>0</v>
      </c>
      <c r="J266" s="54">
        <v>-4</v>
      </c>
      <c r="K266" s="54">
        <v>-7.25</v>
      </c>
      <c r="L266" s="54">
        <v>-11</v>
      </c>
      <c r="M266" s="54">
        <v>-4.75</v>
      </c>
      <c r="O266" s="16">
        <f t="shared" si="8"/>
        <v>1.4642850000000003</v>
      </c>
      <c r="P266" s="16">
        <f t="shared" si="8"/>
        <v>1.2142850000000003</v>
      </c>
    </row>
    <row r="267" spans="1:16" x14ac:dyDescent="0.2">
      <c r="A267" s="44">
        <v>2006</v>
      </c>
      <c r="B267" s="54">
        <v>5.5</v>
      </c>
      <c r="C267" s="54">
        <v>0.25</v>
      </c>
      <c r="D267" s="54">
        <v>-3</v>
      </c>
      <c r="E267" s="54">
        <v>-4.75</v>
      </c>
      <c r="F267" s="54">
        <v>-6.25</v>
      </c>
      <c r="G267" s="54">
        <v>-6.75</v>
      </c>
      <c r="H267" s="54">
        <v>-8</v>
      </c>
      <c r="I267" s="54">
        <v>-8.75</v>
      </c>
      <c r="J267" s="54">
        <v>-11.75</v>
      </c>
      <c r="K267" s="54">
        <v>-12.75</v>
      </c>
      <c r="L267" s="54">
        <v>-13</v>
      </c>
      <c r="M267" s="54">
        <v>-11</v>
      </c>
      <c r="O267" s="16">
        <f t="shared" si="8"/>
        <v>0.6875</v>
      </c>
      <c r="P267" s="16">
        <f t="shared" si="8"/>
        <v>1.1136359999999996</v>
      </c>
    </row>
    <row r="268" spans="1:16" x14ac:dyDescent="0.2">
      <c r="A268" s="44">
        <v>2007</v>
      </c>
      <c r="B268" s="54">
        <v>-1.25</v>
      </c>
      <c r="C268" s="54">
        <v>-3</v>
      </c>
      <c r="D268" s="54">
        <v>-2.75</v>
      </c>
      <c r="E268" s="54">
        <v>-4.5</v>
      </c>
      <c r="F268" s="54">
        <v>-8.25</v>
      </c>
      <c r="G268" s="54">
        <v>-7.75</v>
      </c>
      <c r="H268" s="54">
        <v>-6.75</v>
      </c>
      <c r="I268" s="54">
        <v>-11.25</v>
      </c>
      <c r="J268" s="54">
        <v>-13.25</v>
      </c>
      <c r="K268" s="54">
        <v>-14.5</v>
      </c>
      <c r="L268" s="54">
        <v>-15.75</v>
      </c>
      <c r="M268" s="54">
        <v>-12</v>
      </c>
      <c r="O268" s="16">
        <f t="shared" si="8"/>
        <v>0.93421000000000021</v>
      </c>
      <c r="P268" s="16">
        <f t="shared" si="8"/>
        <v>2.3260860000000001</v>
      </c>
    </row>
    <row r="269" spans="1:16" x14ac:dyDescent="0.2">
      <c r="A269" s="44">
        <v>2008</v>
      </c>
      <c r="B269" s="54">
        <v>0.25</v>
      </c>
      <c r="C269" s="54">
        <v>3</v>
      </c>
      <c r="D269" s="54">
        <v>-1</v>
      </c>
      <c r="E269" s="54">
        <v>-5.5</v>
      </c>
      <c r="F269" s="54">
        <v>-10.75</v>
      </c>
      <c r="G269" s="54">
        <v>-12</v>
      </c>
      <c r="H269" s="54">
        <v>-12.75</v>
      </c>
      <c r="I269" s="54">
        <v>-13.25</v>
      </c>
      <c r="J269" s="54">
        <v>-17</v>
      </c>
      <c r="K269" s="54">
        <v>-13.75</v>
      </c>
      <c r="L269" s="54">
        <v>-3.25</v>
      </c>
      <c r="M269" s="54">
        <v>-6.5</v>
      </c>
      <c r="O269" s="16">
        <f t="shared" si="8"/>
        <v>2.5595229999999987</v>
      </c>
      <c r="P269" s="16">
        <f t="shared" si="8"/>
        <v>8.5760860000000001</v>
      </c>
    </row>
    <row r="270" spans="1:16" x14ac:dyDescent="0.2">
      <c r="A270" s="44">
        <v>2009</v>
      </c>
      <c r="B270" s="54">
        <v>0</v>
      </c>
      <c r="C270" s="54">
        <v>-5</v>
      </c>
      <c r="D270" s="54">
        <v>-7.75</v>
      </c>
      <c r="E270" s="54">
        <v>-8.75</v>
      </c>
      <c r="F270" s="54">
        <v>-4</v>
      </c>
      <c r="G270" s="54">
        <v>-1.5</v>
      </c>
      <c r="H270" s="54">
        <v>-1</v>
      </c>
      <c r="I270" s="54">
        <v>-1.75</v>
      </c>
      <c r="J270" s="54">
        <v>-0.75</v>
      </c>
      <c r="K270" s="54">
        <v>-3.25</v>
      </c>
      <c r="L270" s="54">
        <v>1.5</v>
      </c>
      <c r="M270" s="54">
        <v>-0.5</v>
      </c>
      <c r="O270" s="16">
        <f t="shared" si="8"/>
        <v>1.8095230000000004</v>
      </c>
      <c r="P270" s="16">
        <f t="shared" si="8"/>
        <v>4.6704539999999994</v>
      </c>
    </row>
    <row r="271" spans="1:16" x14ac:dyDescent="0.2">
      <c r="A271" s="44">
        <v>2010</v>
      </c>
      <c r="B271" s="54">
        <v>-5.75</v>
      </c>
      <c r="C271" s="54">
        <v>-6.75</v>
      </c>
      <c r="D271" s="54">
        <v>-8.5</v>
      </c>
      <c r="E271" s="54">
        <v>-8</v>
      </c>
      <c r="F271" s="54">
        <v>-7</v>
      </c>
      <c r="G271" s="54">
        <v>-8</v>
      </c>
      <c r="H271" s="54">
        <v>-8.5</v>
      </c>
      <c r="I271" s="54">
        <v>-6</v>
      </c>
      <c r="J271" s="54">
        <v>-5.25</v>
      </c>
      <c r="K271" s="54">
        <v>-8.75</v>
      </c>
      <c r="L271" s="54">
        <v>-9.75</v>
      </c>
      <c r="M271" s="54">
        <v>-6</v>
      </c>
      <c r="O271" s="16">
        <f t="shared" si="8"/>
        <v>0.79761899999999919</v>
      </c>
      <c r="P271" s="16">
        <f t="shared" si="8"/>
        <v>1.1071419999999996</v>
      </c>
    </row>
    <row r="272" spans="1:16" x14ac:dyDescent="0.2">
      <c r="A272" s="44">
        <v>2011</v>
      </c>
      <c r="B272" s="54">
        <v>-2.5</v>
      </c>
      <c r="C272" s="54">
        <v>-1</v>
      </c>
      <c r="D272" s="54">
        <v>-0.25</v>
      </c>
      <c r="E272" s="54">
        <v>-3</v>
      </c>
      <c r="F272" s="54">
        <v>-4.5</v>
      </c>
      <c r="G272" s="54">
        <v>-7</v>
      </c>
      <c r="H272" s="54">
        <v>-7.25</v>
      </c>
      <c r="I272" s="54">
        <v>-8.25</v>
      </c>
      <c r="J272" s="54">
        <v>-9</v>
      </c>
      <c r="K272" s="54">
        <v>-9.75</v>
      </c>
      <c r="L272" s="54">
        <v>-5.5</v>
      </c>
      <c r="M272" s="54">
        <v>-6.25</v>
      </c>
      <c r="O272" s="16">
        <f t="shared" si="8"/>
        <v>1.1309520000000006</v>
      </c>
      <c r="P272" s="16">
        <f t="shared" si="8"/>
        <v>3.8214279999999992</v>
      </c>
    </row>
    <row r="273" spans="1:16" x14ac:dyDescent="0.2">
      <c r="A273" s="44">
        <v>2012</v>
      </c>
      <c r="B273" s="54">
        <v>-8.5</v>
      </c>
      <c r="C273" s="54">
        <v>-6.75</v>
      </c>
      <c r="D273" s="54">
        <v>-3.25</v>
      </c>
      <c r="E273" s="54">
        <v>3.5</v>
      </c>
      <c r="F273" s="54">
        <v>6.75</v>
      </c>
      <c r="G273" s="54">
        <v>7.25</v>
      </c>
      <c r="H273" s="54">
        <v>2.25</v>
      </c>
      <c r="I273" s="54">
        <v>23</v>
      </c>
      <c r="J273" s="54">
        <v>14.5</v>
      </c>
      <c r="K273" s="54">
        <v>2</v>
      </c>
      <c r="L273" s="54">
        <v>3</v>
      </c>
      <c r="M273" s="54">
        <v>19</v>
      </c>
      <c r="O273" s="16">
        <f t="shared" si="8"/>
        <v>2.0263149999999999</v>
      </c>
      <c r="P273" s="16">
        <f t="shared" si="8"/>
        <v>3.8695650000000001</v>
      </c>
    </row>
    <row r="274" spans="1:16" x14ac:dyDescent="0.2">
      <c r="A274" s="44">
        <v>2013</v>
      </c>
      <c r="B274" s="54">
        <v>-5</v>
      </c>
      <c r="C274" s="54">
        <v>-2.75</v>
      </c>
      <c r="D274" s="54">
        <v>2.75</v>
      </c>
      <c r="E274" s="54">
        <v>-2.5</v>
      </c>
      <c r="F274" s="54">
        <v>-5.5</v>
      </c>
      <c r="G274" s="54">
        <v>-5.25</v>
      </c>
      <c r="H274" s="54">
        <v>-3</v>
      </c>
      <c r="I274" s="54">
        <v>-4</v>
      </c>
      <c r="J274" s="54">
        <v>5</v>
      </c>
      <c r="K274" s="54">
        <v>3.25</v>
      </c>
      <c r="L274" s="54">
        <v>14</v>
      </c>
      <c r="M274" s="54">
        <v>14.5</v>
      </c>
      <c r="O274" s="16">
        <f t="shared" si="8"/>
        <v>3.6</v>
      </c>
      <c r="P274" s="16">
        <f t="shared" si="8"/>
        <v>10.771739999999999</v>
      </c>
    </row>
    <row r="275" spans="1:16" x14ac:dyDescent="0.2">
      <c r="A275" s="44">
        <v>2014</v>
      </c>
      <c r="B275" s="54">
        <v>-4.5</v>
      </c>
      <c r="C275" s="54">
        <v>-4.75</v>
      </c>
      <c r="D275" s="54">
        <v>-3</v>
      </c>
      <c r="E275" s="54">
        <v>-3.25</v>
      </c>
      <c r="F275" s="54">
        <v>-4.75</v>
      </c>
      <c r="G275" s="54">
        <v>-5.25</v>
      </c>
      <c r="H275" s="54">
        <v>-6</v>
      </c>
      <c r="I275" s="54">
        <v>-6.5</v>
      </c>
      <c r="J275" s="54">
        <v>-6.75</v>
      </c>
      <c r="K275" s="54">
        <v>-6.5</v>
      </c>
      <c r="L275" s="54">
        <v>-2.75</v>
      </c>
      <c r="M275" s="54">
        <v>3.5</v>
      </c>
      <c r="O275" s="16">
        <f t="shared" si="8"/>
        <v>1.2142850000000003</v>
      </c>
      <c r="P275" s="16">
        <f t="shared" si="8"/>
        <v>4.6413039999999999</v>
      </c>
    </row>
    <row r="276" spans="1:16" x14ac:dyDescent="0.2">
      <c r="A276" s="44">
        <v>2015</v>
      </c>
      <c r="B276" s="54">
        <v>-4.25</v>
      </c>
      <c r="C276" s="54">
        <v>-4.5</v>
      </c>
      <c r="D276" s="54">
        <v>-4</v>
      </c>
      <c r="E276" s="54">
        <v>-4.25</v>
      </c>
      <c r="F276" s="54">
        <v>-5</v>
      </c>
      <c r="G276" s="54">
        <v>-6</v>
      </c>
      <c r="H276" s="54">
        <v>-5</v>
      </c>
      <c r="I276" s="54">
        <v>-4.75</v>
      </c>
      <c r="J276" s="54">
        <v>-3.25</v>
      </c>
      <c r="K276" s="54">
        <v>-2</v>
      </c>
      <c r="L276" s="54">
        <v>0.5</v>
      </c>
      <c r="M276" s="54">
        <v>9.5</v>
      </c>
      <c r="O276" s="16">
        <f t="shared" si="8"/>
        <v>1.7976190000000001</v>
      </c>
      <c r="P276" s="16">
        <f t="shared" si="8"/>
        <v>3.693181</v>
      </c>
    </row>
    <row r="277" spans="1:16" x14ac:dyDescent="0.2">
      <c r="A277" s="44">
        <v>2016</v>
      </c>
      <c r="B277" s="54">
        <v>-0.5</v>
      </c>
      <c r="C277" s="54">
        <v>1</v>
      </c>
      <c r="D277" s="54">
        <v>-2.25</v>
      </c>
      <c r="E277" s="54">
        <v>-3.25</v>
      </c>
      <c r="F277" s="54">
        <v>0</v>
      </c>
      <c r="G277" s="54">
        <v>6.75</v>
      </c>
      <c r="H277" s="54">
        <v>7</v>
      </c>
      <c r="I277" s="54">
        <v>5.75</v>
      </c>
      <c r="J277" s="54">
        <v>1.75</v>
      </c>
      <c r="K277" s="54">
        <v>-2.75</v>
      </c>
      <c r="L277" s="54">
        <v>-4.75</v>
      </c>
      <c r="M277" s="54">
        <v>5</v>
      </c>
      <c r="O277" s="16">
        <f t="shared" si="8"/>
        <v>2.2261899999999999</v>
      </c>
      <c r="P277" s="16">
        <f t="shared" si="8"/>
        <v>3.6547610000000006</v>
      </c>
    </row>
    <row r="278" spans="1:16" x14ac:dyDescent="0.2">
      <c r="A278" s="44">
        <v>2017</v>
      </c>
      <c r="B278" s="54">
        <v>3.5</v>
      </c>
      <c r="C278" s="54">
        <v>1.25</v>
      </c>
      <c r="D278" s="54">
        <v>0.75</v>
      </c>
      <c r="E278" s="54">
        <v>0.5</v>
      </c>
      <c r="F278" s="54">
        <v>-4.75</v>
      </c>
      <c r="G278" s="54">
        <v>-5.75</v>
      </c>
      <c r="H278" s="54">
        <v>-6.75</v>
      </c>
      <c r="I278" s="54">
        <v>-6.25</v>
      </c>
      <c r="J278" s="54">
        <v>-7</v>
      </c>
      <c r="K278" s="54">
        <v>-9.25</v>
      </c>
      <c r="L278" s="54">
        <v>-9.75</v>
      </c>
      <c r="M278" s="54">
        <v>2.5</v>
      </c>
      <c r="O278" s="16">
        <f t="shared" si="8"/>
        <v>0.96250000000000036</v>
      </c>
      <c r="P278" s="16">
        <f t="shared" si="8"/>
        <v>0.90909090909090828</v>
      </c>
    </row>
    <row r="279" spans="1:16" x14ac:dyDescent="0.2">
      <c r="A279" s="44">
        <v>2018</v>
      </c>
      <c r="B279" s="54">
        <v>0.75</v>
      </c>
      <c r="C279" s="54">
        <v>-5.75</v>
      </c>
      <c r="D279" s="54">
        <v>-2.75</v>
      </c>
      <c r="E279" s="54">
        <v>-1.75</v>
      </c>
      <c r="F279" s="54">
        <v>-0.5</v>
      </c>
      <c r="G279" s="54">
        <v>-2.25</v>
      </c>
      <c r="H279" s="54">
        <v>-5.25</v>
      </c>
      <c r="I279" s="54">
        <v>-8.25</v>
      </c>
      <c r="J279" s="54">
        <v>-10.25</v>
      </c>
      <c r="K279" s="54">
        <v>-12.75</v>
      </c>
      <c r="L279" s="54">
        <v>-12.75</v>
      </c>
      <c r="M279" s="54">
        <v>-6.75</v>
      </c>
      <c r="O279" s="16">
        <f t="shared" si="8"/>
        <v>0.90789473684210442</v>
      </c>
      <c r="P279" s="16">
        <f t="shared" si="8"/>
        <v>0.95652173913043548</v>
      </c>
    </row>
    <row r="280" spans="1:16" x14ac:dyDescent="0.2">
      <c r="A280" s="44">
        <v>2019</v>
      </c>
      <c r="B280" s="54">
        <v>-7</v>
      </c>
      <c r="C280" s="54">
        <v>-9.25</v>
      </c>
      <c r="D280" s="54">
        <v>-8.25</v>
      </c>
      <c r="E280" s="54">
        <v>-7.5</v>
      </c>
      <c r="F280" s="54">
        <v>-8.75</v>
      </c>
      <c r="G280" s="54">
        <v>-10</v>
      </c>
      <c r="H280" s="54">
        <v>-11</v>
      </c>
      <c r="I280" s="54">
        <v>-10.75</v>
      </c>
      <c r="J280" s="54">
        <v>-12.75</v>
      </c>
      <c r="K280" s="54">
        <v>-12.75</v>
      </c>
      <c r="L280" s="54">
        <v>-13</v>
      </c>
      <c r="M280" s="54">
        <v>-2.25</v>
      </c>
      <c r="O280" s="16">
        <f t="shared" si="8"/>
        <v>1.0250000000000004</v>
      </c>
      <c r="P280" s="16">
        <f t="shared" si="8"/>
        <v>1.25</v>
      </c>
    </row>
    <row r="281" spans="1:16" x14ac:dyDescent="0.2">
      <c r="A281" s="44">
        <v>2020</v>
      </c>
      <c r="B281" s="54">
        <v>-2.25</v>
      </c>
      <c r="C281" s="54">
        <v>-2.5</v>
      </c>
      <c r="D281" s="54">
        <v>-2</v>
      </c>
      <c r="E281" s="54">
        <v>2.5</v>
      </c>
      <c r="F281" s="54">
        <v>2.75</v>
      </c>
      <c r="G281" s="54">
        <v>-0.75</v>
      </c>
      <c r="H281" s="54">
        <v>-2.25</v>
      </c>
      <c r="I281" s="54">
        <v>-3.5</v>
      </c>
      <c r="J281" s="54">
        <v>-4.75</v>
      </c>
      <c r="K281" s="54">
        <v>-2.75</v>
      </c>
      <c r="L281" s="54">
        <v>6</v>
      </c>
      <c r="M281" s="54">
        <v>4.25</v>
      </c>
      <c r="O281" s="16">
        <f t="shared" si="8"/>
        <v>1.6547619047619051</v>
      </c>
      <c r="P281" s="16">
        <f t="shared" si="8"/>
        <v>5.9659090909090908</v>
      </c>
    </row>
    <row r="282" spans="1:16" x14ac:dyDescent="0.2">
      <c r="A282" s="44">
        <v>2021</v>
      </c>
      <c r="B282" s="54">
        <v>3.75</v>
      </c>
      <c r="C282" s="54">
        <v>8.5</v>
      </c>
      <c r="D282" s="54">
        <v>9.25</v>
      </c>
      <c r="E282" s="54">
        <v>6</v>
      </c>
      <c r="F282" s="54">
        <v>3.25</v>
      </c>
      <c r="G282" s="54"/>
      <c r="H282" s="54"/>
      <c r="I282" s="54"/>
      <c r="J282" s="54"/>
      <c r="K282" s="55">
        <v>0.40517418546365958</v>
      </c>
      <c r="L282" s="55">
        <v>0.43899482401656331</v>
      </c>
      <c r="M282" s="54"/>
      <c r="O282" s="16">
        <f t="shared" si="8"/>
        <v>9.5174185463659078E-2</v>
      </c>
      <c r="P282" s="16">
        <f t="shared" si="8"/>
        <v>0.73697101449275482</v>
      </c>
    </row>
    <row r="283" spans="1:16" x14ac:dyDescent="0.2">
      <c r="A283" s="44">
        <v>2022</v>
      </c>
      <c r="B283" s="54"/>
      <c r="C283" s="54"/>
      <c r="D283" s="54"/>
      <c r="E283" s="54"/>
      <c r="F283" s="54"/>
      <c r="G283" s="54"/>
      <c r="H283" s="54"/>
      <c r="I283" s="54"/>
      <c r="J283" s="54"/>
      <c r="K283" s="55">
        <f>((SUM(K278:K282)-SUM(K221:K225))/5)+K226</f>
        <v>-1.1348624060150379</v>
      </c>
      <c r="L283" s="55">
        <f>((SUM(L278:L282)-SUM(L221:L225))/5)+L226</f>
        <v>-7.0738678712590541E-2</v>
      </c>
      <c r="M283" s="54"/>
      <c r="O283" s="16">
        <f t="shared" si="8"/>
        <v>-1.2420052631578955</v>
      </c>
      <c r="P283" s="16">
        <f t="shared" si="8"/>
        <v>0.41616608319217185</v>
      </c>
    </row>
    <row r="284" spans="1:16" x14ac:dyDescent="0.2">
      <c r="O284" s="11"/>
      <c r="P284" s="11"/>
    </row>
    <row r="286" spans="1:16" ht="15.75" x14ac:dyDescent="0.25">
      <c r="A286" s="40" t="s">
        <v>181</v>
      </c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</row>
    <row r="287" spans="1:16" ht="13.5" x14ac:dyDescent="0.25">
      <c r="A287" s="42" t="s">
        <v>155</v>
      </c>
      <c r="B287" s="43" t="s">
        <v>90</v>
      </c>
      <c r="C287" s="43" t="s">
        <v>91</v>
      </c>
      <c r="D287" s="43" t="s">
        <v>92</v>
      </c>
      <c r="E287" s="43" t="s">
        <v>93</v>
      </c>
      <c r="F287" s="43" t="s">
        <v>94</v>
      </c>
      <c r="G287" s="43" t="s">
        <v>83</v>
      </c>
      <c r="H287" s="43" t="s">
        <v>84</v>
      </c>
      <c r="I287" s="43" t="s">
        <v>85</v>
      </c>
      <c r="J287" s="43" t="s">
        <v>86</v>
      </c>
      <c r="K287" s="43" t="s">
        <v>87</v>
      </c>
      <c r="L287" s="43" t="s">
        <v>88</v>
      </c>
      <c r="M287" s="43" t="s">
        <v>89</v>
      </c>
      <c r="O287" t="str">
        <f>_xlfn.CONCAT(K287," ","Error")</f>
        <v>Sep Error</v>
      </c>
      <c r="P287" t="str">
        <f>_xlfn.CONCAT(L287," ","Error")</f>
        <v>Oct Error</v>
      </c>
    </row>
    <row r="288" spans="1:16" x14ac:dyDescent="0.2">
      <c r="A288" s="44">
        <v>1970</v>
      </c>
      <c r="B288" s="54"/>
      <c r="C288" s="54">
        <v>-4.75</v>
      </c>
      <c r="D288" s="54">
        <v>-5</v>
      </c>
      <c r="E288" s="54">
        <v>-5.25</v>
      </c>
      <c r="F288" s="54">
        <v>-5</v>
      </c>
      <c r="G288" s="54">
        <v>-4.75</v>
      </c>
      <c r="H288" s="54">
        <v>-5.5</v>
      </c>
      <c r="I288" s="54">
        <v>-6</v>
      </c>
      <c r="J288" s="54">
        <v>-5.75</v>
      </c>
      <c r="K288" s="54">
        <v>-5.75</v>
      </c>
      <c r="L288" s="54">
        <v>-6.25</v>
      </c>
      <c r="M288" s="54">
        <v>-4.5</v>
      </c>
      <c r="O288" s="16">
        <f>K173-K288</f>
        <v>0.48809599999999964</v>
      </c>
      <c r="P288" s="16">
        <f>L173-L288</f>
        <v>1.625</v>
      </c>
    </row>
    <row r="289" spans="1:16" x14ac:dyDescent="0.2">
      <c r="A289" s="44">
        <v>1971</v>
      </c>
      <c r="B289" s="54">
        <v>-4.25</v>
      </c>
      <c r="C289" s="54">
        <v>-5</v>
      </c>
      <c r="D289" s="54">
        <v>-5</v>
      </c>
      <c r="E289" s="54">
        <v>-4.5</v>
      </c>
      <c r="F289" s="54">
        <v>-4.5</v>
      </c>
      <c r="G289" s="54">
        <v>-5</v>
      </c>
      <c r="H289" s="54">
        <v>-4.75</v>
      </c>
      <c r="I289" s="54">
        <v>-4</v>
      </c>
      <c r="J289" s="54">
        <v>-4.75</v>
      </c>
      <c r="K289" s="54">
        <v>-4.5</v>
      </c>
      <c r="L289" s="54">
        <v>-4</v>
      </c>
      <c r="M289" s="54">
        <v>-5.5</v>
      </c>
      <c r="O289" s="16">
        <f t="shared" ref="O289:P340" si="9">K174-K289</f>
        <v>0.59523899999999985</v>
      </c>
      <c r="P289" s="16">
        <f t="shared" si="9"/>
        <v>0.76190500000000005</v>
      </c>
    </row>
    <row r="290" spans="1:16" x14ac:dyDescent="0.2">
      <c r="A290" s="44">
        <v>1972</v>
      </c>
      <c r="B290" s="54">
        <v>-4.25</v>
      </c>
      <c r="C290" s="54">
        <v>-4.25</v>
      </c>
      <c r="D290" s="54">
        <v>-4.5</v>
      </c>
      <c r="E290" s="54">
        <v>-5</v>
      </c>
      <c r="F290" s="54">
        <v>-5</v>
      </c>
      <c r="G290" s="54">
        <v>-4</v>
      </c>
      <c r="H290" s="54">
        <v>-4.5</v>
      </c>
      <c r="I290" s="54">
        <v>-4.75</v>
      </c>
      <c r="J290" s="54">
        <v>-5</v>
      </c>
      <c r="K290" s="54">
        <v>-5.5</v>
      </c>
      <c r="L290" s="54">
        <v>-4.75</v>
      </c>
      <c r="M290" s="54">
        <v>0</v>
      </c>
      <c r="O290" s="16">
        <f t="shared" si="9"/>
        <v>0.6875</v>
      </c>
      <c r="P290" s="16">
        <f t="shared" si="9"/>
        <v>1.4090910000000001</v>
      </c>
    </row>
    <row r="291" spans="1:16" x14ac:dyDescent="0.2">
      <c r="A291" s="44">
        <v>1973</v>
      </c>
      <c r="B291" s="54"/>
      <c r="C291" s="54">
        <v>-4</v>
      </c>
      <c r="D291" s="54">
        <v>0.75</v>
      </c>
      <c r="E291" s="54">
        <v>-2.5</v>
      </c>
      <c r="F291" s="54">
        <v>-3.5</v>
      </c>
      <c r="G291" s="54">
        <v>0</v>
      </c>
      <c r="H291" s="54">
        <v>4</v>
      </c>
      <c r="I291" s="54">
        <v>3</v>
      </c>
      <c r="J291" s="54">
        <v>0.25</v>
      </c>
      <c r="K291" s="54">
        <v>-5.5</v>
      </c>
      <c r="L291" s="54">
        <v>-5</v>
      </c>
      <c r="M291" s="54">
        <v>-20</v>
      </c>
      <c r="O291" s="16">
        <f t="shared" si="9"/>
        <v>3.828948</v>
      </c>
      <c r="P291" s="16">
        <f t="shared" si="9"/>
        <v>3.3181820000000002</v>
      </c>
    </row>
    <row r="292" spans="1:16" x14ac:dyDescent="0.2">
      <c r="A292" s="44">
        <v>1974</v>
      </c>
      <c r="B292" s="54">
        <v>-4</v>
      </c>
      <c r="C292" s="54">
        <v>-4</v>
      </c>
      <c r="D292" s="54">
        <v>-16.5</v>
      </c>
      <c r="E292" s="54">
        <v>-4.5</v>
      </c>
      <c r="F292" s="54">
        <v>-3.5</v>
      </c>
      <c r="G292" s="54">
        <v>-7</v>
      </c>
      <c r="H292" s="54">
        <v>-6.25</v>
      </c>
      <c r="I292" s="54">
        <v>-5.5</v>
      </c>
      <c r="J292" s="54">
        <v>-6.5</v>
      </c>
      <c r="K292" s="54">
        <v>-9.5</v>
      </c>
      <c r="L292" s="54">
        <v>-21</v>
      </c>
      <c r="M292" s="54">
        <v>-18.5</v>
      </c>
      <c r="O292" s="16">
        <f t="shared" si="9"/>
        <v>2.8250000000000002</v>
      </c>
      <c r="P292" s="16">
        <f t="shared" si="9"/>
        <v>6.586957</v>
      </c>
    </row>
    <row r="293" spans="1:16" x14ac:dyDescent="0.2">
      <c r="A293" s="44">
        <v>1975</v>
      </c>
      <c r="B293" s="54">
        <v>-10.5</v>
      </c>
      <c r="C293" s="54">
        <v>-7.5</v>
      </c>
      <c r="D293" s="54">
        <v>-9.5</v>
      </c>
      <c r="E293" s="54">
        <v>-8</v>
      </c>
      <c r="F293" s="54">
        <v>-8</v>
      </c>
      <c r="G293" s="54">
        <v>-8.5</v>
      </c>
      <c r="H293" s="54">
        <v>-8.25</v>
      </c>
      <c r="I293" s="54">
        <v>-10.5</v>
      </c>
      <c r="J293" s="54">
        <v>-11</v>
      </c>
      <c r="K293" s="54">
        <v>-10.75</v>
      </c>
      <c r="L293" s="54">
        <v>-12.25</v>
      </c>
      <c r="M293" s="54">
        <v>-11.75</v>
      </c>
      <c r="O293" s="16">
        <f t="shared" si="9"/>
        <v>0.98809600000000053</v>
      </c>
      <c r="P293" s="16">
        <f t="shared" si="9"/>
        <v>1.4782609999999998</v>
      </c>
    </row>
    <row r="294" spans="1:16" x14ac:dyDescent="0.2">
      <c r="A294" s="44">
        <v>1976</v>
      </c>
      <c r="B294" s="54">
        <v>-10.75</v>
      </c>
      <c r="C294" s="54">
        <v>-8</v>
      </c>
      <c r="D294" s="54">
        <v>-8</v>
      </c>
      <c r="E294" s="54">
        <v>-7.5</v>
      </c>
      <c r="F294" s="54">
        <v>-8.75</v>
      </c>
      <c r="G294" s="54">
        <v>-7.75</v>
      </c>
      <c r="H294" s="54">
        <v>-8.5</v>
      </c>
      <c r="I294" s="54">
        <v>-8.5</v>
      </c>
      <c r="J294" s="54">
        <v>-9.25</v>
      </c>
      <c r="K294" s="54">
        <v>-8.25</v>
      </c>
      <c r="L294" s="54">
        <v>-10</v>
      </c>
      <c r="M294" s="54">
        <v>-7</v>
      </c>
      <c r="O294" s="16">
        <f t="shared" si="9"/>
        <v>2.0833339999999998</v>
      </c>
      <c r="P294" s="16">
        <f t="shared" si="9"/>
        <v>2.4880959999999996</v>
      </c>
    </row>
    <row r="295" spans="1:16" x14ac:dyDescent="0.2">
      <c r="A295" s="44">
        <v>1977</v>
      </c>
      <c r="B295" s="54">
        <v>-7.25</v>
      </c>
      <c r="C295" s="54">
        <v>-7.25</v>
      </c>
      <c r="D295" s="54">
        <v>-7.25</v>
      </c>
      <c r="E295" s="54">
        <v>-7</v>
      </c>
      <c r="F295" s="54">
        <v>-6.5</v>
      </c>
      <c r="G295" s="54">
        <v>-7</v>
      </c>
      <c r="H295" s="54">
        <v>-6.5</v>
      </c>
      <c r="I295" s="54">
        <v>-9</v>
      </c>
      <c r="J295" s="54">
        <v>-8</v>
      </c>
      <c r="K295" s="54">
        <v>-8.75</v>
      </c>
      <c r="L295" s="54">
        <v>-8.75</v>
      </c>
      <c r="M295" s="54">
        <v>-15.25</v>
      </c>
      <c r="O295" s="16">
        <f t="shared" si="9"/>
        <v>1.1428580000000004</v>
      </c>
      <c r="P295" s="16">
        <f t="shared" si="9"/>
        <v>1.7023809999999999</v>
      </c>
    </row>
    <row r="296" spans="1:16" x14ac:dyDescent="0.2">
      <c r="A296" s="44">
        <v>1978</v>
      </c>
      <c r="B296" s="54">
        <v>-6.25</v>
      </c>
      <c r="C296" s="54">
        <v>-8.75</v>
      </c>
      <c r="D296" s="54">
        <v>-7.5</v>
      </c>
      <c r="E296" s="54">
        <v>-9</v>
      </c>
      <c r="F296" s="54">
        <v>-6.5</v>
      </c>
      <c r="G296" s="54">
        <v>-6.25</v>
      </c>
      <c r="H296" s="54">
        <v>-5</v>
      </c>
      <c r="I296" s="54">
        <v>-8.75</v>
      </c>
      <c r="J296" s="54">
        <v>-7.5</v>
      </c>
      <c r="K296" s="54">
        <v>-8.25</v>
      </c>
      <c r="L296" s="54">
        <v>-10.75</v>
      </c>
      <c r="M296" s="54">
        <v>-12.5</v>
      </c>
      <c r="O296" s="16">
        <f t="shared" si="9"/>
        <v>1.4124999999999996</v>
      </c>
      <c r="P296" s="16">
        <f t="shared" si="9"/>
        <v>3.0454549999999996</v>
      </c>
    </row>
    <row r="297" spans="1:16" x14ac:dyDescent="0.2">
      <c r="A297" s="44">
        <v>1979</v>
      </c>
      <c r="B297" s="54">
        <v>-9</v>
      </c>
      <c r="C297" s="54">
        <v>-9.5</v>
      </c>
      <c r="D297" s="54">
        <v>-9.25</v>
      </c>
      <c r="E297" s="54">
        <v>-10.25</v>
      </c>
      <c r="F297" s="54">
        <v>-10.75</v>
      </c>
      <c r="G297" s="54">
        <v>-11</v>
      </c>
      <c r="H297" s="54">
        <v>-12.5</v>
      </c>
      <c r="I297" s="54">
        <v>-12.25</v>
      </c>
      <c r="J297" s="54">
        <v>-14.5</v>
      </c>
      <c r="K297" s="54">
        <v>-17.75</v>
      </c>
      <c r="L297" s="54">
        <v>-23.75</v>
      </c>
      <c r="M297" s="54">
        <v>-23.25</v>
      </c>
      <c r="O297" s="16">
        <f t="shared" si="9"/>
        <v>2.1842109999999995</v>
      </c>
      <c r="P297" s="16">
        <f t="shared" si="9"/>
        <v>3.869565999999999</v>
      </c>
    </row>
    <row r="298" spans="1:16" x14ac:dyDescent="0.2">
      <c r="A298" s="44">
        <v>1980</v>
      </c>
      <c r="B298" s="54">
        <v>-17</v>
      </c>
      <c r="C298" s="54">
        <v>-19.5</v>
      </c>
      <c r="D298" s="54">
        <v>-18.25</v>
      </c>
      <c r="E298" s="54">
        <v>-18.25</v>
      </c>
      <c r="F298" s="54">
        <v>-18</v>
      </c>
      <c r="G298" s="54">
        <v>-16.25</v>
      </c>
      <c r="H298" s="54">
        <v>-16.75</v>
      </c>
      <c r="I298" s="54">
        <v>-17</v>
      </c>
      <c r="J298" s="54">
        <v>-18.5</v>
      </c>
      <c r="K298" s="54">
        <v>-26</v>
      </c>
      <c r="L298" s="54">
        <v>-28.5</v>
      </c>
      <c r="M298" s="54">
        <v>-29.5</v>
      </c>
      <c r="O298" s="16">
        <f t="shared" si="9"/>
        <v>6.1071430000000007</v>
      </c>
      <c r="P298" s="16">
        <f t="shared" si="9"/>
        <v>3.9239139999999999</v>
      </c>
    </row>
    <row r="299" spans="1:16" x14ac:dyDescent="0.2">
      <c r="A299" s="44">
        <v>1981</v>
      </c>
      <c r="B299" s="54">
        <v>-18</v>
      </c>
      <c r="C299" s="54">
        <v>-20.25</v>
      </c>
      <c r="D299" s="54">
        <v>-19.75</v>
      </c>
      <c r="E299" s="54">
        <v>-19.75</v>
      </c>
      <c r="F299" s="54">
        <v>-20.5</v>
      </c>
      <c r="G299" s="54">
        <v>-21.75</v>
      </c>
      <c r="H299" s="54">
        <v>-20.25</v>
      </c>
      <c r="I299" s="54">
        <v>-20.5</v>
      </c>
      <c r="J299" s="54">
        <v>-20.75</v>
      </c>
      <c r="K299" s="54">
        <v>-23.5</v>
      </c>
      <c r="L299" s="54">
        <v>-22.5</v>
      </c>
      <c r="M299" s="54">
        <v>-20</v>
      </c>
      <c r="O299" s="16">
        <f t="shared" si="9"/>
        <v>2.4166670000000003</v>
      </c>
      <c r="P299" s="16">
        <f t="shared" si="9"/>
        <v>1.8522730000000003</v>
      </c>
    </row>
    <row r="300" spans="1:16" x14ac:dyDescent="0.2">
      <c r="A300" s="44">
        <v>1982</v>
      </c>
      <c r="B300" s="54">
        <v>-20.25</v>
      </c>
      <c r="C300" s="54">
        <v>-15.75</v>
      </c>
      <c r="D300" s="54">
        <v>-15</v>
      </c>
      <c r="E300" s="54">
        <v>-14</v>
      </c>
      <c r="F300" s="54">
        <v>-14.5</v>
      </c>
      <c r="G300" s="54">
        <v>-14</v>
      </c>
      <c r="H300" s="54">
        <v>-17</v>
      </c>
      <c r="I300" s="54">
        <v>-17.25</v>
      </c>
      <c r="J300" s="54">
        <v>-16.5</v>
      </c>
      <c r="K300" s="54">
        <v>-15.25</v>
      </c>
      <c r="L300" s="54">
        <v>-15</v>
      </c>
      <c r="M300" s="54">
        <v>-19</v>
      </c>
      <c r="O300" s="16">
        <f t="shared" si="9"/>
        <v>0.61904799999999938</v>
      </c>
      <c r="P300" s="16">
        <f t="shared" si="9"/>
        <v>0.88095299999999988</v>
      </c>
    </row>
    <row r="301" spans="1:16" x14ac:dyDescent="0.2">
      <c r="A301" s="44">
        <v>1983</v>
      </c>
      <c r="B301" s="54">
        <v>-13.25</v>
      </c>
      <c r="C301" s="54">
        <v>-14</v>
      </c>
      <c r="D301" s="54">
        <v>-13.25</v>
      </c>
      <c r="E301" s="54">
        <v>-12.75</v>
      </c>
      <c r="F301" s="54">
        <v>-13.5</v>
      </c>
      <c r="G301" s="54">
        <v>-13.25</v>
      </c>
      <c r="H301" s="54">
        <v>-12.5</v>
      </c>
      <c r="I301" s="54">
        <v>-16.5</v>
      </c>
      <c r="J301" s="54">
        <v>-13.25</v>
      </c>
      <c r="K301" s="54">
        <v>-17.5</v>
      </c>
      <c r="L301" s="54">
        <v>-21</v>
      </c>
      <c r="M301" s="54">
        <v>-20.5</v>
      </c>
      <c r="O301" s="16">
        <f t="shared" si="9"/>
        <v>3.5</v>
      </c>
      <c r="P301" s="16">
        <f t="shared" si="9"/>
        <v>4.8571430000000007</v>
      </c>
    </row>
    <row r="302" spans="1:16" x14ac:dyDescent="0.2">
      <c r="A302" s="44">
        <v>1984</v>
      </c>
      <c r="B302" s="54">
        <v>-13.25</v>
      </c>
      <c r="C302" s="54">
        <v>-14</v>
      </c>
      <c r="D302" s="54">
        <v>-14.25</v>
      </c>
      <c r="E302" s="54">
        <v>-12.5</v>
      </c>
      <c r="F302" s="54">
        <v>-13</v>
      </c>
      <c r="G302" s="54">
        <v>-12</v>
      </c>
      <c r="H302" s="54">
        <v>-13.5</v>
      </c>
      <c r="I302" s="54">
        <v>-14.5</v>
      </c>
      <c r="J302" s="54">
        <v>-14.5</v>
      </c>
      <c r="K302" s="54">
        <v>-13.75</v>
      </c>
      <c r="L302" s="54">
        <v>-13.25</v>
      </c>
      <c r="M302" s="54">
        <v>-14.25</v>
      </c>
      <c r="O302" s="16">
        <f t="shared" si="9"/>
        <v>2.0657899999999998</v>
      </c>
      <c r="P302" s="16">
        <f t="shared" si="9"/>
        <v>2.3913049999999991</v>
      </c>
    </row>
    <row r="303" spans="1:16" x14ac:dyDescent="0.2">
      <c r="A303" s="44">
        <v>1985</v>
      </c>
      <c r="B303" s="54">
        <v>-17.5</v>
      </c>
      <c r="C303" s="54">
        <v>-13.75</v>
      </c>
      <c r="D303" s="54">
        <v>-13</v>
      </c>
      <c r="E303" s="54">
        <v>-11.75</v>
      </c>
      <c r="F303" s="54">
        <v>-11.75</v>
      </c>
      <c r="G303" s="54">
        <v>-10.75</v>
      </c>
      <c r="H303" s="54">
        <v>-10.25</v>
      </c>
      <c r="I303" s="54">
        <v>-11</v>
      </c>
      <c r="J303" s="54">
        <v>-10.5</v>
      </c>
      <c r="K303" s="54">
        <v>-12.25</v>
      </c>
      <c r="L303" s="54">
        <v>-13.75</v>
      </c>
      <c r="M303" s="54">
        <v>-12.5</v>
      </c>
      <c r="O303" s="16">
        <f t="shared" si="9"/>
        <v>1.4375</v>
      </c>
      <c r="P303" s="16">
        <f t="shared" si="9"/>
        <v>0.77173999999999943</v>
      </c>
    </row>
    <row r="304" spans="1:16" x14ac:dyDescent="0.2">
      <c r="A304" s="44">
        <v>1986</v>
      </c>
      <c r="B304" s="54">
        <v>-12</v>
      </c>
      <c r="C304" s="54">
        <v>-11.75</v>
      </c>
      <c r="D304" s="54">
        <v>-10.75</v>
      </c>
      <c r="E304" s="54">
        <v>-10.75</v>
      </c>
      <c r="F304" s="54">
        <v>-10.25</v>
      </c>
      <c r="G304" s="54">
        <v>-10.25</v>
      </c>
      <c r="H304" s="54">
        <v>-10</v>
      </c>
      <c r="I304" s="54">
        <v>-9</v>
      </c>
      <c r="J304" s="54">
        <v>-10.25</v>
      </c>
      <c r="K304" s="54">
        <v>-9.25</v>
      </c>
      <c r="L304" s="54">
        <v>-8.25</v>
      </c>
      <c r="M304" s="54">
        <v>-4.5</v>
      </c>
      <c r="O304" s="16">
        <f t="shared" si="9"/>
        <v>0.90476199999999984</v>
      </c>
      <c r="P304" s="16">
        <f t="shared" si="9"/>
        <v>1.5108699999999997</v>
      </c>
    </row>
    <row r="305" spans="1:16" x14ac:dyDescent="0.2">
      <c r="A305" s="44">
        <v>1987</v>
      </c>
      <c r="B305" s="54">
        <v>-8.25</v>
      </c>
      <c r="C305" s="54">
        <v>-8.25</v>
      </c>
      <c r="D305" s="54">
        <v>-7.25</v>
      </c>
      <c r="E305" s="54">
        <v>-7.5</v>
      </c>
      <c r="F305" s="54">
        <v>-8.5</v>
      </c>
      <c r="G305" s="54">
        <v>-9.5</v>
      </c>
      <c r="H305" s="54">
        <v>-9.75</v>
      </c>
      <c r="I305" s="54">
        <v>-9.5</v>
      </c>
      <c r="J305" s="54">
        <v>-8.75</v>
      </c>
      <c r="K305" s="54">
        <v>-7.25</v>
      </c>
      <c r="L305" s="54">
        <v>-11.5</v>
      </c>
      <c r="M305" s="54">
        <v>-9.5</v>
      </c>
      <c r="O305" s="16">
        <f t="shared" si="9"/>
        <v>1.1190480000000003</v>
      </c>
      <c r="P305" s="16">
        <f t="shared" si="9"/>
        <v>3.1136370000000007</v>
      </c>
    </row>
    <row r="306" spans="1:16" x14ac:dyDescent="0.2">
      <c r="A306" s="44">
        <v>1988</v>
      </c>
      <c r="B306" s="54">
        <v>-8.75</v>
      </c>
      <c r="C306" s="54">
        <v>-8</v>
      </c>
      <c r="D306" s="54">
        <v>-8.25</v>
      </c>
      <c r="E306" s="54">
        <v>-8.75</v>
      </c>
      <c r="F306" s="54">
        <v>-8.5</v>
      </c>
      <c r="G306" s="54">
        <v>-9.75</v>
      </c>
      <c r="H306" s="54">
        <v>-7</v>
      </c>
      <c r="I306" s="54">
        <v>-4.5</v>
      </c>
      <c r="J306" s="54">
        <v>-7.75</v>
      </c>
      <c r="K306" s="54">
        <v>-11</v>
      </c>
      <c r="L306" s="54">
        <v>-18</v>
      </c>
      <c r="M306" s="54">
        <v>-14.5</v>
      </c>
      <c r="O306" s="16">
        <f t="shared" si="9"/>
        <v>1.2023810000000008</v>
      </c>
      <c r="P306" s="16">
        <f t="shared" si="9"/>
        <v>5.0595239999999997</v>
      </c>
    </row>
    <row r="307" spans="1:16" x14ac:dyDescent="0.2">
      <c r="A307" s="44">
        <v>1989</v>
      </c>
      <c r="B307" s="54">
        <v>-13.5</v>
      </c>
      <c r="C307" s="54">
        <v>-11</v>
      </c>
      <c r="D307" s="54">
        <v>-8.25</v>
      </c>
      <c r="E307" s="54">
        <v>-8.75</v>
      </c>
      <c r="F307" s="54">
        <v>-10.75</v>
      </c>
      <c r="G307" s="54">
        <v>-10.5</v>
      </c>
      <c r="H307" s="54">
        <v>-10.75</v>
      </c>
      <c r="I307" s="54">
        <v>-10.75</v>
      </c>
      <c r="J307" s="54">
        <v>-11</v>
      </c>
      <c r="K307" s="54">
        <v>-12.5</v>
      </c>
      <c r="L307" s="54">
        <v>-14</v>
      </c>
      <c r="M307" s="54">
        <v>-14.75</v>
      </c>
      <c r="O307" s="16">
        <f t="shared" si="9"/>
        <v>2.2125000000000004</v>
      </c>
      <c r="P307" s="16">
        <f t="shared" si="9"/>
        <v>1.8636370000000007</v>
      </c>
    </row>
    <row r="308" spans="1:16" x14ac:dyDescent="0.2">
      <c r="A308" s="44">
        <v>1990</v>
      </c>
      <c r="B308" s="54">
        <v>-11.5</v>
      </c>
      <c r="C308" s="54">
        <v>-10.75</v>
      </c>
      <c r="D308" s="54">
        <v>-10</v>
      </c>
      <c r="E308" s="54">
        <v>-10.5</v>
      </c>
      <c r="F308" s="54">
        <v>-11.25</v>
      </c>
      <c r="G308" s="54">
        <v>-11</v>
      </c>
      <c r="H308" s="54">
        <v>-12</v>
      </c>
      <c r="I308" s="54">
        <v>-12.5</v>
      </c>
      <c r="J308" s="54">
        <v>-14.25</v>
      </c>
      <c r="K308" s="54">
        <v>-15.25</v>
      </c>
      <c r="L308" s="54">
        <v>-17.25</v>
      </c>
      <c r="M308" s="54">
        <v>-16.75</v>
      </c>
      <c r="O308" s="16">
        <f t="shared" si="9"/>
        <v>1.0657899999999998</v>
      </c>
      <c r="P308" s="16">
        <f t="shared" si="9"/>
        <v>2.1521740000000005</v>
      </c>
    </row>
    <row r="309" spans="1:16" x14ac:dyDescent="0.2">
      <c r="A309" s="44">
        <v>1991</v>
      </c>
      <c r="B309" s="54">
        <v>-13.25</v>
      </c>
      <c r="C309" s="54">
        <v>-13</v>
      </c>
      <c r="D309" s="54">
        <v>-13</v>
      </c>
      <c r="E309" s="54">
        <v>-11.75</v>
      </c>
      <c r="F309" s="54">
        <v>-11.75</v>
      </c>
      <c r="G309" s="54">
        <v>-12.25</v>
      </c>
      <c r="H309" s="54">
        <v>-11</v>
      </c>
      <c r="I309" s="54">
        <v>-10.5</v>
      </c>
      <c r="J309" s="54">
        <v>-12.5</v>
      </c>
      <c r="K309" s="54">
        <v>-11.75</v>
      </c>
      <c r="L309" s="54">
        <v>-12.25</v>
      </c>
      <c r="M309" s="54">
        <v>-6.25</v>
      </c>
      <c r="O309" s="16">
        <f t="shared" si="9"/>
        <v>0.90000000000000036</v>
      </c>
      <c r="P309" s="16">
        <f t="shared" si="9"/>
        <v>1.1086960000000001</v>
      </c>
    </row>
    <row r="310" spans="1:16" x14ac:dyDescent="0.2">
      <c r="A310" s="44">
        <v>1992</v>
      </c>
      <c r="B310" s="54">
        <v>-10.75</v>
      </c>
      <c r="C310" s="54">
        <v>-9.5</v>
      </c>
      <c r="D310" s="54">
        <v>-10.75</v>
      </c>
      <c r="E310" s="54">
        <v>-10</v>
      </c>
      <c r="F310" s="54">
        <v>-9.75</v>
      </c>
      <c r="G310" s="54">
        <v>-9.25</v>
      </c>
      <c r="H310" s="54">
        <v>-8.75</v>
      </c>
      <c r="I310" s="54">
        <v>-8.5</v>
      </c>
      <c r="J310" s="54">
        <v>-7.75</v>
      </c>
      <c r="K310" s="54">
        <v>-7.75</v>
      </c>
      <c r="L310" s="54">
        <v>-7.5</v>
      </c>
      <c r="M310" s="54">
        <v>-3</v>
      </c>
      <c r="O310" s="16">
        <f t="shared" si="9"/>
        <v>0.76190499999999961</v>
      </c>
      <c r="P310" s="16">
        <f t="shared" si="9"/>
        <v>1.59091</v>
      </c>
    </row>
    <row r="311" spans="1:16" x14ac:dyDescent="0.2">
      <c r="A311" s="44">
        <v>1993</v>
      </c>
      <c r="B311" s="54">
        <v>-10</v>
      </c>
      <c r="C311" s="54">
        <v>-8.5</v>
      </c>
      <c r="D311" s="54">
        <v>-8</v>
      </c>
      <c r="E311" s="54">
        <v>-8.25</v>
      </c>
      <c r="F311" s="54">
        <v>-7.75</v>
      </c>
      <c r="G311" s="54">
        <v>-7.25</v>
      </c>
      <c r="H311" s="54">
        <v>-7.25</v>
      </c>
      <c r="I311" s="54">
        <v>-3.25</v>
      </c>
      <c r="J311" s="54">
        <v>-6.75</v>
      </c>
      <c r="K311" s="54">
        <v>-6.75</v>
      </c>
      <c r="L311" s="54">
        <v>-9.75</v>
      </c>
      <c r="M311" s="54">
        <v>-10</v>
      </c>
      <c r="O311" s="16">
        <f t="shared" si="9"/>
        <v>0.98809599999999964</v>
      </c>
      <c r="P311" s="16">
        <f t="shared" si="9"/>
        <v>2.4642860000000004</v>
      </c>
    </row>
    <row r="312" spans="1:16" x14ac:dyDescent="0.2">
      <c r="A312" s="44">
        <v>1994</v>
      </c>
      <c r="B312" s="54">
        <v>-6.75</v>
      </c>
      <c r="C312" s="54">
        <v>-6.75</v>
      </c>
      <c r="D312" s="54">
        <v>-6</v>
      </c>
      <c r="E312" s="54">
        <v>-6.25</v>
      </c>
      <c r="F312" s="54">
        <v>-6.25</v>
      </c>
      <c r="G312" s="54">
        <v>-7</v>
      </c>
      <c r="H312" s="54">
        <v>-7</v>
      </c>
      <c r="I312" s="54">
        <v>-8.25</v>
      </c>
      <c r="J312" s="54">
        <v>-9</v>
      </c>
      <c r="K312" s="54">
        <v>-10.5</v>
      </c>
      <c r="L312" s="54">
        <v>-12</v>
      </c>
      <c r="M312" s="54">
        <v>-12</v>
      </c>
      <c r="O312" s="16">
        <f t="shared" si="9"/>
        <v>1.4642859999999995</v>
      </c>
      <c r="P312" s="16">
        <f t="shared" si="9"/>
        <v>0.82142900000000019</v>
      </c>
    </row>
    <row r="313" spans="1:16" x14ac:dyDescent="0.2">
      <c r="A313" s="44">
        <v>1995</v>
      </c>
      <c r="B313" s="54">
        <v>-8.75</v>
      </c>
      <c r="C313" s="54">
        <v>-8.5</v>
      </c>
      <c r="D313" s="54">
        <v>-8.75</v>
      </c>
      <c r="E313" s="54">
        <v>-8.25</v>
      </c>
      <c r="F313" s="54">
        <v>-9</v>
      </c>
      <c r="G313" s="54">
        <v>-9</v>
      </c>
      <c r="H313" s="54">
        <v>-8</v>
      </c>
      <c r="I313" s="54">
        <v>-8.5</v>
      </c>
      <c r="J313" s="54">
        <v>-10</v>
      </c>
      <c r="K313" s="54">
        <v>-11</v>
      </c>
      <c r="L313" s="54">
        <v>-11.25</v>
      </c>
      <c r="M313" s="54">
        <v>-8.5</v>
      </c>
      <c r="O313" s="16">
        <f t="shared" si="9"/>
        <v>0.92500000000000071</v>
      </c>
      <c r="P313" s="16">
        <f t="shared" si="9"/>
        <v>1.0795460000000006</v>
      </c>
    </row>
    <row r="314" spans="1:16" x14ac:dyDescent="0.2">
      <c r="A314" s="44">
        <v>1996</v>
      </c>
      <c r="B314" s="54">
        <v>-7.25</v>
      </c>
      <c r="C314" s="54">
        <v>-5.75</v>
      </c>
      <c r="D314" s="54">
        <v>-6.25</v>
      </c>
      <c r="E314" s="54">
        <v>-6.75</v>
      </c>
      <c r="F314" s="54">
        <v>-8</v>
      </c>
      <c r="G314" s="54">
        <v>-8.25</v>
      </c>
      <c r="H314" s="54">
        <v>-7.75</v>
      </c>
      <c r="I314" s="54">
        <v>-9.75</v>
      </c>
      <c r="J314" s="54">
        <v>-8.5</v>
      </c>
      <c r="K314" s="54">
        <v>-9</v>
      </c>
      <c r="L314" s="54">
        <v>-9.25</v>
      </c>
      <c r="M314" s="54">
        <v>-4.75</v>
      </c>
      <c r="O314" s="16">
        <f t="shared" si="9"/>
        <v>1.5999999999999996</v>
      </c>
      <c r="P314" s="16">
        <f t="shared" si="9"/>
        <v>4.586957</v>
      </c>
    </row>
    <row r="315" spans="1:16" x14ac:dyDescent="0.2">
      <c r="A315" s="44">
        <v>1997</v>
      </c>
      <c r="B315" s="54">
        <v>-15.25</v>
      </c>
      <c r="C315" s="54">
        <v>-8</v>
      </c>
      <c r="D315" s="54">
        <v>-6.5</v>
      </c>
      <c r="E315" s="54">
        <v>-6.25</v>
      </c>
      <c r="F315" s="54">
        <v>-7.5</v>
      </c>
      <c r="G315" s="54">
        <v>-6.25</v>
      </c>
      <c r="H315" s="54">
        <v>-3.75</v>
      </c>
      <c r="I315" s="54">
        <v>-4.5</v>
      </c>
      <c r="J315" s="54">
        <v>-5</v>
      </c>
      <c r="K315" s="54">
        <v>-4.25</v>
      </c>
      <c r="L315" s="54">
        <v>-7.5</v>
      </c>
      <c r="M315" s="54">
        <v>-4.75</v>
      </c>
      <c r="O315" s="16">
        <f t="shared" si="9"/>
        <v>1.6547619999999998</v>
      </c>
      <c r="P315" s="16">
        <f t="shared" si="9"/>
        <v>2.7391310000000004</v>
      </c>
    </row>
    <row r="316" spans="1:16" x14ac:dyDescent="0.2">
      <c r="A316" s="44">
        <v>1998</v>
      </c>
      <c r="B316" s="54">
        <v>-6.5</v>
      </c>
      <c r="C316" s="54">
        <v>-6.75</v>
      </c>
      <c r="D316" s="54">
        <v>-6</v>
      </c>
      <c r="E316" s="54">
        <v>-6.5</v>
      </c>
      <c r="F316" s="54">
        <v>-8.25</v>
      </c>
      <c r="G316" s="54">
        <v>-8.25</v>
      </c>
      <c r="H316" s="54">
        <v>-7.75</v>
      </c>
      <c r="I316" s="54">
        <v>-11</v>
      </c>
      <c r="J316" s="54">
        <v>-11.25</v>
      </c>
      <c r="K316" s="54">
        <v>-11.75</v>
      </c>
      <c r="L316" s="54">
        <v>-11.75</v>
      </c>
      <c r="M316" s="54">
        <v>-9.25</v>
      </c>
      <c r="O316" s="16">
        <f t="shared" si="9"/>
        <v>1.3809529999999999</v>
      </c>
      <c r="P316" s="16">
        <f t="shared" si="9"/>
        <v>1.625</v>
      </c>
    </row>
    <row r="317" spans="1:16" x14ac:dyDescent="0.2">
      <c r="A317" s="44">
        <v>1999</v>
      </c>
      <c r="B317" s="54">
        <v>-8.75</v>
      </c>
      <c r="C317" s="54">
        <v>-8.75</v>
      </c>
      <c r="D317" s="54">
        <v>-10.25</v>
      </c>
      <c r="E317" s="54">
        <v>-11.25</v>
      </c>
      <c r="F317" s="54">
        <v>-12</v>
      </c>
      <c r="G317" s="54">
        <v>-10.75</v>
      </c>
      <c r="H317" s="54">
        <v>-11</v>
      </c>
      <c r="I317" s="54">
        <v>-10.5</v>
      </c>
      <c r="J317" s="54">
        <v>-10.5</v>
      </c>
      <c r="K317" s="54">
        <v>-10.25</v>
      </c>
      <c r="L317" s="54">
        <v>-12.75</v>
      </c>
      <c r="M317" s="54">
        <v>-12.75</v>
      </c>
      <c r="O317" s="16">
        <f t="shared" si="9"/>
        <v>0.75</v>
      </c>
      <c r="P317" s="16">
        <f t="shared" si="9"/>
        <v>1.9047619999999998</v>
      </c>
    </row>
    <row r="318" spans="1:16" x14ac:dyDescent="0.2">
      <c r="A318" s="44">
        <v>2000</v>
      </c>
      <c r="B318" s="54"/>
      <c r="C318" s="54">
        <v>-7.25</v>
      </c>
      <c r="D318" s="54">
        <v>-8.5</v>
      </c>
      <c r="E318" s="54">
        <v>-8.25</v>
      </c>
      <c r="F318" s="54">
        <v>-8.5</v>
      </c>
      <c r="G318" s="54">
        <v>-9.25</v>
      </c>
      <c r="H318" s="54">
        <v>-10.5</v>
      </c>
      <c r="I318" s="54">
        <v>-11.5</v>
      </c>
      <c r="J318" s="54">
        <v>-11</v>
      </c>
      <c r="K318" s="54">
        <v>-10.75</v>
      </c>
      <c r="L318" s="54">
        <v>-11.5</v>
      </c>
      <c r="M318" s="54">
        <v>-11</v>
      </c>
      <c r="O318" s="16">
        <f t="shared" si="9"/>
        <v>0.69999999999999929</v>
      </c>
      <c r="P318" s="16">
        <f t="shared" si="9"/>
        <v>0.875</v>
      </c>
    </row>
    <row r="319" spans="1:16" x14ac:dyDescent="0.2">
      <c r="A319" s="44">
        <v>2001</v>
      </c>
      <c r="B319" s="54">
        <v>-9.25</v>
      </c>
      <c r="C319" s="54">
        <v>-10.25</v>
      </c>
      <c r="D319" s="54">
        <v>-11.25</v>
      </c>
      <c r="E319" s="54">
        <v>-10.25</v>
      </c>
      <c r="F319" s="54">
        <v>-10.5</v>
      </c>
      <c r="G319" s="54">
        <v>-11.25</v>
      </c>
      <c r="H319" s="54">
        <v>-9.25</v>
      </c>
      <c r="I319" s="54">
        <v>-7.5</v>
      </c>
      <c r="J319" s="54">
        <v>-7.25</v>
      </c>
      <c r="K319" s="54">
        <v>-9.75</v>
      </c>
      <c r="L319" s="54">
        <v>-8.5</v>
      </c>
      <c r="M319" s="54">
        <v>-6.5</v>
      </c>
      <c r="O319" s="16">
        <f t="shared" si="9"/>
        <v>2.7083339999999998</v>
      </c>
      <c r="P319" s="16">
        <f t="shared" si="9"/>
        <v>1.6739139999999999</v>
      </c>
    </row>
    <row r="320" spans="1:16" x14ac:dyDescent="0.2">
      <c r="A320" s="44">
        <v>2002</v>
      </c>
      <c r="B320" s="54">
        <v>-6.5</v>
      </c>
      <c r="C320" s="54">
        <v>-7.5</v>
      </c>
      <c r="D320" s="54">
        <v>-7.5</v>
      </c>
      <c r="E320" s="54">
        <v>-6.25</v>
      </c>
      <c r="F320" s="54">
        <v>-6</v>
      </c>
      <c r="G320" s="54">
        <v>-5.75</v>
      </c>
      <c r="H320" s="54">
        <v>-3</v>
      </c>
      <c r="I320" s="54">
        <v>-2.75</v>
      </c>
      <c r="J320" s="54">
        <v>-3.5</v>
      </c>
      <c r="K320" s="54">
        <v>-5</v>
      </c>
      <c r="L320" s="54">
        <v>-5.5</v>
      </c>
      <c r="M320" s="54">
        <v>-0.25</v>
      </c>
      <c r="O320" s="16">
        <f t="shared" si="9"/>
        <v>1.8374999999999999</v>
      </c>
      <c r="P320" s="16">
        <f t="shared" si="9"/>
        <v>2.4239139999999999</v>
      </c>
    </row>
    <row r="321" spans="1:16" x14ac:dyDescent="0.2">
      <c r="A321" s="44">
        <v>2003</v>
      </c>
      <c r="B321" s="54">
        <v>-5</v>
      </c>
      <c r="C321" s="54">
        <v>-4.75</v>
      </c>
      <c r="D321" s="54">
        <v>-2.75</v>
      </c>
      <c r="E321" s="54">
        <v>-3.5</v>
      </c>
      <c r="F321" s="54">
        <v>-3.5</v>
      </c>
      <c r="G321" s="54">
        <v>-4.5</v>
      </c>
      <c r="H321" s="54">
        <v>-4.5</v>
      </c>
      <c r="I321" s="54">
        <v>-5.25</v>
      </c>
      <c r="J321" s="54">
        <v>-5.25</v>
      </c>
      <c r="K321" s="54">
        <v>-4.25</v>
      </c>
      <c r="L321" s="54">
        <v>-5.5</v>
      </c>
      <c r="M321" s="54">
        <v>-7.75</v>
      </c>
      <c r="O321" s="16">
        <f t="shared" si="9"/>
        <v>2.2619050000000001</v>
      </c>
      <c r="P321" s="16">
        <f t="shared" si="9"/>
        <v>3.4239139999999999</v>
      </c>
    </row>
    <row r="322" spans="1:16" x14ac:dyDescent="0.2">
      <c r="A322" s="44">
        <v>2004</v>
      </c>
      <c r="B322" s="54">
        <v>-4</v>
      </c>
      <c r="C322" s="54">
        <v>-3.5</v>
      </c>
      <c r="D322" s="54">
        <v>-1.5</v>
      </c>
      <c r="E322" s="54">
        <v>-2.5</v>
      </c>
      <c r="F322" s="54">
        <v>-2</v>
      </c>
      <c r="G322" s="54">
        <v>-2.5</v>
      </c>
      <c r="H322" s="54">
        <v>-3.5</v>
      </c>
      <c r="I322" s="54">
        <v>-8.5</v>
      </c>
      <c r="J322" s="54">
        <v>-8.5</v>
      </c>
      <c r="K322" s="54">
        <v>-8.5</v>
      </c>
      <c r="L322" s="54">
        <v>-9.75</v>
      </c>
      <c r="M322" s="54">
        <v>-3.5</v>
      </c>
      <c r="O322" s="16">
        <f t="shared" si="9"/>
        <v>0.97619100000000003</v>
      </c>
      <c r="P322" s="16">
        <f t="shared" si="9"/>
        <v>3.6190480000000003</v>
      </c>
    </row>
    <row r="323" spans="1:16" x14ac:dyDescent="0.2">
      <c r="A323" s="44">
        <v>2005</v>
      </c>
      <c r="B323" s="54">
        <v>-5.75</v>
      </c>
      <c r="C323" s="54">
        <v>-6.5</v>
      </c>
      <c r="D323" s="54">
        <v>-5.75</v>
      </c>
      <c r="E323" s="54">
        <v>-3.5</v>
      </c>
      <c r="F323" s="54">
        <v>-3</v>
      </c>
      <c r="G323" s="54">
        <v>-4.25</v>
      </c>
      <c r="H323" s="54">
        <v>-3</v>
      </c>
      <c r="I323" s="54">
        <v>-4.25</v>
      </c>
      <c r="J323" s="54">
        <v>-7.5</v>
      </c>
      <c r="K323" s="54">
        <v>-10</v>
      </c>
      <c r="L323" s="54">
        <v>-13.25</v>
      </c>
      <c r="M323" s="54">
        <v>-12</v>
      </c>
      <c r="O323" s="16">
        <f t="shared" si="9"/>
        <v>1.2857149999999997</v>
      </c>
      <c r="P323" s="16">
        <f t="shared" si="9"/>
        <v>1.0357149999999997</v>
      </c>
    </row>
    <row r="324" spans="1:16" x14ac:dyDescent="0.2">
      <c r="A324" s="44">
        <v>2006</v>
      </c>
      <c r="B324" s="54">
        <v>-6</v>
      </c>
      <c r="C324" s="54">
        <v>-9.5</v>
      </c>
      <c r="D324" s="54">
        <v>-7</v>
      </c>
      <c r="E324" s="54">
        <v>-8.5</v>
      </c>
      <c r="F324" s="54">
        <v>-8.5</v>
      </c>
      <c r="G324" s="54">
        <v>-10.5</v>
      </c>
      <c r="H324" s="54">
        <v>-10.75</v>
      </c>
      <c r="I324" s="54">
        <v>-12.5</v>
      </c>
      <c r="J324" s="54">
        <v>-13.75</v>
      </c>
      <c r="K324" s="54">
        <v>-14.75</v>
      </c>
      <c r="L324" s="54">
        <v>-15</v>
      </c>
      <c r="M324" s="54">
        <v>-15.25</v>
      </c>
      <c r="O324" s="16">
        <f t="shared" si="9"/>
        <v>1.3125</v>
      </c>
      <c r="P324" s="16">
        <f t="shared" si="9"/>
        <v>0.88636400000000037</v>
      </c>
    </row>
    <row r="325" spans="1:16" x14ac:dyDescent="0.2">
      <c r="A325" s="44">
        <v>2007</v>
      </c>
      <c r="B325" s="54">
        <v>-5.25</v>
      </c>
      <c r="C325" s="54">
        <v>-7.25</v>
      </c>
      <c r="D325" s="54">
        <v>-5.75</v>
      </c>
      <c r="E325" s="54">
        <v>-9.25</v>
      </c>
      <c r="F325" s="54">
        <v>-10.75</v>
      </c>
      <c r="G325" s="54">
        <v>-10.25</v>
      </c>
      <c r="H325" s="54">
        <v>-12</v>
      </c>
      <c r="I325" s="54">
        <v>-16.75</v>
      </c>
      <c r="J325" s="54">
        <v>-16</v>
      </c>
      <c r="K325" s="54">
        <v>-17.25</v>
      </c>
      <c r="L325" s="54">
        <v>-19.5</v>
      </c>
      <c r="M325" s="54">
        <v>-15.75</v>
      </c>
      <c r="O325" s="16">
        <f t="shared" si="9"/>
        <v>1.8157899999999998</v>
      </c>
      <c r="P325" s="16">
        <f t="shared" si="9"/>
        <v>1.4239139999999999</v>
      </c>
    </row>
    <row r="326" spans="1:16" x14ac:dyDescent="0.2">
      <c r="A326" s="44">
        <v>2008</v>
      </c>
      <c r="B326" s="54">
        <v>-7</v>
      </c>
      <c r="C326" s="54">
        <v>-10</v>
      </c>
      <c r="D326" s="54">
        <v>-9.5</v>
      </c>
      <c r="E326" s="54">
        <v>-15.5</v>
      </c>
      <c r="F326" s="54">
        <v>-15.25</v>
      </c>
      <c r="G326" s="54">
        <v>-14</v>
      </c>
      <c r="H326" s="54">
        <v>-15.25</v>
      </c>
      <c r="I326" s="54">
        <v>-18</v>
      </c>
      <c r="J326" s="54">
        <v>-18</v>
      </c>
      <c r="K326" s="54">
        <v>-17.25</v>
      </c>
      <c r="L326" s="54">
        <v>-17.5</v>
      </c>
      <c r="M326" s="54">
        <v>-18</v>
      </c>
      <c r="O326" s="16">
        <f t="shared" si="9"/>
        <v>0.94047700000000134</v>
      </c>
      <c r="P326" s="16">
        <f t="shared" si="9"/>
        <v>5.6739139999999999</v>
      </c>
    </row>
    <row r="327" spans="1:16" x14ac:dyDescent="0.2">
      <c r="A327" s="44">
        <v>2009</v>
      </c>
      <c r="B327" s="54">
        <v>-7.5</v>
      </c>
      <c r="C327" s="54">
        <v>-10.25</v>
      </c>
      <c r="D327" s="54">
        <v>-10</v>
      </c>
      <c r="E327" s="54">
        <v>-11.5</v>
      </c>
      <c r="F327" s="54">
        <v>-9.5</v>
      </c>
      <c r="G327" s="54">
        <v>-5.5</v>
      </c>
      <c r="H327" s="54">
        <v>-7.75</v>
      </c>
      <c r="I327" s="54">
        <v>-8.5</v>
      </c>
      <c r="J327" s="54">
        <v>-6.5</v>
      </c>
      <c r="K327" s="54">
        <v>-7.25</v>
      </c>
      <c r="L327" s="54">
        <v>-7</v>
      </c>
      <c r="M327" s="54">
        <v>-8.25</v>
      </c>
      <c r="O327" s="16">
        <f t="shared" si="9"/>
        <v>2.1904769999999996</v>
      </c>
      <c r="P327" s="16">
        <f t="shared" si="9"/>
        <v>3.8295460000000001</v>
      </c>
    </row>
    <row r="328" spans="1:16" x14ac:dyDescent="0.2">
      <c r="A328" s="44">
        <v>2010</v>
      </c>
      <c r="B328" s="54">
        <v>-9.5</v>
      </c>
      <c r="C328" s="54">
        <v>-9.75</v>
      </c>
      <c r="D328" s="54">
        <v>-9.5</v>
      </c>
      <c r="E328" s="54">
        <v>-9.5</v>
      </c>
      <c r="F328" s="54">
        <v>-9</v>
      </c>
      <c r="G328" s="54">
        <v>-9.75</v>
      </c>
      <c r="H328" s="54">
        <v>-10.5</v>
      </c>
      <c r="I328" s="54">
        <v>-9.5</v>
      </c>
      <c r="J328" s="54">
        <v>-9.25</v>
      </c>
      <c r="K328" s="54">
        <v>-10.25</v>
      </c>
      <c r="L328" s="54">
        <v>-12.25</v>
      </c>
      <c r="M328" s="54">
        <v>-10.5</v>
      </c>
      <c r="O328" s="16">
        <f t="shared" si="9"/>
        <v>0.70238100000000081</v>
      </c>
      <c r="P328" s="16">
        <f t="shared" si="9"/>
        <v>1.3928580000000004</v>
      </c>
    </row>
    <row r="329" spans="1:16" x14ac:dyDescent="0.2">
      <c r="A329" s="44">
        <v>2011</v>
      </c>
      <c r="B329" s="54">
        <v>-6.25</v>
      </c>
      <c r="C329" s="54">
        <v>-4.5</v>
      </c>
      <c r="D329" s="54">
        <v>-4.5</v>
      </c>
      <c r="E329" s="54">
        <v>-5.5</v>
      </c>
      <c r="F329" s="54">
        <v>-8.75</v>
      </c>
      <c r="G329" s="54">
        <v>-10</v>
      </c>
      <c r="H329" s="54">
        <v>-10.25</v>
      </c>
      <c r="I329" s="54">
        <v>-11</v>
      </c>
      <c r="J329" s="54">
        <v>-11.25</v>
      </c>
      <c r="K329" s="54">
        <v>-12</v>
      </c>
      <c r="L329" s="54">
        <v>-12</v>
      </c>
      <c r="M329" s="54">
        <v>-10.25</v>
      </c>
      <c r="O329" s="16">
        <f t="shared" si="9"/>
        <v>1.1190479999999994</v>
      </c>
      <c r="P329" s="16">
        <f t="shared" si="9"/>
        <v>2.6785720000000008</v>
      </c>
    </row>
    <row r="330" spans="1:16" x14ac:dyDescent="0.2">
      <c r="A330" s="44">
        <v>2012</v>
      </c>
      <c r="B330" s="54">
        <v>-10.5</v>
      </c>
      <c r="C330" s="54">
        <v>-9.5</v>
      </c>
      <c r="D330" s="54">
        <v>-7.5</v>
      </c>
      <c r="E330" s="54">
        <v>-3.5</v>
      </c>
      <c r="F330" s="54">
        <v>-2.5</v>
      </c>
      <c r="G330" s="54">
        <v>-3</v>
      </c>
      <c r="H330" s="54">
        <v>-3.5</v>
      </c>
      <c r="I330" s="54">
        <v>0.5</v>
      </c>
      <c r="J330" s="54">
        <v>1.75</v>
      </c>
      <c r="K330" s="54">
        <v>-2.75</v>
      </c>
      <c r="L330" s="54">
        <v>-2.75</v>
      </c>
      <c r="M330" s="54">
        <v>-1.5</v>
      </c>
      <c r="O330" s="16">
        <f t="shared" si="9"/>
        <v>2.7236850000000001</v>
      </c>
      <c r="P330" s="16">
        <f t="shared" si="9"/>
        <v>1.8804349999999999</v>
      </c>
    </row>
    <row r="331" spans="1:16" x14ac:dyDescent="0.2">
      <c r="A331" s="44">
        <v>2013</v>
      </c>
      <c r="B331" s="54">
        <v>-6.25</v>
      </c>
      <c r="C331" s="54">
        <v>-7.25</v>
      </c>
      <c r="D331" s="54">
        <v>-5</v>
      </c>
      <c r="E331" s="54">
        <v>-4.75</v>
      </c>
      <c r="F331" s="54">
        <v>-8</v>
      </c>
      <c r="G331" s="54">
        <v>-7.75</v>
      </c>
      <c r="H331" s="54">
        <v>-7</v>
      </c>
      <c r="I331" s="54">
        <v>-6</v>
      </c>
      <c r="J331" s="54">
        <v>-6.75</v>
      </c>
      <c r="K331" s="54">
        <v>-2.75</v>
      </c>
      <c r="L331" s="54">
        <v>-2</v>
      </c>
      <c r="M331" s="54">
        <v>3.75</v>
      </c>
      <c r="O331" s="16">
        <f t="shared" si="9"/>
        <v>2.4</v>
      </c>
      <c r="P331" s="16">
        <f t="shared" si="9"/>
        <v>5.2282600000000006</v>
      </c>
    </row>
    <row r="332" spans="1:16" x14ac:dyDescent="0.2">
      <c r="A332" s="44">
        <v>2014</v>
      </c>
      <c r="B332" s="54">
        <v>-5.5</v>
      </c>
      <c r="C332" s="54">
        <v>-6.5</v>
      </c>
      <c r="D332" s="54">
        <v>-5</v>
      </c>
      <c r="E332" s="54">
        <v>-5.25</v>
      </c>
      <c r="F332" s="54">
        <v>-5.75</v>
      </c>
      <c r="G332" s="54">
        <v>-6.5</v>
      </c>
      <c r="H332" s="54">
        <v>-7</v>
      </c>
      <c r="I332" s="54">
        <v>-9</v>
      </c>
      <c r="J332" s="54">
        <v>-9</v>
      </c>
      <c r="K332" s="54">
        <v>-8.75</v>
      </c>
      <c r="L332" s="54">
        <v>-8.5</v>
      </c>
      <c r="M332" s="54">
        <v>-3</v>
      </c>
      <c r="O332" s="16">
        <f t="shared" si="9"/>
        <v>1.0357149999999997</v>
      </c>
      <c r="P332" s="16">
        <f t="shared" si="9"/>
        <v>1.1086960000000001</v>
      </c>
    </row>
    <row r="333" spans="1:16" x14ac:dyDescent="0.2">
      <c r="A333" s="44">
        <v>2015</v>
      </c>
      <c r="B333" s="54">
        <v>-6.25</v>
      </c>
      <c r="C333" s="54">
        <v>-6</v>
      </c>
      <c r="D333" s="54">
        <v>-5.5</v>
      </c>
      <c r="E333" s="54">
        <v>-5</v>
      </c>
      <c r="F333" s="54">
        <v>-6.5</v>
      </c>
      <c r="G333" s="54">
        <v>-7.75</v>
      </c>
      <c r="H333" s="54">
        <v>-7.5</v>
      </c>
      <c r="I333" s="54">
        <v>-6.5</v>
      </c>
      <c r="J333" s="54">
        <v>-5.75</v>
      </c>
      <c r="K333" s="54">
        <v>-4.75</v>
      </c>
      <c r="L333" s="54">
        <v>-5</v>
      </c>
      <c r="M333" s="54">
        <v>-16</v>
      </c>
      <c r="O333" s="16">
        <f t="shared" si="9"/>
        <v>0.95238099999999992</v>
      </c>
      <c r="P333" s="16">
        <f t="shared" si="9"/>
        <v>1.806819</v>
      </c>
    </row>
    <row r="334" spans="1:16" x14ac:dyDescent="0.2">
      <c r="A334" s="44">
        <v>2016</v>
      </c>
      <c r="B334" s="54">
        <v>-12</v>
      </c>
      <c r="C334" s="54">
        <v>-7.25</v>
      </c>
      <c r="D334" s="54">
        <v>-6</v>
      </c>
      <c r="E334" s="54">
        <v>-6.25</v>
      </c>
      <c r="F334" s="54">
        <v>-5.75</v>
      </c>
      <c r="G334" s="54">
        <v>-2.25</v>
      </c>
      <c r="H334" s="54">
        <v>-0.75</v>
      </c>
      <c r="I334" s="54">
        <v>-1</v>
      </c>
      <c r="J334" s="54">
        <v>-3</v>
      </c>
      <c r="K334" s="54">
        <v>-6.75</v>
      </c>
      <c r="L334" s="54">
        <v>-11.5</v>
      </c>
      <c r="M334" s="54">
        <v>-9.5</v>
      </c>
      <c r="O334" s="16">
        <f t="shared" si="9"/>
        <v>1.7738100000000001</v>
      </c>
      <c r="P334" s="16">
        <f t="shared" si="9"/>
        <v>3.0952389999999994</v>
      </c>
    </row>
    <row r="335" spans="1:16" x14ac:dyDescent="0.2">
      <c r="A335" s="44">
        <v>2017</v>
      </c>
      <c r="B335" s="54">
        <v>-6.5</v>
      </c>
      <c r="C335" s="54">
        <v>-5.75</v>
      </c>
      <c r="D335" s="54">
        <v>-9.25</v>
      </c>
      <c r="E335" s="54">
        <v>-6.75</v>
      </c>
      <c r="F335" s="54">
        <v>-8</v>
      </c>
      <c r="G335" s="54">
        <v>-8.25</v>
      </c>
      <c r="H335" s="54">
        <v>-8.25</v>
      </c>
      <c r="I335" s="54">
        <v>-9</v>
      </c>
      <c r="J335" s="54">
        <v>-9.25</v>
      </c>
      <c r="K335" s="54">
        <v>-10.75</v>
      </c>
      <c r="L335" s="54">
        <v>-11.75</v>
      </c>
      <c r="M335" s="54">
        <v>-11.5</v>
      </c>
      <c r="O335" s="16">
        <f t="shared" si="9"/>
        <v>0.53749999999999964</v>
      </c>
      <c r="P335" s="16">
        <f t="shared" si="9"/>
        <v>1.0909090909090917</v>
      </c>
    </row>
    <row r="336" spans="1:16" x14ac:dyDescent="0.2">
      <c r="A336" s="44">
        <v>2018</v>
      </c>
      <c r="B336" s="54">
        <v>-9</v>
      </c>
      <c r="C336" s="54">
        <v>-9.25</v>
      </c>
      <c r="D336" s="54">
        <v>-6.75</v>
      </c>
      <c r="E336" s="54">
        <v>-5</v>
      </c>
      <c r="F336" s="54">
        <v>-5.5</v>
      </c>
      <c r="G336" s="54">
        <v>-5.75</v>
      </c>
      <c r="H336" s="54">
        <v>-10.25</v>
      </c>
      <c r="I336" s="54">
        <v>-10.5</v>
      </c>
      <c r="J336" s="54">
        <v>-13.5</v>
      </c>
      <c r="K336" s="54">
        <v>-14.25</v>
      </c>
      <c r="L336" s="54">
        <v>-14.5</v>
      </c>
      <c r="M336" s="54">
        <v>-20</v>
      </c>
      <c r="O336" s="16">
        <f t="shared" si="9"/>
        <v>0.59210526315789558</v>
      </c>
      <c r="P336" s="16">
        <f t="shared" si="9"/>
        <v>0.79347826086956452</v>
      </c>
    </row>
    <row r="337" spans="1:16" x14ac:dyDescent="0.2">
      <c r="A337" s="44">
        <v>2019</v>
      </c>
      <c r="B337" s="54">
        <v>-13.25</v>
      </c>
      <c r="C337" s="54">
        <v>-12.25</v>
      </c>
      <c r="D337" s="54">
        <v>-10.75</v>
      </c>
      <c r="E337" s="54">
        <v>-10.25</v>
      </c>
      <c r="F337" s="54">
        <v>-11</v>
      </c>
      <c r="G337" s="54">
        <v>-14</v>
      </c>
      <c r="H337" s="54">
        <v>-13.75</v>
      </c>
      <c r="I337" s="54">
        <v>-13.5</v>
      </c>
      <c r="J337" s="54">
        <v>-14.5</v>
      </c>
      <c r="K337" s="54">
        <v>-14.75</v>
      </c>
      <c r="L337" s="54">
        <v>-15</v>
      </c>
      <c r="M337" s="54">
        <v>-5.75</v>
      </c>
      <c r="O337" s="16">
        <f t="shared" si="9"/>
        <v>0.97499999999999964</v>
      </c>
      <c r="P337" s="16">
        <f t="shared" si="9"/>
        <v>0.75</v>
      </c>
    </row>
    <row r="338" spans="1:16" x14ac:dyDescent="0.2">
      <c r="A338" s="44">
        <v>2020</v>
      </c>
      <c r="B338" s="54">
        <v>-7</v>
      </c>
      <c r="C338" s="54">
        <v>-6.25</v>
      </c>
      <c r="D338" s="54">
        <v>-6.75</v>
      </c>
      <c r="E338" s="54">
        <v>-4.25</v>
      </c>
      <c r="F338" s="54">
        <v>-4.75</v>
      </c>
      <c r="G338" s="54">
        <v>-4</v>
      </c>
      <c r="H338" s="54">
        <v>-5.5</v>
      </c>
      <c r="I338" s="54">
        <v>-6.5</v>
      </c>
      <c r="J338" s="54">
        <v>-7.5</v>
      </c>
      <c r="K338" s="54">
        <v>-6.25</v>
      </c>
      <c r="L338" s="54">
        <v>-3.5</v>
      </c>
      <c r="M338" s="54">
        <v>-0.25</v>
      </c>
      <c r="O338" s="16">
        <f t="shared" si="9"/>
        <v>1.8452380952380949</v>
      </c>
      <c r="P338" s="16">
        <f t="shared" si="9"/>
        <v>3.5340909090909092</v>
      </c>
    </row>
    <row r="339" spans="1:16" x14ac:dyDescent="0.2">
      <c r="A339" s="44">
        <v>2021</v>
      </c>
      <c r="B339" s="54">
        <v>-1.75</v>
      </c>
      <c r="C339" s="54">
        <v>1.25</v>
      </c>
      <c r="D339" s="54">
        <v>2.5</v>
      </c>
      <c r="E339" s="54">
        <v>0.25</v>
      </c>
      <c r="F339" s="54">
        <v>0</v>
      </c>
      <c r="G339" s="54"/>
      <c r="H339" s="54"/>
      <c r="I339" s="54"/>
      <c r="J339" s="54"/>
      <c r="K339" s="55">
        <v>-4.2658972431077693</v>
      </c>
      <c r="L339" s="55">
        <v>-5.5085376435159032</v>
      </c>
      <c r="M339" s="54"/>
      <c r="O339" s="16">
        <f t="shared" si="9"/>
        <v>4.5758972431077698</v>
      </c>
      <c r="P339" s="16">
        <f t="shared" si="9"/>
        <v>5.2105614530397117</v>
      </c>
    </row>
    <row r="340" spans="1:16" x14ac:dyDescent="0.2">
      <c r="A340" s="44">
        <v>2022</v>
      </c>
      <c r="B340" s="54"/>
      <c r="C340" s="54"/>
      <c r="D340" s="54"/>
      <c r="E340" s="54"/>
      <c r="F340" s="54"/>
      <c r="G340" s="54"/>
      <c r="H340" s="54"/>
      <c r="I340" s="54"/>
      <c r="J340" s="54"/>
      <c r="K340" s="55">
        <f>((SUM(K335:K339)-SUM(K222:K226))/5)+K227</f>
        <v>-6.5006556390977464</v>
      </c>
      <c r="L340" s="55">
        <f>((SUM(L335:L339)-SUM(L222:L226))/5)+L227</f>
        <v>-7.051549520045171</v>
      </c>
      <c r="M340" s="54"/>
      <c r="O340" s="16">
        <f t="shared" si="9"/>
        <v>6.607798496240604</v>
      </c>
      <c r="P340" s="16">
        <f t="shared" si="9"/>
        <v>6.5646447581404086</v>
      </c>
    </row>
    <row r="341" spans="1:16" x14ac:dyDescent="0.2">
      <c r="A341" s="44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14</vt:i4>
      </vt:variant>
    </vt:vector>
  </HeadingPairs>
  <TitlesOfParts>
    <vt:vector size="18" baseType="lpstr">
      <vt:lpstr>Balance Sheet Data</vt:lpstr>
      <vt:lpstr>Cash Prices</vt:lpstr>
      <vt:lpstr>Futures Averages</vt:lpstr>
      <vt:lpstr>Spreads Averages</vt:lpstr>
      <vt:lpstr>SU in Aug</vt:lpstr>
      <vt:lpstr>SX in Sep</vt:lpstr>
      <vt:lpstr>SX in Oct</vt:lpstr>
      <vt:lpstr>SF in Nov</vt:lpstr>
      <vt:lpstr>SF in Dec</vt:lpstr>
      <vt:lpstr>SH in Jan</vt:lpstr>
      <vt:lpstr>SH in Feb</vt:lpstr>
      <vt:lpstr>SK in Mar</vt:lpstr>
      <vt:lpstr>SK in Apr</vt:lpstr>
      <vt:lpstr>SN in May</vt:lpstr>
      <vt:lpstr>SN in Jun</vt:lpstr>
      <vt:lpstr>SQ in Jul</vt:lpstr>
      <vt:lpstr>SN-SX in May</vt:lpstr>
      <vt:lpstr>SN-SX in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2025-07-17T09:28:48Z</dcterms:created>
  <dcterms:modified xsi:type="dcterms:W3CDTF">2025-11-18T19:03:55Z</dcterms:modified>
</cp:coreProperties>
</file>